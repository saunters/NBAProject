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7"/>
  <workbookPr/>
  <mc:AlternateContent xmlns:mc="http://schemas.openxmlformats.org/markup-compatibility/2006">
    <mc:Choice Requires="x15">
      <x15ac:absPath xmlns:x15ac="http://schemas.microsoft.com/office/spreadsheetml/2010/11/ac" url="/Users/noah/Documents/GitHub/NBA Project/"/>
    </mc:Choice>
  </mc:AlternateContent>
  <xr:revisionPtr revIDLastSave="0" documentId="8_{560E3904-F5C0-EE45-A663-C8789323AB87}" xr6:coauthVersionLast="47" xr6:coauthVersionMax="47" xr10:uidLastSave="{00000000-0000-0000-0000-000000000000}"/>
  <bookViews>
    <workbookView xWindow="1960" yWindow="520" windowWidth="28740" windowHeight="16300" activeTab="1" xr2:uid="{0C8E9E11-D02C-DF4C-BC84-AAD664015C4A}"/>
  </bookViews>
  <sheets>
    <sheet name="missingvaluetest" sheetId="15" r:id="rId1"/>
    <sheet name="undervalued_custom" sheetId="14" r:id="rId2"/>
    <sheet name="Totals" sheetId="1" r:id="rId3"/>
    <sheet name="Per Game" sheetId="2" r:id="rId4"/>
    <sheet name="Per 36" sheetId="3" r:id="rId5"/>
    <sheet name="Per 100" sheetId="4" r:id="rId6"/>
    <sheet name="Advanced" sheetId="5" r:id="rId7"/>
    <sheet name="Play by Play" sheetId="6" r:id="rId8"/>
    <sheet name="Shooting" sheetId="7" r:id="rId9"/>
    <sheet name="Adjusted Shooting" sheetId="8" r:id="rId10"/>
    <sheet name="Contracts" sheetId="9" r:id="rId1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2" i="14" l="1" a="1"/>
  <c r="M2" i="14" s="1"/>
  <c r="E3" i="15"/>
  <c r="E4" i="15"/>
  <c r="E5" i="15"/>
  <c r="E6" i="15"/>
  <c r="E7" i="15"/>
  <c r="E8" i="15"/>
  <c r="E9" i="15"/>
  <c r="E10" i="15"/>
  <c r="E11" i="15"/>
  <c r="E12" i="15"/>
  <c r="E13" i="15"/>
  <c r="E14" i="15"/>
  <c r="E15" i="15"/>
  <c r="E16" i="15"/>
  <c r="E17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30" i="15"/>
  <c r="E31" i="15"/>
  <c r="E32" i="15"/>
  <c r="E33" i="15"/>
  <c r="E34" i="15"/>
  <c r="E35" i="15"/>
  <c r="E36" i="15"/>
  <c r="E37" i="15"/>
  <c r="E38" i="15"/>
  <c r="E39" i="15"/>
  <c r="E40" i="15"/>
  <c r="E41" i="15"/>
  <c r="E42" i="15"/>
  <c r="E43" i="15"/>
  <c r="E44" i="15"/>
  <c r="E45" i="15"/>
  <c r="E46" i="15"/>
  <c r="E47" i="15"/>
  <c r="E48" i="15"/>
  <c r="E49" i="15"/>
  <c r="E50" i="15"/>
  <c r="E51" i="15"/>
  <c r="E52" i="15"/>
  <c r="E53" i="15"/>
  <c r="E54" i="15"/>
  <c r="E55" i="15"/>
  <c r="E56" i="15"/>
  <c r="E57" i="15"/>
  <c r="E58" i="15"/>
  <c r="E59" i="15"/>
  <c r="E60" i="15"/>
  <c r="E61" i="15"/>
  <c r="E62" i="15"/>
  <c r="E63" i="15"/>
  <c r="E64" i="15"/>
  <c r="E65" i="15"/>
  <c r="E66" i="15"/>
  <c r="E67" i="15"/>
  <c r="E68" i="15"/>
  <c r="E69" i="15"/>
  <c r="E70" i="15"/>
  <c r="E71" i="15"/>
  <c r="E72" i="15"/>
  <c r="E73" i="15"/>
  <c r="E74" i="15"/>
  <c r="E75" i="15"/>
  <c r="E76" i="15"/>
  <c r="E77" i="15"/>
  <c r="E78" i="15"/>
  <c r="E79" i="15"/>
  <c r="E80" i="15"/>
  <c r="E81" i="15"/>
  <c r="E82" i="15"/>
  <c r="E83" i="15"/>
  <c r="E84" i="15"/>
  <c r="E85" i="15"/>
  <c r="E86" i="15"/>
  <c r="E87" i="15"/>
  <c r="E88" i="15"/>
  <c r="E89" i="15"/>
  <c r="E90" i="15"/>
  <c r="E91" i="15"/>
  <c r="E92" i="15"/>
  <c r="E93" i="15"/>
  <c r="E94" i="15"/>
  <c r="E95" i="15"/>
  <c r="E96" i="15"/>
  <c r="E97" i="15"/>
  <c r="E98" i="15"/>
  <c r="E99" i="15"/>
  <c r="E100" i="15"/>
  <c r="E101" i="15"/>
  <c r="E102" i="15"/>
  <c r="E103" i="15"/>
  <c r="E104" i="15"/>
  <c r="E105" i="15"/>
  <c r="E106" i="15"/>
  <c r="E107" i="15"/>
  <c r="E108" i="15"/>
  <c r="E109" i="15"/>
  <c r="E110" i="15"/>
  <c r="E111" i="15"/>
  <c r="E112" i="15"/>
  <c r="E113" i="15"/>
  <c r="E114" i="15"/>
  <c r="E115" i="15"/>
  <c r="E116" i="15"/>
  <c r="E117" i="15"/>
  <c r="E118" i="15"/>
  <c r="E119" i="15"/>
  <c r="E120" i="15"/>
  <c r="E121" i="15"/>
  <c r="E122" i="15"/>
  <c r="E123" i="15"/>
  <c r="E124" i="15"/>
  <c r="E125" i="15"/>
  <c r="E126" i="15"/>
  <c r="E127" i="15"/>
  <c r="E128" i="15"/>
  <c r="E129" i="15"/>
  <c r="E130" i="15"/>
  <c r="E131" i="15"/>
  <c r="E132" i="15"/>
  <c r="E133" i="15"/>
  <c r="E134" i="15"/>
  <c r="E135" i="15"/>
  <c r="E136" i="15"/>
  <c r="E137" i="15"/>
  <c r="E138" i="15"/>
  <c r="E139" i="15"/>
  <c r="E140" i="15"/>
  <c r="E141" i="15"/>
  <c r="E142" i="15"/>
  <c r="E143" i="15"/>
  <c r="E144" i="15"/>
  <c r="E145" i="15"/>
  <c r="E146" i="15"/>
  <c r="E147" i="15"/>
  <c r="E148" i="15"/>
  <c r="E149" i="15"/>
  <c r="E150" i="15"/>
  <c r="E151" i="15"/>
  <c r="E152" i="15"/>
  <c r="E153" i="15"/>
  <c r="E154" i="15"/>
  <c r="E155" i="15"/>
  <c r="E156" i="15"/>
  <c r="E157" i="15"/>
  <c r="E158" i="15"/>
  <c r="E159" i="15"/>
  <c r="E160" i="15"/>
  <c r="E161" i="15"/>
  <c r="E162" i="15"/>
  <c r="E163" i="15"/>
  <c r="E164" i="15"/>
  <c r="E165" i="15"/>
  <c r="E166" i="15"/>
  <c r="E167" i="15"/>
  <c r="E168" i="15"/>
  <c r="E169" i="15"/>
  <c r="E170" i="15"/>
  <c r="E171" i="15"/>
  <c r="E172" i="15"/>
  <c r="E173" i="15"/>
  <c r="E174" i="15"/>
  <c r="E175" i="15"/>
  <c r="E176" i="15"/>
  <c r="E177" i="15"/>
  <c r="E178" i="15"/>
  <c r="E179" i="15"/>
  <c r="E180" i="15"/>
  <c r="E181" i="15"/>
  <c r="E182" i="15"/>
  <c r="E183" i="15"/>
  <c r="E184" i="15"/>
  <c r="E185" i="15"/>
  <c r="E186" i="15"/>
  <c r="E187" i="15"/>
  <c r="E188" i="15"/>
  <c r="E189" i="15"/>
  <c r="E190" i="15"/>
  <c r="E191" i="15"/>
  <c r="E192" i="15"/>
  <c r="E193" i="15"/>
  <c r="E194" i="15"/>
  <c r="E195" i="15"/>
  <c r="E196" i="15"/>
  <c r="E197" i="15"/>
  <c r="E198" i="15"/>
  <c r="E199" i="15"/>
  <c r="E200" i="15"/>
  <c r="E201" i="15"/>
  <c r="E202" i="15"/>
  <c r="E203" i="15"/>
  <c r="E204" i="15"/>
  <c r="E205" i="15"/>
  <c r="E206" i="15"/>
  <c r="E207" i="15"/>
  <c r="E208" i="15"/>
  <c r="E209" i="15"/>
  <c r="E210" i="15"/>
  <c r="E211" i="15"/>
  <c r="E212" i="15"/>
  <c r="E213" i="15"/>
  <c r="E214" i="15"/>
  <c r="E215" i="15"/>
  <c r="E216" i="15"/>
  <c r="E217" i="15"/>
  <c r="E218" i="15"/>
  <c r="E219" i="15"/>
  <c r="E220" i="15"/>
  <c r="E221" i="15"/>
  <c r="E222" i="15"/>
  <c r="E223" i="15"/>
  <c r="E224" i="15"/>
  <c r="E225" i="15"/>
  <c r="E226" i="15"/>
  <c r="E227" i="15"/>
  <c r="E228" i="15"/>
  <c r="E229" i="15"/>
  <c r="E230" i="15"/>
  <c r="E231" i="15"/>
  <c r="E232" i="15"/>
  <c r="E233" i="15"/>
  <c r="E234" i="15"/>
  <c r="E235" i="15"/>
  <c r="E236" i="15"/>
  <c r="E237" i="15"/>
  <c r="E238" i="15"/>
  <c r="E239" i="15"/>
  <c r="E240" i="15"/>
  <c r="E241" i="15"/>
  <c r="E242" i="15"/>
  <c r="E243" i="15"/>
  <c r="E244" i="15"/>
  <c r="E245" i="15"/>
  <c r="E246" i="15"/>
  <c r="E247" i="15"/>
  <c r="E248" i="15"/>
  <c r="E249" i="15"/>
  <c r="E250" i="15"/>
  <c r="E251" i="15"/>
  <c r="E252" i="15"/>
  <c r="E253" i="15"/>
  <c r="E254" i="15"/>
  <c r="E255" i="15"/>
  <c r="E256" i="15"/>
  <c r="E257" i="15"/>
  <c r="E258" i="15"/>
  <c r="E259" i="15"/>
  <c r="E260" i="15"/>
  <c r="E261" i="15"/>
  <c r="E262" i="15"/>
  <c r="E263" i="15"/>
  <c r="E264" i="15"/>
  <c r="E265" i="15"/>
  <c r="E266" i="15"/>
  <c r="E267" i="15"/>
  <c r="E268" i="15"/>
  <c r="E269" i="15"/>
  <c r="E270" i="15"/>
  <c r="E271" i="15"/>
  <c r="E272" i="15"/>
  <c r="E273" i="15"/>
  <c r="E274" i="15"/>
  <c r="E275" i="15"/>
  <c r="E276" i="15"/>
  <c r="E277" i="15"/>
  <c r="E278" i="15"/>
  <c r="E279" i="15"/>
  <c r="E280" i="15"/>
  <c r="E281" i="15"/>
  <c r="E282" i="15"/>
  <c r="E283" i="15"/>
  <c r="E284" i="15"/>
  <c r="E285" i="15"/>
  <c r="E286" i="15"/>
  <c r="E287" i="15"/>
  <c r="E288" i="15"/>
  <c r="E289" i="15"/>
  <c r="E290" i="15"/>
  <c r="E291" i="15"/>
  <c r="E292" i="15"/>
  <c r="E293" i="15"/>
  <c r="E294" i="15"/>
  <c r="E295" i="15"/>
  <c r="E296" i="15"/>
  <c r="E297" i="15"/>
  <c r="E298" i="15"/>
  <c r="E299" i="15"/>
  <c r="E300" i="15"/>
  <c r="E301" i="15"/>
  <c r="E302" i="15"/>
  <c r="E303" i="15"/>
  <c r="E304" i="15"/>
  <c r="E305" i="15"/>
  <c r="E306" i="15"/>
  <c r="E307" i="15"/>
  <c r="E308" i="15"/>
  <c r="E309" i="15"/>
  <c r="E310" i="15"/>
  <c r="E311" i="15"/>
  <c r="E312" i="15"/>
  <c r="E313" i="15"/>
  <c r="E314" i="15"/>
  <c r="E315" i="15"/>
  <c r="E316" i="15"/>
  <c r="E317" i="15"/>
  <c r="E318" i="15"/>
  <c r="E319" i="15"/>
  <c r="E320" i="15"/>
  <c r="E321" i="15"/>
  <c r="E322" i="15"/>
  <c r="E323" i="15"/>
  <c r="E324" i="15"/>
  <c r="E325" i="15"/>
  <c r="E326" i="15"/>
  <c r="E327" i="15"/>
  <c r="E328" i="15"/>
  <c r="E329" i="15"/>
  <c r="E330" i="15"/>
  <c r="E331" i="15"/>
  <c r="E332" i="15"/>
  <c r="E333" i="15"/>
  <c r="E334" i="15"/>
  <c r="E335" i="15"/>
  <c r="E336" i="15"/>
  <c r="E337" i="15"/>
  <c r="E338" i="15"/>
  <c r="E339" i="15"/>
  <c r="E340" i="15"/>
  <c r="E341" i="15"/>
  <c r="E342" i="15"/>
  <c r="E343" i="15"/>
  <c r="E344" i="15"/>
  <c r="E345" i="15"/>
  <c r="E346" i="15"/>
  <c r="E347" i="15"/>
  <c r="E348" i="15"/>
  <c r="E349" i="15"/>
  <c r="E350" i="15"/>
  <c r="E351" i="15"/>
  <c r="E352" i="15"/>
  <c r="E353" i="15"/>
  <c r="E354" i="15"/>
  <c r="E355" i="15"/>
  <c r="E356" i="15"/>
  <c r="E357" i="15"/>
  <c r="E358" i="15"/>
  <c r="E359" i="15"/>
  <c r="E360" i="15"/>
  <c r="E361" i="15"/>
  <c r="E362" i="15"/>
  <c r="E363" i="15"/>
  <c r="E364" i="15"/>
  <c r="E365" i="15"/>
  <c r="E366" i="15"/>
  <c r="E367" i="15"/>
  <c r="E368" i="15"/>
  <c r="E369" i="15"/>
  <c r="E370" i="15"/>
  <c r="E371" i="15"/>
  <c r="E372" i="15"/>
  <c r="E373" i="15"/>
  <c r="E374" i="15"/>
  <c r="E375" i="15"/>
  <c r="E376" i="15"/>
  <c r="E377" i="15"/>
  <c r="E378" i="15"/>
  <c r="E379" i="15"/>
  <c r="E380" i="15"/>
  <c r="E381" i="15"/>
  <c r="E382" i="15"/>
  <c r="E383" i="15"/>
  <c r="E384" i="15"/>
  <c r="E385" i="15"/>
  <c r="E386" i="15"/>
  <c r="E387" i="15"/>
  <c r="E388" i="15"/>
  <c r="E389" i="15"/>
  <c r="E390" i="15"/>
  <c r="E391" i="15"/>
  <c r="E392" i="15"/>
  <c r="E393" i="15"/>
  <c r="E394" i="15"/>
  <c r="E395" i="15"/>
  <c r="E396" i="15"/>
  <c r="E397" i="15"/>
  <c r="E398" i="15"/>
  <c r="E399" i="15"/>
  <c r="E400" i="15"/>
  <c r="E401" i="15"/>
  <c r="E402" i="15"/>
  <c r="E403" i="15"/>
  <c r="E404" i="15"/>
  <c r="E405" i="15"/>
  <c r="E406" i="15"/>
  <c r="E407" i="15"/>
  <c r="E408" i="15"/>
  <c r="E409" i="15"/>
  <c r="E410" i="15"/>
  <c r="E411" i="15"/>
  <c r="E412" i="15"/>
  <c r="E413" i="15"/>
  <c r="E414" i="15"/>
  <c r="E415" i="15"/>
  <c r="E416" i="15"/>
  <c r="E417" i="15"/>
  <c r="E418" i="15"/>
  <c r="E419" i="15"/>
  <c r="E420" i="15"/>
  <c r="E421" i="15"/>
  <c r="E422" i="15"/>
  <c r="E423" i="15"/>
  <c r="E424" i="15"/>
  <c r="E425" i="15"/>
  <c r="E426" i="15"/>
  <c r="E427" i="15"/>
  <c r="E428" i="15"/>
  <c r="E429" i="15"/>
  <c r="E430" i="15"/>
  <c r="E431" i="15"/>
  <c r="E432" i="15"/>
  <c r="E433" i="15"/>
  <c r="E434" i="15"/>
  <c r="E435" i="15"/>
  <c r="E436" i="15"/>
  <c r="E437" i="15"/>
  <c r="E438" i="15"/>
  <c r="E439" i="15"/>
  <c r="E440" i="15"/>
  <c r="E441" i="15"/>
  <c r="E442" i="15"/>
  <c r="E443" i="15"/>
  <c r="E444" i="15"/>
  <c r="E445" i="15"/>
  <c r="E446" i="15"/>
  <c r="E447" i="15"/>
  <c r="E448" i="15"/>
  <c r="E449" i="15"/>
  <c r="E450" i="15"/>
  <c r="E451" i="15"/>
  <c r="E452" i="15"/>
  <c r="E453" i="15"/>
  <c r="E454" i="15"/>
  <c r="E455" i="15"/>
  <c r="E456" i="15"/>
  <c r="E457" i="15"/>
  <c r="E458" i="15"/>
  <c r="E459" i="15"/>
  <c r="E460" i="15"/>
  <c r="E461" i="15"/>
  <c r="E462" i="15"/>
  <c r="E463" i="15"/>
  <c r="E464" i="15"/>
  <c r="E465" i="15"/>
  <c r="E466" i="15"/>
  <c r="E467" i="15"/>
  <c r="E468" i="15"/>
  <c r="E469" i="15"/>
  <c r="E470" i="15"/>
  <c r="E471" i="15"/>
  <c r="E472" i="15"/>
  <c r="E473" i="15"/>
  <c r="E474" i="15"/>
  <c r="E475" i="15"/>
  <c r="E476" i="15"/>
  <c r="E477" i="15"/>
  <c r="E478" i="15"/>
  <c r="E479" i="15"/>
  <c r="E480" i="15"/>
  <c r="E481" i="15"/>
  <c r="E482" i="15"/>
  <c r="E483" i="15"/>
  <c r="E484" i="15"/>
  <c r="E485" i="15"/>
  <c r="E486" i="15"/>
  <c r="E487" i="15"/>
  <c r="E488" i="15"/>
  <c r="E489" i="15"/>
  <c r="E490" i="15"/>
  <c r="E491" i="15"/>
  <c r="E492" i="15"/>
  <c r="E493" i="15"/>
  <c r="E494" i="15"/>
  <c r="E495" i="15"/>
  <c r="E496" i="15"/>
  <c r="E497" i="15"/>
  <c r="E498" i="15"/>
  <c r="E499" i="15"/>
  <c r="E500" i="15"/>
  <c r="E501" i="15"/>
  <c r="E502" i="15"/>
  <c r="E503" i="15"/>
  <c r="E504" i="15"/>
  <c r="E2" i="15"/>
  <c r="D3" i="15"/>
  <c r="D4" i="15"/>
  <c r="D5" i="15"/>
  <c r="D6" i="15"/>
  <c r="D7" i="15"/>
  <c r="D8" i="15"/>
  <c r="D9" i="15"/>
  <c r="D10" i="15"/>
  <c r="D11" i="15"/>
  <c r="D12" i="15"/>
  <c r="D13" i="15"/>
  <c r="D14" i="15"/>
  <c r="D15" i="15"/>
  <c r="D16" i="15"/>
  <c r="D17" i="15"/>
  <c r="D18" i="15"/>
  <c r="D19" i="15"/>
  <c r="D20" i="15"/>
  <c r="D21" i="15"/>
  <c r="D22" i="15"/>
  <c r="D23" i="15"/>
  <c r="D24" i="15"/>
  <c r="D25" i="15"/>
  <c r="D26" i="15"/>
  <c r="D27" i="15"/>
  <c r="D28" i="15"/>
  <c r="D29" i="15"/>
  <c r="D30" i="15"/>
  <c r="D31" i="15"/>
  <c r="D32" i="15"/>
  <c r="D33" i="15"/>
  <c r="D34" i="15"/>
  <c r="D35" i="15"/>
  <c r="D36" i="15"/>
  <c r="D37" i="15"/>
  <c r="D38" i="15"/>
  <c r="D39" i="15"/>
  <c r="D40" i="15"/>
  <c r="D41" i="15"/>
  <c r="D42" i="15"/>
  <c r="D43" i="15"/>
  <c r="D44" i="15"/>
  <c r="D45" i="15"/>
  <c r="D46" i="15"/>
  <c r="D47" i="15"/>
  <c r="D48" i="15"/>
  <c r="D49" i="15"/>
  <c r="D50" i="15"/>
  <c r="D51" i="15"/>
  <c r="D52" i="15"/>
  <c r="D53" i="15"/>
  <c r="D54" i="15"/>
  <c r="D55" i="15"/>
  <c r="D56" i="15"/>
  <c r="D57" i="15"/>
  <c r="D58" i="15"/>
  <c r="D59" i="15"/>
  <c r="D60" i="15"/>
  <c r="D61" i="15"/>
  <c r="D62" i="15"/>
  <c r="D63" i="15"/>
  <c r="D64" i="15"/>
  <c r="D65" i="15"/>
  <c r="D66" i="15"/>
  <c r="D67" i="15"/>
  <c r="D68" i="15"/>
  <c r="D69" i="15"/>
  <c r="D70" i="15"/>
  <c r="D71" i="15"/>
  <c r="D72" i="15"/>
  <c r="D73" i="15"/>
  <c r="D74" i="15"/>
  <c r="D75" i="15"/>
  <c r="D76" i="15"/>
  <c r="D77" i="15"/>
  <c r="D78" i="15"/>
  <c r="D79" i="15"/>
  <c r="D80" i="15"/>
  <c r="D81" i="15"/>
  <c r="D82" i="15"/>
  <c r="D83" i="15"/>
  <c r="D84" i="15"/>
  <c r="D85" i="15"/>
  <c r="D86" i="15"/>
  <c r="D87" i="15"/>
  <c r="D88" i="15"/>
  <c r="D89" i="15"/>
  <c r="D90" i="15"/>
  <c r="D91" i="15"/>
  <c r="D92" i="15"/>
  <c r="D93" i="15"/>
  <c r="D94" i="15"/>
  <c r="D95" i="15"/>
  <c r="D96" i="15"/>
  <c r="D97" i="15"/>
  <c r="D98" i="15"/>
  <c r="D99" i="15"/>
  <c r="D100" i="15"/>
  <c r="D101" i="15"/>
  <c r="D102" i="15"/>
  <c r="D103" i="15"/>
  <c r="D104" i="15"/>
  <c r="D105" i="15"/>
  <c r="D106" i="15"/>
  <c r="D107" i="15"/>
  <c r="D108" i="15"/>
  <c r="D109" i="15"/>
  <c r="D110" i="15"/>
  <c r="D111" i="15"/>
  <c r="D112" i="15"/>
  <c r="D113" i="15"/>
  <c r="D114" i="15"/>
  <c r="D115" i="15"/>
  <c r="D116" i="15"/>
  <c r="D117" i="15"/>
  <c r="D118" i="15"/>
  <c r="D119" i="15"/>
  <c r="D120" i="15"/>
  <c r="D121" i="15"/>
  <c r="D122" i="15"/>
  <c r="D123" i="15"/>
  <c r="D124" i="15"/>
  <c r="D125" i="15"/>
  <c r="D126" i="15"/>
  <c r="D127" i="15"/>
  <c r="D128" i="15"/>
  <c r="D129" i="15"/>
  <c r="D130" i="15"/>
  <c r="D131" i="15"/>
  <c r="D132" i="15"/>
  <c r="D133" i="15"/>
  <c r="D134" i="15"/>
  <c r="D135" i="15"/>
  <c r="D136" i="15"/>
  <c r="D137" i="15"/>
  <c r="D138" i="15"/>
  <c r="D139" i="15"/>
  <c r="D140" i="15"/>
  <c r="D141" i="15"/>
  <c r="D142" i="15"/>
  <c r="D143" i="15"/>
  <c r="D144" i="15"/>
  <c r="D145" i="15"/>
  <c r="D146" i="15"/>
  <c r="D147" i="15"/>
  <c r="D148" i="15"/>
  <c r="D149" i="15"/>
  <c r="D150" i="15"/>
  <c r="D151" i="15"/>
  <c r="D152" i="15"/>
  <c r="D153" i="15"/>
  <c r="D154" i="15"/>
  <c r="D155" i="15"/>
  <c r="D156" i="15"/>
  <c r="D157" i="15"/>
  <c r="D158" i="15"/>
  <c r="D159" i="15"/>
  <c r="D160" i="15"/>
  <c r="D161" i="15"/>
  <c r="D162" i="15"/>
  <c r="D163" i="15"/>
  <c r="D164" i="15"/>
  <c r="D165" i="15"/>
  <c r="D166" i="15"/>
  <c r="D167" i="15"/>
  <c r="D168" i="15"/>
  <c r="D169" i="15"/>
  <c r="D170" i="15"/>
  <c r="D171" i="15"/>
  <c r="D172" i="15"/>
  <c r="D173" i="15"/>
  <c r="D174" i="15"/>
  <c r="D175" i="15"/>
  <c r="D176" i="15"/>
  <c r="D177" i="15"/>
  <c r="D178" i="15"/>
  <c r="D179" i="15"/>
  <c r="D180" i="15"/>
  <c r="D181" i="15"/>
  <c r="D182" i="15"/>
  <c r="D183" i="15"/>
  <c r="D184" i="15"/>
  <c r="D185" i="15"/>
  <c r="D186" i="15"/>
  <c r="D187" i="15"/>
  <c r="D188" i="15"/>
  <c r="D189" i="15"/>
  <c r="D190" i="15"/>
  <c r="D191" i="15"/>
  <c r="D192" i="15"/>
  <c r="D193" i="15"/>
  <c r="D194" i="15"/>
  <c r="D195" i="15"/>
  <c r="D196" i="15"/>
  <c r="D197" i="15"/>
  <c r="D198" i="15"/>
  <c r="D199" i="15"/>
  <c r="D200" i="15"/>
  <c r="D201" i="15"/>
  <c r="D202" i="15"/>
  <c r="D203" i="15"/>
  <c r="D204" i="15"/>
  <c r="D205" i="15"/>
  <c r="D206" i="15"/>
  <c r="D207" i="15"/>
  <c r="D208" i="15"/>
  <c r="D209" i="15"/>
  <c r="D210" i="15"/>
  <c r="D211" i="15"/>
  <c r="D212" i="15"/>
  <c r="D213" i="15"/>
  <c r="D214" i="15"/>
  <c r="D215" i="15"/>
  <c r="D216" i="15"/>
  <c r="D217" i="15"/>
  <c r="D218" i="15"/>
  <c r="D219" i="15"/>
  <c r="D220" i="15"/>
  <c r="D221" i="15"/>
  <c r="D222" i="15"/>
  <c r="D223" i="15"/>
  <c r="D224" i="15"/>
  <c r="D225" i="15"/>
  <c r="D226" i="15"/>
  <c r="D227" i="15"/>
  <c r="D228" i="15"/>
  <c r="D229" i="15"/>
  <c r="D230" i="15"/>
  <c r="D231" i="15"/>
  <c r="D232" i="15"/>
  <c r="D233" i="15"/>
  <c r="D234" i="15"/>
  <c r="D235" i="15"/>
  <c r="D236" i="15"/>
  <c r="D237" i="15"/>
  <c r="D238" i="15"/>
  <c r="D239" i="15"/>
  <c r="D240" i="15"/>
  <c r="D241" i="15"/>
  <c r="D242" i="15"/>
  <c r="D243" i="15"/>
  <c r="D244" i="15"/>
  <c r="D245" i="15"/>
  <c r="D246" i="15"/>
  <c r="D247" i="15"/>
  <c r="D248" i="15"/>
  <c r="D249" i="15"/>
  <c r="D250" i="15"/>
  <c r="D251" i="15"/>
  <c r="D252" i="15"/>
  <c r="D253" i="15"/>
  <c r="D254" i="15"/>
  <c r="D255" i="15"/>
  <c r="D256" i="15"/>
  <c r="D257" i="15"/>
  <c r="D258" i="15"/>
  <c r="D259" i="15"/>
  <c r="D260" i="15"/>
  <c r="D261" i="15"/>
  <c r="D262" i="15"/>
  <c r="D263" i="15"/>
  <c r="D264" i="15"/>
  <c r="D265" i="15"/>
  <c r="D266" i="15"/>
  <c r="D267" i="15"/>
  <c r="D268" i="15"/>
  <c r="D269" i="15"/>
  <c r="D270" i="15"/>
  <c r="D271" i="15"/>
  <c r="D272" i="15"/>
  <c r="D273" i="15"/>
  <c r="D274" i="15"/>
  <c r="D275" i="15"/>
  <c r="D276" i="15"/>
  <c r="D277" i="15"/>
  <c r="D278" i="15"/>
  <c r="D279" i="15"/>
  <c r="D280" i="15"/>
  <c r="D281" i="15"/>
  <c r="D282" i="15"/>
  <c r="D283" i="15"/>
  <c r="D284" i="15"/>
  <c r="D285" i="15"/>
  <c r="D286" i="15"/>
  <c r="D287" i="15"/>
  <c r="D288" i="15"/>
  <c r="D289" i="15"/>
  <c r="D290" i="15"/>
  <c r="D291" i="15"/>
  <c r="D292" i="15"/>
  <c r="D293" i="15"/>
  <c r="D294" i="15"/>
  <c r="D295" i="15"/>
  <c r="D296" i="15"/>
  <c r="D297" i="15"/>
  <c r="D298" i="15"/>
  <c r="D299" i="15"/>
  <c r="D300" i="15"/>
  <c r="D301" i="15"/>
  <c r="D302" i="15"/>
  <c r="D303" i="15"/>
  <c r="D304" i="15"/>
  <c r="D305" i="15"/>
  <c r="D306" i="15"/>
  <c r="D307" i="15"/>
  <c r="D308" i="15"/>
  <c r="D309" i="15"/>
  <c r="D310" i="15"/>
  <c r="D311" i="15"/>
  <c r="D312" i="15"/>
  <c r="D313" i="15"/>
  <c r="D314" i="15"/>
  <c r="D315" i="15"/>
  <c r="D316" i="15"/>
  <c r="D317" i="15"/>
  <c r="D318" i="15"/>
  <c r="D319" i="15"/>
  <c r="D320" i="15"/>
  <c r="D321" i="15"/>
  <c r="D322" i="15"/>
  <c r="D323" i="15"/>
  <c r="D324" i="15"/>
  <c r="D325" i="15"/>
  <c r="D326" i="15"/>
  <c r="D327" i="15"/>
  <c r="D328" i="15"/>
  <c r="D329" i="15"/>
  <c r="D330" i="15"/>
  <c r="D331" i="15"/>
  <c r="D332" i="15"/>
  <c r="D333" i="15"/>
  <c r="D334" i="15"/>
  <c r="D335" i="15"/>
  <c r="D336" i="15"/>
  <c r="D337" i="15"/>
  <c r="D338" i="15"/>
  <c r="D339" i="15"/>
  <c r="D340" i="15"/>
  <c r="D341" i="15"/>
  <c r="D342" i="15"/>
  <c r="D343" i="15"/>
  <c r="D344" i="15"/>
  <c r="D345" i="15"/>
  <c r="D346" i="15"/>
  <c r="D347" i="15"/>
  <c r="D348" i="15"/>
  <c r="D349" i="15"/>
  <c r="D350" i="15"/>
  <c r="D351" i="15"/>
  <c r="D352" i="15"/>
  <c r="D353" i="15"/>
  <c r="D354" i="15"/>
  <c r="D355" i="15"/>
  <c r="D356" i="15"/>
  <c r="D357" i="15"/>
  <c r="D358" i="15"/>
  <c r="D359" i="15"/>
  <c r="D360" i="15"/>
  <c r="D361" i="15"/>
  <c r="D362" i="15"/>
  <c r="D363" i="15"/>
  <c r="D364" i="15"/>
  <c r="D365" i="15"/>
  <c r="D366" i="15"/>
  <c r="D367" i="15"/>
  <c r="D368" i="15"/>
  <c r="D369" i="15"/>
  <c r="D370" i="15"/>
  <c r="D371" i="15"/>
  <c r="D372" i="15"/>
  <c r="D373" i="15"/>
  <c r="D374" i="15"/>
  <c r="D375" i="15"/>
  <c r="D376" i="15"/>
  <c r="D377" i="15"/>
  <c r="D378" i="15"/>
  <c r="D379" i="15"/>
  <c r="D380" i="15"/>
  <c r="D381" i="15"/>
  <c r="D382" i="15"/>
  <c r="D383" i="15"/>
  <c r="D384" i="15"/>
  <c r="D385" i="15"/>
  <c r="D386" i="15"/>
  <c r="D387" i="15"/>
  <c r="D388" i="15"/>
  <c r="D389" i="15"/>
  <c r="D390" i="15"/>
  <c r="D391" i="15"/>
  <c r="D392" i="15"/>
  <c r="D393" i="15"/>
  <c r="D394" i="15"/>
  <c r="D395" i="15"/>
  <c r="D396" i="15"/>
  <c r="D397" i="15"/>
  <c r="D398" i="15"/>
  <c r="D399" i="15"/>
  <c r="D400" i="15"/>
  <c r="D401" i="15"/>
  <c r="D402" i="15"/>
  <c r="D403" i="15"/>
  <c r="D404" i="15"/>
  <c r="D405" i="15"/>
  <c r="D406" i="15"/>
  <c r="D407" i="15"/>
  <c r="D408" i="15"/>
  <c r="D409" i="15"/>
  <c r="D410" i="15"/>
  <c r="D411" i="15"/>
  <c r="D412" i="15"/>
  <c r="D413" i="15"/>
  <c r="D414" i="15"/>
  <c r="D415" i="15"/>
  <c r="D416" i="15"/>
  <c r="D417" i="15"/>
  <c r="D418" i="15"/>
  <c r="D419" i="15"/>
  <c r="D420" i="15"/>
  <c r="D421" i="15"/>
  <c r="D422" i="15"/>
  <c r="D423" i="15"/>
  <c r="D424" i="15"/>
  <c r="D425" i="15"/>
  <c r="D426" i="15"/>
  <c r="D427" i="15"/>
  <c r="D428" i="15"/>
  <c r="D429" i="15"/>
  <c r="D430" i="15"/>
  <c r="D431" i="15"/>
  <c r="D432" i="15"/>
  <c r="D433" i="15"/>
  <c r="D434" i="15"/>
  <c r="D435" i="15"/>
  <c r="D436" i="15"/>
  <c r="D437" i="15"/>
  <c r="D438" i="15"/>
  <c r="D439" i="15"/>
  <c r="D440" i="15"/>
  <c r="D441" i="15"/>
  <c r="D442" i="15"/>
  <c r="D443" i="15"/>
  <c r="D444" i="15"/>
  <c r="D445" i="15"/>
  <c r="D446" i="15"/>
  <c r="D447" i="15"/>
  <c r="D448" i="15"/>
  <c r="D449" i="15"/>
  <c r="D450" i="15"/>
  <c r="D451" i="15"/>
  <c r="D452" i="15"/>
  <c r="D453" i="15"/>
  <c r="D454" i="15"/>
  <c r="D455" i="15"/>
  <c r="D456" i="15"/>
  <c r="D457" i="15"/>
  <c r="D458" i="15"/>
  <c r="D459" i="15"/>
  <c r="D460" i="15"/>
  <c r="D461" i="15"/>
  <c r="D462" i="15"/>
  <c r="D463" i="15"/>
  <c r="D464" i="15"/>
  <c r="D465" i="15"/>
  <c r="D466" i="15"/>
  <c r="D467" i="15"/>
  <c r="D468" i="15"/>
  <c r="D469" i="15"/>
  <c r="D470" i="15"/>
  <c r="D471" i="15"/>
  <c r="D472" i="15"/>
  <c r="D473" i="15"/>
  <c r="D474" i="15"/>
  <c r="D475" i="15"/>
  <c r="D476" i="15"/>
  <c r="D477" i="15"/>
  <c r="D478" i="15"/>
  <c r="D479" i="15"/>
  <c r="D480" i="15"/>
  <c r="D481" i="15"/>
  <c r="D482" i="15"/>
  <c r="D483" i="15"/>
  <c r="D484" i="15"/>
  <c r="D485" i="15"/>
  <c r="D486" i="15"/>
  <c r="D487" i="15"/>
  <c r="D488" i="15"/>
  <c r="D489" i="15"/>
  <c r="D490" i="15"/>
  <c r="D491" i="15"/>
  <c r="D492" i="15"/>
  <c r="D493" i="15"/>
  <c r="D494" i="15"/>
  <c r="D495" i="15"/>
  <c r="D496" i="15"/>
  <c r="D497" i="15"/>
  <c r="D498" i="15"/>
  <c r="D499" i="15"/>
  <c r="D500" i="15"/>
  <c r="D501" i="15"/>
  <c r="D502" i="15"/>
  <c r="D503" i="15"/>
  <c r="D504" i="15"/>
  <c r="D2" i="15"/>
  <c r="F2" i="15"/>
  <c r="R2" i="14" a="1"/>
  <c r="R2" i="14" s="1"/>
  <c r="Q2" i="14" a="1"/>
  <c r="Q2" i="14" s="1"/>
  <c r="P2" i="14" a="1"/>
  <c r="P2" i="14" s="1"/>
  <c r="O2" i="14" a="1"/>
  <c r="O2" i="14" s="1"/>
  <c r="N2" i="14" a="1"/>
  <c r="N2" i="14" s="1"/>
  <c r="L2" i="14" a="1"/>
  <c r="L2" i="14" s="1"/>
  <c r="K2" i="14" a="1"/>
  <c r="K2" i="14" s="1"/>
  <c r="J2" i="14" a="1"/>
  <c r="J2" i="14" s="1"/>
  <c r="I2" i="14" a="1"/>
  <c r="I2" i="14" s="1"/>
  <c r="H2" i="14" a="1"/>
  <c r="H2" i="14" s="1"/>
  <c r="F3" i="15"/>
  <c r="F4" i="15"/>
  <c r="F5" i="15"/>
  <c r="F6" i="15"/>
  <c r="F7" i="15"/>
  <c r="F8" i="15"/>
  <c r="F9" i="15"/>
  <c r="F10" i="15"/>
  <c r="F11" i="15"/>
  <c r="F12" i="15"/>
  <c r="F13" i="15"/>
  <c r="F14" i="15"/>
  <c r="F15" i="15"/>
  <c r="F16" i="15"/>
  <c r="F17" i="15"/>
  <c r="F18" i="15"/>
  <c r="F19" i="15"/>
  <c r="F20" i="15"/>
  <c r="F21" i="15"/>
  <c r="F22" i="15"/>
  <c r="F23" i="15"/>
  <c r="F24" i="15"/>
  <c r="F25" i="15"/>
  <c r="F26" i="15"/>
  <c r="F27" i="15"/>
  <c r="F28" i="15"/>
  <c r="F29" i="15"/>
  <c r="F30" i="15"/>
  <c r="F31" i="15"/>
  <c r="F32" i="15"/>
  <c r="F33" i="15"/>
  <c r="F34" i="15"/>
  <c r="F35" i="15"/>
  <c r="F36" i="15"/>
  <c r="F37" i="15"/>
  <c r="F38" i="15"/>
  <c r="F39" i="15"/>
  <c r="F40" i="15"/>
  <c r="F41" i="15"/>
  <c r="F42" i="15"/>
  <c r="F43" i="15"/>
  <c r="F44" i="15"/>
  <c r="F45" i="15"/>
  <c r="F46" i="15"/>
  <c r="F47" i="15"/>
  <c r="F48" i="15"/>
  <c r="F49" i="15"/>
  <c r="F50" i="15"/>
  <c r="F51" i="15"/>
  <c r="F52" i="15"/>
  <c r="F53" i="15"/>
  <c r="F54" i="15"/>
  <c r="F55" i="15"/>
  <c r="F56" i="15"/>
  <c r="F57" i="15"/>
  <c r="F58" i="15"/>
  <c r="F59" i="15"/>
  <c r="F60" i="15"/>
  <c r="F61" i="15"/>
  <c r="F62" i="15"/>
  <c r="F63" i="15"/>
  <c r="F64" i="15"/>
  <c r="F65" i="15"/>
  <c r="F66" i="15"/>
  <c r="F67" i="15"/>
  <c r="F68" i="15"/>
  <c r="F69" i="15"/>
  <c r="F70" i="15"/>
  <c r="F71" i="15"/>
  <c r="F72" i="15"/>
  <c r="F73" i="15"/>
  <c r="F74" i="15"/>
  <c r="F75" i="15"/>
  <c r="F76" i="15"/>
  <c r="F77" i="15"/>
  <c r="F78" i="15"/>
  <c r="F79" i="15"/>
  <c r="F80" i="15"/>
  <c r="F81" i="15"/>
  <c r="F82" i="15"/>
  <c r="F83" i="15"/>
  <c r="F84" i="15"/>
  <c r="F85" i="15"/>
  <c r="F86" i="15"/>
  <c r="F87" i="15"/>
  <c r="F88" i="15"/>
  <c r="F89" i="15"/>
  <c r="F90" i="15"/>
  <c r="F91" i="15"/>
  <c r="F92" i="15"/>
  <c r="F93" i="15"/>
  <c r="F94" i="15"/>
  <c r="F95" i="15"/>
  <c r="F96" i="15"/>
  <c r="F97" i="15"/>
  <c r="F98" i="15"/>
  <c r="F99" i="15"/>
  <c r="F100" i="15"/>
  <c r="F101" i="15"/>
  <c r="F102" i="15"/>
  <c r="F103" i="15"/>
  <c r="F104" i="15"/>
  <c r="F105" i="15"/>
  <c r="F106" i="15"/>
  <c r="F107" i="15"/>
  <c r="F108" i="15"/>
  <c r="F109" i="15"/>
  <c r="F110" i="15"/>
  <c r="F111" i="15"/>
  <c r="F112" i="15"/>
  <c r="F113" i="15"/>
  <c r="F114" i="15"/>
  <c r="F115" i="15"/>
  <c r="F116" i="15"/>
  <c r="F117" i="15"/>
  <c r="F118" i="15"/>
  <c r="F119" i="15"/>
  <c r="F120" i="15"/>
  <c r="F121" i="15"/>
  <c r="F122" i="15"/>
  <c r="F123" i="15"/>
  <c r="F124" i="15"/>
  <c r="F125" i="15"/>
  <c r="F126" i="15"/>
  <c r="F127" i="15"/>
  <c r="F128" i="15"/>
  <c r="F129" i="15"/>
  <c r="F130" i="15"/>
  <c r="F131" i="15"/>
  <c r="F132" i="15"/>
  <c r="F133" i="15"/>
  <c r="F134" i="15"/>
  <c r="F135" i="15"/>
  <c r="F136" i="15"/>
  <c r="F137" i="15"/>
  <c r="F138" i="15"/>
  <c r="F139" i="15"/>
  <c r="F140" i="15"/>
  <c r="F141" i="15"/>
  <c r="F142" i="15"/>
  <c r="F143" i="15"/>
  <c r="F144" i="15"/>
  <c r="F145" i="15"/>
  <c r="F146" i="15"/>
  <c r="F147" i="15"/>
  <c r="F148" i="15"/>
  <c r="F149" i="15"/>
  <c r="F150" i="15"/>
  <c r="F151" i="15"/>
  <c r="F152" i="15"/>
  <c r="F153" i="15"/>
  <c r="F154" i="15"/>
  <c r="F155" i="15"/>
  <c r="F156" i="15"/>
  <c r="F157" i="15"/>
  <c r="F158" i="15"/>
  <c r="F159" i="15"/>
  <c r="F160" i="15"/>
  <c r="F161" i="15"/>
  <c r="F162" i="15"/>
  <c r="F163" i="15"/>
  <c r="F164" i="15"/>
  <c r="F165" i="15"/>
  <c r="F166" i="15"/>
  <c r="F167" i="15"/>
  <c r="F168" i="15"/>
  <c r="F169" i="15"/>
  <c r="F170" i="15"/>
  <c r="F171" i="15"/>
  <c r="F172" i="15"/>
  <c r="F173" i="15"/>
  <c r="F174" i="15"/>
  <c r="F175" i="15"/>
  <c r="F176" i="15"/>
  <c r="F177" i="15"/>
  <c r="F178" i="15"/>
  <c r="F179" i="15"/>
  <c r="F180" i="15"/>
  <c r="F181" i="15"/>
  <c r="F182" i="15"/>
  <c r="F183" i="15"/>
  <c r="F184" i="15"/>
  <c r="F185" i="15"/>
  <c r="F186" i="15"/>
  <c r="F187" i="15"/>
  <c r="F188" i="15"/>
  <c r="F189" i="15"/>
  <c r="F190" i="15"/>
  <c r="F191" i="15"/>
  <c r="F192" i="15"/>
  <c r="F193" i="15"/>
  <c r="F194" i="15"/>
  <c r="F195" i="15"/>
  <c r="F196" i="15"/>
  <c r="F197" i="15"/>
  <c r="F198" i="15"/>
  <c r="F199" i="15"/>
  <c r="F200" i="15"/>
  <c r="F201" i="15"/>
  <c r="F202" i="15"/>
  <c r="F203" i="15"/>
  <c r="F204" i="15"/>
  <c r="F205" i="15"/>
  <c r="F206" i="15"/>
  <c r="F207" i="15"/>
  <c r="F208" i="15"/>
  <c r="F209" i="15"/>
  <c r="F210" i="15"/>
  <c r="F211" i="15"/>
  <c r="F212" i="15"/>
  <c r="F213" i="15"/>
  <c r="F214" i="15"/>
  <c r="F215" i="15"/>
  <c r="F216" i="15"/>
  <c r="F217" i="15"/>
  <c r="F218" i="15"/>
  <c r="F219" i="15"/>
  <c r="F220" i="15"/>
  <c r="F221" i="15"/>
  <c r="F222" i="15"/>
  <c r="F223" i="15"/>
  <c r="F224" i="15"/>
  <c r="F225" i="15"/>
  <c r="F226" i="15"/>
  <c r="F227" i="15"/>
  <c r="F228" i="15"/>
  <c r="F229" i="15"/>
  <c r="F230" i="15"/>
  <c r="F231" i="15"/>
  <c r="F232" i="15"/>
  <c r="F233" i="15"/>
  <c r="F234" i="15"/>
  <c r="F235" i="15"/>
  <c r="F236" i="15"/>
  <c r="F237" i="15"/>
  <c r="F238" i="15"/>
  <c r="F239" i="15"/>
  <c r="F240" i="15"/>
  <c r="F241" i="15"/>
  <c r="F242" i="15"/>
  <c r="F243" i="15"/>
  <c r="F244" i="15"/>
  <c r="F245" i="15"/>
  <c r="F246" i="15"/>
  <c r="F247" i="15"/>
  <c r="F248" i="15"/>
  <c r="F249" i="15"/>
  <c r="F250" i="15"/>
  <c r="F251" i="15"/>
  <c r="F252" i="15"/>
  <c r="F253" i="15"/>
  <c r="F254" i="15"/>
  <c r="F255" i="15"/>
  <c r="F256" i="15"/>
  <c r="F257" i="15"/>
  <c r="F258" i="15"/>
  <c r="F259" i="15"/>
  <c r="F260" i="15"/>
  <c r="F261" i="15"/>
  <c r="F262" i="15"/>
  <c r="F263" i="15"/>
  <c r="F264" i="15"/>
  <c r="F265" i="15"/>
  <c r="F266" i="15"/>
  <c r="F267" i="15"/>
  <c r="F268" i="15"/>
  <c r="F269" i="15"/>
  <c r="F270" i="15"/>
  <c r="F271" i="15"/>
  <c r="F272" i="15"/>
  <c r="F273" i="15"/>
  <c r="F274" i="15"/>
  <c r="F275" i="15"/>
  <c r="F276" i="15"/>
  <c r="F277" i="15"/>
  <c r="F278" i="15"/>
  <c r="F279" i="15"/>
  <c r="F280" i="15"/>
  <c r="F281" i="15"/>
  <c r="F282" i="15"/>
  <c r="F283" i="15"/>
  <c r="F284" i="15"/>
  <c r="F285" i="15"/>
  <c r="F286" i="15"/>
  <c r="F287" i="15"/>
  <c r="F288" i="15"/>
  <c r="F289" i="15"/>
  <c r="F290" i="15"/>
  <c r="F291" i="15"/>
  <c r="F292" i="15"/>
  <c r="F293" i="15"/>
  <c r="F294" i="15"/>
  <c r="F295" i="15"/>
  <c r="F296" i="15"/>
  <c r="F297" i="15"/>
  <c r="F298" i="15"/>
  <c r="F299" i="15"/>
  <c r="F300" i="15"/>
  <c r="F301" i="15"/>
  <c r="F302" i="15"/>
  <c r="F303" i="15"/>
  <c r="F304" i="15"/>
  <c r="F305" i="15"/>
  <c r="F306" i="15"/>
  <c r="F307" i="15"/>
  <c r="F308" i="15"/>
  <c r="F309" i="15"/>
  <c r="F310" i="15"/>
  <c r="F311" i="15"/>
  <c r="F312" i="15"/>
  <c r="F313" i="15"/>
  <c r="F314" i="15"/>
  <c r="F315" i="15"/>
  <c r="F316" i="15"/>
  <c r="F317" i="15"/>
  <c r="F318" i="15"/>
  <c r="F319" i="15"/>
  <c r="F320" i="15"/>
  <c r="F321" i="15"/>
  <c r="F322" i="15"/>
  <c r="F323" i="15"/>
  <c r="F324" i="15"/>
  <c r="F325" i="15"/>
  <c r="F326" i="15"/>
  <c r="F327" i="15"/>
  <c r="F328" i="15"/>
  <c r="F329" i="15"/>
  <c r="F330" i="15"/>
  <c r="F331" i="15"/>
  <c r="F332" i="15"/>
  <c r="F333" i="15"/>
  <c r="F334" i="15"/>
  <c r="F335" i="15"/>
  <c r="F336" i="15"/>
  <c r="F337" i="15"/>
  <c r="F338" i="15"/>
  <c r="F339" i="15"/>
  <c r="F340" i="15"/>
  <c r="F341" i="15"/>
  <c r="F342" i="15"/>
  <c r="F343" i="15"/>
  <c r="F344" i="15"/>
  <c r="F345" i="15"/>
  <c r="F346" i="15"/>
  <c r="F347" i="15"/>
  <c r="F348" i="15"/>
  <c r="F349" i="15"/>
  <c r="F350" i="15"/>
  <c r="F351" i="15"/>
  <c r="F352" i="15"/>
  <c r="F353" i="15"/>
  <c r="F354" i="15"/>
  <c r="F355" i="15"/>
  <c r="F356" i="15"/>
  <c r="F357" i="15"/>
  <c r="F358" i="15"/>
  <c r="F359" i="15"/>
  <c r="F360" i="15"/>
  <c r="F361" i="15"/>
  <c r="F362" i="15"/>
  <c r="F363" i="15"/>
  <c r="F364" i="15"/>
  <c r="F365" i="15"/>
  <c r="F366" i="15"/>
  <c r="F367" i="15"/>
  <c r="F368" i="15"/>
  <c r="F369" i="15"/>
  <c r="F370" i="15"/>
  <c r="F371" i="15"/>
  <c r="F372" i="15"/>
  <c r="F373" i="15"/>
  <c r="F374" i="15"/>
  <c r="F375" i="15"/>
  <c r="F376" i="15"/>
  <c r="F377" i="15"/>
  <c r="F378" i="15"/>
  <c r="F379" i="15"/>
  <c r="F380" i="15"/>
  <c r="F381" i="15"/>
  <c r="F382" i="15"/>
  <c r="F383" i="15"/>
  <c r="F384" i="15"/>
  <c r="F385" i="15"/>
  <c r="F386" i="15"/>
  <c r="F387" i="15"/>
  <c r="F388" i="15"/>
  <c r="F389" i="15"/>
  <c r="F390" i="15"/>
  <c r="F391" i="15"/>
  <c r="F392" i="15"/>
  <c r="F393" i="15"/>
  <c r="F394" i="15"/>
  <c r="F395" i="15"/>
  <c r="F396" i="15"/>
  <c r="F397" i="15"/>
  <c r="F398" i="15"/>
  <c r="F399" i="15"/>
  <c r="F400" i="15"/>
  <c r="F401" i="15"/>
  <c r="F402" i="15"/>
  <c r="F403" i="15"/>
  <c r="F404" i="15"/>
  <c r="F405" i="15"/>
  <c r="F406" i="15"/>
  <c r="F407" i="15"/>
  <c r="F408" i="15"/>
  <c r="F409" i="15"/>
  <c r="F410" i="15"/>
  <c r="F411" i="15"/>
  <c r="F412" i="15"/>
  <c r="F413" i="15"/>
  <c r="F414" i="15"/>
  <c r="F415" i="15"/>
  <c r="F416" i="15"/>
  <c r="F417" i="15"/>
  <c r="F418" i="15"/>
  <c r="F419" i="15"/>
  <c r="F420" i="15"/>
  <c r="F421" i="15"/>
  <c r="F422" i="15"/>
  <c r="F423" i="15"/>
  <c r="F424" i="15"/>
  <c r="F425" i="15"/>
  <c r="F426" i="15"/>
  <c r="F427" i="15"/>
  <c r="F428" i="15"/>
  <c r="F429" i="15"/>
  <c r="F430" i="15"/>
  <c r="F431" i="15"/>
  <c r="F432" i="15"/>
  <c r="F433" i="15"/>
  <c r="F434" i="15"/>
  <c r="F435" i="15"/>
  <c r="F436" i="15"/>
  <c r="F437" i="15"/>
  <c r="F438" i="15"/>
  <c r="F439" i="15"/>
  <c r="F440" i="15"/>
  <c r="F441" i="15"/>
  <c r="F442" i="15"/>
  <c r="F443" i="15"/>
  <c r="F444" i="15"/>
  <c r="F445" i="15"/>
  <c r="F446" i="15"/>
  <c r="F447" i="15"/>
  <c r="F448" i="15"/>
  <c r="F449" i="15"/>
  <c r="F450" i="15"/>
  <c r="F451" i="15"/>
  <c r="F452" i="15"/>
  <c r="F453" i="15"/>
  <c r="F454" i="15"/>
  <c r="F455" i="15"/>
  <c r="F456" i="15"/>
  <c r="F457" i="15"/>
  <c r="F458" i="15"/>
  <c r="F459" i="15"/>
  <c r="F460" i="15"/>
  <c r="F461" i="15"/>
  <c r="F462" i="15"/>
  <c r="F463" i="15"/>
  <c r="F464" i="15"/>
  <c r="F465" i="15"/>
  <c r="F466" i="15"/>
  <c r="F467" i="15"/>
  <c r="F468" i="15"/>
  <c r="F469" i="15"/>
  <c r="F470" i="15"/>
  <c r="F471" i="15"/>
  <c r="F472" i="15"/>
  <c r="F473" i="15"/>
  <c r="F474" i="15"/>
  <c r="F475" i="15"/>
  <c r="F476" i="15"/>
  <c r="F477" i="15"/>
  <c r="F478" i="15"/>
  <c r="F479" i="15"/>
  <c r="F480" i="15"/>
  <c r="F481" i="15"/>
  <c r="F482" i="15"/>
  <c r="F483" i="15"/>
  <c r="F484" i="15"/>
  <c r="F485" i="15"/>
  <c r="F486" i="15"/>
  <c r="F487" i="15"/>
  <c r="F488" i="15"/>
  <c r="F489" i="15"/>
  <c r="F490" i="15"/>
  <c r="F491" i="15"/>
  <c r="F492" i="15"/>
  <c r="F493" i="15"/>
  <c r="F494" i="15"/>
  <c r="F495" i="15"/>
  <c r="F496" i="15"/>
  <c r="F497" i="15"/>
  <c r="F498" i="15"/>
  <c r="F499" i="15"/>
  <c r="F500" i="15"/>
  <c r="F501" i="15"/>
  <c r="F502" i="15"/>
  <c r="F503" i="15"/>
  <c r="G2" i="14" a="1"/>
  <c r="G2" i="14" s="1"/>
  <c r="AE3" i="1"/>
  <c r="AE4" i="1"/>
  <c r="AE5" i="1"/>
  <c r="AE6" i="1"/>
  <c r="AE7" i="1"/>
  <c r="AE8" i="1"/>
  <c r="AE9" i="1"/>
  <c r="AE10" i="1"/>
  <c r="AE11" i="1"/>
  <c r="AE12" i="1"/>
  <c r="AE13" i="1"/>
  <c r="AE14" i="1"/>
  <c r="AE15" i="1"/>
  <c r="AE16" i="1"/>
  <c r="AE17" i="1"/>
  <c r="AE18" i="1"/>
  <c r="AE19" i="1"/>
  <c r="AE20" i="1"/>
  <c r="AE21" i="1"/>
  <c r="AE22" i="1"/>
  <c r="AE23" i="1"/>
  <c r="AE24" i="1"/>
  <c r="AE25" i="1"/>
  <c r="AE26" i="1"/>
  <c r="AE27" i="1"/>
  <c r="AE28" i="1"/>
  <c r="AE29" i="1"/>
  <c r="AE30" i="1"/>
  <c r="AE31" i="1"/>
  <c r="AE32" i="1"/>
  <c r="AE33" i="1"/>
  <c r="AE34" i="1"/>
  <c r="AE35" i="1"/>
  <c r="AE36" i="1"/>
  <c r="AE37" i="1"/>
  <c r="AE38" i="1"/>
  <c r="AE39" i="1"/>
  <c r="AE40" i="1"/>
  <c r="AE41" i="1"/>
  <c r="AE42" i="1"/>
  <c r="AE43" i="1"/>
  <c r="AE44" i="1"/>
  <c r="AE45" i="1"/>
  <c r="AE46" i="1"/>
  <c r="AE47" i="1"/>
  <c r="AE48" i="1"/>
  <c r="AE49" i="1"/>
  <c r="AE50" i="1"/>
  <c r="AE51" i="1"/>
  <c r="AE52" i="1"/>
  <c r="AE53" i="1"/>
  <c r="AE54" i="1"/>
  <c r="AE55" i="1"/>
  <c r="AE56" i="1"/>
  <c r="AE57" i="1"/>
  <c r="AE58" i="1"/>
  <c r="AE59" i="1"/>
  <c r="AE60" i="1"/>
  <c r="AE61" i="1"/>
  <c r="AE62" i="1"/>
  <c r="AE63" i="1"/>
  <c r="AE64" i="1"/>
  <c r="AE65" i="1"/>
  <c r="AE66" i="1"/>
  <c r="AE67" i="1"/>
  <c r="AE68" i="1"/>
  <c r="AE69" i="1"/>
  <c r="AE70" i="1"/>
  <c r="AE71" i="1"/>
  <c r="AE72" i="1"/>
  <c r="AE73" i="1"/>
  <c r="AE74" i="1"/>
  <c r="AE75" i="1"/>
  <c r="AE76" i="1"/>
  <c r="AE77" i="1"/>
  <c r="AE78" i="1"/>
  <c r="AE79" i="1"/>
  <c r="AE80" i="1"/>
  <c r="AE81" i="1"/>
  <c r="AE82" i="1"/>
  <c r="AE83" i="1"/>
  <c r="AE84" i="1"/>
  <c r="AE85" i="1"/>
  <c r="AE86" i="1"/>
  <c r="AE87" i="1"/>
  <c r="AE88" i="1"/>
  <c r="AE89" i="1"/>
  <c r="AE90" i="1"/>
  <c r="AE91" i="1"/>
  <c r="AE92" i="1"/>
  <c r="AE93" i="1"/>
  <c r="AE94" i="1"/>
  <c r="AE95" i="1"/>
  <c r="AE96" i="1"/>
  <c r="AE97" i="1"/>
  <c r="AE98" i="1"/>
  <c r="AE99" i="1"/>
  <c r="AE100" i="1"/>
  <c r="AE101" i="1"/>
  <c r="AE102" i="1"/>
  <c r="AE103" i="1"/>
  <c r="AE104" i="1"/>
  <c r="AE105" i="1"/>
  <c r="AE106" i="1"/>
  <c r="AE107" i="1"/>
  <c r="AE108" i="1"/>
  <c r="AE109" i="1"/>
  <c r="AE110" i="1"/>
  <c r="AE111" i="1"/>
  <c r="AE112" i="1"/>
  <c r="AE113" i="1"/>
  <c r="AE114" i="1"/>
  <c r="AE115" i="1"/>
  <c r="AE116" i="1"/>
  <c r="AE117" i="1"/>
  <c r="AE118" i="1"/>
  <c r="AE119" i="1"/>
  <c r="AE120" i="1"/>
  <c r="AE121" i="1"/>
  <c r="AE122" i="1"/>
  <c r="AE123" i="1"/>
  <c r="AE124" i="1"/>
  <c r="AE125" i="1"/>
  <c r="AE126" i="1"/>
  <c r="AE127" i="1"/>
  <c r="AE128" i="1"/>
  <c r="AE129" i="1"/>
  <c r="AE130" i="1"/>
  <c r="AE131" i="1"/>
  <c r="AE132" i="1"/>
  <c r="AE133" i="1"/>
  <c r="AE134" i="1"/>
  <c r="AE135" i="1"/>
  <c r="AE136" i="1"/>
  <c r="AE137" i="1"/>
  <c r="AE138" i="1"/>
  <c r="AE139" i="1"/>
  <c r="AE140" i="1"/>
  <c r="AE141" i="1"/>
  <c r="AE142" i="1"/>
  <c r="AE143" i="1"/>
  <c r="AE144" i="1"/>
  <c r="AE145" i="1"/>
  <c r="AE146" i="1"/>
  <c r="AE147" i="1"/>
  <c r="AE148" i="1"/>
  <c r="AE149" i="1"/>
  <c r="AE150" i="1"/>
  <c r="AE151" i="1"/>
  <c r="AE152" i="1"/>
  <c r="AE153" i="1"/>
  <c r="AE154" i="1"/>
  <c r="AE155" i="1"/>
  <c r="AE156" i="1"/>
  <c r="AE157" i="1"/>
  <c r="AE158" i="1"/>
  <c r="AE159" i="1"/>
  <c r="AE160" i="1"/>
  <c r="AE161" i="1"/>
  <c r="AE162" i="1"/>
  <c r="AE163" i="1"/>
  <c r="AE164" i="1"/>
  <c r="AE165" i="1"/>
  <c r="AE166" i="1"/>
  <c r="AE167" i="1"/>
  <c r="AE168" i="1"/>
  <c r="AE169" i="1"/>
  <c r="AE170" i="1"/>
  <c r="AE171" i="1"/>
  <c r="AE172" i="1"/>
  <c r="AE173" i="1"/>
  <c r="AE174" i="1"/>
  <c r="AE175" i="1"/>
  <c r="AE176" i="1"/>
  <c r="AE177" i="1"/>
  <c r="AE178" i="1"/>
  <c r="AE179" i="1"/>
  <c r="AE180" i="1"/>
  <c r="AE181" i="1"/>
  <c r="AE182" i="1"/>
  <c r="AE183" i="1"/>
  <c r="AE184" i="1"/>
  <c r="AE185" i="1"/>
  <c r="AE186" i="1"/>
  <c r="AE187" i="1"/>
  <c r="AE188" i="1"/>
  <c r="AE189" i="1"/>
  <c r="AE190" i="1"/>
  <c r="AE191" i="1"/>
  <c r="AE192" i="1"/>
  <c r="AE193" i="1"/>
  <c r="AE194" i="1"/>
  <c r="AE195" i="1"/>
  <c r="AE196" i="1"/>
  <c r="AE197" i="1"/>
  <c r="AE198" i="1"/>
  <c r="AE199" i="1"/>
  <c r="AE200" i="1"/>
  <c r="AE201" i="1"/>
  <c r="AE202" i="1"/>
  <c r="AE203" i="1"/>
  <c r="AE204" i="1"/>
  <c r="AE205" i="1"/>
  <c r="AE206" i="1"/>
  <c r="AE207" i="1"/>
  <c r="AE208" i="1"/>
  <c r="AE209" i="1"/>
  <c r="AE210" i="1"/>
  <c r="AE211" i="1"/>
  <c r="AE212" i="1"/>
  <c r="AE213" i="1"/>
  <c r="AE214" i="1"/>
  <c r="AE215" i="1"/>
  <c r="AE216" i="1"/>
  <c r="AE217" i="1"/>
  <c r="AE218" i="1"/>
  <c r="AE219" i="1"/>
  <c r="AE220" i="1"/>
  <c r="AE221" i="1"/>
  <c r="AE222" i="1"/>
  <c r="AE223" i="1"/>
  <c r="AE224" i="1"/>
  <c r="AE225" i="1"/>
  <c r="AE226" i="1"/>
  <c r="AE227" i="1"/>
  <c r="AE228" i="1"/>
  <c r="AE229" i="1"/>
  <c r="AE230" i="1"/>
  <c r="AE231" i="1"/>
  <c r="AE232" i="1"/>
  <c r="AE233" i="1"/>
  <c r="AE234" i="1"/>
  <c r="AE235" i="1"/>
  <c r="AE236" i="1"/>
  <c r="AE237" i="1"/>
  <c r="AE238" i="1"/>
  <c r="AE239" i="1"/>
  <c r="AE240" i="1"/>
  <c r="AE241" i="1"/>
  <c r="AE242" i="1"/>
  <c r="AE243" i="1"/>
  <c r="AE244" i="1"/>
  <c r="AE245" i="1"/>
  <c r="AE246" i="1"/>
  <c r="AE247" i="1"/>
  <c r="AE248" i="1"/>
  <c r="AE249" i="1"/>
  <c r="AE250" i="1"/>
  <c r="AE251" i="1"/>
  <c r="AE252" i="1"/>
  <c r="AE253" i="1"/>
  <c r="AE254" i="1"/>
  <c r="AE255" i="1"/>
  <c r="AE256" i="1"/>
  <c r="AE257" i="1"/>
  <c r="AE258" i="1"/>
  <c r="AE259" i="1"/>
  <c r="AE260" i="1"/>
  <c r="AE261" i="1"/>
  <c r="AE262" i="1"/>
  <c r="AE263" i="1"/>
  <c r="AE264" i="1"/>
  <c r="AE265" i="1"/>
  <c r="AE266" i="1"/>
  <c r="AE267" i="1"/>
  <c r="AE268" i="1"/>
  <c r="AE269" i="1"/>
  <c r="AE270" i="1"/>
  <c r="AE271" i="1"/>
  <c r="AE272" i="1"/>
  <c r="AE273" i="1"/>
  <c r="AE274" i="1"/>
  <c r="AE275" i="1"/>
  <c r="AE276" i="1"/>
  <c r="AE277" i="1"/>
  <c r="AE278" i="1"/>
  <c r="AE279" i="1"/>
  <c r="AE280" i="1"/>
  <c r="AE281" i="1"/>
  <c r="AE282" i="1"/>
  <c r="AE283" i="1"/>
  <c r="AE284" i="1"/>
  <c r="AE285" i="1"/>
  <c r="AE286" i="1"/>
  <c r="AE287" i="1"/>
  <c r="AE288" i="1"/>
  <c r="AE289" i="1"/>
  <c r="AE290" i="1"/>
  <c r="AE291" i="1"/>
  <c r="AE292" i="1"/>
  <c r="AE293" i="1"/>
  <c r="AE294" i="1"/>
  <c r="AE295" i="1"/>
  <c r="AE296" i="1"/>
  <c r="AE297" i="1"/>
  <c r="AE298" i="1"/>
  <c r="AE299" i="1"/>
  <c r="AE300" i="1"/>
  <c r="AE301" i="1"/>
  <c r="AE302" i="1"/>
  <c r="AE303" i="1"/>
  <c r="AE304" i="1"/>
  <c r="AE305" i="1"/>
  <c r="AE306" i="1"/>
  <c r="AE307" i="1"/>
  <c r="AE308" i="1"/>
  <c r="AE309" i="1"/>
  <c r="AE310" i="1"/>
  <c r="AE311" i="1"/>
  <c r="AE312" i="1"/>
  <c r="AE313" i="1"/>
  <c r="AE314" i="1"/>
  <c r="AE315" i="1"/>
  <c r="AE316" i="1"/>
  <c r="AE317" i="1"/>
  <c r="AE318" i="1"/>
  <c r="AE319" i="1"/>
  <c r="AE320" i="1"/>
  <c r="AE321" i="1"/>
  <c r="AE322" i="1"/>
  <c r="AE323" i="1"/>
  <c r="AE324" i="1"/>
  <c r="AE325" i="1"/>
  <c r="AE326" i="1"/>
  <c r="AE327" i="1"/>
  <c r="AE328" i="1"/>
  <c r="AE329" i="1"/>
  <c r="AE330" i="1"/>
  <c r="AE331" i="1"/>
  <c r="AE332" i="1"/>
  <c r="AE333" i="1"/>
  <c r="AE334" i="1"/>
  <c r="AE335" i="1"/>
  <c r="AE336" i="1"/>
  <c r="AE337" i="1"/>
  <c r="AE338" i="1"/>
  <c r="AE339" i="1"/>
  <c r="AE340" i="1"/>
  <c r="AE341" i="1"/>
  <c r="AE342" i="1"/>
  <c r="AE343" i="1"/>
  <c r="AE344" i="1"/>
  <c r="AE345" i="1"/>
  <c r="AE346" i="1"/>
  <c r="AE347" i="1"/>
  <c r="AE348" i="1"/>
  <c r="AE349" i="1"/>
  <c r="AE350" i="1"/>
  <c r="AE351" i="1"/>
  <c r="AE352" i="1"/>
  <c r="AE353" i="1"/>
  <c r="AE354" i="1"/>
  <c r="AE355" i="1"/>
  <c r="AE356" i="1"/>
  <c r="AE357" i="1"/>
  <c r="AE358" i="1"/>
  <c r="AE359" i="1"/>
  <c r="AE360" i="1"/>
  <c r="AE361" i="1"/>
  <c r="AE362" i="1"/>
  <c r="AE363" i="1"/>
  <c r="AE364" i="1"/>
  <c r="AE365" i="1"/>
  <c r="AE366" i="1"/>
  <c r="AE367" i="1"/>
  <c r="AE368" i="1"/>
  <c r="AE369" i="1"/>
  <c r="AE370" i="1"/>
  <c r="AE371" i="1"/>
  <c r="AE372" i="1"/>
  <c r="AE373" i="1"/>
  <c r="AE374" i="1"/>
  <c r="AE375" i="1"/>
  <c r="AE376" i="1"/>
  <c r="AE377" i="1"/>
  <c r="AE378" i="1"/>
  <c r="AE379" i="1"/>
  <c r="AE380" i="1"/>
  <c r="AE381" i="1"/>
  <c r="AE382" i="1"/>
  <c r="AE383" i="1"/>
  <c r="AE384" i="1"/>
  <c r="AE385" i="1"/>
  <c r="AE386" i="1"/>
  <c r="AE387" i="1"/>
  <c r="AE388" i="1"/>
  <c r="AE389" i="1"/>
  <c r="AE390" i="1"/>
  <c r="AE391" i="1"/>
  <c r="AE392" i="1"/>
  <c r="AE393" i="1"/>
  <c r="AE394" i="1"/>
  <c r="AE395" i="1"/>
  <c r="AE396" i="1"/>
  <c r="AE397" i="1"/>
  <c r="AE398" i="1"/>
  <c r="AE399" i="1"/>
  <c r="AE400" i="1"/>
  <c r="AE401" i="1"/>
  <c r="AE402" i="1"/>
  <c r="AE403" i="1"/>
  <c r="AE404" i="1"/>
  <c r="AE405" i="1"/>
  <c r="AE406" i="1"/>
  <c r="AE407" i="1"/>
  <c r="AE408" i="1"/>
  <c r="AE409" i="1"/>
  <c r="AE410" i="1"/>
  <c r="AE411" i="1"/>
  <c r="AE412" i="1"/>
  <c r="AE413" i="1"/>
  <c r="AE414" i="1"/>
  <c r="AE415" i="1"/>
  <c r="AE416" i="1"/>
  <c r="AE417" i="1"/>
  <c r="AE418" i="1"/>
  <c r="AE419" i="1"/>
  <c r="AE420" i="1"/>
  <c r="AE421" i="1"/>
  <c r="AE422" i="1"/>
  <c r="AE423" i="1"/>
  <c r="AE424" i="1"/>
  <c r="AE425" i="1"/>
  <c r="AE426" i="1"/>
  <c r="AE427" i="1"/>
  <c r="AE428" i="1"/>
  <c r="AE429" i="1"/>
  <c r="AE430" i="1"/>
  <c r="AE431" i="1"/>
  <c r="AE432" i="1"/>
  <c r="AE433" i="1"/>
  <c r="AE434" i="1"/>
  <c r="AE435" i="1"/>
  <c r="AE436" i="1"/>
  <c r="AE437" i="1"/>
  <c r="AE438" i="1"/>
  <c r="AE439" i="1"/>
  <c r="AE440" i="1"/>
  <c r="AE441" i="1"/>
  <c r="AE442" i="1"/>
  <c r="AE443" i="1"/>
  <c r="AE444" i="1"/>
  <c r="AE445" i="1"/>
  <c r="AE446" i="1"/>
  <c r="AE447" i="1"/>
  <c r="AE448" i="1"/>
  <c r="AE449" i="1"/>
  <c r="AE450" i="1"/>
  <c r="AE451" i="1"/>
  <c r="AE452" i="1"/>
  <c r="AE453" i="1"/>
  <c r="AE454" i="1"/>
  <c r="AE455" i="1"/>
  <c r="AE456" i="1"/>
  <c r="AE457" i="1"/>
  <c r="AE458" i="1"/>
  <c r="AE459" i="1"/>
  <c r="AE460" i="1"/>
  <c r="AE461" i="1"/>
  <c r="AE462" i="1"/>
  <c r="AE463" i="1"/>
  <c r="AE464" i="1"/>
  <c r="AE465" i="1"/>
  <c r="AE466" i="1"/>
  <c r="AE467" i="1"/>
  <c r="AE468" i="1"/>
  <c r="AE469" i="1"/>
  <c r="AE470" i="1"/>
  <c r="AE471" i="1"/>
  <c r="AE472" i="1"/>
  <c r="AE473" i="1"/>
  <c r="AE474" i="1"/>
  <c r="AE475" i="1"/>
  <c r="AE476" i="1"/>
  <c r="AE477" i="1"/>
  <c r="AE478" i="1"/>
  <c r="AE479" i="1"/>
  <c r="AE480" i="1"/>
  <c r="AE481" i="1"/>
  <c r="AE482" i="1"/>
  <c r="AE483" i="1"/>
  <c r="AE484" i="1"/>
  <c r="AE485" i="1"/>
  <c r="AE486" i="1"/>
  <c r="AE487" i="1"/>
  <c r="AE488" i="1"/>
  <c r="AE489" i="1"/>
  <c r="AE490" i="1"/>
  <c r="AE491" i="1"/>
  <c r="AE492" i="1"/>
  <c r="AE493" i="1"/>
  <c r="AE494" i="1"/>
  <c r="AE495" i="1"/>
  <c r="AE496" i="1"/>
  <c r="AE497" i="1"/>
  <c r="AE498" i="1"/>
  <c r="AE499" i="1"/>
  <c r="AE500" i="1"/>
  <c r="AE501" i="1"/>
  <c r="AE502" i="1"/>
  <c r="AE503" i="1"/>
  <c r="AE2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<sst xmlns="http://schemas.openxmlformats.org/spreadsheetml/2006/main" count="16213" uniqueCount="695">
  <si>
    <t>Player</t>
  </si>
  <si>
    <t>Age</t>
  </si>
  <si>
    <t>Team</t>
  </si>
  <si>
    <t>Pos</t>
  </si>
  <si>
    <t>G</t>
  </si>
  <si>
    <t>GS</t>
  </si>
  <si>
    <t>MP</t>
  </si>
  <si>
    <t>FG</t>
  </si>
  <si>
    <t>FGA</t>
  </si>
  <si>
    <t>FG%</t>
  </si>
  <si>
    <t>3P</t>
  </si>
  <si>
    <t>3PA</t>
  </si>
  <si>
    <t>3P%</t>
  </si>
  <si>
    <t>2P</t>
  </si>
  <si>
    <t>2PA</t>
  </si>
  <si>
    <t>2P%</t>
  </si>
  <si>
    <t>eFG%</t>
  </si>
  <si>
    <t>FT</t>
  </si>
  <si>
    <t>FTA</t>
  </si>
  <si>
    <t>FT%</t>
  </si>
  <si>
    <t>ORB</t>
  </si>
  <si>
    <t>DRB</t>
  </si>
  <si>
    <t>TRB</t>
  </si>
  <si>
    <t>AST</t>
  </si>
  <si>
    <t>STL</t>
  </si>
  <si>
    <t>BLK</t>
  </si>
  <si>
    <t>TOV</t>
  </si>
  <si>
    <t>PF</t>
  </si>
  <si>
    <t>PTS</t>
  </si>
  <si>
    <t>Trp-Dbl</t>
  </si>
  <si>
    <t>Awards</t>
  </si>
  <si>
    <t>Shai Gilgeous-Alexander</t>
  </si>
  <si>
    <t>OKC</t>
  </si>
  <si>
    <t>PG</t>
  </si>
  <si>
    <t>Giannis Antetokounmpo</t>
  </si>
  <si>
    <t>MIL</t>
  </si>
  <si>
    <t>De'Aaron Fox</t>
  </si>
  <si>
    <t>SAC</t>
  </si>
  <si>
    <t>Jayson Tatum</t>
  </si>
  <si>
    <t>BOS</t>
  </si>
  <si>
    <t>Anthony Davis</t>
  </si>
  <si>
    <t>LAL</t>
  </si>
  <si>
    <t>C</t>
  </si>
  <si>
    <t>Jalen Brunson</t>
  </si>
  <si>
    <t>NYK</t>
  </si>
  <si>
    <t>Nikola Jokić</t>
  </si>
  <si>
    <t>DEN</t>
  </si>
  <si>
    <t>Franz Wagner</t>
  </si>
  <si>
    <t>ORL</t>
  </si>
  <si>
    <t>SF</t>
  </si>
  <si>
    <t>Anthony Edwards</t>
  </si>
  <si>
    <t>MIN</t>
  </si>
  <si>
    <t>SG</t>
  </si>
  <si>
    <t>Devin Booker</t>
  </si>
  <si>
    <t>PHO</t>
  </si>
  <si>
    <t>Karl-Anthony Towns</t>
  </si>
  <si>
    <t>Donovan Mitchell</t>
  </si>
  <si>
    <t>CLE</t>
  </si>
  <si>
    <t>LaMelo Ball</t>
  </si>
  <si>
    <t>CHO</t>
  </si>
  <si>
    <t>Tyler Herro</t>
  </si>
  <si>
    <t>MIA</t>
  </si>
  <si>
    <t>Kyrie Irving</t>
  </si>
  <si>
    <t>DAL</t>
  </si>
  <si>
    <t>Damian Lillard</t>
  </si>
  <si>
    <t>RJ Barrett</t>
  </si>
  <si>
    <t>TOR</t>
  </si>
  <si>
    <t>Luka Dončić</t>
  </si>
  <si>
    <t>LeBron James</t>
  </si>
  <si>
    <t>Nikola Vučević</t>
  </si>
  <si>
    <t>CHI</t>
  </si>
  <si>
    <t>Trae Young</t>
  </si>
  <si>
    <t>ATL</t>
  </si>
  <si>
    <t>Jalen Williams</t>
  </si>
  <si>
    <t>Cade Cunningham</t>
  </si>
  <si>
    <t>DET</t>
  </si>
  <si>
    <t>James Harden</t>
  </si>
  <si>
    <t>LAC</t>
  </si>
  <si>
    <t>Domantas Sabonis</t>
  </si>
  <si>
    <t>Jaren Jackson Jr.</t>
  </si>
  <si>
    <t>MEM</t>
  </si>
  <si>
    <t>Pascal Siakam</t>
  </si>
  <si>
    <t>IND</t>
  </si>
  <si>
    <t>Darius Garland</t>
  </si>
  <si>
    <t>Jaylen Brown</t>
  </si>
  <si>
    <t>Zach LaVine</t>
  </si>
  <si>
    <t>Jalen Green</t>
  </si>
  <si>
    <t>HOU</t>
  </si>
  <si>
    <t>DeMar DeRozan</t>
  </si>
  <si>
    <t>Jalen Johnson</t>
  </si>
  <si>
    <t>Alperen Sengun</t>
  </si>
  <si>
    <t>Julius Randle</t>
  </si>
  <si>
    <t>Victor Wembanyama</t>
  </si>
  <si>
    <t>SAS</t>
  </si>
  <si>
    <t>Bennedict Mathurin</t>
  </si>
  <si>
    <t>Brandon Miller</t>
  </si>
  <si>
    <t>Evan Mobley</t>
  </si>
  <si>
    <t>Tyrese Haliburton</t>
  </si>
  <si>
    <t>OG Anunoby</t>
  </si>
  <si>
    <t>Stephen Curry</t>
  </si>
  <si>
    <t>GSW</t>
  </si>
  <si>
    <t>Jaden Ivey</t>
  </si>
  <si>
    <t>Cameron Johnson</t>
  </si>
  <si>
    <t>BRK</t>
  </si>
  <si>
    <t>Jalen Suggs</t>
  </si>
  <si>
    <t>Mikal Bridges</t>
  </si>
  <si>
    <t>Norman Powell</t>
  </si>
  <si>
    <t>Cam Thomas</t>
  </si>
  <si>
    <t>Derrick White</t>
  </si>
  <si>
    <t>Michael Porter Jr.</t>
  </si>
  <si>
    <t>Coby White</t>
  </si>
  <si>
    <t>Payton Pritchard</t>
  </si>
  <si>
    <t>Dennis Schröder</t>
  </si>
  <si>
    <t>Jordan Poole</t>
  </si>
  <si>
    <t>WAS</t>
  </si>
  <si>
    <t>Malik Beasley</t>
  </si>
  <si>
    <t>Brandon Ingram</t>
  </si>
  <si>
    <t>NOP</t>
  </si>
  <si>
    <t>Jakob Poeltl</t>
  </si>
  <si>
    <t>John Collins</t>
  </si>
  <si>
    <t>UTA</t>
  </si>
  <si>
    <t>Tyrese Maxey</t>
  </si>
  <si>
    <t>PHI</t>
  </si>
  <si>
    <t>Collin Sexton</t>
  </si>
  <si>
    <t>Gradey Dick</t>
  </si>
  <si>
    <t>Bam Adebayo</t>
  </si>
  <si>
    <t>Ivica Zubac</t>
  </si>
  <si>
    <t>Fred VanVleet</t>
  </si>
  <si>
    <t>Josh Hart</t>
  </si>
  <si>
    <t>Myles Turner</t>
  </si>
  <si>
    <t>Keyonte George</t>
  </si>
  <si>
    <t>Buddy Hield</t>
  </si>
  <si>
    <t>Tobias Harris</t>
  </si>
  <si>
    <t>Jared McCain</t>
  </si>
  <si>
    <t>Anfernee Simons</t>
  </si>
  <si>
    <t>POR</t>
  </si>
  <si>
    <t>Moritz Wagner</t>
  </si>
  <si>
    <t>Andrew Wiggins</t>
  </si>
  <si>
    <t>Christian Braun</t>
  </si>
  <si>
    <t>Jerami Grant</t>
  </si>
  <si>
    <t>Kevin Durant</t>
  </si>
  <si>
    <t>Jonathan Kuminga</t>
  </si>
  <si>
    <t>Lauri Markkanen</t>
  </si>
  <si>
    <t>Jarrett Allen</t>
  </si>
  <si>
    <t>Jimmy Butler</t>
  </si>
  <si>
    <t>Santi Aldama</t>
  </si>
  <si>
    <t>Dyson Daniels</t>
  </si>
  <si>
    <t>Keegan Murray</t>
  </si>
  <si>
    <t>Austin Reaves</t>
  </si>
  <si>
    <t>Ayo Dosunmu</t>
  </si>
  <si>
    <t>Dillon Brooks</t>
  </si>
  <si>
    <t>Ja Morant</t>
  </si>
  <si>
    <t>Bobby Portis</t>
  </si>
  <si>
    <t>Julian Champagnie</t>
  </si>
  <si>
    <t>Jamal Murray</t>
  </si>
  <si>
    <t>Daniel Gafford</t>
  </si>
  <si>
    <t>Malik Monk</t>
  </si>
  <si>
    <t>D'Angelo Russell</t>
  </si>
  <si>
    <t>Amen Thompson</t>
  </si>
  <si>
    <t>Ochai Agbaji</t>
  </si>
  <si>
    <t>De'Andre Hunter</t>
  </si>
  <si>
    <t>Josh Giddey</t>
  </si>
  <si>
    <t>Naz Reid</t>
  </si>
  <si>
    <t>Stephon Castle</t>
  </si>
  <si>
    <t>Keldon Johnson</t>
  </si>
  <si>
    <t>Zaccharie Risacher</t>
  </si>
  <si>
    <t>Jabari Smith Jr.</t>
  </si>
  <si>
    <t>Scottie Barnes</t>
  </si>
  <si>
    <t>Jaylen Wells</t>
  </si>
  <si>
    <t>Deni Avdija</t>
  </si>
  <si>
    <t>Kelly Oubre Jr.</t>
  </si>
  <si>
    <t>Tyus Jones</t>
  </si>
  <si>
    <t>CJ McCollum</t>
  </si>
  <si>
    <t>Klay Thompson</t>
  </si>
  <si>
    <t>Shaedon Sharpe</t>
  </si>
  <si>
    <t>Jonas Valančiūnas</t>
  </si>
  <si>
    <t>Jrue Holiday</t>
  </si>
  <si>
    <t>Brandon Boston Jr.</t>
  </si>
  <si>
    <t>T.J. McConnell</t>
  </si>
  <si>
    <t>Onyeka Okongwu</t>
  </si>
  <si>
    <t>Ty Jerome</t>
  </si>
  <si>
    <t>Scotty Pippen Jr.</t>
  </si>
  <si>
    <t>Bradley Beal</t>
  </si>
  <si>
    <t>Clint Capela</t>
  </si>
  <si>
    <t>Dalton Knecht</t>
  </si>
  <si>
    <t>Brook Lopez</t>
  </si>
  <si>
    <t>Harrison Barnes</t>
  </si>
  <si>
    <t>Tari Eason</t>
  </si>
  <si>
    <t>Derrick Jones Jr.</t>
  </si>
  <si>
    <t>Naji Marshall</t>
  </si>
  <si>
    <t>Royce O'Neale</t>
  </si>
  <si>
    <t>Russell Westbrook</t>
  </si>
  <si>
    <t>Bilal Coulibaly</t>
  </si>
  <si>
    <t>Terry Rozier</t>
  </si>
  <si>
    <t>Desmond Bane</t>
  </si>
  <si>
    <t>Amir Coffey</t>
  </si>
  <si>
    <t>Chris Paul</t>
  </si>
  <si>
    <t>Rudy Gobert</t>
  </si>
  <si>
    <t>Duncan Robinson</t>
  </si>
  <si>
    <t>Deandre Ayton</t>
  </si>
  <si>
    <t>Obi Toppin</t>
  </si>
  <si>
    <t>P.J. Washington</t>
  </si>
  <si>
    <t>Rui Hachimura</t>
  </si>
  <si>
    <t>Jay Huff</t>
  </si>
  <si>
    <t>Luguentz Dort</t>
  </si>
  <si>
    <t>Trey Murphy III</t>
  </si>
  <si>
    <t>Yves Missi</t>
  </si>
  <si>
    <t>Chris Boucher</t>
  </si>
  <si>
    <t>Kevin Huerter</t>
  </si>
  <si>
    <t>Dalano Banton</t>
  </si>
  <si>
    <t>Jaden McDaniels</t>
  </si>
  <si>
    <t>Caris LeVert</t>
  </si>
  <si>
    <t>Anthony Black</t>
  </si>
  <si>
    <t>Nickeil Alexander-Walker</t>
  </si>
  <si>
    <t>Tim Hardaway Jr.</t>
  </si>
  <si>
    <t>Aaron Wiggins</t>
  </si>
  <si>
    <t>Guerschon Yabusele</t>
  </si>
  <si>
    <t>Toumani Camara</t>
  </si>
  <si>
    <t>Jake LaRavia</t>
  </si>
  <si>
    <t>Kentavious Caldwell-Pope</t>
  </si>
  <si>
    <t>Miles McBride</t>
  </si>
  <si>
    <t>Georges Niang</t>
  </si>
  <si>
    <t>Alex Sarr</t>
  </si>
  <si>
    <t>Grayson Allen</t>
  </si>
  <si>
    <t>Corey Kispert</t>
  </si>
  <si>
    <t>Cody Martin</t>
  </si>
  <si>
    <t>Jalen Duren</t>
  </si>
  <si>
    <t>Kevin Porter Jr.</t>
  </si>
  <si>
    <t>Gary Trent Jr.</t>
  </si>
  <si>
    <t>Carlton Carrington</t>
  </si>
  <si>
    <t>Jalen Wilson</t>
  </si>
  <si>
    <t>Scoot Henderson</t>
  </si>
  <si>
    <t>Isaiah Joe</t>
  </si>
  <si>
    <t>Julian Strawther</t>
  </si>
  <si>
    <t>Donte DiVincenzo</t>
  </si>
  <si>
    <t>Goga Bitadze</t>
  </si>
  <si>
    <t>Jordan Clarkson</t>
  </si>
  <si>
    <t>Quentin Grimes</t>
  </si>
  <si>
    <t>Peyton Watson</t>
  </si>
  <si>
    <t>Paul George</t>
  </si>
  <si>
    <t>Draymond Green</t>
  </si>
  <si>
    <t>Kyle Kuzma</t>
  </si>
  <si>
    <t>Taurean Prince</t>
  </si>
  <si>
    <t>Spencer Dinwiddie</t>
  </si>
  <si>
    <t>A.J. Green</t>
  </si>
  <si>
    <t>Walker Kessler</t>
  </si>
  <si>
    <t>Tre Mann</t>
  </si>
  <si>
    <t>Brandin Podziemski</t>
  </si>
  <si>
    <t>Ziaire Williams</t>
  </si>
  <si>
    <t>Davion Mitchell</t>
  </si>
  <si>
    <t>Jeremiah Robinson-Earl</t>
  </si>
  <si>
    <t>Brandon Clarke</t>
  </si>
  <si>
    <t>Miles Bridges</t>
  </si>
  <si>
    <t>Nic Claxton</t>
  </si>
  <si>
    <t>Jalen Smith</t>
  </si>
  <si>
    <t>Al Horford</t>
  </si>
  <si>
    <t>Dereck Lively II</t>
  </si>
  <si>
    <t>Caleb Martin</t>
  </si>
  <si>
    <t>Mike Conley</t>
  </si>
  <si>
    <t>Trayce Jackson-Davis</t>
  </si>
  <si>
    <t>Moses Moody</t>
  </si>
  <si>
    <t>Dorian Finney-Smith</t>
  </si>
  <si>
    <t>Sam Hauser</t>
  </si>
  <si>
    <t>Cason Wallace</t>
  </si>
  <si>
    <t>Josh Green</t>
  </si>
  <si>
    <t>Grant Williams</t>
  </si>
  <si>
    <t>Kris Dunn</t>
  </si>
  <si>
    <t>Ron Holland</t>
  </si>
  <si>
    <t>Tristan Da Silva</t>
  </si>
  <si>
    <t>Chet Holmgren</t>
  </si>
  <si>
    <t>Jaime Jaquez Jr.</t>
  </si>
  <si>
    <t>Jeremy Sochan</t>
  </si>
  <si>
    <t>Isaiah Stewart</t>
  </si>
  <si>
    <t>Aaron Gordon</t>
  </si>
  <si>
    <t>Zach Edey</t>
  </si>
  <si>
    <t>Haywood Highsmith</t>
  </si>
  <si>
    <t>Cameron Payne</t>
  </si>
  <si>
    <t>Keon Ellis</t>
  </si>
  <si>
    <t>Simone Fontecchio</t>
  </si>
  <si>
    <t>Javonte Green</t>
  </si>
  <si>
    <t>Garrison Mathews</t>
  </si>
  <si>
    <t>Sam Merrill</t>
  </si>
  <si>
    <t>Devin Vassell</t>
  </si>
  <si>
    <t>Patrick Williams</t>
  </si>
  <si>
    <t>Andre Drummond</t>
  </si>
  <si>
    <t>Dejounte Murray</t>
  </si>
  <si>
    <t>Paolo Banchero</t>
  </si>
  <si>
    <t>Jonathan Mogbo</t>
  </si>
  <si>
    <t>Jaden Hardy</t>
  </si>
  <si>
    <t>Jordan Hawkins</t>
  </si>
  <si>
    <t>Terance Mann</t>
  </si>
  <si>
    <t>Marcus Smart</t>
  </si>
  <si>
    <t>Kyshawn George</t>
  </si>
  <si>
    <t>Jusuf Nurkić</t>
  </si>
  <si>
    <t>Jarace Walker</t>
  </si>
  <si>
    <t>Jamison Battle</t>
  </si>
  <si>
    <t>Zach Collins</t>
  </si>
  <si>
    <t>Brice Sensabaugh</t>
  </si>
  <si>
    <t>Talen Horton-Tucker</t>
  </si>
  <si>
    <t>Jonathan Isaac</t>
  </si>
  <si>
    <t>Zion Williamson</t>
  </si>
  <si>
    <t>Ajay Mitchell</t>
  </si>
  <si>
    <t>Max Christie</t>
  </si>
  <si>
    <t>Bogdan Bogdanović</t>
  </si>
  <si>
    <t>Matas Buzelis</t>
  </si>
  <si>
    <t>Johnny Juzang</t>
  </si>
  <si>
    <t>KJ Martin</t>
  </si>
  <si>
    <t>Isaac Okoro</t>
  </si>
  <si>
    <t>Cole Anthony</t>
  </si>
  <si>
    <t>Keon Johnson</t>
  </si>
  <si>
    <t>Malcolm Brogdon</t>
  </si>
  <si>
    <t>Neemias Queta</t>
  </si>
  <si>
    <t>Nikola Jović</t>
  </si>
  <si>
    <t>Kristaps Porziņģis</t>
  </si>
  <si>
    <t>Malaki Branham</t>
  </si>
  <si>
    <t>Kevon Looney</t>
  </si>
  <si>
    <t>Shake Milton</t>
  </si>
  <si>
    <t>Jose Alvarado</t>
  </si>
  <si>
    <t>Ryan Dunn</t>
  </si>
  <si>
    <t>Lindy Waters III</t>
  </si>
  <si>
    <t>Noah Clowney</t>
  </si>
  <si>
    <t>Gary Payton II</t>
  </si>
  <si>
    <t>Kyle Anderson</t>
  </si>
  <si>
    <t>Seth Curry</t>
  </si>
  <si>
    <t>Joel Embiid</t>
  </si>
  <si>
    <t>Jordan Miller</t>
  </si>
  <si>
    <t>Marcus Sasser</t>
  </si>
  <si>
    <t>Jamal Shead</t>
  </si>
  <si>
    <t>Julian Phillips</t>
  </si>
  <si>
    <t>Wendell Carter Jr.</t>
  </si>
  <si>
    <t>Dalen Terry</t>
  </si>
  <si>
    <t>Kyle Filipowski</t>
  </si>
  <si>
    <t>Isaiah Hartenstein</t>
  </si>
  <si>
    <t>Jett Howard</t>
  </si>
  <si>
    <t>Nick Richards</t>
  </si>
  <si>
    <t>Mason Plumlee</t>
  </si>
  <si>
    <t>Vasilije Micić</t>
  </si>
  <si>
    <t>Tidjane Salaün</t>
  </si>
  <si>
    <t>Trendon Watford</t>
  </si>
  <si>
    <t>Donovan Clingan</t>
  </si>
  <si>
    <t>Trey Lyles</t>
  </si>
  <si>
    <t>Monte Morris</t>
  </si>
  <si>
    <t>Josh Okogie</t>
  </si>
  <si>
    <t>Jared Butler</t>
  </si>
  <si>
    <t>Quenton Jackson</t>
  </si>
  <si>
    <t>Kris Murray</t>
  </si>
  <si>
    <t>Luke Kennard</t>
  </si>
  <si>
    <t>Ben Simmons</t>
  </si>
  <si>
    <t>Dean Wade</t>
  </si>
  <si>
    <t>Alex Caruso</t>
  </si>
  <si>
    <t>Luke Kornet</t>
  </si>
  <si>
    <t>Gabe Vincent</t>
  </si>
  <si>
    <t>Reed Sheppard</t>
  </si>
  <si>
    <t>Drew Eubanks</t>
  </si>
  <si>
    <t>Pelle Larsson</t>
  </si>
  <si>
    <t>Nicolas Batum</t>
  </si>
  <si>
    <t>Andrew Nembhard</t>
  </si>
  <si>
    <t>Larry Nance Jr.</t>
  </si>
  <si>
    <t>Kevin Love</t>
  </si>
  <si>
    <t>Ja'Kobe Walter</t>
  </si>
  <si>
    <t>Sandro Mamukelashvili</t>
  </si>
  <si>
    <t>Andre Jackson Jr.</t>
  </si>
  <si>
    <t>Kyle Lowry</t>
  </si>
  <si>
    <t>Herbert Jones</t>
  </si>
  <si>
    <t>Kenrich Williams</t>
  </si>
  <si>
    <t>Oso Ighodaro</t>
  </si>
  <si>
    <t>Marvin Bagley III</t>
  </si>
  <si>
    <t>Eric Gordon</t>
  </si>
  <si>
    <t>Bones Hyland</t>
  </si>
  <si>
    <t>Ricky Council IV</t>
  </si>
  <si>
    <t>David Roddy</t>
  </si>
  <si>
    <t>Ben Sheppard</t>
  </si>
  <si>
    <t>Blake Wesley</t>
  </si>
  <si>
    <t>Pat Connaughton</t>
  </si>
  <si>
    <t>Rayan Rupert</t>
  </si>
  <si>
    <t>Jaxson Hayes</t>
  </si>
  <si>
    <t>Jamal Cain</t>
  </si>
  <si>
    <t>Moussa Diabaté</t>
  </si>
  <si>
    <t>Gary Harris</t>
  </si>
  <si>
    <t>Jaylen Nowell</t>
  </si>
  <si>
    <t>Daniel Theis</t>
  </si>
  <si>
    <t>Robert Williams</t>
  </si>
  <si>
    <t>Doug McDermott</t>
  </si>
  <si>
    <t>Tyrese Martin</t>
  </si>
  <si>
    <t>Aaron Holiday</t>
  </si>
  <si>
    <t>Isaac Jones</t>
  </si>
  <si>
    <t>Antonio Reeves</t>
  </si>
  <si>
    <t>Charles Bassey</t>
  </si>
  <si>
    <t>Alec Burks</t>
  </si>
  <si>
    <t>De'Anthony Melton</t>
  </si>
  <si>
    <t>Cam Reddish</t>
  </si>
  <si>
    <t>Bruno Fernando</t>
  </si>
  <si>
    <t>Paul Reed</t>
  </si>
  <si>
    <t>Jabari Walker</t>
  </si>
  <si>
    <t>Isaiah Collier</t>
  </si>
  <si>
    <t>Ousmane Dieng</t>
  </si>
  <si>
    <t>Keaton Wallace</t>
  </si>
  <si>
    <t>Jock Landale</t>
  </si>
  <si>
    <t>Aaron Nesmith</t>
  </si>
  <si>
    <t>Johnny Davis</t>
  </si>
  <si>
    <t>Dru Smith</t>
  </si>
  <si>
    <t>Kobe Bufkin</t>
  </si>
  <si>
    <t>Wendell Moore Jr.</t>
  </si>
  <si>
    <t>Johnny Furphy</t>
  </si>
  <si>
    <t>Dillon Jones</t>
  </si>
  <si>
    <t>Mo Bamba</t>
  </si>
  <si>
    <t>Cody Williams</t>
  </si>
  <si>
    <t>Delon Wright</t>
  </si>
  <si>
    <t>Elfrid Payton</t>
  </si>
  <si>
    <t>Cam Whitmore</t>
  </si>
  <si>
    <t>Justin Champagnie</t>
  </si>
  <si>
    <t>Tyler Kolek</t>
  </si>
  <si>
    <t>Jordan McLaughlin</t>
  </si>
  <si>
    <t>Immanuel Quickley</t>
  </si>
  <si>
    <t>Anthony Gill</t>
  </si>
  <si>
    <t>Craig Porter Jr.</t>
  </si>
  <si>
    <t>Reggie Jackson</t>
  </si>
  <si>
    <t>Rob Dillingham</t>
  </si>
  <si>
    <t>Jericho Sims</t>
  </si>
  <si>
    <t>Thomas Bryant</t>
  </si>
  <si>
    <t>Nick Smith Jr.</t>
  </si>
  <si>
    <t>Lonzo Ball</t>
  </si>
  <si>
    <t>Taj Gibson</t>
  </si>
  <si>
    <t>Kai Jones</t>
  </si>
  <si>
    <t>Hunter Tyson</t>
  </si>
  <si>
    <t>Isaiah Jackson</t>
  </si>
  <si>
    <t>Trey Jemison</t>
  </si>
  <si>
    <t>KJ Simpson</t>
  </si>
  <si>
    <t>Steven Adams</t>
  </si>
  <si>
    <t>Dario Šarić</t>
  </si>
  <si>
    <t>Ausar Thompson</t>
  </si>
  <si>
    <t>DaQuan Jeffries</t>
  </si>
  <si>
    <t>Tre Jones</t>
  </si>
  <si>
    <t>Vit Krejci</t>
  </si>
  <si>
    <t>Dwight Powell</t>
  </si>
  <si>
    <t>John Konchar</t>
  </si>
  <si>
    <t>Patty Mills</t>
  </si>
  <si>
    <t>Josh Richardson</t>
  </si>
  <si>
    <t>Torrey Craig</t>
  </si>
  <si>
    <t>Ryan Rollins</t>
  </si>
  <si>
    <t>Christian Koloko</t>
  </si>
  <si>
    <t>Svi Mykhailiuk</t>
  </si>
  <si>
    <t>Olivier-Maxence Prosper</t>
  </si>
  <si>
    <t>Jaylon Tyson</t>
  </si>
  <si>
    <t>Moses Brown</t>
  </si>
  <si>
    <t>Chris Duarte</t>
  </si>
  <si>
    <t>Josh Minott</t>
  </si>
  <si>
    <t>Duop Reath</t>
  </si>
  <si>
    <t>Luka Garza</t>
  </si>
  <si>
    <t>DeAndre Jordan</t>
  </si>
  <si>
    <t>Alex Len</t>
  </si>
  <si>
    <t>Tristan Thompson</t>
  </si>
  <si>
    <t>Patrick Baldwin Jr.</t>
  </si>
  <si>
    <t>Maxi Kleber</t>
  </si>
  <si>
    <t>Jae'Sean Tate</t>
  </si>
  <si>
    <t>Kel'el Ware</t>
  </si>
  <si>
    <t>Bol Bol</t>
  </si>
  <si>
    <t>Jordan Walsh</t>
  </si>
  <si>
    <t>Enrique Freeman</t>
  </si>
  <si>
    <t>Khris Middleton</t>
  </si>
  <si>
    <t>Mark Williams</t>
  </si>
  <si>
    <t>Adem Bona</t>
  </si>
  <si>
    <t>Caleb Houstan</t>
  </si>
  <si>
    <t>Ariel Hukporti</t>
  </si>
  <si>
    <t>Kobe Brown</t>
  </si>
  <si>
    <t>Jae Crowder</t>
  </si>
  <si>
    <t>Colby Jones</t>
  </si>
  <si>
    <t>Drew Peterson</t>
  </si>
  <si>
    <t>Micah Potter</t>
  </si>
  <si>
    <t>Tyler Smith</t>
  </si>
  <si>
    <t>Pacome Dadiet</t>
  </si>
  <si>
    <t>Zeke Nnaji</t>
  </si>
  <si>
    <t>Kelly Olynyk</t>
  </si>
  <si>
    <t>JT Thor</t>
  </si>
  <si>
    <t>MarJon Beauchamp</t>
  </si>
  <si>
    <t>Jevon Carter</t>
  </si>
  <si>
    <t>Dariq Whitehead</t>
  </si>
  <si>
    <t>Xavier Tillman Sr.</t>
  </si>
  <si>
    <t>Isaiah Wong</t>
  </si>
  <si>
    <t>Precious Achiuwa</t>
  </si>
  <si>
    <t>Jeff Green</t>
  </si>
  <si>
    <t>Jeff Dowtin</t>
  </si>
  <si>
    <t>Cam Spencer</t>
  </si>
  <si>
    <t>Vince Williams Jr.</t>
  </si>
  <si>
    <t>Adam Flagler</t>
  </si>
  <si>
    <t>Cory Joseph</t>
  </si>
  <si>
    <t>Damion Lee</t>
  </si>
  <si>
    <t>E.J. Liddell</t>
  </si>
  <si>
    <t>Day'Ron Sharpe</t>
  </si>
  <si>
    <t>Taylor Hendricks</t>
  </si>
  <si>
    <t>Yuki Kawamura</t>
  </si>
  <si>
    <t>Orlando Robinson</t>
  </si>
  <si>
    <t>Pat Spencer</t>
  </si>
  <si>
    <t>Richaun Holmes</t>
  </si>
  <si>
    <t>Armel Traoré</t>
  </si>
  <si>
    <t>Matt Ryan</t>
  </si>
  <si>
    <t>Colin Castleton</t>
  </si>
  <si>
    <t>Trey Alexander</t>
  </si>
  <si>
    <t>Vlatko Čančar</t>
  </si>
  <si>
    <t>Trentyn Flowers</t>
  </si>
  <si>
    <t>Lester Quiñones</t>
  </si>
  <si>
    <t>Terrence Shannon Jr.</t>
  </si>
  <si>
    <t>Jazian Gortman</t>
  </si>
  <si>
    <t>Jack McVeigh</t>
  </si>
  <si>
    <t>Luke Travers</t>
  </si>
  <si>
    <t>TyTy Washington Jr.</t>
  </si>
  <si>
    <t>PJ Dozier</t>
  </si>
  <si>
    <t>AJ Johnson</t>
  </si>
  <si>
    <t>Jeenathan Williams</t>
  </si>
  <si>
    <t>JD Davison</t>
  </si>
  <si>
    <t>Taze Moore</t>
  </si>
  <si>
    <t>Adama Sanogo</t>
  </si>
  <si>
    <t>Gui Santos</t>
  </si>
  <si>
    <t>Jaden Springer</t>
  </si>
  <si>
    <t>Brandon Williams</t>
  </si>
  <si>
    <t>James Wiseman</t>
  </si>
  <si>
    <t>Cam Christie</t>
  </si>
  <si>
    <t>Sidy Cissoko</t>
  </si>
  <si>
    <t>Markieff Morris</t>
  </si>
  <si>
    <t>Jalen Pickett</t>
  </si>
  <si>
    <t>Liam Robbins</t>
  </si>
  <si>
    <t>Garrett Temple</t>
  </si>
  <si>
    <t>Alondes Williams</t>
  </si>
  <si>
    <t>Branden Carlson</t>
  </si>
  <si>
    <t>Justin Edwards</t>
  </si>
  <si>
    <t>PJ Hall</t>
  </si>
  <si>
    <t>Jalen Hood-Schifino</t>
  </si>
  <si>
    <t>Bronny James</t>
  </si>
  <si>
    <t>James Johnson</t>
  </si>
  <si>
    <t>Maxwell Lewis</t>
  </si>
  <si>
    <t>Karlo Matković</t>
  </si>
  <si>
    <t>Jared Rhoden</t>
  </si>
  <si>
    <t>Baylor Scheierman</t>
  </si>
  <si>
    <t>D.J. Carton</t>
  </si>
  <si>
    <t>Cui Yongxi</t>
  </si>
  <si>
    <t>David Duke Jr.</t>
  </si>
  <si>
    <t>Collin Gillespie</t>
  </si>
  <si>
    <t>Jaylen Martin</t>
  </si>
  <si>
    <t>Tristen Newton</t>
  </si>
  <si>
    <t>Quincy Olivari</t>
  </si>
  <si>
    <t>Trevelin Queen</t>
  </si>
  <si>
    <t>Oscar Tshiebwe</t>
  </si>
  <si>
    <t>Stanley Umude</t>
  </si>
  <si>
    <t>Reece Beekman</t>
  </si>
  <si>
    <t>Ulrich Chomche</t>
  </si>
  <si>
    <t>Mouhamed Gueye</t>
  </si>
  <si>
    <t>Keshad Johnson</t>
  </si>
  <si>
    <t>Malevy Leons</t>
  </si>
  <si>
    <t>Chris Livingston</t>
  </si>
  <si>
    <t>Bryce McGowens</t>
  </si>
  <si>
    <t>Alex Reese</t>
  </si>
  <si>
    <t>Jacob Toppin</t>
  </si>
  <si>
    <t>Dominick Barlow</t>
  </si>
  <si>
    <t>Jalen Bridges</t>
  </si>
  <si>
    <t>Daishen Nix</t>
  </si>
  <si>
    <t>Isaiah Crawford</t>
  </si>
  <si>
    <t>Alex Ducas</t>
  </si>
  <si>
    <t>Kessler Edwards</t>
  </si>
  <si>
    <t>Joe Ingles</t>
  </si>
  <si>
    <t>Harrison Ingram</t>
  </si>
  <si>
    <t>Daniss Jenkins</t>
  </si>
  <si>
    <t>Mason Jones</t>
  </si>
  <si>
    <t>Spencer Jones</t>
  </si>
  <si>
    <t>Mac McClung</t>
  </si>
  <si>
    <t>Justin Minaya</t>
  </si>
  <si>
    <t>Riley Minix</t>
  </si>
  <si>
    <t>Cole Swider</t>
  </si>
  <si>
    <t>ORtg</t>
  </si>
  <si>
    <t>DRtg</t>
  </si>
  <si>
    <t>PER</t>
  </si>
  <si>
    <t>TS%</t>
  </si>
  <si>
    <t>3PAr</t>
  </si>
  <si>
    <t>FTr</t>
  </si>
  <si>
    <t>ORB%</t>
  </si>
  <si>
    <t>DRB%</t>
  </si>
  <si>
    <t>TRB%</t>
  </si>
  <si>
    <t>AST%</t>
  </si>
  <si>
    <t>STL%</t>
  </si>
  <si>
    <t>BLK%</t>
  </si>
  <si>
    <t>TOV%</t>
  </si>
  <si>
    <t>USG%</t>
  </si>
  <si>
    <t>OWS</t>
  </si>
  <si>
    <t>DWS</t>
  </si>
  <si>
    <t>WS</t>
  </si>
  <si>
    <t>WS/48</t>
  </si>
  <si>
    <t>OBPM</t>
  </si>
  <si>
    <t>DBPM</t>
  </si>
  <si>
    <t>BPM</t>
  </si>
  <si>
    <t>VORP</t>
  </si>
  <si>
    <t>Position Estimate</t>
  </si>
  <si>
    <t>+/- Per 100 Poss</t>
  </si>
  <si>
    <t>Turnovers</t>
  </si>
  <si>
    <t>Fouls Committed</t>
  </si>
  <si>
    <t>Fouls Drawn</t>
  </si>
  <si>
    <t>Misc.</t>
  </si>
  <si>
    <t>PG%</t>
  </si>
  <si>
    <t>SG%</t>
  </si>
  <si>
    <t>SF%</t>
  </si>
  <si>
    <t>PF%</t>
  </si>
  <si>
    <t>C%</t>
  </si>
  <si>
    <t>OnCourt</t>
  </si>
  <si>
    <t>On-Off</t>
  </si>
  <si>
    <t>BadPass</t>
  </si>
  <si>
    <t>LostBall</t>
  </si>
  <si>
    <t>Shoot</t>
  </si>
  <si>
    <t>Off.</t>
  </si>
  <si>
    <t>PGA</t>
  </si>
  <si>
    <t>And1</t>
  </si>
  <si>
    <t>Blkd</t>
  </si>
  <si>
    <t>% of FGA by Distance</t>
  </si>
  <si>
    <t>FG% by Distance</t>
  </si>
  <si>
    <t>% of FG Ast'd</t>
  </si>
  <si>
    <t>Dunks</t>
  </si>
  <si>
    <t>Corner 3s</t>
  </si>
  <si>
    <t>Heaves</t>
  </si>
  <si>
    <t>Dist.</t>
  </si>
  <si>
    <t>0-3</t>
  </si>
  <si>
    <t>16-3P</t>
  </si>
  <si>
    <t>%FGA</t>
  </si>
  <si>
    <t>#</t>
  </si>
  <si>
    <t>%3PA</t>
  </si>
  <si>
    <t>Att.</t>
  </si>
  <si>
    <t>Md.</t>
  </si>
  <si>
    <t>Shooting %</t>
  </si>
  <si>
    <t>League-Adjusted</t>
  </si>
  <si>
    <t>Added</t>
  </si>
  <si>
    <t>FG+</t>
  </si>
  <si>
    <t>2P+</t>
  </si>
  <si>
    <t>3P+</t>
  </si>
  <si>
    <t>eFG+</t>
  </si>
  <si>
    <t>FT+</t>
  </si>
  <si>
    <t>TS+</t>
  </si>
  <si>
    <t>FTr+</t>
  </si>
  <si>
    <t>3PAr+</t>
  </si>
  <si>
    <t>FG Add</t>
  </si>
  <si>
    <t>TS Add</t>
  </si>
  <si>
    <t>Tm</t>
  </si>
  <si>
    <t>2024-25</t>
  </si>
  <si>
    <t>2025-26</t>
  </si>
  <si>
    <t>2026-27</t>
  </si>
  <si>
    <t>2027-28</t>
  </si>
  <si>
    <t>2028-29</t>
  </si>
  <si>
    <t>2029-30</t>
  </si>
  <si>
    <t>Guaranteed</t>
  </si>
  <si>
    <t>Kawhi Leonard</t>
  </si>
  <si>
    <t>Bruce Brown</t>
  </si>
  <si>
    <t>Bojan Bogdanović</t>
  </si>
  <si>
    <t>Max Strus</t>
  </si>
  <si>
    <t>Mitchell Robinson</t>
  </si>
  <si>
    <t>P.J. Tucker</t>
  </si>
  <si>
    <t>Matisse Thybulle</t>
  </si>
  <si>
    <t>Jarred Vanderbilt</t>
  </si>
  <si>
    <t>Saddiq Bey</t>
  </si>
  <si>
    <t>Dāvis Bertāns</t>
  </si>
  <si>
    <t>Nikola Topić</t>
  </si>
  <si>
    <t>Jalen McDaniels</t>
  </si>
  <si>
    <t>Devin Carter</t>
  </si>
  <si>
    <t>Cody Zeller</t>
  </si>
  <si>
    <t>Dante Exum</t>
  </si>
  <si>
    <t>Nassir Little</t>
  </si>
  <si>
    <t>DaRon Holmes</t>
  </si>
  <si>
    <t>Christian Wood</t>
  </si>
  <si>
    <t>Dewayne Dedmon</t>
  </si>
  <si>
    <t>Keita Bates-Diop</t>
  </si>
  <si>
    <t>Charlie Brown Jr.</t>
  </si>
  <si>
    <t>JaVale McGee</t>
  </si>
  <si>
    <t>Duane Washington Jr.</t>
  </si>
  <si>
    <t>Kennedy Chandler</t>
  </si>
  <si>
    <t>Jaylin Williams</t>
  </si>
  <si>
    <t>GG Jackson II</t>
  </si>
  <si>
    <t>Leonard Miller</t>
  </si>
  <si>
    <t>Ricky Rubio</t>
  </si>
  <si>
    <t>Eric Bledsoe</t>
  </si>
  <si>
    <t>Bobi Klintman</t>
  </si>
  <si>
    <t>Joshua Primo</t>
  </si>
  <si>
    <t>Nik Stauskas</t>
  </si>
  <si>
    <t>Juwan Morgan</t>
  </si>
  <si>
    <t>Malik Fitts</t>
  </si>
  <si>
    <t>Mamadi Diakite</t>
  </si>
  <si>
    <t>Didi Louzada</t>
  </si>
  <si>
    <t>AJ Griffin</t>
  </si>
  <si>
    <t>Javon Freeman-Liberty</t>
  </si>
  <si>
    <t>3-10</t>
  </si>
  <si>
    <t>10-16</t>
  </si>
  <si>
    <t>PPP</t>
  </si>
  <si>
    <t>A/T</t>
  </si>
  <si>
    <t>totals</t>
  </si>
  <si>
    <t>per game</t>
  </si>
  <si>
    <t>Contracts</t>
  </si>
  <si>
    <t>*Note:</t>
  </si>
  <si>
    <t>I already revised the tables so that every player is listed.</t>
  </si>
  <si>
    <t>This is just for my reference.</t>
  </si>
  <si>
    <t>missing values in C (refers to A)</t>
  </si>
  <si>
    <t>missing value in A (refers to B)</t>
  </si>
  <si>
    <t>missing values in B (refers to 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</si>
</sst>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14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9.4"/>
      <color rgb="FF990000"/>
      <name val="Verdana"/>
      <family val="2"/>
    </font>
    <font>
      <sz val="9.4"/>
      <color theme="1"/>
      <name val="Verdana"/>
      <family val="2"/>
    </font>
    <font>
      <sz val="9.4"/>
      <color rgb="FF3344DD"/>
      <name val="Verdana"/>
      <family val="2"/>
    </font>
    <font>
      <b/>
      <sz val="9.4"/>
      <color theme="1"/>
      <name val="Verdana"/>
      <family val="2"/>
    </font>
    <font>
      <sz val="11"/>
      <color rgb="FF000000"/>
      <name val="Verdana"/>
      <family val="2"/>
    </font>
    <font>
      <sz val="9.4"/>
      <color rgb="FF008800"/>
      <name val="Verdana"/>
      <family val="2"/>
    </font>
    <font>
      <sz val="9.4"/>
      <color rgb="FFCC0000"/>
      <name val="Verdana"/>
      <family val="2"/>
    </font>
    <font>
      <sz val="11"/>
      <color rgb="FF008800"/>
      <name val="Verdana"/>
      <family val="2"/>
    </font>
    <font>
      <sz val="9.4"/>
      <color rgb="FF000000"/>
      <name val="Verdana"/>
      <family val="2"/>
    </font>
    <font>
      <sz val="9.4"/>
      <color rgb="FF008000"/>
      <name val="Verdana"/>
      <family val="2"/>
    </font>
    <font>
      <sz val="9.4"/>
      <color rgb="FF0000FF"/>
      <name val="Verdana"/>
      <family val="2"/>
    </font>
    <font>
      <sz val="12"/>
      <color theme="1"/>
      <name val="Aptos Narrow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23">
    <xf numFmtId="0" fontId="0" fillId="0" borderId="0" xfId="0"/>
    <xf numFmtId="0" fontId="2" fillId="0" borderId="0" xfId="0" applyFont="1"/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7" fillId="0" borderId="0" xfId="0" applyFont="1"/>
    <xf numFmtId="0" fontId="8" fillId="0" borderId="0" xfId="0" applyFont="1"/>
    <xf numFmtId="0" fontId="9" fillId="0" borderId="0" xfId="0" applyFont="1"/>
    <xf numFmtId="16" fontId="2" fillId="0" borderId="0" xfId="0" applyNumberFormat="1" applyFont="1"/>
    <xf numFmtId="44" fontId="0" fillId="0" borderId="0" xfId="1" applyFont="1"/>
    <xf numFmtId="44" fontId="2" fillId="0" borderId="0" xfId="1" applyFont="1"/>
    <xf numFmtId="44" fontId="10" fillId="0" borderId="0" xfId="1" applyFont="1"/>
    <xf numFmtId="44" fontId="11" fillId="0" borderId="0" xfId="1" applyFont="1"/>
    <xf numFmtId="44" fontId="12" fillId="0" borderId="0" xfId="1" applyFont="1"/>
    <xf numFmtId="49" fontId="2" fillId="0" borderId="0" xfId="0" applyNumberFormat="1" applyFont="1"/>
    <xf numFmtId="0" fontId="2" fillId="2" borderId="0" xfId="0" applyFont="1" applyFill="1"/>
    <xf numFmtId="2" fontId="2" fillId="0" borderId="0" xfId="0" applyNumberFormat="1" applyFont="1"/>
    <xf numFmtId="2" fontId="0" fillId="0" borderId="0" xfId="0" applyNumberFormat="1"/>
    <xf numFmtId="2" fontId="2" fillId="2" borderId="0" xfId="0" applyNumberFormat="1" applyFont="1" applyFill="1"/>
    <xf numFmtId="0" fontId="2" fillId="0" borderId="0" xfId="0" applyFont="1" applyAlignment="1">
      <alignment horizontal="center"/>
    </xf>
    <xf numFmtId="0" fontId="0" fillId="0" borderId="0" xfId="0" applyFont="1"/>
    <xf numFmtId="0" fontId="13" fillId="0" borderId="0" xfId="0" applyFont="1"/>
  </cellXfs>
  <cellStyles count="2">
    <cellStyle name="Currency" xfId="1" builtinId="4"/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99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5D3E8D-5E5E-AF49-A6EB-6A3F65E526ED}">
  <dimension ref="A1:H504"/>
  <sheetViews>
    <sheetView topLeftCell="A359" workbookViewId="0">
      <selection activeCell="E2" sqref="E2"/>
    </sheetView>
  </sheetViews>
  <sheetFormatPr baseColWidth="10" defaultRowHeight="16" x14ac:dyDescent="0.2"/>
  <cols>
    <col min="3" max="3" width="10.83203125" style="21"/>
    <col min="6" max="6" width="10.83203125" customWidth="1"/>
  </cols>
  <sheetData>
    <row r="1" spans="1:8" x14ac:dyDescent="0.2">
      <c r="A1" s="16" t="s">
        <v>686</v>
      </c>
      <c r="B1" s="16" t="s">
        <v>687</v>
      </c>
      <c r="C1" s="16" t="s">
        <v>688</v>
      </c>
      <c r="D1" t="s">
        <v>693</v>
      </c>
      <c r="E1" t="s">
        <v>694</v>
      </c>
      <c r="F1" t="s">
        <v>692</v>
      </c>
      <c r="H1" t="s">
        <v>689</v>
      </c>
    </row>
    <row r="2" spans="1:8" x14ac:dyDescent="0.2">
      <c r="A2" t="s">
        <v>244</v>
      </c>
      <c r="B2" t="s">
        <v>244</v>
      </c>
      <c r="C2" s="22" t="s">
        <v>244</v>
      </c>
      <c r="D2" t="str">
        <f>IF(ISNA(MATCH(A2, B:B, 0)), "Missing in A", "")</f>
        <v/>
      </c>
      <c r="E2" t="str">
        <f>IF(ISNA(MATCH(B2, A:A, 0)), "Missing in B", "")</f>
        <v/>
      </c>
      <c r="F2" t="str">
        <f>IF(ISNA(MATCH(A2,C:C, 0)), "Missing in C", "")</f>
        <v/>
      </c>
      <c r="H2" t="s">
        <v>690</v>
      </c>
    </row>
    <row r="3" spans="1:8" x14ac:dyDescent="0.2">
      <c r="A3" t="s">
        <v>273</v>
      </c>
      <c r="B3" t="s">
        <v>273</v>
      </c>
      <c r="C3" s="22" t="s">
        <v>273</v>
      </c>
      <c r="D3" t="str">
        <f t="shared" ref="D3:D66" si="0">IF(ISNA(MATCH(A3, B:B, 0)), "Missing in A", "")</f>
        <v/>
      </c>
      <c r="E3" t="str">
        <f>IF(ISNA(MATCH(B3, A:A, 0)), "Missing in A", "")</f>
        <v/>
      </c>
      <c r="F3" t="str">
        <f t="shared" ref="F3:F66" si="1">IF(ISNA(MATCH(A3,C:C, 0)), "Missing in C", "")</f>
        <v/>
      </c>
      <c r="H3" t="s">
        <v>691</v>
      </c>
    </row>
    <row r="4" spans="1:8" x14ac:dyDescent="0.2">
      <c r="A4" t="s">
        <v>384</v>
      </c>
      <c r="B4" t="s">
        <v>384</v>
      </c>
      <c r="C4" s="22" t="s">
        <v>384</v>
      </c>
      <c r="D4" t="str">
        <f t="shared" si="0"/>
        <v/>
      </c>
      <c r="E4" t="str">
        <f>IF(ISNA(MATCH(B4, A:A, 0)), "Missing in A", "")</f>
        <v/>
      </c>
      <c r="F4" t="str">
        <f t="shared" si="1"/>
        <v/>
      </c>
    </row>
    <row r="5" spans="1:8" x14ac:dyDescent="0.2">
      <c r="A5" t="s">
        <v>398</v>
      </c>
      <c r="B5" t="s">
        <v>398</v>
      </c>
      <c r="C5" s="22" t="s">
        <v>398</v>
      </c>
      <c r="D5" t="str">
        <f t="shared" si="0"/>
        <v/>
      </c>
      <c r="E5" t="str">
        <f>IF(ISNA(MATCH(B5, A:A, 0)), "Missing in A", "")</f>
        <v/>
      </c>
      <c r="F5" t="str">
        <f t="shared" si="1"/>
        <v/>
      </c>
    </row>
    <row r="6" spans="1:8" x14ac:dyDescent="0.2">
      <c r="A6" t="s">
        <v>215</v>
      </c>
      <c r="B6" t="s">
        <v>215</v>
      </c>
      <c r="C6" s="22" t="s">
        <v>215</v>
      </c>
      <c r="D6" t="str">
        <f t="shared" si="0"/>
        <v/>
      </c>
      <c r="E6" t="str">
        <f>IF(ISNA(MATCH(B6, A:A, 0)), "Missing in A", "")</f>
        <v/>
      </c>
      <c r="F6" t="str">
        <f t="shared" si="1"/>
        <v/>
      </c>
    </row>
    <row r="7" spans="1:8" x14ac:dyDescent="0.2">
      <c r="A7" t="s">
        <v>484</v>
      </c>
      <c r="B7" t="s">
        <v>484</v>
      </c>
      <c r="C7" s="22" t="s">
        <v>461</v>
      </c>
      <c r="D7" t="str">
        <f t="shared" si="0"/>
        <v/>
      </c>
      <c r="E7" t="str">
        <f>IF(ISNA(MATCH(B7, A:A, 0)), "Missing in A", "")</f>
        <v/>
      </c>
      <c r="F7" t="str">
        <f t="shared" si="1"/>
        <v>Missing in C</v>
      </c>
    </row>
    <row r="8" spans="1:8" x14ac:dyDescent="0.2">
      <c r="A8" t="s">
        <v>511</v>
      </c>
      <c r="B8" t="s">
        <v>511</v>
      </c>
      <c r="C8" s="22" t="s">
        <v>680</v>
      </c>
      <c r="D8" t="str">
        <f t="shared" si="0"/>
        <v/>
      </c>
      <c r="E8" t="str">
        <f>IF(ISNA(MATCH(B8, A:A, 0)), "Missing in A", "")</f>
        <v/>
      </c>
      <c r="F8" t="str">
        <f t="shared" si="1"/>
        <v>Missing in C</v>
      </c>
    </row>
    <row r="9" spans="1:8" x14ac:dyDescent="0.2">
      <c r="A9" t="s">
        <v>461</v>
      </c>
      <c r="B9" t="s">
        <v>461</v>
      </c>
      <c r="C9" s="22" t="s">
        <v>507</v>
      </c>
      <c r="D9" t="str">
        <f t="shared" si="0"/>
        <v/>
      </c>
      <c r="E9" t="str">
        <f>IF(ISNA(MATCH(B9, A:A, 0)), "Missing in A", "")</f>
        <v/>
      </c>
      <c r="F9" t="str">
        <f t="shared" si="1"/>
        <v/>
      </c>
    </row>
    <row r="10" spans="1:8" x14ac:dyDescent="0.2">
      <c r="A10" t="s">
        <v>507</v>
      </c>
      <c r="B10" t="s">
        <v>507</v>
      </c>
      <c r="C10" s="22" t="s">
        <v>255</v>
      </c>
      <c r="D10" t="str">
        <f t="shared" si="0"/>
        <v/>
      </c>
      <c r="E10" t="str">
        <f>IF(ISNA(MATCH(B10, A:A, 0)), "Missing in A", "")</f>
        <v/>
      </c>
      <c r="F10" t="str">
        <f t="shared" si="1"/>
        <v/>
      </c>
    </row>
    <row r="11" spans="1:8" x14ac:dyDescent="0.2">
      <c r="A11" t="s">
        <v>301</v>
      </c>
      <c r="B11" t="s">
        <v>301</v>
      </c>
      <c r="C11" s="22" t="s">
        <v>388</v>
      </c>
      <c r="D11" t="str">
        <f t="shared" si="0"/>
        <v/>
      </c>
      <c r="E11" t="str">
        <f>IF(ISNA(MATCH(B11, A:A, 0)), "Missing in A", "")</f>
        <v/>
      </c>
      <c r="F11" t="str">
        <f t="shared" si="1"/>
        <v>Missing in C</v>
      </c>
    </row>
    <row r="12" spans="1:8" x14ac:dyDescent="0.2">
      <c r="A12" t="s">
        <v>255</v>
      </c>
      <c r="B12" t="s">
        <v>255</v>
      </c>
      <c r="C12" s="22" t="s">
        <v>349</v>
      </c>
      <c r="D12" t="str">
        <f t="shared" si="0"/>
        <v/>
      </c>
      <c r="E12" t="str">
        <f>IF(ISNA(MATCH(B12, A:A, 0)), "Missing in A", "")</f>
        <v/>
      </c>
      <c r="F12" t="str">
        <f t="shared" si="1"/>
        <v/>
      </c>
    </row>
    <row r="13" spans="1:8" x14ac:dyDescent="0.2">
      <c r="A13" t="s">
        <v>388</v>
      </c>
      <c r="B13" t="s">
        <v>388</v>
      </c>
      <c r="C13" s="22" t="s">
        <v>450</v>
      </c>
      <c r="D13" t="str">
        <f t="shared" si="0"/>
        <v/>
      </c>
      <c r="E13" t="str">
        <f>IF(ISNA(MATCH(B13, A:A, 0)), "Missing in A", "")</f>
        <v/>
      </c>
      <c r="F13" t="str">
        <f t="shared" si="1"/>
        <v/>
      </c>
    </row>
    <row r="14" spans="1:8" x14ac:dyDescent="0.2">
      <c r="A14" t="s">
        <v>349</v>
      </c>
      <c r="B14" t="s">
        <v>349</v>
      </c>
      <c r="C14" s="22" t="s">
        <v>222</v>
      </c>
      <c r="D14" t="str">
        <f t="shared" si="0"/>
        <v/>
      </c>
      <c r="E14" t="str">
        <f>IF(ISNA(MATCH(B14, A:A, 0)), "Missing in A", "")</f>
        <v/>
      </c>
      <c r="F14" t="str">
        <f t="shared" si="1"/>
        <v/>
      </c>
    </row>
    <row r="15" spans="1:8" x14ac:dyDescent="0.2">
      <c r="A15" t="s">
        <v>556</v>
      </c>
      <c r="B15" t="s">
        <v>556</v>
      </c>
      <c r="C15" s="22" t="s">
        <v>90</v>
      </c>
      <c r="D15" t="str">
        <f t="shared" si="0"/>
        <v/>
      </c>
      <c r="E15" t="str">
        <f>IF(ISNA(MATCH(B15, A:A, 0)), "Missing in A", "")</f>
        <v/>
      </c>
      <c r="F15" t="str">
        <f t="shared" si="1"/>
        <v>Missing in C</v>
      </c>
    </row>
    <row r="16" spans="1:8" x14ac:dyDescent="0.2">
      <c r="A16" t="s">
        <v>450</v>
      </c>
      <c r="B16" t="s">
        <v>450</v>
      </c>
      <c r="C16" s="22" t="s">
        <v>158</v>
      </c>
      <c r="D16" t="str">
        <f t="shared" si="0"/>
        <v/>
      </c>
      <c r="E16" t="str">
        <f>IF(ISNA(MATCH(B16, A:A, 0)), "Missing in A", "")</f>
        <v/>
      </c>
      <c r="F16" t="str">
        <f t="shared" si="1"/>
        <v/>
      </c>
    </row>
    <row r="17" spans="1:6" x14ac:dyDescent="0.2">
      <c r="A17" t="s">
        <v>550</v>
      </c>
      <c r="B17" t="s">
        <v>550</v>
      </c>
      <c r="C17" s="22" t="s">
        <v>195</v>
      </c>
      <c r="D17" t="str">
        <f t="shared" si="0"/>
        <v/>
      </c>
      <c r="E17" t="str">
        <f>IF(ISNA(MATCH(B17, A:A, 0)), "Missing in A", "")</f>
        <v/>
      </c>
      <c r="F17" t="str">
        <f t="shared" si="1"/>
        <v>Missing in C</v>
      </c>
    </row>
    <row r="18" spans="1:6" x14ac:dyDescent="0.2">
      <c r="A18" t="s">
        <v>222</v>
      </c>
      <c r="B18" t="s">
        <v>222</v>
      </c>
      <c r="C18" s="22" t="s">
        <v>284</v>
      </c>
      <c r="D18" t="str">
        <f t="shared" si="0"/>
        <v/>
      </c>
      <c r="E18" t="str">
        <f>IF(ISNA(MATCH(B18, A:A, 0)), "Missing in A", "")</f>
        <v/>
      </c>
      <c r="F18" t="str">
        <f t="shared" si="1"/>
        <v/>
      </c>
    </row>
    <row r="19" spans="1:6" x14ac:dyDescent="0.2">
      <c r="A19" t="s">
        <v>522</v>
      </c>
      <c r="B19" t="s">
        <v>522</v>
      </c>
      <c r="C19" s="22" t="s">
        <v>361</v>
      </c>
      <c r="D19" t="str">
        <f t="shared" si="0"/>
        <v/>
      </c>
      <c r="E19" t="str">
        <f>IF(ISNA(MATCH(B19, A:A, 0)), "Missing in A", "")</f>
        <v/>
      </c>
      <c r="F19" t="str">
        <f t="shared" si="1"/>
        <v>Missing in C</v>
      </c>
    </row>
    <row r="20" spans="1:6" x14ac:dyDescent="0.2">
      <c r="A20" t="s">
        <v>90</v>
      </c>
      <c r="B20" t="s">
        <v>90</v>
      </c>
      <c r="C20" s="22" t="s">
        <v>356</v>
      </c>
      <c r="D20" t="str">
        <f t="shared" si="0"/>
        <v/>
      </c>
      <c r="E20" t="str">
        <f>IF(ISNA(MATCH(B20, A:A, 0)), "Missing in A", "")</f>
        <v/>
      </c>
      <c r="F20" t="str">
        <f t="shared" si="1"/>
        <v/>
      </c>
    </row>
    <row r="21" spans="1:6" x14ac:dyDescent="0.2">
      <c r="A21" t="s">
        <v>158</v>
      </c>
      <c r="B21" t="s">
        <v>158</v>
      </c>
      <c r="C21" s="22" t="s">
        <v>137</v>
      </c>
      <c r="D21" t="str">
        <f t="shared" si="0"/>
        <v/>
      </c>
      <c r="E21" t="str">
        <f>IF(ISNA(MATCH(B21, A:A, 0)), "Missing in A", "")</f>
        <v/>
      </c>
      <c r="F21" t="str">
        <f t="shared" si="1"/>
        <v/>
      </c>
    </row>
    <row r="22" spans="1:6" x14ac:dyDescent="0.2">
      <c r="A22" t="s">
        <v>195</v>
      </c>
      <c r="B22" t="s">
        <v>195</v>
      </c>
      <c r="C22" s="22" t="s">
        <v>134</v>
      </c>
      <c r="D22" t="str">
        <f t="shared" si="0"/>
        <v/>
      </c>
      <c r="E22" t="str">
        <f>IF(ISNA(MATCH(B22, A:A, 0)), "Missing in A", "")</f>
        <v/>
      </c>
      <c r="F22" t="str">
        <f t="shared" si="1"/>
        <v/>
      </c>
    </row>
    <row r="23" spans="1:6" x14ac:dyDescent="0.2">
      <c r="A23" t="s">
        <v>284</v>
      </c>
      <c r="B23" t="s">
        <v>284</v>
      </c>
      <c r="C23" s="22" t="s">
        <v>212</v>
      </c>
      <c r="D23" t="str">
        <f t="shared" si="0"/>
        <v/>
      </c>
      <c r="E23" t="str">
        <f>IF(ISNA(MATCH(B23, A:A, 0)), "Missing in A", "")</f>
        <v/>
      </c>
      <c r="F23" t="str">
        <f t="shared" si="1"/>
        <v/>
      </c>
    </row>
    <row r="24" spans="1:6" x14ac:dyDescent="0.2">
      <c r="A24" t="s">
        <v>361</v>
      </c>
      <c r="B24" t="s">
        <v>361</v>
      </c>
      <c r="C24" s="22" t="s">
        <v>40</v>
      </c>
      <c r="D24" t="str">
        <f t="shared" si="0"/>
        <v/>
      </c>
      <c r="E24" t="str">
        <f>IF(ISNA(MATCH(B24, A:A, 0)), "Missing in A", "")</f>
        <v/>
      </c>
      <c r="F24" t="str">
        <f t="shared" si="1"/>
        <v/>
      </c>
    </row>
    <row r="25" spans="1:6" x14ac:dyDescent="0.2">
      <c r="A25" t="s">
        <v>356</v>
      </c>
      <c r="B25" t="s">
        <v>356</v>
      </c>
      <c r="C25" s="22" t="s">
        <v>50</v>
      </c>
      <c r="D25" t="str">
        <f t="shared" si="0"/>
        <v/>
      </c>
      <c r="E25" t="str">
        <f>IF(ISNA(MATCH(B25, A:A, 0)), "Missing in A", "")</f>
        <v/>
      </c>
      <c r="F25" t="str">
        <f t="shared" si="1"/>
        <v/>
      </c>
    </row>
    <row r="26" spans="1:6" x14ac:dyDescent="0.2">
      <c r="A26" t="s">
        <v>137</v>
      </c>
      <c r="B26" t="s">
        <v>137</v>
      </c>
      <c r="C26" s="22" t="s">
        <v>414</v>
      </c>
      <c r="D26" t="str">
        <f t="shared" si="0"/>
        <v/>
      </c>
      <c r="E26" t="str">
        <f>IF(ISNA(MATCH(B26, A:A, 0)), "Missing in A", "")</f>
        <v/>
      </c>
      <c r="F26" t="str">
        <f t="shared" si="1"/>
        <v/>
      </c>
    </row>
    <row r="27" spans="1:6" x14ac:dyDescent="0.2">
      <c r="A27" t="s">
        <v>134</v>
      </c>
      <c r="B27" t="s">
        <v>134</v>
      </c>
      <c r="C27" s="22" t="s">
        <v>386</v>
      </c>
      <c r="D27" t="str">
        <f t="shared" si="0"/>
        <v/>
      </c>
      <c r="E27" t="str">
        <f>IF(ISNA(MATCH(B27, A:A, 0)), "Missing in A", "")</f>
        <v/>
      </c>
      <c r="F27" t="str">
        <f t="shared" si="1"/>
        <v/>
      </c>
    </row>
    <row r="28" spans="1:6" x14ac:dyDescent="0.2">
      <c r="A28" t="s">
        <v>212</v>
      </c>
      <c r="B28" t="s">
        <v>212</v>
      </c>
      <c r="C28" s="22" t="s">
        <v>430</v>
      </c>
      <c r="D28" t="str">
        <f t="shared" si="0"/>
        <v/>
      </c>
      <c r="E28" t="str">
        <f>IF(ISNA(MATCH(B28, A:A, 0)), "Missing in A", "")</f>
        <v/>
      </c>
      <c r="F28" t="str">
        <f t="shared" si="1"/>
        <v/>
      </c>
    </row>
    <row r="29" spans="1:6" x14ac:dyDescent="0.2">
      <c r="A29" t="s">
        <v>40</v>
      </c>
      <c r="B29" t="s">
        <v>40</v>
      </c>
      <c r="C29" s="22" t="s">
        <v>148</v>
      </c>
      <c r="D29" t="str">
        <f t="shared" si="0"/>
        <v/>
      </c>
      <c r="E29" t="str">
        <f>IF(ISNA(MATCH(B29, A:A, 0)), "Missing in A", "")</f>
        <v/>
      </c>
      <c r="F29" t="str">
        <f t="shared" si="1"/>
        <v/>
      </c>
    </row>
    <row r="30" spans="1:6" x14ac:dyDescent="0.2">
      <c r="A30" t="s">
        <v>50</v>
      </c>
      <c r="B30" t="s">
        <v>50</v>
      </c>
      <c r="C30" s="22" t="s">
        <v>149</v>
      </c>
      <c r="D30" t="str">
        <f t="shared" si="0"/>
        <v/>
      </c>
      <c r="E30" t="str">
        <f>IF(ISNA(MATCH(B30, A:A, 0)), "Missing in A", "")</f>
        <v/>
      </c>
      <c r="F30" t="str">
        <f t="shared" si="1"/>
        <v/>
      </c>
    </row>
    <row r="31" spans="1:6" x14ac:dyDescent="0.2">
      <c r="A31" t="s">
        <v>414</v>
      </c>
      <c r="B31" t="s">
        <v>414</v>
      </c>
      <c r="C31" s="22" t="s">
        <v>125</v>
      </c>
      <c r="D31" t="str">
        <f t="shared" si="0"/>
        <v/>
      </c>
      <c r="E31" t="str">
        <f>IF(ISNA(MATCH(B31, A:A, 0)), "Missing in A", "")</f>
        <v/>
      </c>
      <c r="F31" t="str">
        <f t="shared" si="1"/>
        <v/>
      </c>
    </row>
    <row r="32" spans="1:6" x14ac:dyDescent="0.2">
      <c r="A32" t="s">
        <v>386</v>
      </c>
      <c r="B32" t="s">
        <v>386</v>
      </c>
      <c r="C32" s="22" t="s">
        <v>532</v>
      </c>
      <c r="D32" t="str">
        <f t="shared" si="0"/>
        <v/>
      </c>
      <c r="E32" t="str">
        <f>IF(ISNA(MATCH(B32, A:A, 0)), "Missing in A", "")</f>
        <v/>
      </c>
      <c r="F32" t="str">
        <f t="shared" si="1"/>
        <v/>
      </c>
    </row>
    <row r="33" spans="1:6" x14ac:dyDescent="0.2">
      <c r="A33" t="s">
        <v>463</v>
      </c>
      <c r="B33" t="s">
        <v>463</v>
      </c>
      <c r="C33" s="22" t="s">
        <v>371</v>
      </c>
      <c r="D33" t="str">
        <f t="shared" si="0"/>
        <v/>
      </c>
      <c r="E33" t="str">
        <f>IF(ISNA(MATCH(B33, A:A, 0)), "Missing in A", "")</f>
        <v/>
      </c>
      <c r="F33" t="str">
        <f t="shared" si="1"/>
        <v>Missing in C</v>
      </c>
    </row>
    <row r="34" spans="1:6" x14ac:dyDescent="0.2">
      <c r="A34" t="s">
        <v>494</v>
      </c>
      <c r="B34" t="s">
        <v>494</v>
      </c>
      <c r="C34" s="22" t="s">
        <v>347</v>
      </c>
      <c r="D34" t="str">
        <f t="shared" si="0"/>
        <v/>
      </c>
      <c r="E34" t="str">
        <f>IF(ISNA(MATCH(B34, A:A, 0)), "Missing in A", "")</f>
        <v/>
      </c>
      <c r="F34" t="str">
        <f t="shared" si="1"/>
        <v>Missing in C</v>
      </c>
    </row>
    <row r="35" spans="1:6" x14ac:dyDescent="0.2">
      <c r="A35" t="s">
        <v>430</v>
      </c>
      <c r="B35" t="s">
        <v>430</v>
      </c>
      <c r="C35" s="22" t="s">
        <v>94</v>
      </c>
      <c r="D35" t="str">
        <f t="shared" si="0"/>
        <v/>
      </c>
      <c r="E35" t="str">
        <f>IF(ISNA(MATCH(B35, A:A, 0)), "Missing in A", "")</f>
        <v/>
      </c>
      <c r="F35" t="str">
        <f t="shared" si="1"/>
        <v/>
      </c>
    </row>
    <row r="36" spans="1:6" x14ac:dyDescent="0.2">
      <c r="A36" t="s">
        <v>148</v>
      </c>
      <c r="B36" t="s">
        <v>148</v>
      </c>
      <c r="C36" s="22" t="s">
        <v>192</v>
      </c>
      <c r="D36" t="str">
        <f t="shared" si="0"/>
        <v/>
      </c>
      <c r="E36" t="str">
        <f>IF(ISNA(MATCH(B36, A:A, 0)), "Missing in A", "")</f>
        <v/>
      </c>
      <c r="F36" t="str">
        <f t="shared" si="1"/>
        <v/>
      </c>
    </row>
    <row r="37" spans="1:6" x14ac:dyDescent="0.2">
      <c r="A37" t="s">
        <v>149</v>
      </c>
      <c r="B37" t="s">
        <v>149</v>
      </c>
      <c r="C37" s="22" t="s">
        <v>372</v>
      </c>
      <c r="D37" t="str">
        <f t="shared" si="0"/>
        <v/>
      </c>
      <c r="E37" t="str">
        <f>IF(ISNA(MATCH(B37, A:A, 0)), "Missing in A", "")</f>
        <v/>
      </c>
      <c r="F37" t="str">
        <f t="shared" si="1"/>
        <v/>
      </c>
    </row>
    <row r="38" spans="1:6" x14ac:dyDescent="0.2">
      <c r="A38" t="s">
        <v>125</v>
      </c>
      <c r="B38" t="s">
        <v>125</v>
      </c>
      <c r="C38" s="22" t="s">
        <v>152</v>
      </c>
      <c r="D38" t="str">
        <f t="shared" si="0"/>
        <v/>
      </c>
      <c r="E38" t="str">
        <f>IF(ISNA(MATCH(B38, A:A, 0)), "Missing in A", "")</f>
        <v/>
      </c>
      <c r="F38" t="str">
        <f t="shared" si="1"/>
        <v/>
      </c>
    </row>
    <row r="39" spans="1:6" x14ac:dyDescent="0.2">
      <c r="A39" t="s">
        <v>532</v>
      </c>
      <c r="B39" t="s">
        <v>532</v>
      </c>
      <c r="C39" s="22" t="s">
        <v>673</v>
      </c>
      <c r="D39" t="str">
        <f t="shared" si="0"/>
        <v/>
      </c>
      <c r="E39" t="str">
        <f>IF(ISNA(MATCH(B39, A:A, 0)), "Missing in A", "")</f>
        <v/>
      </c>
      <c r="F39" t="str">
        <f t="shared" si="1"/>
        <v/>
      </c>
    </row>
    <row r="40" spans="1:6" x14ac:dyDescent="0.2">
      <c r="A40" t="s">
        <v>371</v>
      </c>
      <c r="B40" t="s">
        <v>371</v>
      </c>
      <c r="C40" s="22" t="s">
        <v>303</v>
      </c>
      <c r="D40" t="str">
        <f t="shared" si="0"/>
        <v/>
      </c>
      <c r="E40" t="str">
        <f>IF(ISNA(MATCH(B40, A:A, 0)), "Missing in A", "")</f>
        <v/>
      </c>
      <c r="F40" t="str">
        <f t="shared" si="1"/>
        <v/>
      </c>
    </row>
    <row r="41" spans="1:6" x14ac:dyDescent="0.2">
      <c r="A41" t="s">
        <v>347</v>
      </c>
      <c r="B41" t="s">
        <v>347</v>
      </c>
      <c r="C41" s="22" t="s">
        <v>646</v>
      </c>
      <c r="D41" t="str">
        <f t="shared" si="0"/>
        <v/>
      </c>
      <c r="E41" t="str">
        <f>IF(ISNA(MATCH(B41, A:A, 0)), "Missing in A", "")</f>
        <v/>
      </c>
      <c r="F41" t="str">
        <f t="shared" si="1"/>
        <v/>
      </c>
    </row>
    <row r="42" spans="1:6" x14ac:dyDescent="0.2">
      <c r="A42" t="s">
        <v>94</v>
      </c>
      <c r="B42" t="s">
        <v>94</v>
      </c>
      <c r="C42" s="22" t="s">
        <v>368</v>
      </c>
      <c r="D42" t="str">
        <f t="shared" si="0"/>
        <v/>
      </c>
      <c r="E42" t="str">
        <f>IF(ISNA(MATCH(B42, A:A, 0)), "Missing in A", "")</f>
        <v/>
      </c>
      <c r="F42" t="str">
        <f t="shared" si="1"/>
        <v/>
      </c>
    </row>
    <row r="43" spans="1:6" x14ac:dyDescent="0.2">
      <c r="A43" t="s">
        <v>192</v>
      </c>
      <c r="B43" t="s">
        <v>192</v>
      </c>
      <c r="C43" s="22" t="s">
        <v>182</v>
      </c>
      <c r="D43" t="str">
        <f t="shared" si="0"/>
        <v/>
      </c>
      <c r="E43" t="str">
        <f>IF(ISNA(MATCH(B43, A:A, 0)), "Missing in A", "")</f>
        <v/>
      </c>
      <c r="F43" t="str">
        <f t="shared" si="1"/>
        <v/>
      </c>
    </row>
    <row r="44" spans="1:6" x14ac:dyDescent="0.2">
      <c r="A44" t="s">
        <v>372</v>
      </c>
      <c r="B44" t="s">
        <v>372</v>
      </c>
      <c r="C44" s="22" t="s">
        <v>247</v>
      </c>
      <c r="D44" t="str">
        <f t="shared" si="0"/>
        <v/>
      </c>
      <c r="E44" t="str">
        <f>IF(ISNA(MATCH(B44, A:A, 0)), "Missing in A", "")</f>
        <v/>
      </c>
      <c r="F44" t="str">
        <f t="shared" si="1"/>
        <v/>
      </c>
    </row>
    <row r="45" spans="1:6" x14ac:dyDescent="0.2">
      <c r="A45" t="s">
        <v>152</v>
      </c>
      <c r="B45" t="s">
        <v>152</v>
      </c>
      <c r="C45" s="22" t="s">
        <v>251</v>
      </c>
      <c r="D45" t="str">
        <f t="shared" si="0"/>
        <v/>
      </c>
      <c r="E45" t="str">
        <f>IF(ISNA(MATCH(B45, A:A, 0)), "Missing in A", "")</f>
        <v/>
      </c>
      <c r="F45" t="str">
        <f t="shared" si="1"/>
        <v/>
      </c>
    </row>
    <row r="46" spans="1:6" x14ac:dyDescent="0.2">
      <c r="A46" t="s">
        <v>303</v>
      </c>
      <c r="B46" t="s">
        <v>303</v>
      </c>
      <c r="C46" s="22" t="s">
        <v>116</v>
      </c>
      <c r="D46" t="str">
        <f t="shared" si="0"/>
        <v/>
      </c>
      <c r="E46" t="str">
        <f>IF(ISNA(MATCH(B46, A:A, 0)), "Missing in A", "")</f>
        <v/>
      </c>
      <c r="F46" t="str">
        <f t="shared" si="1"/>
        <v/>
      </c>
    </row>
    <row r="47" spans="1:6" x14ac:dyDescent="0.2">
      <c r="A47" t="s">
        <v>456</v>
      </c>
      <c r="B47" t="s">
        <v>456</v>
      </c>
      <c r="C47" s="22" t="s">
        <v>95</v>
      </c>
      <c r="D47" t="str">
        <f t="shared" si="0"/>
        <v/>
      </c>
      <c r="E47" t="str">
        <f>IF(ISNA(MATCH(B47, A:A, 0)), "Missing in A", "")</f>
        <v/>
      </c>
      <c r="F47" t="str">
        <f t="shared" si="1"/>
        <v>Missing in C</v>
      </c>
    </row>
    <row r="48" spans="1:6" x14ac:dyDescent="0.2">
      <c r="A48" t="s">
        <v>368</v>
      </c>
      <c r="B48" t="s">
        <v>368</v>
      </c>
      <c r="C48" s="22" t="s">
        <v>297</v>
      </c>
      <c r="D48" t="str">
        <f t="shared" si="0"/>
        <v/>
      </c>
      <c r="E48" t="str">
        <f>IF(ISNA(MATCH(B48, A:A, 0)), "Missing in A", "")</f>
        <v/>
      </c>
      <c r="F48" t="str">
        <f t="shared" si="1"/>
        <v/>
      </c>
    </row>
    <row r="49" spans="1:6" x14ac:dyDescent="0.2">
      <c r="A49" t="s">
        <v>182</v>
      </c>
      <c r="B49" t="s">
        <v>182</v>
      </c>
      <c r="C49" s="22" t="s">
        <v>527</v>
      </c>
      <c r="D49" t="str">
        <f t="shared" si="0"/>
        <v/>
      </c>
      <c r="E49" t="str">
        <f>IF(ISNA(MATCH(B49, A:A, 0)), "Missing in A", "")</f>
        <v/>
      </c>
      <c r="F49" t="str">
        <f t="shared" si="1"/>
        <v/>
      </c>
    </row>
    <row r="50" spans="1:6" x14ac:dyDescent="0.2">
      <c r="A50" t="s">
        <v>523</v>
      </c>
      <c r="B50" t="s">
        <v>523</v>
      </c>
      <c r="C50" s="22" t="s">
        <v>185</v>
      </c>
      <c r="D50" t="str">
        <f t="shared" si="0"/>
        <v/>
      </c>
      <c r="E50" t="str">
        <f>IF(ISNA(MATCH(B50, A:A, 0)), "Missing in A", "")</f>
        <v/>
      </c>
      <c r="F50" t="str">
        <f t="shared" si="1"/>
        <v>Missing in C</v>
      </c>
    </row>
    <row r="51" spans="1:6" x14ac:dyDescent="0.2">
      <c r="A51" t="s">
        <v>247</v>
      </c>
      <c r="B51" t="s">
        <v>247</v>
      </c>
      <c r="C51" s="22" t="s">
        <v>645</v>
      </c>
      <c r="D51" t="str">
        <f t="shared" si="0"/>
        <v/>
      </c>
      <c r="E51" t="str">
        <f>IF(ISNA(MATCH(B51, A:A, 0)), "Missing in A", "")</f>
        <v/>
      </c>
      <c r="F51" t="str">
        <f t="shared" si="1"/>
        <v/>
      </c>
    </row>
    <row r="52" spans="1:6" x14ac:dyDescent="0.2">
      <c r="A52" t="s">
        <v>177</v>
      </c>
      <c r="B52" t="s">
        <v>177</v>
      </c>
      <c r="C52" s="22" t="s">
        <v>131</v>
      </c>
      <c r="D52" t="str">
        <f t="shared" si="0"/>
        <v/>
      </c>
      <c r="E52" t="str">
        <f>IF(ISNA(MATCH(B52, A:A, 0)), "Missing in A", "")</f>
        <v/>
      </c>
      <c r="F52" t="str">
        <f t="shared" si="1"/>
        <v>Missing in C</v>
      </c>
    </row>
    <row r="53" spans="1:6" x14ac:dyDescent="0.2">
      <c r="A53" t="s">
        <v>251</v>
      </c>
      <c r="B53" t="s">
        <v>251</v>
      </c>
      <c r="C53" s="22" t="s">
        <v>74</v>
      </c>
      <c r="D53" t="str">
        <f t="shared" si="0"/>
        <v/>
      </c>
      <c r="E53" t="str">
        <f>IF(ISNA(MATCH(B53, A:A, 0)), "Missing in A", "")</f>
        <v/>
      </c>
      <c r="F53" t="str">
        <f t="shared" si="1"/>
        <v/>
      </c>
    </row>
    <row r="54" spans="1:6" x14ac:dyDescent="0.2">
      <c r="A54" t="s">
        <v>116</v>
      </c>
      <c r="B54" t="s">
        <v>116</v>
      </c>
      <c r="C54" s="22" t="s">
        <v>462</v>
      </c>
      <c r="D54" t="str">
        <f t="shared" si="0"/>
        <v/>
      </c>
      <c r="E54" t="str">
        <f>IF(ISNA(MATCH(B54, A:A, 0)), "Missing in A", "")</f>
        <v/>
      </c>
      <c r="F54" t="str">
        <f t="shared" si="1"/>
        <v/>
      </c>
    </row>
    <row r="55" spans="1:6" x14ac:dyDescent="0.2">
      <c r="A55" t="s">
        <v>95</v>
      </c>
      <c r="B55" t="s">
        <v>95</v>
      </c>
      <c r="C55" s="22" t="s">
        <v>257</v>
      </c>
      <c r="D55" t="str">
        <f t="shared" si="0"/>
        <v/>
      </c>
      <c r="E55" t="str">
        <f>IF(ISNA(MATCH(B55, A:A, 0)), "Missing in A", "")</f>
        <v/>
      </c>
      <c r="F55" t="str">
        <f t="shared" si="1"/>
        <v/>
      </c>
    </row>
    <row r="56" spans="1:6" x14ac:dyDescent="0.2">
      <c r="A56" t="s">
        <v>514</v>
      </c>
      <c r="B56" t="s">
        <v>514</v>
      </c>
      <c r="C56" s="22" t="s">
        <v>516</v>
      </c>
      <c r="D56" t="str">
        <f t="shared" si="0"/>
        <v/>
      </c>
      <c r="E56" t="str">
        <f>IF(ISNA(MATCH(B56, A:A, 0)), "Missing in A", "")</f>
        <v/>
      </c>
      <c r="F56" t="str">
        <f t="shared" si="1"/>
        <v>Missing in C</v>
      </c>
    </row>
    <row r="57" spans="1:6" x14ac:dyDescent="0.2">
      <c r="A57" t="s">
        <v>297</v>
      </c>
      <c r="B57" t="s">
        <v>297</v>
      </c>
      <c r="C57" s="22" t="s">
        <v>390</v>
      </c>
      <c r="D57" t="str">
        <f t="shared" si="0"/>
        <v/>
      </c>
      <c r="E57" t="str">
        <f>IF(ISNA(MATCH(B57, A:A, 0)), "Missing in A", "")</f>
        <v/>
      </c>
      <c r="F57" t="str">
        <f t="shared" si="1"/>
        <v/>
      </c>
    </row>
    <row r="58" spans="1:6" x14ac:dyDescent="0.2">
      <c r="A58" t="s">
        <v>527</v>
      </c>
      <c r="B58" t="s">
        <v>527</v>
      </c>
      <c r="C58" s="22" t="s">
        <v>107</v>
      </c>
      <c r="D58" t="str">
        <f t="shared" si="0"/>
        <v/>
      </c>
      <c r="E58" t="str">
        <f>IF(ISNA(MATCH(B58, A:A, 0)), "Missing in A", "")</f>
        <v/>
      </c>
      <c r="F58" t="str">
        <f t="shared" si="1"/>
        <v/>
      </c>
    </row>
    <row r="59" spans="1:6" x14ac:dyDescent="0.2">
      <c r="A59" t="s">
        <v>185</v>
      </c>
      <c r="B59" t="s">
        <v>185</v>
      </c>
      <c r="C59" s="22" t="s">
        <v>409</v>
      </c>
      <c r="D59" t="str">
        <f t="shared" si="0"/>
        <v/>
      </c>
      <c r="E59" t="str">
        <f>IF(ISNA(MATCH(B59, A:A, 0)), "Missing in A", "")</f>
        <v/>
      </c>
      <c r="F59" t="str">
        <f t="shared" si="1"/>
        <v/>
      </c>
    </row>
    <row r="60" spans="1:6" x14ac:dyDescent="0.2">
      <c r="A60" t="s">
        <v>391</v>
      </c>
      <c r="B60" t="s">
        <v>391</v>
      </c>
      <c r="C60" s="22" t="s">
        <v>102</v>
      </c>
      <c r="D60" t="str">
        <f t="shared" si="0"/>
        <v/>
      </c>
      <c r="E60" t="str">
        <f>IF(ISNA(MATCH(B60, A:A, 0)), "Missing in A", "")</f>
        <v/>
      </c>
      <c r="F60" t="str">
        <f t="shared" si="1"/>
        <v>Missing in C</v>
      </c>
    </row>
    <row r="61" spans="1:6" x14ac:dyDescent="0.2">
      <c r="A61" t="s">
        <v>549</v>
      </c>
      <c r="B61" t="s">
        <v>549</v>
      </c>
      <c r="C61" s="22" t="s">
        <v>276</v>
      </c>
      <c r="D61" t="str">
        <f t="shared" si="0"/>
        <v/>
      </c>
      <c r="E61" t="str">
        <f>IF(ISNA(MATCH(B61, A:A, 0)), "Missing in A", "")</f>
        <v/>
      </c>
      <c r="F61" t="str">
        <f t="shared" si="1"/>
        <v>Missing in C</v>
      </c>
    </row>
    <row r="62" spans="1:6" x14ac:dyDescent="0.2">
      <c r="A62" t="s">
        <v>131</v>
      </c>
      <c r="B62" t="s">
        <v>131</v>
      </c>
      <c r="C62" s="22" t="s">
        <v>211</v>
      </c>
      <c r="D62" t="str">
        <f t="shared" si="0"/>
        <v/>
      </c>
      <c r="E62" t="str">
        <f>IF(ISNA(MATCH(B62, A:A, 0)), "Missing in A", "")</f>
        <v/>
      </c>
      <c r="F62" t="str">
        <f t="shared" si="1"/>
        <v/>
      </c>
    </row>
    <row r="63" spans="1:6" x14ac:dyDescent="0.2">
      <c r="A63" t="s">
        <v>74</v>
      </c>
      <c r="B63" t="s">
        <v>74</v>
      </c>
      <c r="C63" s="22" t="s">
        <v>229</v>
      </c>
      <c r="D63" t="str">
        <f t="shared" si="0"/>
        <v/>
      </c>
      <c r="E63" t="str">
        <f>IF(ISNA(MATCH(B63, A:A, 0)), "Missing in A", "")</f>
        <v/>
      </c>
      <c r="F63" t="str">
        <f t="shared" si="1"/>
        <v/>
      </c>
    </row>
    <row r="64" spans="1:6" x14ac:dyDescent="0.2">
      <c r="A64" t="s">
        <v>462</v>
      </c>
      <c r="B64" t="s">
        <v>462</v>
      </c>
      <c r="C64" s="22" t="s">
        <v>263</v>
      </c>
      <c r="D64" t="str">
        <f t="shared" si="0"/>
        <v/>
      </c>
      <c r="E64" t="str">
        <f>IF(ISNA(MATCH(B64, A:A, 0)), "Missing in A", "")</f>
        <v/>
      </c>
      <c r="F64" t="str">
        <f t="shared" si="1"/>
        <v/>
      </c>
    </row>
    <row r="65" spans="1:6" x14ac:dyDescent="0.2">
      <c r="A65" t="s">
        <v>257</v>
      </c>
      <c r="B65" t="s">
        <v>257</v>
      </c>
      <c r="C65" s="22" t="s">
        <v>387</v>
      </c>
      <c r="D65" t="str">
        <f t="shared" si="0"/>
        <v/>
      </c>
      <c r="E65" t="str">
        <f>IF(ISNA(MATCH(B65, A:A, 0)), "Missing in A", "")</f>
        <v/>
      </c>
      <c r="F65" t="str">
        <f t="shared" si="1"/>
        <v/>
      </c>
    </row>
    <row r="66" spans="1:6" x14ac:dyDescent="0.2">
      <c r="A66" t="s">
        <v>516</v>
      </c>
      <c r="B66" t="s">
        <v>516</v>
      </c>
      <c r="C66" s="22" t="s">
        <v>664</v>
      </c>
      <c r="D66" t="str">
        <f t="shared" si="0"/>
        <v/>
      </c>
      <c r="E66" t="str">
        <f>IF(ISNA(MATCH(B66, A:A, 0)), "Missing in A", "")</f>
        <v/>
      </c>
      <c r="F66" t="str">
        <f t="shared" si="1"/>
        <v/>
      </c>
    </row>
    <row r="67" spans="1:6" x14ac:dyDescent="0.2">
      <c r="A67" t="s">
        <v>390</v>
      </c>
      <c r="B67" t="s">
        <v>390</v>
      </c>
      <c r="C67" s="22" t="s">
        <v>269</v>
      </c>
      <c r="D67" t="str">
        <f t="shared" ref="D67:D130" si="2">IF(ISNA(MATCH(A67, B:B, 0)), "Missing in A", "")</f>
        <v/>
      </c>
      <c r="E67" t="str">
        <f>IF(ISNA(MATCH(B67, A:A, 0)), "Missing in A", "")</f>
        <v/>
      </c>
      <c r="F67" t="str">
        <f t="shared" ref="F67:F130" si="3">IF(ISNA(MATCH(A67,C:C, 0)), "Missing in C", "")</f>
        <v/>
      </c>
    </row>
    <row r="68" spans="1:6" x14ac:dyDescent="0.2">
      <c r="A68" t="s">
        <v>482</v>
      </c>
      <c r="B68" t="s">
        <v>482</v>
      </c>
      <c r="C68" s="22" t="s">
        <v>207</v>
      </c>
      <c r="D68" t="str">
        <f t="shared" si="2"/>
        <v/>
      </c>
      <c r="E68" t="str">
        <f>IF(ISNA(MATCH(B68, A:A, 0)), "Missing in A", "")</f>
        <v/>
      </c>
      <c r="F68" t="str">
        <f t="shared" si="3"/>
        <v>Missing in C</v>
      </c>
    </row>
    <row r="69" spans="1:6" x14ac:dyDescent="0.2">
      <c r="A69" t="s">
        <v>107</v>
      </c>
      <c r="B69" t="s">
        <v>107</v>
      </c>
      <c r="C69" s="22" t="s">
        <v>445</v>
      </c>
      <c r="D69" t="str">
        <f t="shared" si="2"/>
        <v/>
      </c>
      <c r="E69" t="str">
        <f>IF(ISNA(MATCH(B69, A:A, 0)), "Missing in A", "")</f>
        <v/>
      </c>
      <c r="F69" t="str">
        <f t="shared" si="3"/>
        <v/>
      </c>
    </row>
    <row r="70" spans="1:6" x14ac:dyDescent="0.2">
      <c r="A70" t="s">
        <v>409</v>
      </c>
      <c r="B70" t="s">
        <v>409</v>
      </c>
      <c r="C70" s="22" t="s">
        <v>548</v>
      </c>
      <c r="D70" t="str">
        <f t="shared" si="2"/>
        <v/>
      </c>
      <c r="E70" t="str">
        <f>IF(ISNA(MATCH(B70, A:A, 0)), "Missing in A", "")</f>
        <v/>
      </c>
      <c r="F70" t="str">
        <f t="shared" si="3"/>
        <v/>
      </c>
    </row>
    <row r="71" spans="1:6" x14ac:dyDescent="0.2">
      <c r="A71" t="s">
        <v>102</v>
      </c>
      <c r="B71" t="s">
        <v>102</v>
      </c>
      <c r="C71" s="22" t="s">
        <v>196</v>
      </c>
      <c r="D71" t="str">
        <f t="shared" si="2"/>
        <v/>
      </c>
      <c r="E71" t="str">
        <f>IF(ISNA(MATCH(B71, A:A, 0)), "Missing in A", "")</f>
        <v/>
      </c>
      <c r="F71" t="str">
        <f t="shared" si="3"/>
        <v/>
      </c>
    </row>
    <row r="72" spans="1:6" x14ac:dyDescent="0.2">
      <c r="A72" t="s">
        <v>276</v>
      </c>
      <c r="B72" t="s">
        <v>276</v>
      </c>
      <c r="C72" s="22" t="s">
        <v>138</v>
      </c>
      <c r="D72" t="str">
        <f t="shared" si="2"/>
        <v/>
      </c>
      <c r="E72" t="str">
        <f>IF(ISNA(MATCH(B72, A:A, 0)), "Missing in A", "")</f>
        <v/>
      </c>
      <c r="F72" t="str">
        <f t="shared" si="3"/>
        <v/>
      </c>
    </row>
    <row r="73" spans="1:6" x14ac:dyDescent="0.2">
      <c r="A73" t="s">
        <v>211</v>
      </c>
      <c r="B73" t="s">
        <v>211</v>
      </c>
      <c r="C73" s="22" t="s">
        <v>661</v>
      </c>
      <c r="D73" t="str">
        <f t="shared" si="2"/>
        <v/>
      </c>
      <c r="E73" t="str">
        <f>IF(ISNA(MATCH(B73, A:A, 0)), "Missing in A", "")</f>
        <v/>
      </c>
      <c r="F73" t="str">
        <f t="shared" si="3"/>
        <v/>
      </c>
    </row>
    <row r="74" spans="1:6" x14ac:dyDescent="0.2">
      <c r="A74" t="s">
        <v>229</v>
      </c>
      <c r="B74" t="s">
        <v>229</v>
      </c>
      <c r="C74" s="22" t="s">
        <v>172</v>
      </c>
      <c r="D74" t="str">
        <f t="shared" si="2"/>
        <v/>
      </c>
      <c r="E74" t="str">
        <f>IF(ISNA(MATCH(B74, A:A, 0)), "Missing in A", "")</f>
        <v/>
      </c>
      <c r="F74" t="str">
        <f t="shared" si="3"/>
        <v/>
      </c>
    </row>
    <row r="75" spans="1:6" x14ac:dyDescent="0.2">
      <c r="A75" t="s">
        <v>263</v>
      </c>
      <c r="B75" t="s">
        <v>263</v>
      </c>
      <c r="C75" s="22" t="s">
        <v>183</v>
      </c>
      <c r="D75" t="str">
        <f t="shared" si="2"/>
        <v/>
      </c>
      <c r="E75" t="str">
        <f>IF(ISNA(MATCH(B75, A:A, 0)), "Missing in A", "")</f>
        <v/>
      </c>
      <c r="F75" t="str">
        <f t="shared" si="3"/>
        <v/>
      </c>
    </row>
    <row r="76" spans="1:6" x14ac:dyDescent="0.2">
      <c r="A76" t="s">
        <v>387</v>
      </c>
      <c r="B76" t="s">
        <v>387</v>
      </c>
      <c r="C76" s="22" t="s">
        <v>110</v>
      </c>
      <c r="D76" t="str">
        <f t="shared" si="2"/>
        <v/>
      </c>
      <c r="E76" t="str">
        <f>IF(ISNA(MATCH(B76, A:A, 0)), "Missing in A", "")</f>
        <v/>
      </c>
      <c r="F76" t="str">
        <f t="shared" si="3"/>
        <v/>
      </c>
    </row>
    <row r="77" spans="1:6" x14ac:dyDescent="0.2">
      <c r="A77" t="s">
        <v>269</v>
      </c>
      <c r="B77" t="s">
        <v>269</v>
      </c>
      <c r="C77" s="22" t="s">
        <v>225</v>
      </c>
      <c r="D77" t="str">
        <f t="shared" si="2"/>
        <v/>
      </c>
      <c r="E77" t="str">
        <f>IF(ISNA(MATCH(B77, A:A, 0)), "Missing in A", "")</f>
        <v/>
      </c>
      <c r="F77" t="str">
        <f t="shared" si="3"/>
        <v/>
      </c>
    </row>
    <row r="78" spans="1:6" x14ac:dyDescent="0.2">
      <c r="A78" t="s">
        <v>207</v>
      </c>
      <c r="B78" t="s">
        <v>207</v>
      </c>
      <c r="C78" s="22" t="s">
        <v>406</v>
      </c>
      <c r="D78" t="str">
        <f t="shared" si="2"/>
        <v/>
      </c>
      <c r="E78" t="str">
        <f>IF(ISNA(MATCH(B78, A:A, 0)), "Missing in A", "")</f>
        <v/>
      </c>
      <c r="F78" t="str">
        <f t="shared" si="3"/>
        <v/>
      </c>
    </row>
    <row r="79" spans="1:6" x14ac:dyDescent="0.2">
      <c r="A79" t="s">
        <v>445</v>
      </c>
      <c r="B79" t="s">
        <v>445</v>
      </c>
      <c r="C79" s="22" t="s">
        <v>657</v>
      </c>
      <c r="D79" t="str">
        <f t="shared" si="2"/>
        <v/>
      </c>
      <c r="E79" t="str">
        <f>IF(ISNA(MATCH(B79, A:A, 0)), "Missing in A", "")</f>
        <v/>
      </c>
      <c r="F79" t="str">
        <f t="shared" si="3"/>
        <v/>
      </c>
    </row>
    <row r="80" spans="1:6" x14ac:dyDescent="0.2">
      <c r="A80" t="s">
        <v>548</v>
      </c>
      <c r="B80" t="s">
        <v>548</v>
      </c>
      <c r="C80" s="22" t="s">
        <v>466</v>
      </c>
      <c r="D80" t="str">
        <f t="shared" si="2"/>
        <v/>
      </c>
      <c r="E80" t="str">
        <f>IF(ISNA(MATCH(B80, A:A, 0)), "Missing in A", "")</f>
        <v/>
      </c>
      <c r="F80" t="str">
        <f t="shared" si="3"/>
        <v/>
      </c>
    </row>
    <row r="81" spans="1:6" x14ac:dyDescent="0.2">
      <c r="A81" t="s">
        <v>196</v>
      </c>
      <c r="B81" t="s">
        <v>196</v>
      </c>
      <c r="C81" s="22" t="s">
        <v>308</v>
      </c>
      <c r="D81" t="str">
        <f t="shared" si="2"/>
        <v/>
      </c>
      <c r="E81" t="str">
        <f>IF(ISNA(MATCH(B81, A:A, 0)), "Missing in A", "")</f>
        <v/>
      </c>
      <c r="F81" t="str">
        <f t="shared" si="3"/>
        <v/>
      </c>
    </row>
    <row r="82" spans="1:6" x14ac:dyDescent="0.2">
      <c r="A82" t="s">
        <v>138</v>
      </c>
      <c r="B82" t="s">
        <v>138</v>
      </c>
      <c r="C82" s="22" t="s">
        <v>123</v>
      </c>
      <c r="D82" t="str">
        <f t="shared" si="2"/>
        <v/>
      </c>
      <c r="E82" t="str">
        <f>IF(ISNA(MATCH(B82, A:A, 0)), "Missing in A", "")</f>
        <v/>
      </c>
      <c r="F82" t="str">
        <f t="shared" si="3"/>
        <v/>
      </c>
    </row>
    <row r="83" spans="1:6" x14ac:dyDescent="0.2">
      <c r="A83" t="s">
        <v>440</v>
      </c>
      <c r="B83" t="s">
        <v>440</v>
      </c>
      <c r="C83" s="22" t="s">
        <v>224</v>
      </c>
      <c r="D83" t="str">
        <f t="shared" si="2"/>
        <v/>
      </c>
      <c r="E83" t="str">
        <f>IF(ISNA(MATCH(B83, A:A, 0)), "Missing in A", "")</f>
        <v/>
      </c>
      <c r="F83" t="str">
        <f t="shared" si="3"/>
        <v>Missing in C</v>
      </c>
    </row>
    <row r="84" spans="1:6" x14ac:dyDescent="0.2">
      <c r="A84" t="s">
        <v>172</v>
      </c>
      <c r="B84" t="s">
        <v>172</v>
      </c>
      <c r="C84" s="22" t="s">
        <v>485</v>
      </c>
      <c r="D84" t="str">
        <f t="shared" si="2"/>
        <v/>
      </c>
      <c r="E84" t="str">
        <f>IF(ISNA(MATCH(B84, A:A, 0)), "Missing in A", "")</f>
        <v/>
      </c>
      <c r="F84" t="str">
        <f t="shared" si="3"/>
        <v/>
      </c>
    </row>
    <row r="85" spans="1:6" x14ac:dyDescent="0.2">
      <c r="A85" t="s">
        <v>183</v>
      </c>
      <c r="B85" t="s">
        <v>183</v>
      </c>
      <c r="C85" s="22" t="s">
        <v>415</v>
      </c>
      <c r="D85" t="str">
        <f t="shared" si="2"/>
        <v/>
      </c>
      <c r="E85" t="str">
        <f>IF(ISNA(MATCH(B85, A:A, 0)), "Missing in A", "")</f>
        <v/>
      </c>
      <c r="F85" t="str">
        <f t="shared" si="3"/>
        <v/>
      </c>
    </row>
    <row r="86" spans="1:6" x14ac:dyDescent="0.2">
      <c r="A86" t="s">
        <v>110</v>
      </c>
      <c r="B86" t="s">
        <v>110</v>
      </c>
      <c r="C86" s="22" t="s">
        <v>157</v>
      </c>
      <c r="D86" t="str">
        <f t="shared" si="2"/>
        <v/>
      </c>
      <c r="E86" t="str">
        <f>IF(ISNA(MATCH(B86, A:A, 0)), "Missing in A", "")</f>
        <v/>
      </c>
      <c r="F86" t="str">
        <f t="shared" si="3"/>
        <v/>
      </c>
    </row>
    <row r="87" spans="1:6" x14ac:dyDescent="0.2">
      <c r="A87" t="s">
        <v>225</v>
      </c>
      <c r="B87" t="s">
        <v>225</v>
      </c>
      <c r="C87" s="22" t="s">
        <v>209</v>
      </c>
      <c r="D87" t="str">
        <f t="shared" si="2"/>
        <v/>
      </c>
      <c r="E87" t="str">
        <f>IF(ISNA(MATCH(B87, A:A, 0)), "Missing in A", "")</f>
        <v/>
      </c>
      <c r="F87" t="str">
        <f t="shared" si="3"/>
        <v/>
      </c>
    </row>
    <row r="88" spans="1:6" x14ac:dyDescent="0.2">
      <c r="A88" t="s">
        <v>406</v>
      </c>
      <c r="B88" t="s">
        <v>406</v>
      </c>
      <c r="C88" s="22" t="s">
        <v>330</v>
      </c>
      <c r="D88" t="str">
        <f t="shared" si="2"/>
        <v/>
      </c>
      <c r="E88" t="str">
        <f>IF(ISNA(MATCH(B88, A:A, 0)), "Missing in A", "")</f>
        <v/>
      </c>
      <c r="F88" t="str">
        <f t="shared" si="3"/>
        <v/>
      </c>
    </row>
    <row r="89" spans="1:6" x14ac:dyDescent="0.2">
      <c r="A89" t="s">
        <v>466</v>
      </c>
      <c r="B89" t="s">
        <v>466</v>
      </c>
      <c r="C89" s="22" t="s">
        <v>184</v>
      </c>
      <c r="D89" t="str">
        <f t="shared" si="2"/>
        <v/>
      </c>
      <c r="E89" t="str">
        <f>IF(ISNA(MATCH(B89, A:A, 0)), "Missing in A", "")</f>
        <v/>
      </c>
      <c r="F89" t="str">
        <f t="shared" si="3"/>
        <v/>
      </c>
    </row>
    <row r="90" spans="1:6" x14ac:dyDescent="0.2">
      <c r="A90" t="s">
        <v>308</v>
      </c>
      <c r="B90" t="s">
        <v>308</v>
      </c>
      <c r="C90" s="22" t="s">
        <v>64</v>
      </c>
      <c r="D90" t="str">
        <f t="shared" si="2"/>
        <v/>
      </c>
      <c r="E90" t="str">
        <f>IF(ISNA(MATCH(B90, A:A, 0)), "Missing in A", "")</f>
        <v/>
      </c>
      <c r="F90" t="str">
        <f t="shared" si="3"/>
        <v/>
      </c>
    </row>
    <row r="91" spans="1:6" x14ac:dyDescent="0.2">
      <c r="A91" t="s">
        <v>566</v>
      </c>
      <c r="B91" t="s">
        <v>566</v>
      </c>
      <c r="C91" s="22" t="s">
        <v>486</v>
      </c>
      <c r="D91" t="str">
        <f t="shared" si="2"/>
        <v/>
      </c>
      <c r="E91" t="str">
        <f>IF(ISNA(MATCH(B91, A:A, 0)), "Missing in A", "")</f>
        <v/>
      </c>
      <c r="F91" t="str">
        <f t="shared" si="3"/>
        <v>Missing in C</v>
      </c>
    </row>
    <row r="92" spans="1:6" x14ac:dyDescent="0.2">
      <c r="A92" t="s">
        <v>496</v>
      </c>
      <c r="B92" t="s">
        <v>496</v>
      </c>
      <c r="C92" s="22" t="s">
        <v>155</v>
      </c>
      <c r="D92" t="str">
        <f t="shared" si="2"/>
        <v/>
      </c>
      <c r="E92" t="str">
        <f>IF(ISNA(MATCH(B92, A:A, 0)), "Missing in A", "")</f>
        <v/>
      </c>
      <c r="F92" t="str">
        <f t="shared" si="3"/>
        <v>Missing in C</v>
      </c>
    </row>
    <row r="93" spans="1:6" x14ac:dyDescent="0.2">
      <c r="A93" t="s">
        <v>536</v>
      </c>
      <c r="B93" t="s">
        <v>536</v>
      </c>
      <c r="C93" s="22" t="s">
        <v>380</v>
      </c>
      <c r="D93" t="str">
        <f t="shared" si="2"/>
        <v/>
      </c>
      <c r="E93" t="str">
        <f>IF(ISNA(MATCH(B93, A:A, 0)), "Missing in A", "")</f>
        <v/>
      </c>
      <c r="F93" t="str">
        <f t="shared" si="3"/>
        <v>Missing in C</v>
      </c>
    </row>
    <row r="94" spans="1:6" x14ac:dyDescent="0.2">
      <c r="A94" t="s">
        <v>123</v>
      </c>
      <c r="B94" t="s">
        <v>123</v>
      </c>
      <c r="C94" s="22" t="s">
        <v>658</v>
      </c>
      <c r="D94" t="str">
        <f t="shared" si="2"/>
        <v/>
      </c>
      <c r="E94" t="str">
        <f>IF(ISNA(MATCH(B94, A:A, 0)), "Missing in A", "")</f>
        <v/>
      </c>
      <c r="F94" t="str">
        <f t="shared" si="3"/>
        <v/>
      </c>
    </row>
    <row r="95" spans="1:6" x14ac:dyDescent="0.2">
      <c r="A95" t="s">
        <v>224</v>
      </c>
      <c r="B95" t="s">
        <v>224</v>
      </c>
      <c r="C95" s="22" t="s">
        <v>431</v>
      </c>
      <c r="D95" t="str">
        <f t="shared" si="2"/>
        <v/>
      </c>
      <c r="E95" t="str">
        <f>IF(ISNA(MATCH(B95, A:A, 0)), "Missing in A", "")</f>
        <v/>
      </c>
      <c r="F95" t="str">
        <f t="shared" si="3"/>
        <v/>
      </c>
    </row>
    <row r="96" spans="1:6" x14ac:dyDescent="0.2">
      <c r="A96" t="s">
        <v>485</v>
      </c>
      <c r="B96" t="s">
        <v>485</v>
      </c>
      <c r="C96" s="22" t="s">
        <v>429</v>
      </c>
      <c r="D96" t="str">
        <f t="shared" si="2"/>
        <v/>
      </c>
      <c r="E96" t="str">
        <f>IF(ISNA(MATCH(B96, A:A, 0)), "Missing in A", "")</f>
        <v/>
      </c>
      <c r="F96" t="str">
        <f t="shared" si="3"/>
        <v/>
      </c>
    </row>
    <row r="97" spans="1:6" x14ac:dyDescent="0.2">
      <c r="A97" t="s">
        <v>415</v>
      </c>
      <c r="B97" t="s">
        <v>415</v>
      </c>
      <c r="C97" s="22" t="s">
        <v>476</v>
      </c>
      <c r="D97" t="str">
        <f t="shared" si="2"/>
        <v/>
      </c>
      <c r="E97" t="str">
        <f>IF(ISNA(MATCH(B97, A:A, 0)), "Missing in A", "")</f>
        <v/>
      </c>
      <c r="F97" t="str">
        <f t="shared" si="3"/>
        <v/>
      </c>
    </row>
    <row r="98" spans="1:6" x14ac:dyDescent="0.2">
      <c r="A98" t="s">
        <v>534</v>
      </c>
      <c r="B98" t="s">
        <v>534</v>
      </c>
      <c r="C98" s="22" t="s">
        <v>83</v>
      </c>
      <c r="D98" t="str">
        <f t="shared" si="2"/>
        <v/>
      </c>
      <c r="E98" t="str">
        <f>IF(ISNA(MATCH(B98, A:A, 0)), "Missing in A", "")</f>
        <v/>
      </c>
      <c r="F98" t="str">
        <f t="shared" si="3"/>
        <v>Missing in C</v>
      </c>
    </row>
    <row r="99" spans="1:6" x14ac:dyDescent="0.2">
      <c r="A99" t="s">
        <v>533</v>
      </c>
      <c r="B99" t="s">
        <v>533</v>
      </c>
      <c r="C99" s="22" t="s">
        <v>660</v>
      </c>
      <c r="D99" t="str">
        <f t="shared" si="2"/>
        <v/>
      </c>
      <c r="E99" t="str">
        <f>IF(ISNA(MATCH(B99, A:A, 0)), "Missing in A", "")</f>
        <v/>
      </c>
      <c r="F99" t="str">
        <f t="shared" si="3"/>
        <v>Missing in C</v>
      </c>
    </row>
    <row r="100" spans="1:6" x14ac:dyDescent="0.2">
      <c r="A100" t="s">
        <v>157</v>
      </c>
      <c r="B100" t="s">
        <v>157</v>
      </c>
      <c r="C100" s="22" t="s">
        <v>370</v>
      </c>
      <c r="D100" t="str">
        <f t="shared" si="2"/>
        <v/>
      </c>
      <c r="E100" t="str">
        <f>IF(ISNA(MATCH(B100, A:A, 0)), "Missing in A", "")</f>
        <v/>
      </c>
      <c r="F100" t="str">
        <f t="shared" si="3"/>
        <v/>
      </c>
    </row>
    <row r="101" spans="1:6" x14ac:dyDescent="0.2">
      <c r="A101" t="s">
        <v>554</v>
      </c>
      <c r="B101" t="s">
        <v>554</v>
      </c>
      <c r="C101" s="22" t="s">
        <v>249</v>
      </c>
      <c r="D101" t="str">
        <f t="shared" si="2"/>
        <v/>
      </c>
      <c r="E101" t="str">
        <f>IF(ISNA(MATCH(B101, A:A, 0)), "Missing in A", "")</f>
        <v/>
      </c>
      <c r="F101" t="str">
        <f t="shared" si="3"/>
        <v>Missing in C</v>
      </c>
    </row>
    <row r="102" spans="1:6" x14ac:dyDescent="0.2">
      <c r="A102" t="s">
        <v>209</v>
      </c>
      <c r="B102" t="s">
        <v>209</v>
      </c>
      <c r="C102" s="22" t="s">
        <v>653</v>
      </c>
      <c r="D102" t="str">
        <f t="shared" si="2"/>
        <v/>
      </c>
      <c r="E102" t="str">
        <f>IF(ISNA(MATCH(B102, A:A, 0)), "Missing in A", "")</f>
        <v/>
      </c>
      <c r="F102" t="str">
        <f t="shared" si="3"/>
        <v/>
      </c>
    </row>
    <row r="103" spans="1:6" x14ac:dyDescent="0.2">
      <c r="A103" t="s">
        <v>330</v>
      </c>
      <c r="B103" t="s">
        <v>330</v>
      </c>
      <c r="C103" s="22" t="s">
        <v>488</v>
      </c>
      <c r="D103" t="str">
        <f t="shared" si="2"/>
        <v/>
      </c>
      <c r="E103" t="str">
        <f>IF(ISNA(MATCH(B103, A:A, 0)), "Missing in A", "")</f>
        <v/>
      </c>
      <c r="F103" t="str">
        <f t="shared" si="3"/>
        <v/>
      </c>
    </row>
    <row r="104" spans="1:6" x14ac:dyDescent="0.2">
      <c r="A104" t="s">
        <v>184</v>
      </c>
      <c r="B104" t="s">
        <v>184</v>
      </c>
      <c r="C104" s="22" t="s">
        <v>36</v>
      </c>
      <c r="D104" t="str">
        <f t="shared" si="2"/>
        <v/>
      </c>
      <c r="E104" t="str">
        <f>IF(ISNA(MATCH(B104, A:A, 0)), "Missing in A", "")</f>
        <v/>
      </c>
      <c r="F104" t="str">
        <f t="shared" si="3"/>
        <v/>
      </c>
    </row>
    <row r="105" spans="1:6" x14ac:dyDescent="0.2">
      <c r="A105" t="s">
        <v>64</v>
      </c>
      <c r="B105" t="s">
        <v>64</v>
      </c>
      <c r="C105" s="22" t="s">
        <v>160</v>
      </c>
      <c r="D105" t="str">
        <f t="shared" si="2"/>
        <v/>
      </c>
      <c r="E105" t="str">
        <f>IF(ISNA(MATCH(B105, A:A, 0)), "Missing in A", "")</f>
        <v/>
      </c>
      <c r="F105" t="str">
        <f t="shared" si="3"/>
        <v/>
      </c>
    </row>
    <row r="106" spans="1:6" x14ac:dyDescent="0.2">
      <c r="A106" t="s">
        <v>486</v>
      </c>
      <c r="B106" t="s">
        <v>486</v>
      </c>
      <c r="C106" s="22" t="s">
        <v>389</v>
      </c>
      <c r="D106" t="str">
        <f t="shared" si="2"/>
        <v/>
      </c>
      <c r="E106" t="str">
        <f>IF(ISNA(MATCH(B106, A:A, 0)), "Missing in A", "")</f>
        <v/>
      </c>
      <c r="F106" t="str">
        <f t="shared" si="3"/>
        <v/>
      </c>
    </row>
    <row r="107" spans="1:6" x14ac:dyDescent="0.2">
      <c r="A107" t="s">
        <v>155</v>
      </c>
      <c r="B107" t="s">
        <v>155</v>
      </c>
      <c r="C107" s="22" t="s">
        <v>348</v>
      </c>
      <c r="D107" t="str">
        <f t="shared" si="2"/>
        <v/>
      </c>
      <c r="E107" t="str">
        <f>IF(ISNA(MATCH(B107, A:A, 0)), "Missing in A", "")</f>
        <v/>
      </c>
      <c r="F107" t="str">
        <f t="shared" si="3"/>
        <v/>
      </c>
    </row>
    <row r="108" spans="1:6" x14ac:dyDescent="0.2">
      <c r="A108" t="s">
        <v>380</v>
      </c>
      <c r="B108" t="s">
        <v>380</v>
      </c>
      <c r="C108" s="22" t="s">
        <v>199</v>
      </c>
      <c r="D108" t="str">
        <f t="shared" si="2"/>
        <v/>
      </c>
      <c r="E108" t="str">
        <f>IF(ISNA(MATCH(B108, A:A, 0)), "Missing in A", "")</f>
        <v/>
      </c>
      <c r="F108" t="str">
        <f t="shared" si="3"/>
        <v/>
      </c>
    </row>
    <row r="109" spans="1:6" x14ac:dyDescent="0.2">
      <c r="A109" t="s">
        <v>560</v>
      </c>
      <c r="B109" t="s">
        <v>560</v>
      </c>
      <c r="C109" s="22" t="s">
        <v>449</v>
      </c>
      <c r="D109" t="str">
        <f t="shared" si="2"/>
        <v/>
      </c>
      <c r="E109" t="str">
        <f>IF(ISNA(MATCH(B109, A:A, 0)), "Missing in A", "")</f>
        <v/>
      </c>
      <c r="F109" t="str">
        <f t="shared" si="3"/>
        <v>Missing in C</v>
      </c>
    </row>
    <row r="110" spans="1:6" x14ac:dyDescent="0.2">
      <c r="A110" t="s">
        <v>431</v>
      </c>
      <c r="B110" t="s">
        <v>431</v>
      </c>
      <c r="C110" s="22" t="s">
        <v>285</v>
      </c>
      <c r="D110" t="str">
        <f t="shared" si="2"/>
        <v/>
      </c>
      <c r="E110" t="str">
        <f>IF(ISNA(MATCH(B110, A:A, 0)), "Missing in A", "")</f>
        <v/>
      </c>
      <c r="F110" t="str">
        <f t="shared" si="3"/>
        <v/>
      </c>
    </row>
    <row r="111" spans="1:6" x14ac:dyDescent="0.2">
      <c r="A111" t="s">
        <v>429</v>
      </c>
      <c r="B111" t="s">
        <v>429</v>
      </c>
      <c r="C111" s="22" t="s">
        <v>407</v>
      </c>
      <c r="D111" t="str">
        <f t="shared" si="2"/>
        <v/>
      </c>
      <c r="E111" t="str">
        <f>IF(ISNA(MATCH(B111, A:A, 0)), "Missing in A", "")</f>
        <v/>
      </c>
      <c r="F111" t="str">
        <f t="shared" si="3"/>
        <v/>
      </c>
    </row>
    <row r="112" spans="1:6" x14ac:dyDescent="0.2">
      <c r="A112" t="s">
        <v>476</v>
      </c>
      <c r="B112" t="s">
        <v>476</v>
      </c>
      <c r="C112" s="22" t="s">
        <v>88</v>
      </c>
      <c r="D112" t="str">
        <f t="shared" si="2"/>
        <v/>
      </c>
      <c r="E112" t="str">
        <f>IF(ISNA(MATCH(B112, A:A, 0)), "Missing in A", "")</f>
        <v/>
      </c>
      <c r="F112" t="str">
        <f t="shared" si="3"/>
        <v/>
      </c>
    </row>
    <row r="113" spans="1:6" x14ac:dyDescent="0.2">
      <c r="A113" t="s">
        <v>83</v>
      </c>
      <c r="B113" t="s">
        <v>83</v>
      </c>
      <c r="C113" s="22" t="s">
        <v>169</v>
      </c>
      <c r="D113" t="str">
        <f t="shared" si="2"/>
        <v/>
      </c>
      <c r="E113" t="str">
        <f>IF(ISNA(MATCH(B113, A:A, 0)), "Missing in A", "")</f>
        <v/>
      </c>
      <c r="F113" t="str">
        <f t="shared" si="3"/>
        <v/>
      </c>
    </row>
    <row r="114" spans="1:6" x14ac:dyDescent="0.2">
      <c r="A114" t="s">
        <v>535</v>
      </c>
      <c r="B114" t="s">
        <v>535</v>
      </c>
      <c r="C114" s="22" t="s">
        <v>112</v>
      </c>
      <c r="D114" t="str">
        <f t="shared" si="2"/>
        <v/>
      </c>
      <c r="E114" t="str">
        <f>IF(ISNA(MATCH(B114, A:A, 0)), "Missing in A", "")</f>
        <v/>
      </c>
      <c r="F114" t="str">
        <f t="shared" si="3"/>
        <v>Missing in C</v>
      </c>
    </row>
    <row r="115" spans="1:6" x14ac:dyDescent="0.2">
      <c r="A115" t="s">
        <v>370</v>
      </c>
      <c r="B115" t="s">
        <v>370</v>
      </c>
      <c r="C115" s="22" t="s">
        <v>256</v>
      </c>
      <c r="D115" t="str">
        <f t="shared" si="2"/>
        <v/>
      </c>
      <c r="E115" t="str">
        <f>IF(ISNA(MATCH(B115, A:A, 0)), "Missing in A", "")</f>
        <v/>
      </c>
      <c r="F115" t="str">
        <f t="shared" si="3"/>
        <v/>
      </c>
    </row>
    <row r="116" spans="1:6" x14ac:dyDescent="0.2">
      <c r="A116" t="s">
        <v>249</v>
      </c>
      <c r="B116" t="s">
        <v>249</v>
      </c>
      <c r="C116" s="22" t="s">
        <v>188</v>
      </c>
      <c r="D116" t="str">
        <f t="shared" si="2"/>
        <v/>
      </c>
      <c r="E116" t="str">
        <f>IF(ISNA(MATCH(B116, A:A, 0)), "Missing in A", "")</f>
        <v/>
      </c>
      <c r="F116" t="str">
        <f t="shared" si="3"/>
        <v/>
      </c>
    </row>
    <row r="117" spans="1:6" x14ac:dyDescent="0.2">
      <c r="A117" t="s">
        <v>488</v>
      </c>
      <c r="B117" t="s">
        <v>488</v>
      </c>
      <c r="C117" s="22" t="s">
        <v>108</v>
      </c>
      <c r="D117" t="str">
        <f t="shared" si="2"/>
        <v/>
      </c>
      <c r="E117" t="str">
        <f>IF(ISNA(MATCH(B117, A:A, 0)), "Missing in A", "")</f>
        <v/>
      </c>
      <c r="F117" t="str">
        <f t="shared" si="3"/>
        <v/>
      </c>
    </row>
    <row r="118" spans="1:6" x14ac:dyDescent="0.2">
      <c r="A118" t="s">
        <v>36</v>
      </c>
      <c r="B118" t="s">
        <v>36</v>
      </c>
      <c r="C118" s="22" t="s">
        <v>194</v>
      </c>
      <c r="D118" t="str">
        <f t="shared" si="2"/>
        <v/>
      </c>
      <c r="E118" t="str">
        <f>IF(ISNA(MATCH(B118, A:A, 0)), "Missing in A", "")</f>
        <v/>
      </c>
      <c r="F118" t="str">
        <f t="shared" si="3"/>
        <v/>
      </c>
    </row>
    <row r="119" spans="1:6" x14ac:dyDescent="0.2">
      <c r="A119" t="s">
        <v>160</v>
      </c>
      <c r="B119" t="s">
        <v>160</v>
      </c>
      <c r="C119" s="22" t="s">
        <v>53</v>
      </c>
      <c r="D119" t="str">
        <f t="shared" si="2"/>
        <v/>
      </c>
      <c r="E119" t="str">
        <f>IF(ISNA(MATCH(B119, A:A, 0)), "Missing in A", "")</f>
        <v/>
      </c>
      <c r="F119" t="str">
        <f t="shared" si="3"/>
        <v/>
      </c>
    </row>
    <row r="120" spans="1:6" x14ac:dyDescent="0.2">
      <c r="A120" t="s">
        <v>389</v>
      </c>
      <c r="B120" t="s">
        <v>389</v>
      </c>
      <c r="C120" s="22" t="s">
        <v>656</v>
      </c>
      <c r="D120" t="str">
        <f t="shared" si="2"/>
        <v/>
      </c>
      <c r="E120" t="str">
        <f>IF(ISNA(MATCH(B120, A:A, 0)), "Missing in A", "")</f>
        <v/>
      </c>
      <c r="F120" t="str">
        <f t="shared" si="3"/>
        <v/>
      </c>
    </row>
    <row r="121" spans="1:6" x14ac:dyDescent="0.2">
      <c r="A121" t="s">
        <v>348</v>
      </c>
      <c r="B121" t="s">
        <v>348</v>
      </c>
      <c r="C121" s="22" t="s">
        <v>282</v>
      </c>
      <c r="D121" t="str">
        <f t="shared" si="2"/>
        <v/>
      </c>
      <c r="E121" t="str">
        <f>IF(ISNA(MATCH(B121, A:A, 0)), "Missing in A", "")</f>
        <v/>
      </c>
      <c r="F121" t="str">
        <f t="shared" si="3"/>
        <v/>
      </c>
    </row>
    <row r="122" spans="1:6" x14ac:dyDescent="0.2">
      <c r="A122" t="s">
        <v>199</v>
      </c>
      <c r="B122" t="s">
        <v>199</v>
      </c>
      <c r="C122" s="22" t="s">
        <v>662</v>
      </c>
      <c r="D122" t="str">
        <f t="shared" si="2"/>
        <v/>
      </c>
      <c r="E122" t="str">
        <f>IF(ISNA(MATCH(B122, A:A, 0)), "Missing in A", "")</f>
        <v/>
      </c>
      <c r="F122" t="str">
        <f t="shared" si="3"/>
        <v/>
      </c>
    </row>
    <row r="123" spans="1:6" x14ac:dyDescent="0.2">
      <c r="A123" t="s">
        <v>449</v>
      </c>
      <c r="B123" t="s">
        <v>449</v>
      </c>
      <c r="C123" s="22" t="s">
        <v>679</v>
      </c>
      <c r="D123" t="str">
        <f t="shared" si="2"/>
        <v/>
      </c>
      <c r="E123" t="str">
        <f>IF(ISNA(MATCH(B123, A:A, 0)), "Missing in A", "")</f>
        <v/>
      </c>
      <c r="F123" t="str">
        <f t="shared" si="3"/>
        <v/>
      </c>
    </row>
    <row r="124" spans="1:6" x14ac:dyDescent="0.2">
      <c r="A124" t="s">
        <v>285</v>
      </c>
      <c r="B124" t="s">
        <v>285</v>
      </c>
      <c r="C124" s="22" t="s">
        <v>150</v>
      </c>
      <c r="D124" t="str">
        <f t="shared" si="2"/>
        <v/>
      </c>
      <c r="E124" t="str">
        <f>IF(ISNA(MATCH(B124, A:A, 0)), "Missing in A", "")</f>
        <v/>
      </c>
      <c r="F124" t="str">
        <f t="shared" si="3"/>
        <v/>
      </c>
    </row>
    <row r="125" spans="1:6" x14ac:dyDescent="0.2">
      <c r="A125" t="s">
        <v>407</v>
      </c>
      <c r="B125" t="s">
        <v>407</v>
      </c>
      <c r="C125" s="22" t="s">
        <v>404</v>
      </c>
      <c r="D125" t="str">
        <f t="shared" si="2"/>
        <v/>
      </c>
      <c r="E125" t="str">
        <f>IF(ISNA(MATCH(B125, A:A, 0)), "Missing in A", "")</f>
        <v/>
      </c>
      <c r="F125" t="str">
        <f t="shared" si="3"/>
        <v/>
      </c>
    </row>
    <row r="126" spans="1:6" x14ac:dyDescent="0.2">
      <c r="A126" t="s">
        <v>88</v>
      </c>
      <c r="B126" t="s">
        <v>88</v>
      </c>
      <c r="C126" s="22" t="s">
        <v>78</v>
      </c>
      <c r="D126" t="str">
        <f t="shared" si="2"/>
        <v/>
      </c>
      <c r="E126" t="str">
        <f>IF(ISNA(MATCH(B126, A:A, 0)), "Missing in A", "")</f>
        <v/>
      </c>
      <c r="F126" t="str">
        <f t="shared" si="3"/>
        <v/>
      </c>
    </row>
    <row r="127" spans="1:6" x14ac:dyDescent="0.2">
      <c r="A127" t="s">
        <v>169</v>
      </c>
      <c r="B127" t="s">
        <v>169</v>
      </c>
      <c r="C127" s="22" t="s">
        <v>339</v>
      </c>
      <c r="D127" t="str">
        <f t="shared" si="2"/>
        <v/>
      </c>
      <c r="E127" t="str">
        <f>IF(ISNA(MATCH(B127, A:A, 0)), "Missing in A", "")</f>
        <v/>
      </c>
      <c r="F127" t="str">
        <f t="shared" si="3"/>
        <v/>
      </c>
    </row>
    <row r="128" spans="1:6" x14ac:dyDescent="0.2">
      <c r="A128" t="s">
        <v>112</v>
      </c>
      <c r="B128" t="s">
        <v>112</v>
      </c>
      <c r="C128" s="22" t="s">
        <v>56</v>
      </c>
      <c r="D128" t="str">
        <f t="shared" si="2"/>
        <v/>
      </c>
      <c r="E128" t="str">
        <f>IF(ISNA(MATCH(B128, A:A, 0)), "Missing in A", "")</f>
        <v/>
      </c>
      <c r="F128" t="str">
        <f t="shared" si="3"/>
        <v/>
      </c>
    </row>
    <row r="129" spans="1:6" x14ac:dyDescent="0.2">
      <c r="A129" t="s">
        <v>256</v>
      </c>
      <c r="B129" t="s">
        <v>256</v>
      </c>
      <c r="C129" s="22" t="s">
        <v>234</v>
      </c>
      <c r="D129" t="str">
        <f t="shared" si="2"/>
        <v/>
      </c>
      <c r="E129" t="str">
        <f>IF(ISNA(MATCH(B129, A:A, 0)), "Missing in A", "")</f>
        <v/>
      </c>
      <c r="F129" t="str">
        <f t="shared" si="3"/>
        <v/>
      </c>
    </row>
    <row r="130" spans="1:6" x14ac:dyDescent="0.2">
      <c r="A130" t="s">
        <v>188</v>
      </c>
      <c r="B130" t="s">
        <v>188</v>
      </c>
      <c r="C130" s="22" t="s">
        <v>261</v>
      </c>
      <c r="D130" t="str">
        <f t="shared" si="2"/>
        <v/>
      </c>
      <c r="E130" t="str">
        <f>IF(ISNA(MATCH(B130, A:A, 0)), "Missing in A", "")</f>
        <v/>
      </c>
      <c r="F130" t="str">
        <f t="shared" si="3"/>
        <v/>
      </c>
    </row>
    <row r="131" spans="1:6" x14ac:dyDescent="0.2">
      <c r="A131" t="s">
        <v>108</v>
      </c>
      <c r="B131" t="s">
        <v>108</v>
      </c>
      <c r="C131" s="22" t="s">
        <v>382</v>
      </c>
      <c r="D131" t="str">
        <f t="shared" ref="D131:D194" si="4">IF(ISNA(MATCH(A131, B:B, 0)), "Missing in A", "")</f>
        <v/>
      </c>
      <c r="E131" t="str">
        <f>IF(ISNA(MATCH(B131, A:A, 0)), "Missing in A", "")</f>
        <v/>
      </c>
      <c r="F131" t="str">
        <f t="shared" ref="F131:F194" si="5">IF(ISNA(MATCH(A131,C:C, 0)), "Missing in C", "")</f>
        <v/>
      </c>
    </row>
    <row r="132" spans="1:6" x14ac:dyDescent="0.2">
      <c r="A132" t="s">
        <v>194</v>
      </c>
      <c r="B132" t="s">
        <v>194</v>
      </c>
      <c r="C132" s="22" t="s">
        <v>240</v>
      </c>
      <c r="D132" t="str">
        <f t="shared" si="4"/>
        <v/>
      </c>
      <c r="E132" t="str">
        <f>IF(ISNA(MATCH(B132, A:A, 0)), "Missing in A", "")</f>
        <v/>
      </c>
      <c r="F132" t="str">
        <f t="shared" si="5"/>
        <v/>
      </c>
    </row>
    <row r="133" spans="1:6" x14ac:dyDescent="0.2">
      <c r="A133" t="s">
        <v>53</v>
      </c>
      <c r="B133" t="s">
        <v>53</v>
      </c>
      <c r="C133" s="22" t="s">
        <v>353</v>
      </c>
      <c r="D133" t="str">
        <f t="shared" si="4"/>
        <v/>
      </c>
      <c r="E133" t="str">
        <f>IF(ISNA(MATCH(B133, A:A, 0)), "Missing in A", "")</f>
        <v/>
      </c>
      <c r="F133" t="str">
        <f t="shared" si="5"/>
        <v/>
      </c>
    </row>
    <row r="134" spans="1:6" x14ac:dyDescent="0.2">
      <c r="A134" t="s">
        <v>282</v>
      </c>
      <c r="B134" t="s">
        <v>282</v>
      </c>
      <c r="C134" s="22" t="s">
        <v>666</v>
      </c>
      <c r="D134" t="str">
        <f t="shared" si="4"/>
        <v/>
      </c>
      <c r="E134" t="str">
        <f>IF(ISNA(MATCH(B134, A:A, 0)), "Missing in A", "")</f>
        <v/>
      </c>
      <c r="F134" t="str">
        <f t="shared" si="5"/>
        <v/>
      </c>
    </row>
    <row r="135" spans="1:6" x14ac:dyDescent="0.2">
      <c r="A135" t="s">
        <v>150</v>
      </c>
      <c r="B135" t="s">
        <v>150</v>
      </c>
      <c r="C135" s="22" t="s">
        <v>198</v>
      </c>
      <c r="D135" t="str">
        <f t="shared" si="4"/>
        <v/>
      </c>
      <c r="E135" t="str">
        <f>IF(ISNA(MATCH(B135, A:A, 0)), "Missing in A", "")</f>
        <v/>
      </c>
      <c r="F135" t="str">
        <f t="shared" si="5"/>
        <v/>
      </c>
    </row>
    <row r="136" spans="1:6" x14ac:dyDescent="0.2">
      <c r="A136" t="s">
        <v>404</v>
      </c>
      <c r="B136" t="s">
        <v>404</v>
      </c>
      <c r="C136" s="22" t="s">
        <v>447</v>
      </c>
      <c r="D136" t="str">
        <f t="shared" si="4"/>
        <v/>
      </c>
      <c r="E136" t="str">
        <f>IF(ISNA(MATCH(B136, A:A, 0)), "Missing in A", "")</f>
        <v/>
      </c>
      <c r="F136" t="str">
        <f t="shared" si="5"/>
        <v/>
      </c>
    </row>
    <row r="137" spans="1:6" x14ac:dyDescent="0.2">
      <c r="A137" t="s">
        <v>78</v>
      </c>
      <c r="B137" t="s">
        <v>78</v>
      </c>
      <c r="C137" s="22" t="s">
        <v>434</v>
      </c>
      <c r="D137" t="str">
        <f t="shared" si="4"/>
        <v/>
      </c>
      <c r="E137" t="str">
        <f>IF(ISNA(MATCH(B137, A:A, 0)), "Missing in A", "")</f>
        <v/>
      </c>
      <c r="F137" t="str">
        <f t="shared" si="5"/>
        <v/>
      </c>
    </row>
    <row r="138" spans="1:6" x14ac:dyDescent="0.2">
      <c r="A138" t="s">
        <v>552</v>
      </c>
      <c r="B138" t="s">
        <v>552</v>
      </c>
      <c r="C138" s="22" t="s">
        <v>146</v>
      </c>
      <c r="D138" t="str">
        <f t="shared" si="4"/>
        <v/>
      </c>
      <c r="E138" t="str">
        <f>IF(ISNA(MATCH(B138, A:A, 0)), "Missing in A", "")</f>
        <v/>
      </c>
      <c r="F138" t="str">
        <f t="shared" si="5"/>
        <v>Missing in C</v>
      </c>
    </row>
    <row r="139" spans="1:6" x14ac:dyDescent="0.2">
      <c r="A139" t="s">
        <v>339</v>
      </c>
      <c r="B139" t="s">
        <v>339</v>
      </c>
      <c r="C139" s="22" t="s">
        <v>487</v>
      </c>
      <c r="D139" t="str">
        <f t="shared" si="4"/>
        <v/>
      </c>
      <c r="E139" t="str">
        <f>IF(ISNA(MATCH(B139, A:A, 0)), "Missing in A", "")</f>
        <v/>
      </c>
      <c r="F139" t="str">
        <f t="shared" si="5"/>
        <v/>
      </c>
    </row>
    <row r="140" spans="1:6" x14ac:dyDescent="0.2">
      <c r="A140" t="s">
        <v>56</v>
      </c>
      <c r="B140" t="s">
        <v>56</v>
      </c>
      <c r="C140" s="22" t="s">
        <v>672</v>
      </c>
      <c r="D140" t="str">
        <f t="shared" si="4"/>
        <v/>
      </c>
      <c r="E140" t="str">
        <f>IF(ISNA(MATCH(B140, A:A, 0)), "Missing in A", "")</f>
        <v/>
      </c>
      <c r="F140" t="str">
        <f t="shared" si="5"/>
        <v/>
      </c>
    </row>
    <row r="141" spans="1:6" x14ac:dyDescent="0.2">
      <c r="A141" t="s">
        <v>234</v>
      </c>
      <c r="B141" t="s">
        <v>234</v>
      </c>
      <c r="C141" s="22" t="s">
        <v>367</v>
      </c>
      <c r="D141" t="str">
        <f t="shared" si="4"/>
        <v/>
      </c>
      <c r="E141" t="str">
        <f>IF(ISNA(MATCH(B141, A:A, 0)), "Missing in A", "")</f>
        <v/>
      </c>
      <c r="F141" t="str">
        <f t="shared" si="5"/>
        <v/>
      </c>
    </row>
    <row r="142" spans="1:6" x14ac:dyDescent="0.2">
      <c r="A142" t="s">
        <v>261</v>
      </c>
      <c r="B142" t="s">
        <v>261</v>
      </c>
      <c r="C142" s="22" t="s">
        <v>96</v>
      </c>
      <c r="D142" t="str">
        <f t="shared" si="4"/>
        <v/>
      </c>
      <c r="E142" t="str">
        <f>IF(ISNA(MATCH(B142, A:A, 0)), "Missing in A", "")</f>
        <v/>
      </c>
      <c r="F142" t="str">
        <f t="shared" si="5"/>
        <v/>
      </c>
    </row>
    <row r="143" spans="1:6" x14ac:dyDescent="0.2">
      <c r="A143" t="s">
        <v>382</v>
      </c>
      <c r="B143" t="s">
        <v>382</v>
      </c>
      <c r="C143" s="22" t="s">
        <v>47</v>
      </c>
      <c r="D143" t="str">
        <f t="shared" si="4"/>
        <v/>
      </c>
      <c r="E143" t="str">
        <f>IF(ISNA(MATCH(B143, A:A, 0)), "Missing in A", "")</f>
        <v/>
      </c>
      <c r="F143" t="str">
        <f t="shared" si="5"/>
        <v/>
      </c>
    </row>
    <row r="144" spans="1:6" x14ac:dyDescent="0.2">
      <c r="A144" t="s">
        <v>240</v>
      </c>
      <c r="B144" t="s">
        <v>240</v>
      </c>
      <c r="C144" s="22" t="s">
        <v>127</v>
      </c>
      <c r="D144" t="str">
        <f t="shared" si="4"/>
        <v/>
      </c>
      <c r="E144" t="str">
        <f>IF(ISNA(MATCH(B144, A:A, 0)), "Missing in A", "")</f>
        <v/>
      </c>
      <c r="F144" t="str">
        <f t="shared" si="5"/>
        <v/>
      </c>
    </row>
    <row r="145" spans="1:6" x14ac:dyDescent="0.2">
      <c r="A145" t="s">
        <v>353</v>
      </c>
      <c r="B145" t="s">
        <v>353</v>
      </c>
      <c r="C145" s="22" t="s">
        <v>351</v>
      </c>
      <c r="D145" t="str">
        <f t="shared" si="4"/>
        <v/>
      </c>
      <c r="E145" t="str">
        <f>IF(ISNA(MATCH(B145, A:A, 0)), "Missing in A", "")</f>
        <v/>
      </c>
      <c r="F145" t="str">
        <f t="shared" si="5"/>
        <v/>
      </c>
    </row>
    <row r="146" spans="1:6" x14ac:dyDescent="0.2">
      <c r="A146" t="s">
        <v>467</v>
      </c>
      <c r="B146" t="s">
        <v>467</v>
      </c>
      <c r="C146" s="22" t="s">
        <v>521</v>
      </c>
      <c r="D146" t="str">
        <f t="shared" si="4"/>
        <v/>
      </c>
      <c r="E146" t="str">
        <f>IF(ISNA(MATCH(B146, A:A, 0)), "Missing in A", "")</f>
        <v/>
      </c>
      <c r="F146" t="str">
        <f t="shared" si="5"/>
        <v>Missing in C</v>
      </c>
    </row>
    <row r="147" spans="1:6" x14ac:dyDescent="0.2">
      <c r="A147" t="s">
        <v>400</v>
      </c>
      <c r="B147" t="s">
        <v>400</v>
      </c>
      <c r="C147" s="22" t="s">
        <v>280</v>
      </c>
      <c r="D147" t="str">
        <f t="shared" si="4"/>
        <v/>
      </c>
      <c r="E147" t="str">
        <f>IF(ISNA(MATCH(B147, A:A, 0)), "Missing in A", "")</f>
        <v/>
      </c>
      <c r="F147" t="str">
        <f t="shared" si="5"/>
        <v>Missing in C</v>
      </c>
    </row>
    <row r="148" spans="1:6" x14ac:dyDescent="0.2">
      <c r="A148" t="s">
        <v>198</v>
      </c>
      <c r="B148" t="s">
        <v>198</v>
      </c>
      <c r="C148" s="22" t="s">
        <v>378</v>
      </c>
      <c r="D148" t="str">
        <f t="shared" si="4"/>
        <v/>
      </c>
      <c r="E148" t="str">
        <f>IF(ISNA(MATCH(B148, A:A, 0)), "Missing in A", "")</f>
        <v/>
      </c>
      <c r="F148" t="str">
        <f t="shared" si="5"/>
        <v/>
      </c>
    </row>
    <row r="149" spans="1:6" x14ac:dyDescent="0.2">
      <c r="A149" t="s">
        <v>447</v>
      </c>
      <c r="B149" t="s">
        <v>447</v>
      </c>
      <c r="C149" s="22" t="s">
        <v>321</v>
      </c>
      <c r="D149" t="str">
        <f t="shared" si="4"/>
        <v/>
      </c>
      <c r="E149" t="str">
        <f>IF(ISNA(MATCH(B149, A:A, 0)), "Missing in A", "")</f>
        <v/>
      </c>
      <c r="F149" t="str">
        <f t="shared" si="5"/>
        <v/>
      </c>
    </row>
    <row r="150" spans="1:6" x14ac:dyDescent="0.2">
      <c r="A150" t="s">
        <v>434</v>
      </c>
      <c r="B150" t="s">
        <v>434</v>
      </c>
      <c r="C150" s="22" t="s">
        <v>228</v>
      </c>
      <c r="D150" t="str">
        <f t="shared" si="4"/>
        <v/>
      </c>
      <c r="E150" t="str">
        <f>IF(ISNA(MATCH(B150, A:A, 0)), "Missing in A", "")</f>
        <v/>
      </c>
      <c r="F150" t="str">
        <f t="shared" si="5"/>
        <v/>
      </c>
    </row>
    <row r="151" spans="1:6" x14ac:dyDescent="0.2">
      <c r="A151" t="s">
        <v>146</v>
      </c>
      <c r="B151" t="s">
        <v>146</v>
      </c>
      <c r="C151" s="22" t="s">
        <v>221</v>
      </c>
      <c r="D151" t="str">
        <f t="shared" si="4"/>
        <v/>
      </c>
      <c r="E151" t="str">
        <f>IF(ISNA(MATCH(B151, A:A, 0)), "Missing in A", "")</f>
        <v/>
      </c>
      <c r="F151" t="str">
        <f t="shared" si="5"/>
        <v/>
      </c>
    </row>
    <row r="152" spans="1:6" x14ac:dyDescent="0.2">
      <c r="A152" t="s">
        <v>487</v>
      </c>
      <c r="B152" t="s">
        <v>487</v>
      </c>
      <c r="C152" s="22" t="s">
        <v>669</v>
      </c>
      <c r="D152" t="str">
        <f t="shared" si="4"/>
        <v/>
      </c>
      <c r="E152" t="str">
        <f>IF(ISNA(MATCH(B152, A:A, 0)), "Missing in A", "")</f>
        <v/>
      </c>
      <c r="F152" t="str">
        <f t="shared" si="5"/>
        <v/>
      </c>
    </row>
    <row r="153" spans="1:6" x14ac:dyDescent="0.2">
      <c r="A153" t="s">
        <v>408</v>
      </c>
      <c r="B153" t="s">
        <v>408</v>
      </c>
      <c r="C153" s="22" t="s">
        <v>34</v>
      </c>
      <c r="D153" t="str">
        <f t="shared" si="4"/>
        <v/>
      </c>
      <c r="E153" t="str">
        <f>IF(ISNA(MATCH(B153, A:A, 0)), "Missing in A", "")</f>
        <v/>
      </c>
      <c r="F153" t="str">
        <f t="shared" si="5"/>
        <v>Missing in C</v>
      </c>
    </row>
    <row r="154" spans="1:6" x14ac:dyDescent="0.2">
      <c r="A154" t="s">
        <v>458</v>
      </c>
      <c r="B154" t="s">
        <v>458</v>
      </c>
      <c r="C154" s="22" t="s">
        <v>235</v>
      </c>
      <c r="D154" t="str">
        <f t="shared" si="4"/>
        <v/>
      </c>
      <c r="E154" t="str">
        <f>IF(ISNA(MATCH(B154, A:A, 0)), "Missing in A", "")</f>
        <v/>
      </c>
      <c r="F154" t="str">
        <f t="shared" si="5"/>
        <v>Missing in C</v>
      </c>
    </row>
    <row r="155" spans="1:6" x14ac:dyDescent="0.2">
      <c r="A155" t="s">
        <v>367</v>
      </c>
      <c r="B155" t="s">
        <v>367</v>
      </c>
      <c r="C155" s="22" t="s">
        <v>124</v>
      </c>
      <c r="D155" t="str">
        <f t="shared" si="4"/>
        <v/>
      </c>
      <c r="E155" t="str">
        <f>IF(ISNA(MATCH(B155, A:A, 0)), "Missing in A", "")</f>
        <v/>
      </c>
      <c r="F155" t="str">
        <f t="shared" si="5"/>
        <v/>
      </c>
    </row>
    <row r="156" spans="1:6" x14ac:dyDescent="0.2">
      <c r="A156" t="s">
        <v>96</v>
      </c>
      <c r="B156" t="s">
        <v>96</v>
      </c>
      <c r="C156" s="22" t="s">
        <v>265</v>
      </c>
      <c r="D156" t="str">
        <f t="shared" si="4"/>
        <v/>
      </c>
      <c r="E156" t="str">
        <f>IF(ISNA(MATCH(B156, A:A, 0)), "Missing in A", "")</f>
        <v/>
      </c>
      <c r="F156" t="str">
        <f t="shared" si="5"/>
        <v/>
      </c>
    </row>
    <row r="157" spans="1:6" x14ac:dyDescent="0.2">
      <c r="A157" t="s">
        <v>47</v>
      </c>
      <c r="B157" t="s">
        <v>47</v>
      </c>
      <c r="C157" s="22" t="s">
        <v>223</v>
      </c>
      <c r="D157" t="str">
        <f t="shared" si="4"/>
        <v/>
      </c>
      <c r="E157" t="str">
        <f>IF(ISNA(MATCH(B157, A:A, 0)), "Missing in A", "")</f>
        <v/>
      </c>
      <c r="F157" t="str">
        <f t="shared" si="5"/>
        <v/>
      </c>
    </row>
    <row r="158" spans="1:6" x14ac:dyDescent="0.2">
      <c r="A158" t="s">
        <v>127</v>
      </c>
      <c r="B158" t="s">
        <v>127</v>
      </c>
      <c r="C158" s="22" t="s">
        <v>216</v>
      </c>
      <c r="D158" t="str">
        <f t="shared" si="4"/>
        <v/>
      </c>
      <c r="E158" t="str">
        <f>IF(ISNA(MATCH(B158, A:A, 0)), "Missing in A", "")</f>
        <v/>
      </c>
      <c r="F158" t="str">
        <f t="shared" si="5"/>
        <v/>
      </c>
    </row>
    <row r="159" spans="1:6" x14ac:dyDescent="0.2">
      <c r="A159" t="s">
        <v>351</v>
      </c>
      <c r="B159" t="s">
        <v>351</v>
      </c>
      <c r="C159" s="22" t="s">
        <v>512</v>
      </c>
      <c r="D159" t="str">
        <f t="shared" si="4"/>
        <v/>
      </c>
      <c r="E159" t="str">
        <f>IF(ISNA(MATCH(B159, A:A, 0)), "Missing in A", "")</f>
        <v/>
      </c>
      <c r="F159" t="str">
        <f t="shared" si="5"/>
        <v/>
      </c>
    </row>
    <row r="160" spans="1:6" x14ac:dyDescent="0.2">
      <c r="A160" t="s">
        <v>521</v>
      </c>
      <c r="B160" t="s">
        <v>521</v>
      </c>
      <c r="C160" s="22" t="s">
        <v>186</v>
      </c>
      <c r="D160" t="str">
        <f t="shared" si="4"/>
        <v/>
      </c>
      <c r="E160" t="str">
        <f>IF(ISNA(MATCH(B160, A:A, 0)), "Missing in A", "")</f>
        <v/>
      </c>
      <c r="F160" t="str">
        <f t="shared" si="5"/>
        <v/>
      </c>
    </row>
    <row r="161" spans="1:6" x14ac:dyDescent="0.2">
      <c r="A161" t="s">
        <v>280</v>
      </c>
      <c r="B161" t="s">
        <v>280</v>
      </c>
      <c r="C161" s="22" t="s">
        <v>275</v>
      </c>
      <c r="D161" t="str">
        <f t="shared" si="4"/>
        <v/>
      </c>
      <c r="E161" t="str">
        <f>IF(ISNA(MATCH(B161, A:A, 0)), "Missing in A", "")</f>
        <v/>
      </c>
      <c r="F161" t="str">
        <f t="shared" si="5"/>
        <v/>
      </c>
    </row>
    <row r="162" spans="1:6" x14ac:dyDescent="0.2">
      <c r="A162" t="s">
        <v>378</v>
      </c>
      <c r="B162" t="s">
        <v>378</v>
      </c>
      <c r="C162" s="22" t="s">
        <v>363</v>
      </c>
      <c r="D162" t="str">
        <f t="shared" si="4"/>
        <v/>
      </c>
      <c r="E162" t="str">
        <f>IF(ISNA(MATCH(B162, A:A, 0)), "Missing in A", "")</f>
        <v/>
      </c>
      <c r="F162" t="str">
        <f t="shared" si="5"/>
        <v/>
      </c>
    </row>
    <row r="163" spans="1:6" x14ac:dyDescent="0.2">
      <c r="A163" t="s">
        <v>321</v>
      </c>
      <c r="B163" t="s">
        <v>321</v>
      </c>
      <c r="C163" s="22" t="s">
        <v>424</v>
      </c>
      <c r="D163" t="str">
        <f t="shared" si="4"/>
        <v/>
      </c>
      <c r="E163" t="str">
        <f>IF(ISNA(MATCH(B163, A:A, 0)), "Missing in A", "")</f>
        <v/>
      </c>
      <c r="F163" t="str">
        <f t="shared" si="5"/>
        <v/>
      </c>
    </row>
    <row r="164" spans="1:6" x14ac:dyDescent="0.2">
      <c r="A164" t="s">
        <v>228</v>
      </c>
      <c r="B164" t="s">
        <v>228</v>
      </c>
      <c r="C164" s="22" t="s">
        <v>413</v>
      </c>
      <c r="D164" t="str">
        <f t="shared" si="4"/>
        <v/>
      </c>
      <c r="E164" t="str">
        <f>IF(ISNA(MATCH(B164, A:A, 0)), "Missing in A", "")</f>
        <v/>
      </c>
      <c r="F164" t="str">
        <f t="shared" si="5"/>
        <v/>
      </c>
    </row>
    <row r="165" spans="1:6" x14ac:dyDescent="0.2">
      <c r="A165" t="s">
        <v>221</v>
      </c>
      <c r="B165" t="s">
        <v>221</v>
      </c>
      <c r="C165" s="22" t="s">
        <v>307</v>
      </c>
      <c r="D165" t="str">
        <f t="shared" si="4"/>
        <v/>
      </c>
      <c r="E165" t="str">
        <f>IF(ISNA(MATCH(B165, A:A, 0)), "Missing in A", "")</f>
        <v/>
      </c>
      <c r="F165" t="str">
        <f t="shared" si="5"/>
        <v/>
      </c>
    </row>
    <row r="166" spans="1:6" x14ac:dyDescent="0.2">
      <c r="A166" t="s">
        <v>34</v>
      </c>
      <c r="B166" t="s">
        <v>34</v>
      </c>
      <c r="C166" s="22" t="s">
        <v>394</v>
      </c>
      <c r="D166" t="str">
        <f t="shared" si="4"/>
        <v/>
      </c>
      <c r="E166" t="str">
        <f>IF(ISNA(MATCH(B166, A:A, 0)), "Missing in A", "")</f>
        <v/>
      </c>
      <c r="F166" t="str">
        <f t="shared" si="5"/>
        <v/>
      </c>
    </row>
    <row r="167" spans="1:6" x14ac:dyDescent="0.2">
      <c r="A167" t="s">
        <v>235</v>
      </c>
      <c r="B167" t="s">
        <v>235</v>
      </c>
      <c r="C167" s="22" t="s">
        <v>332</v>
      </c>
      <c r="D167" t="str">
        <f t="shared" si="4"/>
        <v/>
      </c>
      <c r="E167" t="str">
        <f>IF(ISNA(MATCH(B167, A:A, 0)), "Missing in A", "")</f>
        <v/>
      </c>
      <c r="F167" t="str">
        <f t="shared" si="5"/>
        <v/>
      </c>
    </row>
    <row r="168" spans="1:6" x14ac:dyDescent="0.2">
      <c r="A168" t="s">
        <v>124</v>
      </c>
      <c r="B168" t="s">
        <v>124</v>
      </c>
      <c r="C168" s="22" t="s">
        <v>425</v>
      </c>
      <c r="D168" t="str">
        <f t="shared" si="4"/>
        <v/>
      </c>
      <c r="E168" t="str">
        <f>IF(ISNA(MATCH(B168, A:A, 0)), "Missing in A", "")</f>
        <v/>
      </c>
      <c r="F168" t="str">
        <f t="shared" si="5"/>
        <v/>
      </c>
    </row>
    <row r="169" spans="1:6" x14ac:dyDescent="0.2">
      <c r="A169" t="s">
        <v>265</v>
      </c>
      <c r="B169" t="s">
        <v>265</v>
      </c>
      <c r="C169" s="22" t="s">
        <v>232</v>
      </c>
      <c r="D169" t="str">
        <f t="shared" si="4"/>
        <v/>
      </c>
      <c r="E169" t="str">
        <f>IF(ISNA(MATCH(B169, A:A, 0)), "Missing in A", "")</f>
        <v/>
      </c>
      <c r="F169" t="str">
        <f t="shared" si="5"/>
        <v/>
      </c>
    </row>
    <row r="170" spans="1:6" x14ac:dyDescent="0.2">
      <c r="A170" t="s">
        <v>223</v>
      </c>
      <c r="B170" t="s">
        <v>223</v>
      </c>
      <c r="C170" s="22" t="s">
        <v>272</v>
      </c>
      <c r="D170" t="str">
        <f t="shared" si="4"/>
        <v/>
      </c>
      <c r="E170" t="str">
        <f>IF(ISNA(MATCH(B170, A:A, 0)), "Missing in A", "")</f>
        <v/>
      </c>
      <c r="F170" t="str">
        <f t="shared" si="5"/>
        <v/>
      </c>
    </row>
    <row r="171" spans="1:6" x14ac:dyDescent="0.2">
      <c r="A171" t="s">
        <v>216</v>
      </c>
      <c r="B171" t="s">
        <v>216</v>
      </c>
      <c r="C171" s="22" t="s">
        <v>126</v>
      </c>
      <c r="D171" t="str">
        <f t="shared" si="4"/>
        <v/>
      </c>
      <c r="E171" t="str">
        <f>IF(ISNA(MATCH(B171, A:A, 0)), "Missing in A", "")</f>
        <v/>
      </c>
      <c r="F171" t="str">
        <f t="shared" si="5"/>
        <v/>
      </c>
    </row>
    <row r="172" spans="1:6" x14ac:dyDescent="0.2">
      <c r="A172" t="s">
        <v>512</v>
      </c>
      <c r="B172" t="s">
        <v>512</v>
      </c>
      <c r="C172" s="22" t="s">
        <v>151</v>
      </c>
      <c r="D172" t="str">
        <f t="shared" si="4"/>
        <v/>
      </c>
      <c r="E172" t="str">
        <f>IF(ISNA(MATCH(B172, A:A, 0)), "Missing in A", "")</f>
        <v/>
      </c>
      <c r="F172" t="str">
        <f t="shared" si="5"/>
        <v/>
      </c>
    </row>
    <row r="173" spans="1:6" x14ac:dyDescent="0.2">
      <c r="A173" t="s">
        <v>186</v>
      </c>
      <c r="B173" t="s">
        <v>186</v>
      </c>
      <c r="C173" s="22" t="s">
        <v>359</v>
      </c>
      <c r="D173" t="str">
        <f t="shared" si="4"/>
        <v/>
      </c>
      <c r="E173" t="str">
        <f>IF(ISNA(MATCH(B173, A:A, 0)), "Missing in A", "")</f>
        <v/>
      </c>
      <c r="F173" t="str">
        <f t="shared" si="5"/>
        <v/>
      </c>
    </row>
    <row r="174" spans="1:6" x14ac:dyDescent="0.2">
      <c r="A174" t="s">
        <v>559</v>
      </c>
      <c r="B174" t="s">
        <v>559</v>
      </c>
      <c r="C174" s="22" t="s">
        <v>166</v>
      </c>
      <c r="D174" t="str">
        <f t="shared" si="4"/>
        <v/>
      </c>
      <c r="E174" t="str">
        <f>IF(ISNA(MATCH(B174, A:A, 0)), "Missing in A", "")</f>
        <v/>
      </c>
      <c r="F174" t="str">
        <f t="shared" si="5"/>
        <v>Missing in C</v>
      </c>
    </row>
    <row r="175" spans="1:6" x14ac:dyDescent="0.2">
      <c r="A175" t="s">
        <v>275</v>
      </c>
      <c r="B175" t="s">
        <v>275</v>
      </c>
      <c r="C175" s="22" t="s">
        <v>393</v>
      </c>
      <c r="D175" t="str">
        <f t="shared" si="4"/>
        <v/>
      </c>
      <c r="E175" t="str">
        <f>IF(ISNA(MATCH(B175, A:A, 0)), "Missing in A", "")</f>
        <v/>
      </c>
      <c r="F175" t="str">
        <f t="shared" si="5"/>
        <v/>
      </c>
    </row>
    <row r="176" spans="1:6" x14ac:dyDescent="0.2">
      <c r="A176" t="s">
        <v>363</v>
      </c>
      <c r="B176" t="s">
        <v>363</v>
      </c>
      <c r="C176" s="22" t="s">
        <v>288</v>
      </c>
      <c r="D176" t="str">
        <f t="shared" si="4"/>
        <v/>
      </c>
      <c r="E176" t="str">
        <f>IF(ISNA(MATCH(B176, A:A, 0)), "Missing in A", "")</f>
        <v/>
      </c>
      <c r="F176" t="str">
        <f t="shared" si="5"/>
        <v/>
      </c>
    </row>
    <row r="177" spans="1:6" x14ac:dyDescent="0.2">
      <c r="A177" t="s">
        <v>424</v>
      </c>
      <c r="B177" t="s">
        <v>424</v>
      </c>
      <c r="C177" s="22" t="s">
        <v>101</v>
      </c>
      <c r="D177" t="str">
        <f t="shared" si="4"/>
        <v/>
      </c>
      <c r="E177" t="str">
        <f>IF(ISNA(MATCH(B177, A:A, 0)), "Missing in A", "")</f>
        <v/>
      </c>
      <c r="F177" t="str">
        <f t="shared" si="5"/>
        <v/>
      </c>
    </row>
    <row r="178" spans="1:6" x14ac:dyDescent="0.2">
      <c r="A178" t="s">
        <v>413</v>
      </c>
      <c r="B178" t="s">
        <v>413</v>
      </c>
      <c r="C178" s="22" t="s">
        <v>210</v>
      </c>
      <c r="D178" t="str">
        <f t="shared" si="4"/>
        <v/>
      </c>
      <c r="E178" t="str">
        <f>IF(ISNA(MATCH(B178, A:A, 0)), "Missing in A", "")</f>
        <v/>
      </c>
      <c r="F178" t="str">
        <f t="shared" si="5"/>
        <v/>
      </c>
    </row>
    <row r="179" spans="1:6" x14ac:dyDescent="0.2">
      <c r="A179" t="s">
        <v>385</v>
      </c>
      <c r="B179" t="s">
        <v>385</v>
      </c>
      <c r="C179" s="22" t="s">
        <v>513</v>
      </c>
      <c r="D179" t="str">
        <f t="shared" si="4"/>
        <v/>
      </c>
      <c r="E179" t="str">
        <f>IF(ISNA(MATCH(B179, A:A, 0)), "Missing in A", "")</f>
        <v/>
      </c>
      <c r="F179" t="str">
        <f t="shared" si="5"/>
        <v>Missing in C</v>
      </c>
    </row>
    <row r="180" spans="1:6" x14ac:dyDescent="0.2">
      <c r="A180" t="s">
        <v>307</v>
      </c>
      <c r="B180" t="s">
        <v>307</v>
      </c>
      <c r="C180" s="22" t="s">
        <v>454</v>
      </c>
      <c r="D180" t="str">
        <f t="shared" si="4"/>
        <v/>
      </c>
      <c r="E180" t="str">
        <f>IF(ISNA(MATCH(B180, A:A, 0)), "Missing in A", "")</f>
        <v/>
      </c>
      <c r="F180" t="str">
        <f t="shared" si="5"/>
        <v/>
      </c>
    </row>
    <row r="181" spans="1:6" x14ac:dyDescent="0.2">
      <c r="A181" t="s">
        <v>394</v>
      </c>
      <c r="B181" t="s">
        <v>394</v>
      </c>
      <c r="C181" s="22" t="s">
        <v>270</v>
      </c>
      <c r="D181" t="str">
        <f t="shared" si="4"/>
        <v/>
      </c>
      <c r="E181" t="str">
        <f>IF(ISNA(MATCH(B181, A:A, 0)), "Missing in A", "")</f>
        <v/>
      </c>
      <c r="F181" t="str">
        <f t="shared" si="5"/>
        <v/>
      </c>
    </row>
    <row r="182" spans="1:6" x14ac:dyDescent="0.2">
      <c r="A182" t="s">
        <v>555</v>
      </c>
      <c r="B182" t="s">
        <v>555</v>
      </c>
      <c r="C182" s="22" t="s">
        <v>218</v>
      </c>
      <c r="D182" t="str">
        <f t="shared" si="4"/>
        <v/>
      </c>
      <c r="E182" t="str">
        <f>IF(ISNA(MATCH(B182, A:A, 0)), "Missing in A", "")</f>
        <v/>
      </c>
      <c r="F182" t="str">
        <f t="shared" si="5"/>
        <v>Missing in C</v>
      </c>
    </row>
    <row r="183" spans="1:6" x14ac:dyDescent="0.2">
      <c r="A183" t="s">
        <v>332</v>
      </c>
      <c r="B183" t="s">
        <v>332</v>
      </c>
      <c r="C183" s="22" t="s">
        <v>118</v>
      </c>
      <c r="D183" t="str">
        <f t="shared" si="4"/>
        <v/>
      </c>
      <c r="E183" t="str">
        <f>IF(ISNA(MATCH(B183, A:A, 0)), "Missing in A", "")</f>
        <v/>
      </c>
      <c r="F183" t="str">
        <f t="shared" si="5"/>
        <v/>
      </c>
    </row>
    <row r="184" spans="1:6" x14ac:dyDescent="0.2">
      <c r="A184" t="s">
        <v>425</v>
      </c>
      <c r="B184" t="s">
        <v>425</v>
      </c>
      <c r="C184" s="22" t="s">
        <v>43</v>
      </c>
      <c r="D184" t="str">
        <f t="shared" si="4"/>
        <v/>
      </c>
      <c r="E184" t="str">
        <f>IF(ISNA(MATCH(B184, A:A, 0)), "Missing in A", "")</f>
        <v/>
      </c>
      <c r="F184" t="str">
        <f t="shared" si="5"/>
        <v/>
      </c>
    </row>
    <row r="185" spans="1:6" x14ac:dyDescent="0.2">
      <c r="A185" t="s">
        <v>232</v>
      </c>
      <c r="B185" t="s">
        <v>232</v>
      </c>
      <c r="C185" s="22" t="s">
        <v>226</v>
      </c>
      <c r="D185" t="str">
        <f t="shared" si="4"/>
        <v/>
      </c>
      <c r="E185" t="str">
        <f>IF(ISNA(MATCH(B185, A:A, 0)), "Missing in A", "")</f>
        <v/>
      </c>
      <c r="F185" t="str">
        <f t="shared" si="5"/>
        <v/>
      </c>
    </row>
    <row r="186" spans="1:6" x14ac:dyDescent="0.2">
      <c r="A186" t="s">
        <v>272</v>
      </c>
      <c r="B186" t="s">
        <v>272</v>
      </c>
      <c r="C186" s="22" t="s">
        <v>86</v>
      </c>
      <c r="D186" t="str">
        <f t="shared" si="4"/>
        <v/>
      </c>
      <c r="E186" t="str">
        <f>IF(ISNA(MATCH(B186, A:A, 0)), "Missing in A", "")</f>
        <v/>
      </c>
      <c r="F186" t="str">
        <f t="shared" si="5"/>
        <v/>
      </c>
    </row>
    <row r="187" spans="1:6" x14ac:dyDescent="0.2">
      <c r="A187" t="s">
        <v>478</v>
      </c>
      <c r="B187" t="s">
        <v>478</v>
      </c>
      <c r="C187" s="22" t="s">
        <v>526</v>
      </c>
      <c r="D187" t="str">
        <f t="shared" si="4"/>
        <v/>
      </c>
      <c r="E187" t="str">
        <f>IF(ISNA(MATCH(B187, A:A, 0)), "Missing in A", "")</f>
        <v/>
      </c>
      <c r="F187" t="str">
        <f t="shared" si="5"/>
        <v>Missing in C</v>
      </c>
    </row>
    <row r="188" spans="1:6" x14ac:dyDescent="0.2">
      <c r="A188" t="s">
        <v>126</v>
      </c>
      <c r="B188" t="s">
        <v>126</v>
      </c>
      <c r="C188" s="22" t="s">
        <v>89</v>
      </c>
      <c r="D188" t="str">
        <f t="shared" si="4"/>
        <v/>
      </c>
      <c r="E188" t="str">
        <f>IF(ISNA(MATCH(B188, A:A, 0)), "Missing in A", "")</f>
        <v/>
      </c>
      <c r="F188" t="str">
        <f t="shared" si="5"/>
        <v/>
      </c>
    </row>
    <row r="189" spans="1:6" x14ac:dyDescent="0.2">
      <c r="A189" t="s">
        <v>151</v>
      </c>
      <c r="B189" t="s">
        <v>151</v>
      </c>
      <c r="C189" s="22" t="s">
        <v>655</v>
      </c>
      <c r="D189" t="str">
        <f t="shared" si="4"/>
        <v/>
      </c>
      <c r="E189" t="str">
        <f>IF(ISNA(MATCH(B189, A:A, 0)), "Missing in A", "")</f>
        <v/>
      </c>
      <c r="F189" t="str">
        <f t="shared" si="5"/>
        <v/>
      </c>
    </row>
    <row r="190" spans="1:6" x14ac:dyDescent="0.2">
      <c r="A190" t="s">
        <v>359</v>
      </c>
      <c r="B190" t="s">
        <v>359</v>
      </c>
      <c r="C190" s="22" t="s">
        <v>519</v>
      </c>
      <c r="D190" t="str">
        <f t="shared" si="4"/>
        <v/>
      </c>
      <c r="E190" t="str">
        <f>IF(ISNA(MATCH(B190, A:A, 0)), "Missing in A", "")</f>
        <v/>
      </c>
      <c r="F190" t="str">
        <f t="shared" si="5"/>
        <v/>
      </c>
    </row>
    <row r="191" spans="1:6" x14ac:dyDescent="0.2">
      <c r="A191" t="s">
        <v>166</v>
      </c>
      <c r="B191" t="s">
        <v>166</v>
      </c>
      <c r="C191" s="22" t="s">
        <v>254</v>
      </c>
      <c r="D191" t="str">
        <f t="shared" si="4"/>
        <v/>
      </c>
      <c r="E191" t="str">
        <f>IF(ISNA(MATCH(B191, A:A, 0)), "Missing in A", "")</f>
        <v/>
      </c>
      <c r="F191" t="str">
        <f t="shared" si="5"/>
        <v/>
      </c>
    </row>
    <row r="192" spans="1:6" x14ac:dyDescent="0.2">
      <c r="A192" t="s">
        <v>393</v>
      </c>
      <c r="B192" t="s">
        <v>393</v>
      </c>
      <c r="C192" s="22" t="s">
        <v>104</v>
      </c>
      <c r="D192" t="str">
        <f t="shared" si="4"/>
        <v/>
      </c>
      <c r="E192" t="str">
        <f>IF(ISNA(MATCH(B192, A:A, 0)), "Missing in A", "")</f>
        <v/>
      </c>
      <c r="F192" t="str">
        <f t="shared" si="5"/>
        <v/>
      </c>
    </row>
    <row r="193" spans="1:6" x14ac:dyDescent="0.2">
      <c r="A193" t="s">
        <v>503</v>
      </c>
      <c r="B193" t="s">
        <v>503</v>
      </c>
      <c r="C193" s="22" t="s">
        <v>73</v>
      </c>
      <c r="D193" t="str">
        <f t="shared" si="4"/>
        <v/>
      </c>
      <c r="E193" t="str">
        <f>IF(ISNA(MATCH(B193, A:A, 0)), "Missing in A", "")</f>
        <v/>
      </c>
      <c r="F193" t="str">
        <f t="shared" si="5"/>
        <v>Missing in C</v>
      </c>
    </row>
    <row r="194" spans="1:6" x14ac:dyDescent="0.2">
      <c r="A194" t="s">
        <v>551</v>
      </c>
      <c r="B194" t="s">
        <v>551</v>
      </c>
      <c r="C194" s="22" t="s">
        <v>230</v>
      </c>
      <c r="D194" t="str">
        <f t="shared" si="4"/>
        <v/>
      </c>
      <c r="E194" t="str">
        <f>IF(ISNA(MATCH(B194, A:A, 0)), "Missing in A", "")</f>
        <v/>
      </c>
      <c r="F194" t="str">
        <f t="shared" si="5"/>
        <v>Missing in C</v>
      </c>
    </row>
    <row r="195" spans="1:6" x14ac:dyDescent="0.2">
      <c r="A195" t="s">
        <v>288</v>
      </c>
      <c r="B195" t="s">
        <v>288</v>
      </c>
      <c r="C195" s="22" t="s">
        <v>154</v>
      </c>
      <c r="D195" t="str">
        <f t="shared" ref="D195:D258" si="6">IF(ISNA(MATCH(A195, B:B, 0)), "Missing in A", "")</f>
        <v/>
      </c>
      <c r="E195" t="str">
        <f>IF(ISNA(MATCH(B195, A:A, 0)), "Missing in A", "")</f>
        <v/>
      </c>
      <c r="F195" t="str">
        <f t="shared" ref="F195:F258" si="7">IF(ISNA(MATCH(A195,C:C, 0)), "Missing in C", "")</f>
        <v/>
      </c>
    </row>
    <row r="196" spans="1:6" x14ac:dyDescent="0.2">
      <c r="A196" t="s">
        <v>101</v>
      </c>
      <c r="B196" t="s">
        <v>101</v>
      </c>
      <c r="C196" s="22" t="s">
        <v>327</v>
      </c>
      <c r="D196" t="str">
        <f t="shared" si="6"/>
        <v/>
      </c>
      <c r="E196" t="str">
        <f>IF(ISNA(MATCH(B196, A:A, 0)), "Missing in A", "")</f>
        <v/>
      </c>
      <c r="F196" t="str">
        <f t="shared" si="7"/>
        <v/>
      </c>
    </row>
    <row r="197" spans="1:6" x14ac:dyDescent="0.2">
      <c r="A197" t="s">
        <v>210</v>
      </c>
      <c r="B197" t="s">
        <v>210</v>
      </c>
      <c r="C197" s="22" t="s">
        <v>76</v>
      </c>
      <c r="D197" t="str">
        <f t="shared" si="6"/>
        <v/>
      </c>
      <c r="E197" t="str">
        <f>IF(ISNA(MATCH(B197, A:A, 0)), "Missing in A", "")</f>
        <v/>
      </c>
      <c r="F197" t="str">
        <f t="shared" si="7"/>
        <v/>
      </c>
    </row>
    <row r="198" spans="1:6" x14ac:dyDescent="0.2">
      <c r="A198" t="s">
        <v>513</v>
      </c>
      <c r="B198" t="s">
        <v>513</v>
      </c>
      <c r="C198" s="22" t="s">
        <v>528</v>
      </c>
      <c r="D198" t="str">
        <f t="shared" si="6"/>
        <v/>
      </c>
      <c r="E198" t="str">
        <f>IF(ISNA(MATCH(B198, A:A, 0)), "Missing in A", "")</f>
        <v/>
      </c>
      <c r="F198" t="str">
        <f t="shared" si="7"/>
        <v/>
      </c>
    </row>
    <row r="199" spans="1:6" x14ac:dyDescent="0.2">
      <c r="A199" t="s">
        <v>465</v>
      </c>
      <c r="B199" t="s">
        <v>465</v>
      </c>
      <c r="C199" s="22" t="s">
        <v>515</v>
      </c>
      <c r="D199" t="str">
        <f t="shared" si="6"/>
        <v/>
      </c>
      <c r="E199" t="str">
        <f>IF(ISNA(MATCH(B199, A:A, 0)), "Missing in A", "")</f>
        <v/>
      </c>
      <c r="F199" t="str">
        <f t="shared" si="7"/>
        <v>Missing in C</v>
      </c>
    </row>
    <row r="200" spans="1:6" x14ac:dyDescent="0.2">
      <c r="A200" t="s">
        <v>454</v>
      </c>
      <c r="B200" t="s">
        <v>454</v>
      </c>
      <c r="C200" s="22" t="s">
        <v>294</v>
      </c>
      <c r="D200" t="str">
        <f t="shared" si="6"/>
        <v/>
      </c>
      <c r="E200" t="str">
        <f>IF(ISNA(MATCH(B200, A:A, 0)), "Missing in A", "")</f>
        <v/>
      </c>
      <c r="F200" t="str">
        <f t="shared" si="7"/>
        <v/>
      </c>
    </row>
    <row r="201" spans="1:6" x14ac:dyDescent="0.2">
      <c r="A201" t="s">
        <v>270</v>
      </c>
      <c r="B201" t="s">
        <v>270</v>
      </c>
      <c r="C201" s="22" t="s">
        <v>133</v>
      </c>
      <c r="D201" t="str">
        <f t="shared" si="6"/>
        <v/>
      </c>
      <c r="E201" t="str">
        <f>IF(ISNA(MATCH(B201, A:A, 0)), "Missing in A", "")</f>
        <v/>
      </c>
      <c r="F201" t="str">
        <f t="shared" si="7"/>
        <v/>
      </c>
    </row>
    <row r="202" spans="1:6" x14ac:dyDescent="0.2">
      <c r="A202" t="s">
        <v>218</v>
      </c>
      <c r="B202" t="s">
        <v>218</v>
      </c>
      <c r="C202" s="22" t="s">
        <v>79</v>
      </c>
      <c r="D202" t="str">
        <f t="shared" si="6"/>
        <v/>
      </c>
      <c r="E202" t="str">
        <f>IF(ISNA(MATCH(B202, A:A, 0)), "Missing in A", "")</f>
        <v/>
      </c>
      <c r="F202" t="str">
        <f t="shared" si="7"/>
        <v/>
      </c>
    </row>
    <row r="203" spans="1:6" x14ac:dyDescent="0.2">
      <c r="A203" t="s">
        <v>118</v>
      </c>
      <c r="B203" t="s">
        <v>118</v>
      </c>
      <c r="C203" s="22" t="s">
        <v>651</v>
      </c>
      <c r="D203" t="str">
        <f t="shared" si="6"/>
        <v/>
      </c>
      <c r="E203" t="str">
        <f>IF(ISNA(MATCH(B203, A:A, 0)), "Missing in A", "")</f>
        <v/>
      </c>
      <c r="F203" t="str">
        <f t="shared" si="7"/>
        <v/>
      </c>
    </row>
    <row r="204" spans="1:6" x14ac:dyDescent="0.2">
      <c r="A204" t="s">
        <v>553</v>
      </c>
      <c r="B204" t="s">
        <v>553</v>
      </c>
      <c r="C204" s="22" t="s">
        <v>143</v>
      </c>
      <c r="D204" t="str">
        <f t="shared" si="6"/>
        <v/>
      </c>
      <c r="E204" t="str">
        <f>IF(ISNA(MATCH(B204, A:A, 0)), "Missing in A", "")</f>
        <v/>
      </c>
      <c r="F204" t="str">
        <f t="shared" si="7"/>
        <v>Missing in C</v>
      </c>
    </row>
    <row r="205" spans="1:6" x14ac:dyDescent="0.2">
      <c r="A205" t="s">
        <v>43</v>
      </c>
      <c r="B205" t="s">
        <v>43</v>
      </c>
      <c r="C205" s="22" t="s">
        <v>665</v>
      </c>
      <c r="D205" t="str">
        <f t="shared" si="6"/>
        <v/>
      </c>
      <c r="E205" t="str">
        <f>IF(ISNA(MATCH(B205, A:A, 0)), "Missing in A", "")</f>
        <v/>
      </c>
      <c r="F205" t="str">
        <f t="shared" si="7"/>
        <v/>
      </c>
    </row>
    <row r="206" spans="1:6" x14ac:dyDescent="0.2">
      <c r="A206" t="s">
        <v>226</v>
      </c>
      <c r="B206" t="s">
        <v>226</v>
      </c>
      <c r="C206" s="22" t="s">
        <v>681</v>
      </c>
      <c r="D206" t="str">
        <f t="shared" si="6"/>
        <v/>
      </c>
      <c r="E206" t="str">
        <f>IF(ISNA(MATCH(B206, A:A, 0)), "Missing in A", "")</f>
        <v/>
      </c>
      <c r="F206" t="str">
        <f t="shared" si="7"/>
        <v/>
      </c>
    </row>
    <row r="207" spans="1:6" x14ac:dyDescent="0.2">
      <c r="A207" t="s">
        <v>86</v>
      </c>
      <c r="B207" t="s">
        <v>86</v>
      </c>
      <c r="C207" s="22" t="s">
        <v>279</v>
      </c>
      <c r="D207" t="str">
        <f t="shared" si="6"/>
        <v/>
      </c>
      <c r="E207" t="str">
        <f>IF(ISNA(MATCH(B207, A:A, 0)), "Missing in A", "")</f>
        <v/>
      </c>
      <c r="F207" t="str">
        <f t="shared" si="7"/>
        <v/>
      </c>
    </row>
    <row r="208" spans="1:6" x14ac:dyDescent="0.2">
      <c r="A208" t="s">
        <v>526</v>
      </c>
      <c r="B208" t="s">
        <v>526</v>
      </c>
      <c r="C208" s="22" t="s">
        <v>375</v>
      </c>
      <c r="D208" t="str">
        <f t="shared" si="6"/>
        <v/>
      </c>
      <c r="E208" t="str">
        <f>IF(ISNA(MATCH(B208, A:A, 0)), "Missing in A", "")</f>
        <v/>
      </c>
      <c r="F208" t="str">
        <f t="shared" si="7"/>
        <v/>
      </c>
    </row>
    <row r="209" spans="1:6" x14ac:dyDescent="0.2">
      <c r="A209" t="s">
        <v>89</v>
      </c>
      <c r="B209" t="s">
        <v>89</v>
      </c>
      <c r="C209" s="22" t="s">
        <v>203</v>
      </c>
      <c r="D209" t="str">
        <f t="shared" si="6"/>
        <v/>
      </c>
      <c r="E209" t="str">
        <f>IF(ISNA(MATCH(B209, A:A, 0)), "Missing in A", "")</f>
        <v/>
      </c>
      <c r="F209" t="str">
        <f t="shared" si="7"/>
        <v/>
      </c>
    </row>
    <row r="210" spans="1:6" x14ac:dyDescent="0.2">
      <c r="A210" t="s">
        <v>519</v>
      </c>
      <c r="B210" t="s">
        <v>519</v>
      </c>
      <c r="C210" s="22" t="s">
        <v>84</v>
      </c>
      <c r="D210" t="str">
        <f t="shared" si="6"/>
        <v/>
      </c>
      <c r="E210" t="str">
        <f>IF(ISNA(MATCH(B210, A:A, 0)), "Missing in A", "")</f>
        <v/>
      </c>
      <c r="F210" t="str">
        <f t="shared" si="7"/>
        <v/>
      </c>
    </row>
    <row r="211" spans="1:6" x14ac:dyDescent="0.2">
      <c r="A211" t="s">
        <v>254</v>
      </c>
      <c r="B211" t="s">
        <v>254</v>
      </c>
      <c r="C211" s="22" t="s">
        <v>379</v>
      </c>
      <c r="D211" t="str">
        <f t="shared" si="6"/>
        <v/>
      </c>
      <c r="E211" t="str">
        <f>IF(ISNA(MATCH(B211, A:A, 0)), "Missing in A", "")</f>
        <v/>
      </c>
      <c r="F211" t="str">
        <f t="shared" si="7"/>
        <v/>
      </c>
    </row>
    <row r="212" spans="1:6" x14ac:dyDescent="0.2">
      <c r="A212" t="s">
        <v>104</v>
      </c>
      <c r="B212" t="s">
        <v>104</v>
      </c>
      <c r="C212" s="22" t="s">
        <v>168</v>
      </c>
      <c r="D212" t="str">
        <f t="shared" si="6"/>
        <v/>
      </c>
      <c r="E212" t="str">
        <f>IF(ISNA(MATCH(B212, A:A, 0)), "Missing in A", "")</f>
        <v/>
      </c>
      <c r="F212" t="str">
        <f t="shared" si="7"/>
        <v/>
      </c>
    </row>
    <row r="213" spans="1:6" x14ac:dyDescent="0.2">
      <c r="A213" t="s">
        <v>73</v>
      </c>
      <c r="B213" t="s">
        <v>73</v>
      </c>
      <c r="C213" s="22" t="s">
        <v>668</v>
      </c>
      <c r="D213" t="str">
        <f t="shared" si="6"/>
        <v/>
      </c>
      <c r="E213" t="str">
        <f>IF(ISNA(MATCH(B213, A:A, 0)), "Missing in A", "")</f>
        <v/>
      </c>
      <c r="F213" t="str">
        <f t="shared" si="7"/>
        <v/>
      </c>
    </row>
    <row r="214" spans="1:6" x14ac:dyDescent="0.2">
      <c r="A214" t="s">
        <v>230</v>
      </c>
      <c r="B214" t="s">
        <v>230</v>
      </c>
      <c r="C214" s="22" t="s">
        <v>443</v>
      </c>
      <c r="D214" t="str">
        <f t="shared" si="6"/>
        <v/>
      </c>
      <c r="E214" t="str">
        <f>IF(ISNA(MATCH(B214, A:A, 0)), "Missing in A", "")</f>
        <v/>
      </c>
      <c r="F214" t="str">
        <f t="shared" si="7"/>
        <v/>
      </c>
    </row>
    <row r="215" spans="1:6" x14ac:dyDescent="0.2">
      <c r="A215" t="s">
        <v>376</v>
      </c>
      <c r="B215" t="s">
        <v>376</v>
      </c>
      <c r="C215" s="22" t="s">
        <v>38</v>
      </c>
      <c r="D215" t="str">
        <f t="shared" si="6"/>
        <v/>
      </c>
      <c r="E215" t="str">
        <f>IF(ISNA(MATCH(B215, A:A, 0)), "Missing in A", "")</f>
        <v/>
      </c>
      <c r="F215" t="str">
        <f t="shared" si="7"/>
        <v>Missing in C</v>
      </c>
    </row>
    <row r="216" spans="1:6" x14ac:dyDescent="0.2">
      <c r="A216" t="s">
        <v>154</v>
      </c>
      <c r="B216" t="s">
        <v>154</v>
      </c>
      <c r="C216" s="22" t="s">
        <v>480</v>
      </c>
      <c r="D216" t="str">
        <f t="shared" si="6"/>
        <v/>
      </c>
      <c r="E216" t="str">
        <f>IF(ISNA(MATCH(B216, A:A, 0)), "Missing in A", "")</f>
        <v/>
      </c>
      <c r="F216" t="str">
        <f t="shared" si="7"/>
        <v/>
      </c>
    </row>
    <row r="217" spans="1:6" x14ac:dyDescent="0.2">
      <c r="A217" t="s">
        <v>327</v>
      </c>
      <c r="B217" t="s">
        <v>327</v>
      </c>
      <c r="C217" s="22" t="s">
        <v>139</v>
      </c>
      <c r="D217" t="str">
        <f t="shared" si="6"/>
        <v/>
      </c>
      <c r="E217" t="str">
        <f>IF(ISNA(MATCH(B217, A:A, 0)), "Missing in A", "")</f>
        <v/>
      </c>
      <c r="F217" t="str">
        <f t="shared" si="7"/>
        <v/>
      </c>
    </row>
    <row r="218" spans="1:6" x14ac:dyDescent="0.2">
      <c r="A218" t="s">
        <v>76</v>
      </c>
      <c r="B218" t="s">
        <v>76</v>
      </c>
      <c r="C218" s="22" t="s">
        <v>250</v>
      </c>
      <c r="D218" t="str">
        <f t="shared" si="6"/>
        <v/>
      </c>
      <c r="E218" t="str">
        <f>IF(ISNA(MATCH(B218, A:A, 0)), "Missing in A", "")</f>
        <v/>
      </c>
      <c r="F218" t="str">
        <f t="shared" si="7"/>
        <v/>
      </c>
    </row>
    <row r="219" spans="1:6" x14ac:dyDescent="0.2">
      <c r="A219" t="s">
        <v>528</v>
      </c>
      <c r="B219" t="s">
        <v>528</v>
      </c>
      <c r="C219" s="22" t="s">
        <v>271</v>
      </c>
      <c r="D219" t="str">
        <f t="shared" si="6"/>
        <v/>
      </c>
      <c r="E219" t="str">
        <f>IF(ISNA(MATCH(B219, A:A, 0)), "Missing in A", "")</f>
        <v/>
      </c>
      <c r="F219" t="str">
        <f t="shared" si="7"/>
        <v/>
      </c>
    </row>
    <row r="220" spans="1:6" x14ac:dyDescent="0.2">
      <c r="A220" t="s">
        <v>515</v>
      </c>
      <c r="B220" t="s">
        <v>515</v>
      </c>
      <c r="C220" s="22" t="s">
        <v>418</v>
      </c>
      <c r="D220" t="str">
        <f t="shared" si="6"/>
        <v/>
      </c>
      <c r="E220" t="str">
        <f>IF(ISNA(MATCH(B220, A:A, 0)), "Missing in A", "")</f>
        <v/>
      </c>
      <c r="F220" t="str">
        <f t="shared" si="7"/>
        <v/>
      </c>
    </row>
    <row r="221" spans="1:6" x14ac:dyDescent="0.2">
      <c r="A221" t="s">
        <v>295</v>
      </c>
      <c r="B221" t="s">
        <v>295</v>
      </c>
      <c r="C221" s="22" t="s">
        <v>333</v>
      </c>
      <c r="D221" t="str">
        <f t="shared" si="6"/>
        <v/>
      </c>
      <c r="E221" t="str">
        <f>IF(ISNA(MATCH(B221, A:A, 0)), "Missing in A", "")</f>
        <v/>
      </c>
      <c r="F221" t="str">
        <f t="shared" si="7"/>
        <v>Missing in C</v>
      </c>
    </row>
    <row r="222" spans="1:6" x14ac:dyDescent="0.2">
      <c r="A222" t="s">
        <v>294</v>
      </c>
      <c r="B222" t="s">
        <v>294</v>
      </c>
      <c r="C222" s="22" t="s">
        <v>475</v>
      </c>
      <c r="D222" t="str">
        <f t="shared" si="6"/>
        <v/>
      </c>
      <c r="E222" t="str">
        <f>IF(ISNA(MATCH(B222, A:A, 0)), "Missing in A", "")</f>
        <v/>
      </c>
      <c r="F222" t="str">
        <f t="shared" si="7"/>
        <v/>
      </c>
    </row>
    <row r="223" spans="1:6" x14ac:dyDescent="0.2">
      <c r="A223" t="s">
        <v>343</v>
      </c>
      <c r="B223" t="s">
        <v>343</v>
      </c>
      <c r="C223" s="22" t="s">
        <v>144</v>
      </c>
      <c r="D223" t="str">
        <f t="shared" si="6"/>
        <v/>
      </c>
      <c r="E223" t="str">
        <f>IF(ISNA(MATCH(B223, A:A, 0)), "Missing in A", "")</f>
        <v/>
      </c>
      <c r="F223" t="str">
        <f t="shared" si="7"/>
        <v>Missing in C</v>
      </c>
    </row>
    <row r="224" spans="1:6" x14ac:dyDescent="0.2">
      <c r="A224" t="s">
        <v>133</v>
      </c>
      <c r="B224" t="s">
        <v>133</v>
      </c>
      <c r="C224" s="22" t="s">
        <v>397</v>
      </c>
      <c r="D224" t="str">
        <f t="shared" si="6"/>
        <v/>
      </c>
      <c r="E224" t="str">
        <f>IF(ISNA(MATCH(B224, A:A, 0)), "Missing in A", "")</f>
        <v/>
      </c>
      <c r="F224" t="str">
        <f t="shared" si="7"/>
        <v/>
      </c>
    </row>
    <row r="225" spans="1:6" x14ac:dyDescent="0.2">
      <c r="A225" t="s">
        <v>531</v>
      </c>
      <c r="B225" t="s">
        <v>531</v>
      </c>
      <c r="C225" s="22" t="s">
        <v>558</v>
      </c>
      <c r="D225" t="str">
        <f t="shared" si="6"/>
        <v/>
      </c>
      <c r="E225" t="str">
        <f>IF(ISNA(MATCH(B225, A:A, 0)), "Missing in A", "")</f>
        <v/>
      </c>
      <c r="F225" t="str">
        <f t="shared" si="7"/>
        <v>Missing in C</v>
      </c>
    </row>
    <row r="226" spans="1:6" x14ac:dyDescent="0.2">
      <c r="A226" t="s">
        <v>79</v>
      </c>
      <c r="B226" t="s">
        <v>79</v>
      </c>
      <c r="C226" s="22" t="s">
        <v>324</v>
      </c>
      <c r="D226" t="str">
        <f t="shared" si="6"/>
        <v/>
      </c>
      <c r="E226" t="str">
        <f>IF(ISNA(MATCH(B226, A:A, 0)), "Missing in A", "")</f>
        <v/>
      </c>
      <c r="F226" t="str">
        <f t="shared" si="7"/>
        <v/>
      </c>
    </row>
    <row r="227" spans="1:6" x14ac:dyDescent="0.2">
      <c r="A227" t="s">
        <v>143</v>
      </c>
      <c r="B227" t="s">
        <v>143</v>
      </c>
      <c r="C227" s="22" t="s">
        <v>119</v>
      </c>
      <c r="D227" t="str">
        <f t="shared" si="6"/>
        <v/>
      </c>
      <c r="E227" t="str">
        <f>IF(ISNA(MATCH(B227, A:A, 0)), "Missing in A", "")</f>
        <v/>
      </c>
      <c r="F227" t="str">
        <f t="shared" si="7"/>
        <v/>
      </c>
    </row>
    <row r="228" spans="1:6" x14ac:dyDescent="0.2">
      <c r="A228" t="s">
        <v>279</v>
      </c>
      <c r="B228" t="s">
        <v>279</v>
      </c>
      <c r="C228" s="22" t="s">
        <v>435</v>
      </c>
      <c r="D228" t="str">
        <f t="shared" si="6"/>
        <v/>
      </c>
      <c r="E228" t="str">
        <f>IF(ISNA(MATCH(B228, A:A, 0)), "Missing in A", "")</f>
        <v/>
      </c>
      <c r="F228" t="str">
        <f t="shared" si="7"/>
        <v/>
      </c>
    </row>
    <row r="229" spans="1:6" x14ac:dyDescent="0.2">
      <c r="A229" t="s">
        <v>375</v>
      </c>
      <c r="B229" t="s">
        <v>375</v>
      </c>
      <c r="C229" s="22" t="s">
        <v>399</v>
      </c>
      <c r="D229" t="str">
        <f t="shared" si="6"/>
        <v/>
      </c>
      <c r="E229" t="str">
        <f>IF(ISNA(MATCH(B229, A:A, 0)), "Missing in A", "")</f>
        <v/>
      </c>
      <c r="F229" t="str">
        <f t="shared" si="7"/>
        <v/>
      </c>
    </row>
    <row r="230" spans="1:6" x14ac:dyDescent="0.2">
      <c r="A230" t="s">
        <v>203</v>
      </c>
      <c r="B230" t="s">
        <v>203</v>
      </c>
      <c r="C230" s="22" t="s">
        <v>403</v>
      </c>
      <c r="D230" t="str">
        <f t="shared" si="6"/>
        <v/>
      </c>
      <c r="E230" t="str">
        <f>IF(ISNA(MATCH(B230, A:A, 0)), "Missing in A", "")</f>
        <v/>
      </c>
      <c r="F230" t="str">
        <f t="shared" si="7"/>
        <v/>
      </c>
    </row>
    <row r="231" spans="1:6" x14ac:dyDescent="0.2">
      <c r="A231" t="s">
        <v>84</v>
      </c>
      <c r="B231" t="s">
        <v>84</v>
      </c>
      <c r="C231" s="22" t="s">
        <v>305</v>
      </c>
      <c r="D231" t="str">
        <f t="shared" si="6"/>
        <v/>
      </c>
      <c r="E231" t="str">
        <f>IF(ISNA(MATCH(B231, A:A, 0)), "Missing in A", "")</f>
        <v/>
      </c>
      <c r="F231" t="str">
        <f t="shared" si="7"/>
        <v/>
      </c>
    </row>
    <row r="232" spans="1:6" x14ac:dyDescent="0.2">
      <c r="A232" t="s">
        <v>537</v>
      </c>
      <c r="B232" t="s">
        <v>537</v>
      </c>
      <c r="C232" s="22" t="s">
        <v>175</v>
      </c>
      <c r="D232" t="str">
        <f t="shared" si="6"/>
        <v/>
      </c>
      <c r="E232" t="str">
        <f>IF(ISNA(MATCH(B232, A:A, 0)), "Missing in A", "")</f>
        <v/>
      </c>
      <c r="F232" t="str">
        <f t="shared" si="7"/>
        <v>Missing in C</v>
      </c>
    </row>
    <row r="233" spans="1:6" x14ac:dyDescent="0.2">
      <c r="A233" t="s">
        <v>379</v>
      </c>
      <c r="B233" t="s">
        <v>379</v>
      </c>
      <c r="C233" s="22" t="s">
        <v>299</v>
      </c>
      <c r="D233" t="str">
        <f t="shared" si="6"/>
        <v/>
      </c>
      <c r="E233" t="str">
        <f>IF(ISNA(MATCH(B233, A:A, 0)), "Missing in A", "")</f>
        <v/>
      </c>
      <c r="F233" t="str">
        <f t="shared" si="7"/>
        <v/>
      </c>
    </row>
    <row r="234" spans="1:6" x14ac:dyDescent="0.2">
      <c r="A234" t="s">
        <v>168</v>
      </c>
      <c r="B234" t="s">
        <v>168</v>
      </c>
      <c r="C234" s="22" t="s">
        <v>141</v>
      </c>
      <c r="D234" t="str">
        <f t="shared" si="6"/>
        <v/>
      </c>
      <c r="E234" t="str">
        <f>IF(ISNA(MATCH(B234, A:A, 0)), "Missing in A", "")</f>
        <v/>
      </c>
      <c r="F234" t="str">
        <f t="shared" si="7"/>
        <v/>
      </c>
    </row>
    <row r="235" spans="1:6" x14ac:dyDescent="0.2">
      <c r="A235" t="s">
        <v>443</v>
      </c>
      <c r="B235" t="s">
        <v>443</v>
      </c>
      <c r="C235" s="22" t="s">
        <v>287</v>
      </c>
      <c r="D235" t="str">
        <f t="shared" si="6"/>
        <v/>
      </c>
      <c r="E235" t="str">
        <f>IF(ISNA(MATCH(B235, A:A, 0)), "Missing in A", "")</f>
        <v/>
      </c>
      <c r="F235" t="str">
        <f t="shared" si="7"/>
        <v/>
      </c>
    </row>
    <row r="236" spans="1:6" x14ac:dyDescent="0.2">
      <c r="A236" t="s">
        <v>38</v>
      </c>
      <c r="B236" t="s">
        <v>38</v>
      </c>
      <c r="C236" s="22" t="s">
        <v>236</v>
      </c>
      <c r="D236" t="str">
        <f t="shared" si="6"/>
        <v/>
      </c>
      <c r="E236" t="str">
        <f>IF(ISNA(MATCH(B236, A:A, 0)), "Missing in A", "")</f>
        <v/>
      </c>
      <c r="F236" t="str">
        <f t="shared" si="7"/>
        <v/>
      </c>
    </row>
    <row r="237" spans="1:6" x14ac:dyDescent="0.2">
      <c r="A237" t="s">
        <v>502</v>
      </c>
      <c r="B237" t="s">
        <v>502</v>
      </c>
      <c r="C237" s="22" t="s">
        <v>289</v>
      </c>
      <c r="D237" t="str">
        <f t="shared" si="6"/>
        <v/>
      </c>
      <c r="E237" t="str">
        <f>IF(ISNA(MATCH(B237, A:A, 0)), "Missing in A", "")</f>
        <v/>
      </c>
      <c r="F237" t="str">
        <f t="shared" si="7"/>
        <v>Missing in C</v>
      </c>
    </row>
    <row r="238" spans="1:6" x14ac:dyDescent="0.2">
      <c r="A238" t="s">
        <v>509</v>
      </c>
      <c r="B238" t="s">
        <v>509</v>
      </c>
      <c r="C238" s="22" t="s">
        <v>412</v>
      </c>
      <c r="D238" t="str">
        <f t="shared" si="6"/>
        <v/>
      </c>
      <c r="E238" t="str">
        <f>IF(ISNA(MATCH(B238, A:A, 0)), "Missing in A", "")</f>
        <v/>
      </c>
      <c r="F238" t="str">
        <f t="shared" si="7"/>
        <v>Missing in C</v>
      </c>
    </row>
    <row r="239" spans="1:6" x14ac:dyDescent="0.2">
      <c r="A239" t="s">
        <v>508</v>
      </c>
      <c r="B239" t="s">
        <v>508</v>
      </c>
      <c r="C239" s="22" t="s">
        <v>113</v>
      </c>
      <c r="D239" t="str">
        <f t="shared" si="6"/>
        <v/>
      </c>
      <c r="E239" t="str">
        <f>IF(ISNA(MATCH(B239, A:A, 0)), "Missing in A", "")</f>
        <v/>
      </c>
      <c r="F239" t="str">
        <f t="shared" si="7"/>
        <v>Missing in C</v>
      </c>
    </row>
    <row r="240" spans="1:6" x14ac:dyDescent="0.2">
      <c r="A240" t="s">
        <v>481</v>
      </c>
      <c r="B240" t="s">
        <v>481</v>
      </c>
      <c r="C240" s="22" t="s">
        <v>457</v>
      </c>
      <c r="D240" t="str">
        <f t="shared" si="6"/>
        <v/>
      </c>
      <c r="E240" t="str">
        <f>IF(ISNA(MATCH(B240, A:A, 0)), "Missing in A", "")</f>
        <v/>
      </c>
      <c r="F240" t="str">
        <f t="shared" si="7"/>
        <v>Missing in C</v>
      </c>
    </row>
    <row r="241" spans="1:6" x14ac:dyDescent="0.2">
      <c r="A241" t="s">
        <v>480</v>
      </c>
      <c r="B241" t="s">
        <v>480</v>
      </c>
      <c r="C241" s="22" t="s">
        <v>317</v>
      </c>
      <c r="D241" t="str">
        <f t="shared" si="6"/>
        <v/>
      </c>
      <c r="E241" t="str">
        <f>IF(ISNA(MATCH(B241, A:A, 0)), "Missing in A", "")</f>
        <v/>
      </c>
      <c r="F241" t="str">
        <f t="shared" si="7"/>
        <v/>
      </c>
    </row>
    <row r="242" spans="1:6" x14ac:dyDescent="0.2">
      <c r="A242" t="s">
        <v>139</v>
      </c>
      <c r="B242" t="s">
        <v>139</v>
      </c>
      <c r="C242" s="22" t="s">
        <v>161</v>
      </c>
      <c r="D242" t="str">
        <f t="shared" si="6"/>
        <v/>
      </c>
      <c r="E242" t="str">
        <f>IF(ISNA(MATCH(B242, A:A, 0)), "Missing in A", "")</f>
        <v/>
      </c>
      <c r="F242" t="str">
        <f t="shared" si="7"/>
        <v/>
      </c>
    </row>
    <row r="243" spans="1:6" x14ac:dyDescent="0.2">
      <c r="A243" t="s">
        <v>250</v>
      </c>
      <c r="B243" t="s">
        <v>250</v>
      </c>
      <c r="C243" s="22" t="s">
        <v>264</v>
      </c>
      <c r="D243" t="str">
        <f t="shared" si="6"/>
        <v/>
      </c>
      <c r="E243" t="str">
        <f>IF(ISNA(MATCH(B243, A:A, 0)), "Missing in A", "")</f>
        <v/>
      </c>
      <c r="F243" t="str">
        <f t="shared" si="7"/>
        <v/>
      </c>
    </row>
    <row r="244" spans="1:6" x14ac:dyDescent="0.2">
      <c r="A244" t="s">
        <v>271</v>
      </c>
      <c r="B244" t="s">
        <v>271</v>
      </c>
      <c r="C244" s="22" t="s">
        <v>128</v>
      </c>
      <c r="D244" t="str">
        <f t="shared" si="6"/>
        <v/>
      </c>
      <c r="E244" t="str">
        <f>IF(ISNA(MATCH(B244, A:A, 0)), "Missing in A", "")</f>
        <v/>
      </c>
      <c r="F244" t="str">
        <f t="shared" si="7"/>
        <v/>
      </c>
    </row>
    <row r="245" spans="1:6" x14ac:dyDescent="0.2">
      <c r="A245" t="s">
        <v>418</v>
      </c>
      <c r="B245" t="s">
        <v>418</v>
      </c>
      <c r="C245" s="22" t="s">
        <v>446</v>
      </c>
      <c r="D245" t="str">
        <f t="shared" si="6"/>
        <v/>
      </c>
      <c r="E245" t="str">
        <f>IF(ISNA(MATCH(B245, A:A, 0)), "Missing in A", "")</f>
        <v/>
      </c>
      <c r="F245" t="str">
        <f t="shared" si="7"/>
        <v/>
      </c>
    </row>
    <row r="246" spans="1:6" x14ac:dyDescent="0.2">
      <c r="A246" t="s">
        <v>333</v>
      </c>
      <c r="B246" t="s">
        <v>333</v>
      </c>
      <c r="C246" s="22" t="s">
        <v>342</v>
      </c>
      <c r="D246" t="str">
        <f t="shared" si="6"/>
        <v/>
      </c>
      <c r="E246" t="str">
        <f>IF(ISNA(MATCH(B246, A:A, 0)), "Missing in A", "")</f>
        <v/>
      </c>
      <c r="F246" t="str">
        <f t="shared" si="7"/>
        <v/>
      </c>
    </row>
    <row r="247" spans="1:6" x14ac:dyDescent="0.2">
      <c r="A247" t="s">
        <v>475</v>
      </c>
      <c r="B247" t="s">
        <v>475</v>
      </c>
      <c r="C247" s="22" t="s">
        <v>437</v>
      </c>
      <c r="D247" t="str">
        <f t="shared" si="6"/>
        <v/>
      </c>
      <c r="E247" t="str">
        <f>IF(ISNA(MATCH(B247, A:A, 0)), "Missing in A", "")</f>
        <v/>
      </c>
      <c r="F247" t="str">
        <f t="shared" si="7"/>
        <v/>
      </c>
    </row>
    <row r="248" spans="1:6" x14ac:dyDescent="0.2">
      <c r="A248" t="s">
        <v>144</v>
      </c>
      <c r="B248" t="s">
        <v>144</v>
      </c>
      <c r="C248" s="22" t="s">
        <v>674</v>
      </c>
      <c r="D248" t="str">
        <f t="shared" si="6"/>
        <v/>
      </c>
      <c r="E248" t="str">
        <f>IF(ISNA(MATCH(B248, A:A, 0)), "Missing in A", "")</f>
        <v/>
      </c>
      <c r="F248" t="str">
        <f t="shared" si="7"/>
        <v/>
      </c>
    </row>
    <row r="249" spans="1:6" x14ac:dyDescent="0.2">
      <c r="A249" t="s">
        <v>397</v>
      </c>
      <c r="B249" t="s">
        <v>397</v>
      </c>
      <c r="C249" s="22" t="s">
        <v>176</v>
      </c>
      <c r="D249" t="str">
        <f t="shared" si="6"/>
        <v/>
      </c>
      <c r="E249" t="str">
        <f>IF(ISNA(MATCH(B249, A:A, 0)), "Missing in A", "")</f>
        <v/>
      </c>
      <c r="F249" t="str">
        <f t="shared" si="7"/>
        <v/>
      </c>
    </row>
    <row r="250" spans="1:6" x14ac:dyDescent="0.2">
      <c r="A250" t="s">
        <v>558</v>
      </c>
      <c r="B250" t="s">
        <v>558</v>
      </c>
      <c r="C250" s="22" t="s">
        <v>153</v>
      </c>
      <c r="D250" t="str">
        <f t="shared" si="6"/>
        <v/>
      </c>
      <c r="E250" t="str">
        <f>IF(ISNA(MATCH(B250, A:A, 0)), "Missing in A", "")</f>
        <v/>
      </c>
      <c r="F250" t="str">
        <f t="shared" si="7"/>
        <v/>
      </c>
    </row>
    <row r="251" spans="1:6" x14ac:dyDescent="0.2">
      <c r="A251" t="s">
        <v>324</v>
      </c>
      <c r="B251" t="s">
        <v>324</v>
      </c>
      <c r="C251" s="22" t="s">
        <v>328</v>
      </c>
      <c r="D251" t="str">
        <f t="shared" si="6"/>
        <v/>
      </c>
      <c r="E251" t="str">
        <f>IF(ISNA(MATCH(B251, A:A, 0)), "Missing in A", "")</f>
        <v/>
      </c>
      <c r="F251" t="str">
        <f t="shared" si="7"/>
        <v/>
      </c>
    </row>
    <row r="252" spans="1:6" x14ac:dyDescent="0.2">
      <c r="A252" t="s">
        <v>119</v>
      </c>
      <c r="B252" t="s">
        <v>119</v>
      </c>
      <c r="C252" s="22" t="s">
        <v>233</v>
      </c>
      <c r="D252" t="str">
        <f t="shared" si="6"/>
        <v/>
      </c>
      <c r="E252" t="str">
        <f>IF(ISNA(MATCH(B252, A:A, 0)), "Missing in A", "")</f>
        <v/>
      </c>
      <c r="F252" t="str">
        <f t="shared" si="7"/>
        <v/>
      </c>
    </row>
    <row r="253" spans="1:6" x14ac:dyDescent="0.2">
      <c r="A253" t="s">
        <v>435</v>
      </c>
      <c r="B253" t="s">
        <v>435</v>
      </c>
      <c r="C253" s="22" t="s">
        <v>91</v>
      </c>
      <c r="D253" t="str">
        <f t="shared" si="6"/>
        <v/>
      </c>
      <c r="E253" t="str">
        <f>IF(ISNA(MATCH(B253, A:A, 0)), "Missing in A", "")</f>
        <v/>
      </c>
      <c r="F253" t="str">
        <f t="shared" si="7"/>
        <v/>
      </c>
    </row>
    <row r="254" spans="1:6" x14ac:dyDescent="0.2">
      <c r="A254" t="s">
        <v>399</v>
      </c>
      <c r="B254" t="s">
        <v>399</v>
      </c>
      <c r="C254" s="22" t="s">
        <v>293</v>
      </c>
      <c r="D254" t="str">
        <f t="shared" si="6"/>
        <v/>
      </c>
      <c r="E254" t="str">
        <f>IF(ISNA(MATCH(B254, A:A, 0)), "Missing in A", "")</f>
        <v/>
      </c>
      <c r="F254" t="str">
        <f t="shared" si="7"/>
        <v/>
      </c>
    </row>
    <row r="255" spans="1:6" x14ac:dyDescent="0.2">
      <c r="A255" t="s">
        <v>403</v>
      </c>
      <c r="B255" t="s">
        <v>403</v>
      </c>
      <c r="C255" s="22" t="s">
        <v>676</v>
      </c>
      <c r="D255" t="str">
        <f t="shared" si="6"/>
        <v/>
      </c>
      <c r="E255" t="str">
        <f>IF(ISNA(MATCH(B255, A:A, 0)), "Missing in A", "")</f>
        <v/>
      </c>
      <c r="F255" t="str">
        <f t="shared" si="7"/>
        <v/>
      </c>
    </row>
    <row r="256" spans="1:6" x14ac:dyDescent="0.2">
      <c r="A256" t="s">
        <v>305</v>
      </c>
      <c r="B256" t="s">
        <v>305</v>
      </c>
      <c r="C256" s="22" t="s">
        <v>55</v>
      </c>
      <c r="D256" t="str">
        <f t="shared" si="6"/>
        <v/>
      </c>
      <c r="E256" t="str">
        <f>IF(ISNA(MATCH(B256, A:A, 0)), "Missing in A", "")</f>
        <v/>
      </c>
      <c r="F256" t="str">
        <f t="shared" si="7"/>
        <v/>
      </c>
    </row>
    <row r="257" spans="1:6" x14ac:dyDescent="0.2">
      <c r="A257" t="s">
        <v>175</v>
      </c>
      <c r="B257" t="s">
        <v>175</v>
      </c>
      <c r="C257" s="22" t="s">
        <v>530</v>
      </c>
      <c r="D257" t="str">
        <f t="shared" si="6"/>
        <v/>
      </c>
      <c r="E257" t="str">
        <f>IF(ISNA(MATCH(B257, A:A, 0)), "Missing in A", "")</f>
        <v/>
      </c>
      <c r="F257" t="str">
        <f t="shared" si="7"/>
        <v/>
      </c>
    </row>
    <row r="258" spans="1:6" x14ac:dyDescent="0.2">
      <c r="A258" t="s">
        <v>299</v>
      </c>
      <c r="B258" t="s">
        <v>299</v>
      </c>
      <c r="C258" s="22" t="s">
        <v>644</v>
      </c>
      <c r="D258" t="str">
        <f t="shared" si="6"/>
        <v/>
      </c>
      <c r="E258" t="str">
        <f>IF(ISNA(MATCH(B258, A:A, 0)), "Missing in A", "")</f>
        <v/>
      </c>
      <c r="F258" t="str">
        <f t="shared" si="7"/>
        <v/>
      </c>
    </row>
    <row r="259" spans="1:6" x14ac:dyDescent="0.2">
      <c r="A259" t="s">
        <v>141</v>
      </c>
      <c r="B259" t="s">
        <v>141</v>
      </c>
      <c r="C259" s="22" t="s">
        <v>147</v>
      </c>
      <c r="D259" t="str">
        <f t="shared" ref="D259:D322" si="8">IF(ISNA(MATCH(A259, B:B, 0)), "Missing in A", "")</f>
        <v/>
      </c>
      <c r="E259" t="str">
        <f>IF(ISNA(MATCH(B259, A:A, 0)), "Missing in A", "")</f>
        <v/>
      </c>
      <c r="F259" t="str">
        <f t="shared" ref="F259:F322" si="9">IF(ISNA(MATCH(A259,C:C, 0)), "Missing in C", "")</f>
        <v/>
      </c>
    </row>
    <row r="260" spans="1:6" x14ac:dyDescent="0.2">
      <c r="A260" t="s">
        <v>287</v>
      </c>
      <c r="B260" t="s">
        <v>287</v>
      </c>
      <c r="C260" s="22" t="s">
        <v>663</v>
      </c>
      <c r="D260" t="str">
        <f t="shared" si="8"/>
        <v/>
      </c>
      <c r="E260" t="str">
        <f>IF(ISNA(MATCH(B260, A:A, 0)), "Missing in A", "")</f>
        <v/>
      </c>
      <c r="F260" t="str">
        <f t="shared" si="9"/>
        <v/>
      </c>
    </row>
    <row r="261" spans="1:6" x14ac:dyDescent="0.2">
      <c r="A261" t="s">
        <v>236</v>
      </c>
      <c r="B261" t="s">
        <v>236</v>
      </c>
      <c r="C261" s="22" t="s">
        <v>455</v>
      </c>
      <c r="D261" t="str">
        <f t="shared" si="8"/>
        <v/>
      </c>
      <c r="E261" t="str">
        <f>IF(ISNA(MATCH(B261, A:A, 0)), "Missing in A", "")</f>
        <v/>
      </c>
      <c r="F261" t="str">
        <f t="shared" si="9"/>
        <v/>
      </c>
    </row>
    <row r="262" spans="1:6" x14ac:dyDescent="0.2">
      <c r="A262" t="s">
        <v>289</v>
      </c>
      <c r="B262" t="s">
        <v>289</v>
      </c>
      <c r="C262" s="22" t="s">
        <v>164</v>
      </c>
      <c r="D262" t="str">
        <f t="shared" si="8"/>
        <v/>
      </c>
      <c r="E262" t="str">
        <f>IF(ISNA(MATCH(B262, A:A, 0)), "Missing in A", "")</f>
        <v/>
      </c>
      <c r="F262" t="str">
        <f t="shared" si="9"/>
        <v/>
      </c>
    </row>
    <row r="263" spans="1:6" x14ac:dyDescent="0.2">
      <c r="A263" t="s">
        <v>412</v>
      </c>
      <c r="B263" t="s">
        <v>412</v>
      </c>
      <c r="C263" s="22" t="s">
        <v>472</v>
      </c>
      <c r="D263" t="str">
        <f t="shared" si="8"/>
        <v/>
      </c>
      <c r="E263" t="str">
        <f>IF(ISNA(MATCH(B263, A:A, 0)), "Missing in A", "")</f>
        <v/>
      </c>
      <c r="F263" t="str">
        <f t="shared" si="9"/>
        <v/>
      </c>
    </row>
    <row r="264" spans="1:6" x14ac:dyDescent="0.2">
      <c r="A264" t="s">
        <v>325</v>
      </c>
      <c r="B264" t="s">
        <v>325</v>
      </c>
      <c r="C264" s="22" t="s">
        <v>170</v>
      </c>
      <c r="D264" t="str">
        <f t="shared" si="8"/>
        <v/>
      </c>
      <c r="E264" t="str">
        <f>IF(ISNA(MATCH(B264, A:A, 0)), "Missing in A", "")</f>
        <v/>
      </c>
      <c r="F264" t="str">
        <f t="shared" si="9"/>
        <v>Missing in C</v>
      </c>
    </row>
    <row r="265" spans="1:6" x14ac:dyDescent="0.2">
      <c r="A265" t="s">
        <v>113</v>
      </c>
      <c r="B265" t="s">
        <v>113</v>
      </c>
      <c r="C265" s="22" t="s">
        <v>667</v>
      </c>
      <c r="D265" t="str">
        <f t="shared" si="8"/>
        <v/>
      </c>
      <c r="E265" t="str">
        <f>IF(ISNA(MATCH(B265, A:A, 0)), "Missing in A", "")</f>
        <v/>
      </c>
      <c r="F265" t="str">
        <f t="shared" si="9"/>
        <v/>
      </c>
    </row>
    <row r="266" spans="1:6" x14ac:dyDescent="0.2">
      <c r="A266" t="s">
        <v>457</v>
      </c>
      <c r="B266" t="s">
        <v>457</v>
      </c>
      <c r="C266" s="22" t="s">
        <v>364</v>
      </c>
      <c r="D266" t="str">
        <f t="shared" si="8"/>
        <v/>
      </c>
      <c r="E266" t="str">
        <f>IF(ISNA(MATCH(B266, A:A, 0)), "Missing in A", "")</f>
        <v/>
      </c>
      <c r="F266" t="str">
        <f t="shared" si="9"/>
        <v/>
      </c>
    </row>
    <row r="267" spans="1:6" x14ac:dyDescent="0.2">
      <c r="A267" t="s">
        <v>317</v>
      </c>
      <c r="B267" t="s">
        <v>317</v>
      </c>
      <c r="C267" s="22" t="s">
        <v>219</v>
      </c>
      <c r="D267" t="str">
        <f t="shared" si="8"/>
        <v/>
      </c>
      <c r="E267" t="str">
        <f>IF(ISNA(MATCH(B267, A:A, 0)), "Missing in A", "")</f>
        <v/>
      </c>
      <c r="F267" t="str">
        <f t="shared" si="9"/>
        <v/>
      </c>
    </row>
    <row r="268" spans="1:6" x14ac:dyDescent="0.2">
      <c r="A268" t="s">
        <v>161</v>
      </c>
      <c r="B268" t="s">
        <v>161</v>
      </c>
      <c r="C268" s="22" t="s">
        <v>277</v>
      </c>
      <c r="D268" t="str">
        <f t="shared" si="8"/>
        <v/>
      </c>
      <c r="E268" t="str">
        <f>IF(ISNA(MATCH(B268, A:A, 0)), "Missing in A", "")</f>
        <v/>
      </c>
      <c r="F268" t="str">
        <f t="shared" si="9"/>
        <v/>
      </c>
    </row>
    <row r="269" spans="1:6" x14ac:dyDescent="0.2">
      <c r="A269" t="s">
        <v>264</v>
      </c>
      <c r="B269" t="s">
        <v>264</v>
      </c>
      <c r="C269" s="22" t="s">
        <v>309</v>
      </c>
      <c r="D269" t="str">
        <f t="shared" si="8"/>
        <v/>
      </c>
      <c r="E269" t="str">
        <f>IF(ISNA(MATCH(B269, A:A, 0)), "Missing in A", "")</f>
        <v/>
      </c>
      <c r="F269" t="str">
        <f t="shared" si="9"/>
        <v/>
      </c>
    </row>
    <row r="270" spans="1:6" x14ac:dyDescent="0.2">
      <c r="A270" t="s">
        <v>128</v>
      </c>
      <c r="B270" t="s">
        <v>128</v>
      </c>
      <c r="C270" s="22" t="s">
        <v>140</v>
      </c>
      <c r="D270" t="str">
        <f t="shared" si="8"/>
        <v/>
      </c>
      <c r="E270" t="str">
        <f>IF(ISNA(MATCH(B270, A:A, 0)), "Missing in A", "")</f>
        <v/>
      </c>
      <c r="F270" t="str">
        <f t="shared" si="9"/>
        <v/>
      </c>
    </row>
    <row r="271" spans="1:6" x14ac:dyDescent="0.2">
      <c r="A271" t="s">
        <v>446</v>
      </c>
      <c r="B271" t="s">
        <v>446</v>
      </c>
      <c r="C271" s="22" t="s">
        <v>208</v>
      </c>
      <c r="D271" t="str">
        <f t="shared" si="8"/>
        <v/>
      </c>
      <c r="E271" t="str">
        <f>IF(ISNA(MATCH(B271, A:A, 0)), "Missing in A", "")</f>
        <v/>
      </c>
      <c r="F271" t="str">
        <f t="shared" si="9"/>
        <v/>
      </c>
    </row>
    <row r="272" spans="1:6" x14ac:dyDescent="0.2">
      <c r="A272" t="s">
        <v>342</v>
      </c>
      <c r="B272" t="s">
        <v>342</v>
      </c>
      <c r="C272" s="22" t="s">
        <v>358</v>
      </c>
      <c r="D272" t="str">
        <f t="shared" si="8"/>
        <v/>
      </c>
      <c r="E272" t="str">
        <f>IF(ISNA(MATCH(B272, A:A, 0)), "Missing in A", "")</f>
        <v/>
      </c>
      <c r="F272" t="str">
        <f t="shared" si="9"/>
        <v/>
      </c>
    </row>
    <row r="273" spans="1:6" x14ac:dyDescent="0.2">
      <c r="A273" t="s">
        <v>437</v>
      </c>
      <c r="B273" t="s">
        <v>437</v>
      </c>
      <c r="C273" s="22" t="s">
        <v>227</v>
      </c>
      <c r="D273" t="str">
        <f t="shared" si="8"/>
        <v/>
      </c>
      <c r="E273" t="str">
        <f>IF(ISNA(MATCH(B273, A:A, 0)), "Missing in A", "")</f>
        <v/>
      </c>
      <c r="F273" t="str">
        <f t="shared" si="9"/>
        <v/>
      </c>
    </row>
    <row r="274" spans="1:6" x14ac:dyDescent="0.2">
      <c r="A274" t="s">
        <v>176</v>
      </c>
      <c r="B274" t="s">
        <v>176</v>
      </c>
      <c r="C274" s="22" t="s">
        <v>227</v>
      </c>
      <c r="D274" t="str">
        <f t="shared" si="8"/>
        <v/>
      </c>
      <c r="E274" t="str">
        <f>IF(ISNA(MATCH(B274, A:A, 0)), "Missing in A", "")</f>
        <v/>
      </c>
      <c r="F274" t="str">
        <f t="shared" si="9"/>
        <v/>
      </c>
    </row>
    <row r="275" spans="1:6" x14ac:dyDescent="0.2">
      <c r="A275" t="s">
        <v>473</v>
      </c>
      <c r="B275" t="s">
        <v>473</v>
      </c>
      <c r="C275" s="22" t="s">
        <v>315</v>
      </c>
      <c r="D275" t="str">
        <f t="shared" si="8"/>
        <v/>
      </c>
      <c r="E275" t="str">
        <f>IF(ISNA(MATCH(B275, A:A, 0)), "Missing in A", "")</f>
        <v/>
      </c>
      <c r="F275" t="str">
        <f t="shared" si="9"/>
        <v>Missing in C</v>
      </c>
    </row>
    <row r="276" spans="1:6" x14ac:dyDescent="0.2">
      <c r="A276" t="s">
        <v>153</v>
      </c>
      <c r="B276" t="s">
        <v>153</v>
      </c>
      <c r="C276" s="22" t="s">
        <v>130</v>
      </c>
      <c r="D276" t="str">
        <f t="shared" si="8"/>
        <v/>
      </c>
      <c r="E276" t="str">
        <f>IF(ISNA(MATCH(B276, A:A, 0)), "Missing in A", "")</f>
        <v/>
      </c>
      <c r="F276" t="str">
        <f t="shared" si="9"/>
        <v/>
      </c>
    </row>
    <row r="277" spans="1:6" x14ac:dyDescent="0.2">
      <c r="A277" t="s">
        <v>328</v>
      </c>
      <c r="B277" t="s">
        <v>328</v>
      </c>
      <c r="C277" s="22" t="s">
        <v>459</v>
      </c>
      <c r="D277" t="str">
        <f t="shared" si="8"/>
        <v/>
      </c>
      <c r="E277" t="str">
        <f>IF(ISNA(MATCH(B277, A:A, 0)), "Missing in A", "")</f>
        <v/>
      </c>
      <c r="F277" t="str">
        <f t="shared" si="9"/>
        <v/>
      </c>
    </row>
    <row r="278" spans="1:6" x14ac:dyDescent="0.2">
      <c r="A278" t="s">
        <v>233</v>
      </c>
      <c r="B278" t="s">
        <v>233</v>
      </c>
      <c r="C278" s="22" t="s">
        <v>306</v>
      </c>
      <c r="D278" t="str">
        <f t="shared" si="8"/>
        <v/>
      </c>
      <c r="E278" t="str">
        <f>IF(ISNA(MATCH(B278, A:A, 0)), "Missing in A", "")</f>
        <v/>
      </c>
      <c r="F278" t="str">
        <f t="shared" si="9"/>
        <v/>
      </c>
    </row>
    <row r="279" spans="1:6" x14ac:dyDescent="0.2">
      <c r="A279" t="s">
        <v>91</v>
      </c>
      <c r="B279" t="s">
        <v>91</v>
      </c>
      <c r="C279" s="22" t="s">
        <v>173</v>
      </c>
      <c r="D279" t="str">
        <f t="shared" si="8"/>
        <v/>
      </c>
      <c r="E279" t="str">
        <f>IF(ISNA(MATCH(B279, A:A, 0)), "Missing in A", "")</f>
        <v/>
      </c>
      <c r="F279" t="str">
        <f t="shared" si="9"/>
        <v/>
      </c>
    </row>
    <row r="280" spans="1:6" x14ac:dyDescent="0.2">
      <c r="A280" t="s">
        <v>410</v>
      </c>
      <c r="B280" t="s">
        <v>410</v>
      </c>
      <c r="C280" s="22" t="s">
        <v>464</v>
      </c>
      <c r="D280" t="str">
        <f t="shared" si="8"/>
        <v/>
      </c>
      <c r="E280" t="str">
        <f>IF(ISNA(MATCH(B280, A:A, 0)), "Missing in A", "")</f>
        <v/>
      </c>
      <c r="F280" t="str">
        <f t="shared" si="9"/>
        <v>Missing in C</v>
      </c>
    </row>
    <row r="281" spans="1:6" x14ac:dyDescent="0.2">
      <c r="A281" t="s">
        <v>524</v>
      </c>
      <c r="B281" t="s">
        <v>524</v>
      </c>
      <c r="C281" s="22" t="s">
        <v>401</v>
      </c>
      <c r="D281" t="str">
        <f t="shared" si="8"/>
        <v/>
      </c>
      <c r="E281" t="str">
        <f>IF(ISNA(MATCH(B281, A:A, 0)), "Missing in A", "")</f>
        <v/>
      </c>
      <c r="F281" t="str">
        <f t="shared" si="9"/>
        <v>Missing in C</v>
      </c>
    </row>
    <row r="282" spans="1:6" x14ac:dyDescent="0.2">
      <c r="A282" t="s">
        <v>564</v>
      </c>
      <c r="B282" t="s">
        <v>564</v>
      </c>
      <c r="C282" s="22" t="s">
        <v>266</v>
      </c>
      <c r="D282" t="str">
        <f t="shared" si="8"/>
        <v/>
      </c>
      <c r="E282" t="str">
        <f>IF(ISNA(MATCH(B282, A:A, 0)), "Missing in A", "")</f>
        <v/>
      </c>
      <c r="F282" t="str">
        <f t="shared" si="9"/>
        <v>Missing in C</v>
      </c>
    </row>
    <row r="283" spans="1:6" x14ac:dyDescent="0.2">
      <c r="A283" t="s">
        <v>293</v>
      </c>
      <c r="B283" t="s">
        <v>293</v>
      </c>
      <c r="C283" s="22" t="s">
        <v>345</v>
      </c>
      <c r="D283" t="str">
        <f t="shared" si="8"/>
        <v/>
      </c>
      <c r="E283" t="str">
        <f>IF(ISNA(MATCH(B283, A:A, 0)), "Missing in A", "")</f>
        <v/>
      </c>
      <c r="F283" t="str">
        <f t="shared" si="9"/>
        <v/>
      </c>
    </row>
    <row r="284" spans="1:6" x14ac:dyDescent="0.2">
      <c r="A284" t="s">
        <v>423</v>
      </c>
      <c r="B284" t="s">
        <v>423</v>
      </c>
      <c r="C284" s="22" t="s">
        <v>313</v>
      </c>
      <c r="D284" t="str">
        <f t="shared" si="8"/>
        <v/>
      </c>
      <c r="E284" t="str">
        <f>IF(ISNA(MATCH(B284, A:A, 0)), "Missing in A", "")</f>
        <v/>
      </c>
      <c r="F284" t="str">
        <f t="shared" si="9"/>
        <v>Missing in C</v>
      </c>
    </row>
    <row r="285" spans="1:6" x14ac:dyDescent="0.2">
      <c r="A285" t="s">
        <v>55</v>
      </c>
      <c r="B285" t="s">
        <v>55</v>
      </c>
      <c r="C285" s="22" t="s">
        <v>322</v>
      </c>
      <c r="D285" t="str">
        <f t="shared" si="8"/>
        <v/>
      </c>
      <c r="E285" t="str">
        <f>IF(ISNA(MATCH(B285, A:A, 0)), "Missing in A", "")</f>
        <v/>
      </c>
      <c r="F285" t="str">
        <f t="shared" si="9"/>
        <v/>
      </c>
    </row>
    <row r="286" spans="1:6" x14ac:dyDescent="0.2">
      <c r="A286" t="s">
        <v>530</v>
      </c>
      <c r="B286" t="s">
        <v>530</v>
      </c>
      <c r="C286" s="22" t="s">
        <v>331</v>
      </c>
      <c r="D286" t="str">
        <f t="shared" si="8"/>
        <v/>
      </c>
      <c r="E286" t="str">
        <f>IF(ISNA(MATCH(B286, A:A, 0)), "Missing in A", "")</f>
        <v/>
      </c>
      <c r="F286" t="str">
        <f t="shared" si="9"/>
        <v/>
      </c>
    </row>
    <row r="287" spans="1:6" x14ac:dyDescent="0.2">
      <c r="A287" t="s">
        <v>396</v>
      </c>
      <c r="B287" t="s">
        <v>396</v>
      </c>
      <c r="C287" s="22" t="s">
        <v>241</v>
      </c>
      <c r="D287" t="str">
        <f t="shared" si="8"/>
        <v/>
      </c>
      <c r="E287" t="str">
        <f>IF(ISNA(MATCH(B287, A:A, 0)), "Missing in A", "")</f>
        <v/>
      </c>
      <c r="F287" t="str">
        <f t="shared" si="9"/>
        <v>Missing in C</v>
      </c>
    </row>
    <row r="288" spans="1:6" x14ac:dyDescent="0.2">
      <c r="A288" t="s">
        <v>147</v>
      </c>
      <c r="B288" t="s">
        <v>147</v>
      </c>
      <c r="C288" s="22" t="s">
        <v>362</v>
      </c>
      <c r="D288" t="str">
        <f t="shared" si="8"/>
        <v/>
      </c>
      <c r="E288" t="str">
        <f>IF(ISNA(MATCH(B288, A:A, 0)), "Missing in A", "")</f>
        <v/>
      </c>
      <c r="F288" t="str">
        <f t="shared" si="9"/>
        <v/>
      </c>
    </row>
    <row r="289" spans="1:6" x14ac:dyDescent="0.2">
      <c r="A289" t="s">
        <v>455</v>
      </c>
      <c r="B289" t="s">
        <v>455</v>
      </c>
      <c r="C289" s="22" t="s">
        <v>62</v>
      </c>
      <c r="D289" t="str">
        <f t="shared" si="8"/>
        <v/>
      </c>
      <c r="E289" t="str">
        <f>IF(ISNA(MATCH(B289, A:A, 0)), "Missing in A", "")</f>
        <v/>
      </c>
      <c r="F289" t="str">
        <f t="shared" si="9"/>
        <v/>
      </c>
    </row>
    <row r="290" spans="1:6" x14ac:dyDescent="0.2">
      <c r="A290" t="s">
        <v>164</v>
      </c>
      <c r="B290" t="s">
        <v>164</v>
      </c>
      <c r="C290" s="22" t="s">
        <v>292</v>
      </c>
      <c r="D290" t="str">
        <f t="shared" si="8"/>
        <v/>
      </c>
      <c r="E290" t="str">
        <f>IF(ISNA(MATCH(B290, A:A, 0)), "Missing in A", "")</f>
        <v/>
      </c>
      <c r="F290" t="str">
        <f t="shared" si="9"/>
        <v/>
      </c>
    </row>
    <row r="291" spans="1:6" x14ac:dyDescent="0.2">
      <c r="A291" t="s">
        <v>472</v>
      </c>
      <c r="B291" t="s">
        <v>472</v>
      </c>
      <c r="C291" s="22" t="s">
        <v>58</v>
      </c>
      <c r="D291" t="str">
        <f t="shared" si="8"/>
        <v/>
      </c>
      <c r="E291" t="str">
        <f>IF(ISNA(MATCH(B291, A:A, 0)), "Missing in A", "")</f>
        <v/>
      </c>
      <c r="F291" t="str">
        <f t="shared" si="9"/>
        <v/>
      </c>
    </row>
    <row r="292" spans="1:6" x14ac:dyDescent="0.2">
      <c r="A292" t="s">
        <v>170</v>
      </c>
      <c r="B292" t="s">
        <v>170</v>
      </c>
      <c r="C292" s="22" t="s">
        <v>357</v>
      </c>
      <c r="D292" t="str">
        <f t="shared" si="8"/>
        <v/>
      </c>
      <c r="E292" t="str">
        <f>IF(ISNA(MATCH(B292, A:A, 0)), "Missing in A", "")</f>
        <v/>
      </c>
      <c r="F292" t="str">
        <f t="shared" si="9"/>
        <v/>
      </c>
    </row>
    <row r="293" spans="1:6" x14ac:dyDescent="0.2">
      <c r="A293" t="s">
        <v>364</v>
      </c>
      <c r="B293" t="s">
        <v>364</v>
      </c>
      <c r="C293" s="22" t="s">
        <v>142</v>
      </c>
      <c r="D293" t="str">
        <f t="shared" si="8"/>
        <v/>
      </c>
      <c r="E293" t="str">
        <f>IF(ISNA(MATCH(B293, A:A, 0)), "Missing in A", "")</f>
        <v/>
      </c>
      <c r="F293" t="str">
        <f t="shared" si="9"/>
        <v/>
      </c>
    </row>
    <row r="294" spans="1:6" x14ac:dyDescent="0.2">
      <c r="A294" t="s">
        <v>219</v>
      </c>
      <c r="B294" t="s">
        <v>219</v>
      </c>
      <c r="C294" s="22" t="s">
        <v>68</v>
      </c>
      <c r="D294" t="str">
        <f t="shared" si="8"/>
        <v/>
      </c>
      <c r="E294" t="str">
        <f>IF(ISNA(MATCH(B294, A:A, 0)), "Missing in A", "")</f>
        <v/>
      </c>
      <c r="F294" t="str">
        <f t="shared" si="9"/>
        <v/>
      </c>
    </row>
    <row r="295" spans="1:6" x14ac:dyDescent="0.2">
      <c r="A295" t="s">
        <v>277</v>
      </c>
      <c r="B295" t="s">
        <v>277</v>
      </c>
      <c r="C295" s="22" t="s">
        <v>670</v>
      </c>
      <c r="D295" t="str">
        <f t="shared" si="8"/>
        <v/>
      </c>
      <c r="E295" t="str">
        <f>IF(ISNA(MATCH(B295, A:A, 0)), "Missing in A", "")</f>
        <v/>
      </c>
      <c r="F295" t="str">
        <f t="shared" si="9"/>
        <v/>
      </c>
    </row>
    <row r="296" spans="1:6" x14ac:dyDescent="0.2">
      <c r="A296" t="s">
        <v>309</v>
      </c>
      <c r="B296" t="s">
        <v>309</v>
      </c>
      <c r="C296" s="22" t="s">
        <v>319</v>
      </c>
      <c r="D296" t="str">
        <f t="shared" si="8"/>
        <v/>
      </c>
      <c r="E296" t="str">
        <f>IF(ISNA(MATCH(B296, A:A, 0)), "Missing in A", "")</f>
        <v/>
      </c>
      <c r="F296" t="str">
        <f t="shared" si="9"/>
        <v/>
      </c>
    </row>
    <row r="297" spans="1:6" x14ac:dyDescent="0.2">
      <c r="A297" t="s">
        <v>546</v>
      </c>
      <c r="B297" t="s">
        <v>546</v>
      </c>
      <c r="C297" s="22" t="s">
        <v>421</v>
      </c>
      <c r="D297" t="str">
        <f t="shared" si="8"/>
        <v/>
      </c>
      <c r="E297" t="str">
        <f>IF(ISNA(MATCH(B297, A:A, 0)), "Missing in A", "")</f>
        <v/>
      </c>
      <c r="F297" t="str">
        <f t="shared" si="9"/>
        <v>Missing in C</v>
      </c>
    </row>
    <row r="298" spans="1:6" x14ac:dyDescent="0.2">
      <c r="A298" t="s">
        <v>557</v>
      </c>
      <c r="B298" t="s">
        <v>557</v>
      </c>
      <c r="C298" s="22" t="s">
        <v>204</v>
      </c>
      <c r="D298" t="str">
        <f t="shared" si="8"/>
        <v/>
      </c>
      <c r="E298" t="str">
        <f>IF(ISNA(MATCH(B298, A:A, 0)), "Missing in A", "")</f>
        <v/>
      </c>
      <c r="F298" t="str">
        <f t="shared" si="9"/>
        <v>Missing in C</v>
      </c>
    </row>
    <row r="299" spans="1:6" x14ac:dyDescent="0.2">
      <c r="A299" t="s">
        <v>140</v>
      </c>
      <c r="B299" t="s">
        <v>140</v>
      </c>
      <c r="C299" s="22" t="s">
        <v>67</v>
      </c>
      <c r="D299" t="str">
        <f t="shared" si="8"/>
        <v/>
      </c>
      <c r="E299" t="str">
        <f>IF(ISNA(MATCH(B299, A:A, 0)), "Missing in A", "")</f>
        <v/>
      </c>
      <c r="F299" t="str">
        <f t="shared" si="9"/>
        <v/>
      </c>
    </row>
    <row r="300" spans="1:6" x14ac:dyDescent="0.2">
      <c r="A300" t="s">
        <v>208</v>
      </c>
      <c r="B300" t="s">
        <v>208</v>
      </c>
      <c r="C300" s="22" t="s">
        <v>448</v>
      </c>
      <c r="D300" t="str">
        <f t="shared" si="8"/>
        <v/>
      </c>
      <c r="E300" t="str">
        <f>IF(ISNA(MATCH(B300, A:A, 0)), "Missing in A", "")</f>
        <v/>
      </c>
      <c r="F300" t="str">
        <f t="shared" si="9"/>
        <v/>
      </c>
    </row>
    <row r="301" spans="1:6" x14ac:dyDescent="0.2">
      <c r="A301" t="s">
        <v>358</v>
      </c>
      <c r="B301" t="s">
        <v>358</v>
      </c>
      <c r="C301" s="22" t="s">
        <v>346</v>
      </c>
      <c r="D301" t="str">
        <f t="shared" si="8"/>
        <v/>
      </c>
      <c r="E301" t="str">
        <f>IF(ISNA(MATCH(B301, A:A, 0)), "Missing in A", "")</f>
        <v/>
      </c>
      <c r="F301" t="str">
        <f t="shared" si="9"/>
        <v/>
      </c>
    </row>
    <row r="302" spans="1:6" x14ac:dyDescent="0.2">
      <c r="A302" t="s">
        <v>227</v>
      </c>
      <c r="B302" t="s">
        <v>227</v>
      </c>
      <c r="C302" s="22" t="s">
        <v>350</v>
      </c>
      <c r="D302" t="str">
        <f t="shared" si="8"/>
        <v/>
      </c>
      <c r="E302" t="str">
        <f>IF(ISNA(MATCH(B302, A:A, 0)), "Missing in A", "")</f>
        <v/>
      </c>
      <c r="F302" t="str">
        <f t="shared" si="9"/>
        <v/>
      </c>
    </row>
    <row r="303" spans="1:6" x14ac:dyDescent="0.2">
      <c r="A303" t="s">
        <v>315</v>
      </c>
      <c r="B303" t="s">
        <v>315</v>
      </c>
      <c r="C303" s="22" t="s">
        <v>314</v>
      </c>
      <c r="D303" t="str">
        <f t="shared" si="8"/>
        <v/>
      </c>
      <c r="E303" t="str">
        <f>IF(ISNA(MATCH(B303, A:A, 0)), "Missing in A", "")</f>
        <v/>
      </c>
      <c r="F303" t="str">
        <f t="shared" si="9"/>
        <v/>
      </c>
    </row>
    <row r="304" spans="1:6" x14ac:dyDescent="0.2">
      <c r="A304" t="s">
        <v>130</v>
      </c>
      <c r="B304" t="s">
        <v>130</v>
      </c>
      <c r="C304" s="22" t="s">
        <v>310</v>
      </c>
      <c r="D304" t="str">
        <f t="shared" si="8"/>
        <v/>
      </c>
      <c r="E304" t="str">
        <f>IF(ISNA(MATCH(B304, A:A, 0)), "Missing in A", "")</f>
        <v/>
      </c>
      <c r="F304" t="str">
        <f t="shared" si="9"/>
        <v/>
      </c>
    </row>
    <row r="305" spans="1:6" x14ac:dyDescent="0.2">
      <c r="A305" t="s">
        <v>459</v>
      </c>
      <c r="B305" t="s">
        <v>459</v>
      </c>
      <c r="C305" s="22" t="s">
        <v>547</v>
      </c>
      <c r="D305" t="str">
        <f t="shared" si="8"/>
        <v/>
      </c>
      <c r="E305" t="str">
        <f>IF(ISNA(MATCH(B305, A:A, 0)), "Missing in A", "")</f>
        <v/>
      </c>
      <c r="F305" t="str">
        <f t="shared" si="9"/>
        <v/>
      </c>
    </row>
    <row r="306" spans="1:6" x14ac:dyDescent="0.2">
      <c r="A306" t="s">
        <v>306</v>
      </c>
      <c r="B306" t="s">
        <v>306</v>
      </c>
      <c r="C306" s="22" t="s">
        <v>115</v>
      </c>
      <c r="D306" t="str">
        <f t="shared" si="8"/>
        <v/>
      </c>
      <c r="E306" t="str">
        <f>IF(ISNA(MATCH(B306, A:A, 0)), "Missing in A", "")</f>
        <v/>
      </c>
      <c r="F306" t="str">
        <f t="shared" si="9"/>
        <v/>
      </c>
    </row>
    <row r="307" spans="1:6" x14ac:dyDescent="0.2">
      <c r="A307" t="s">
        <v>427</v>
      </c>
      <c r="B307" t="s">
        <v>427</v>
      </c>
      <c r="C307" s="22" t="s">
        <v>677</v>
      </c>
      <c r="D307" t="str">
        <f t="shared" si="8"/>
        <v/>
      </c>
      <c r="E307" t="str">
        <f>IF(ISNA(MATCH(B307, A:A, 0)), "Missing in A", "")</f>
        <v/>
      </c>
      <c r="F307" t="str">
        <f t="shared" si="9"/>
        <v>Missing in C</v>
      </c>
    </row>
    <row r="308" spans="1:6" x14ac:dyDescent="0.2">
      <c r="A308" t="s">
        <v>173</v>
      </c>
      <c r="B308" t="s">
        <v>173</v>
      </c>
      <c r="C308" s="22" t="s">
        <v>156</v>
      </c>
      <c r="D308" t="str">
        <f t="shared" si="8"/>
        <v/>
      </c>
      <c r="E308" t="str">
        <f>IF(ISNA(MATCH(B308, A:A, 0)), "Missing in A", "")</f>
        <v/>
      </c>
      <c r="F308" t="str">
        <f t="shared" si="9"/>
        <v/>
      </c>
    </row>
    <row r="309" spans="1:6" x14ac:dyDescent="0.2">
      <c r="A309" t="s">
        <v>464</v>
      </c>
      <c r="B309" t="s">
        <v>464</v>
      </c>
      <c r="C309" s="22" t="s">
        <v>678</v>
      </c>
      <c r="D309" t="str">
        <f t="shared" si="8"/>
        <v/>
      </c>
      <c r="E309" t="str">
        <f>IF(ISNA(MATCH(B309, A:A, 0)), "Missing in A", "")</f>
        <v/>
      </c>
      <c r="F309" t="str">
        <f t="shared" si="9"/>
        <v/>
      </c>
    </row>
    <row r="310" spans="1:6" x14ac:dyDescent="0.2">
      <c r="A310" t="s">
        <v>401</v>
      </c>
      <c r="B310" t="s">
        <v>401</v>
      </c>
      <c r="C310" s="22" t="s">
        <v>326</v>
      </c>
      <c r="D310" t="str">
        <f t="shared" si="8"/>
        <v/>
      </c>
      <c r="E310" t="str">
        <f>IF(ISNA(MATCH(B310, A:A, 0)), "Missing in A", "")</f>
        <v/>
      </c>
      <c r="F310" t="str">
        <f t="shared" si="9"/>
        <v/>
      </c>
    </row>
    <row r="311" spans="1:6" x14ac:dyDescent="0.2">
      <c r="A311" t="s">
        <v>266</v>
      </c>
      <c r="B311" t="s">
        <v>266</v>
      </c>
      <c r="C311" s="22" t="s">
        <v>291</v>
      </c>
      <c r="D311" t="str">
        <f t="shared" si="8"/>
        <v/>
      </c>
      <c r="E311" t="str">
        <f>IF(ISNA(MATCH(B311, A:A, 0)), "Missing in A", "")</f>
        <v/>
      </c>
      <c r="F311" t="str">
        <f t="shared" si="9"/>
        <v/>
      </c>
    </row>
    <row r="312" spans="1:6" x14ac:dyDescent="0.2">
      <c r="A312" t="s">
        <v>345</v>
      </c>
      <c r="B312" t="s">
        <v>345</v>
      </c>
      <c r="C312" s="22" t="s">
        <v>474</v>
      </c>
      <c r="D312" t="str">
        <f t="shared" si="8"/>
        <v/>
      </c>
      <c r="E312" t="str">
        <f>IF(ISNA(MATCH(B312, A:A, 0)), "Missing in A", "")</f>
        <v/>
      </c>
      <c r="F312" t="str">
        <f t="shared" si="9"/>
        <v/>
      </c>
    </row>
    <row r="313" spans="1:6" x14ac:dyDescent="0.2">
      <c r="A313" t="s">
        <v>313</v>
      </c>
      <c r="B313" t="s">
        <v>313</v>
      </c>
      <c r="C313" s="22" t="s">
        <v>460</v>
      </c>
      <c r="D313" t="str">
        <f t="shared" si="8"/>
        <v/>
      </c>
      <c r="E313" t="str">
        <f>IF(ISNA(MATCH(B313, A:A, 0)), "Missing in A", "")</f>
        <v/>
      </c>
      <c r="F313" t="str">
        <f t="shared" si="9"/>
        <v/>
      </c>
    </row>
    <row r="314" spans="1:6" x14ac:dyDescent="0.2">
      <c r="A314" t="s">
        <v>322</v>
      </c>
      <c r="B314" t="s">
        <v>322</v>
      </c>
      <c r="C314" s="22" t="s">
        <v>518</v>
      </c>
      <c r="D314" t="str">
        <f t="shared" si="8"/>
        <v/>
      </c>
      <c r="E314" t="str">
        <f>IF(ISNA(MATCH(B314, A:A, 0)), "Missing in A", "")</f>
        <v/>
      </c>
      <c r="F314" t="str">
        <f t="shared" si="9"/>
        <v/>
      </c>
    </row>
    <row r="315" spans="1:6" x14ac:dyDescent="0.2">
      <c r="A315" t="s">
        <v>331</v>
      </c>
      <c r="B315" t="s">
        <v>331</v>
      </c>
      <c r="C315" s="22" t="s">
        <v>366</v>
      </c>
      <c r="D315" t="str">
        <f t="shared" si="8"/>
        <v/>
      </c>
      <c r="E315" t="str">
        <f>IF(ISNA(MATCH(B315, A:A, 0)), "Missing in A", "")</f>
        <v/>
      </c>
      <c r="F315" t="str">
        <f t="shared" si="9"/>
        <v/>
      </c>
    </row>
    <row r="316" spans="1:6" x14ac:dyDescent="0.2">
      <c r="A316" t="s">
        <v>241</v>
      </c>
      <c r="B316" t="s">
        <v>241</v>
      </c>
      <c r="C316" s="22" t="s">
        <v>335</v>
      </c>
      <c r="D316" t="str">
        <f t="shared" si="8"/>
        <v/>
      </c>
      <c r="E316" t="str">
        <f>IF(ISNA(MATCH(B316, A:A, 0)), "Missing in A", "")</f>
        <v/>
      </c>
      <c r="F316" t="str">
        <f t="shared" si="9"/>
        <v/>
      </c>
    </row>
    <row r="317" spans="1:6" x14ac:dyDescent="0.2">
      <c r="A317" t="s">
        <v>362</v>
      </c>
      <c r="B317" t="s">
        <v>362</v>
      </c>
      <c r="C317" s="22" t="s">
        <v>304</v>
      </c>
      <c r="D317" t="str">
        <f t="shared" si="8"/>
        <v/>
      </c>
      <c r="E317" t="str">
        <f>IF(ISNA(MATCH(B317, A:A, 0)), "Missing in A", "")</f>
        <v/>
      </c>
      <c r="F317" t="str">
        <f t="shared" si="9"/>
        <v/>
      </c>
    </row>
    <row r="318" spans="1:6" x14ac:dyDescent="0.2">
      <c r="A318" t="s">
        <v>62</v>
      </c>
      <c r="B318" t="s">
        <v>62</v>
      </c>
      <c r="C318" s="22" t="s">
        <v>650</v>
      </c>
      <c r="D318" t="str">
        <f t="shared" si="8"/>
        <v/>
      </c>
      <c r="E318" t="str">
        <f>IF(ISNA(MATCH(B318, A:A, 0)), "Missing in A", "")</f>
        <v/>
      </c>
      <c r="F318" t="str">
        <f t="shared" si="9"/>
        <v/>
      </c>
    </row>
    <row r="319" spans="1:6" x14ac:dyDescent="0.2">
      <c r="A319" t="s">
        <v>292</v>
      </c>
      <c r="B319" t="s">
        <v>292</v>
      </c>
      <c r="C319" s="22" t="s">
        <v>302</v>
      </c>
      <c r="D319" t="str">
        <f t="shared" si="8"/>
        <v/>
      </c>
      <c r="E319" t="str">
        <f>IF(ISNA(MATCH(B319, A:A, 0)), "Missing in A", "")</f>
        <v/>
      </c>
      <c r="F319" t="str">
        <f t="shared" si="9"/>
        <v/>
      </c>
    </row>
    <row r="320" spans="1:6" x14ac:dyDescent="0.2">
      <c r="A320" t="s">
        <v>58</v>
      </c>
      <c r="B320" t="s">
        <v>58</v>
      </c>
      <c r="C320" s="22" t="s">
        <v>647</v>
      </c>
      <c r="D320" t="str">
        <f t="shared" si="8"/>
        <v/>
      </c>
      <c r="E320" t="str">
        <f>IF(ISNA(MATCH(B320, A:A, 0)), "Missing in A", "")</f>
        <v/>
      </c>
      <c r="F320" t="str">
        <f t="shared" si="9"/>
        <v/>
      </c>
    </row>
    <row r="321" spans="1:6" x14ac:dyDescent="0.2">
      <c r="A321" t="s">
        <v>357</v>
      </c>
      <c r="B321" t="s">
        <v>357</v>
      </c>
      <c r="C321" s="22" t="s">
        <v>453</v>
      </c>
      <c r="D321" t="str">
        <f t="shared" si="8"/>
        <v/>
      </c>
      <c r="E321" t="str">
        <f>IF(ISNA(MATCH(B321, A:A, 0)), "Missing in A", "")</f>
        <v/>
      </c>
      <c r="F321" t="str">
        <f t="shared" si="9"/>
        <v/>
      </c>
    </row>
    <row r="322" spans="1:6" x14ac:dyDescent="0.2">
      <c r="A322" t="s">
        <v>142</v>
      </c>
      <c r="B322" t="s">
        <v>142</v>
      </c>
      <c r="C322" s="22" t="s">
        <v>529</v>
      </c>
      <c r="D322" t="str">
        <f t="shared" si="8"/>
        <v/>
      </c>
      <c r="E322" t="str">
        <f>IF(ISNA(MATCH(B322, A:A, 0)), "Missing in A", "")</f>
        <v/>
      </c>
      <c r="F322" t="str">
        <f t="shared" si="9"/>
        <v/>
      </c>
    </row>
    <row r="323" spans="1:6" x14ac:dyDescent="0.2">
      <c r="A323" t="s">
        <v>68</v>
      </c>
      <c r="B323" t="s">
        <v>68</v>
      </c>
      <c r="C323" s="22" t="s">
        <v>109</v>
      </c>
      <c r="D323" t="str">
        <f t="shared" ref="D323:D386" si="10">IF(ISNA(MATCH(A323, B:B, 0)), "Missing in A", "")</f>
        <v/>
      </c>
      <c r="E323" t="str">
        <f>IF(ISNA(MATCH(B323, A:A, 0)), "Missing in A", "")</f>
        <v/>
      </c>
      <c r="F323" t="str">
        <f t="shared" ref="F323:F386" si="11">IF(ISNA(MATCH(A323,C:C, 0)), "Missing in C", "")</f>
        <v/>
      </c>
    </row>
    <row r="324" spans="1:6" x14ac:dyDescent="0.2">
      <c r="A324" t="s">
        <v>500</v>
      </c>
      <c r="B324" t="s">
        <v>500</v>
      </c>
      <c r="C324" s="22" t="s">
        <v>105</v>
      </c>
      <c r="D324" t="str">
        <f t="shared" si="10"/>
        <v/>
      </c>
      <c r="E324" t="str">
        <f>IF(ISNA(MATCH(B324, A:A, 0)), "Missing in A", "")</f>
        <v/>
      </c>
      <c r="F324" t="str">
        <f t="shared" si="11"/>
        <v>Missing in C</v>
      </c>
    </row>
    <row r="325" spans="1:6" x14ac:dyDescent="0.2">
      <c r="A325" t="s">
        <v>520</v>
      </c>
      <c r="B325" t="s">
        <v>520</v>
      </c>
      <c r="C325" s="22" t="s">
        <v>258</v>
      </c>
      <c r="D325" t="str">
        <f t="shared" si="10"/>
        <v/>
      </c>
      <c r="E325" t="str">
        <f>IF(ISNA(MATCH(B325, A:A, 0)), "Missing in A", "")</f>
        <v/>
      </c>
      <c r="F325" t="str">
        <f t="shared" si="11"/>
        <v>Missing in C</v>
      </c>
    </row>
    <row r="326" spans="1:6" x14ac:dyDescent="0.2">
      <c r="A326" t="s">
        <v>319</v>
      </c>
      <c r="B326" t="s">
        <v>319</v>
      </c>
      <c r="C326" s="22" t="s">
        <v>252</v>
      </c>
      <c r="D326" t="str">
        <f t="shared" si="10"/>
        <v/>
      </c>
      <c r="E326" t="str">
        <f>IF(ISNA(MATCH(B326, A:A, 0)), "Missing in A", "")</f>
        <v/>
      </c>
      <c r="F326" t="str">
        <f t="shared" si="11"/>
        <v/>
      </c>
    </row>
    <row r="327" spans="1:6" x14ac:dyDescent="0.2">
      <c r="A327" t="s">
        <v>421</v>
      </c>
      <c r="B327" t="s">
        <v>421</v>
      </c>
      <c r="C327" s="22" t="s">
        <v>220</v>
      </c>
      <c r="D327" t="str">
        <f t="shared" si="10"/>
        <v/>
      </c>
      <c r="E327" t="str">
        <f>IF(ISNA(MATCH(B327, A:A, 0)), "Missing in A", "")</f>
        <v/>
      </c>
      <c r="F327" t="str">
        <f t="shared" si="11"/>
        <v/>
      </c>
    </row>
    <row r="328" spans="1:6" x14ac:dyDescent="0.2">
      <c r="A328" t="s">
        <v>204</v>
      </c>
      <c r="B328" t="s">
        <v>204</v>
      </c>
      <c r="C328" s="22" t="s">
        <v>648</v>
      </c>
      <c r="D328" t="str">
        <f t="shared" si="10"/>
        <v/>
      </c>
      <c r="E328" t="str">
        <f>IF(ISNA(MATCH(B328, A:A, 0)), "Missing in A", "")</f>
        <v/>
      </c>
      <c r="F328" t="str">
        <f t="shared" si="11"/>
        <v/>
      </c>
    </row>
    <row r="329" spans="1:6" x14ac:dyDescent="0.2">
      <c r="A329" t="s">
        <v>67</v>
      </c>
      <c r="B329" t="s">
        <v>67</v>
      </c>
      <c r="C329" s="22" t="s">
        <v>405</v>
      </c>
      <c r="D329" t="str">
        <f t="shared" si="10"/>
        <v/>
      </c>
      <c r="E329" t="str">
        <f>IF(ISNA(MATCH(B329, A:A, 0)), "Missing in A", "")</f>
        <v/>
      </c>
      <c r="F329" t="str">
        <f t="shared" si="11"/>
        <v/>
      </c>
    </row>
    <row r="330" spans="1:6" x14ac:dyDescent="0.2">
      <c r="A330" t="s">
        <v>448</v>
      </c>
      <c r="B330" t="s">
        <v>448</v>
      </c>
      <c r="C330" s="22" t="s">
        <v>341</v>
      </c>
      <c r="D330" t="str">
        <f t="shared" si="10"/>
        <v/>
      </c>
      <c r="E330" t="str">
        <f>IF(ISNA(MATCH(B330, A:A, 0)), "Missing in A", "")</f>
        <v/>
      </c>
      <c r="F330" t="str">
        <f t="shared" si="11"/>
        <v/>
      </c>
    </row>
    <row r="331" spans="1:6" x14ac:dyDescent="0.2">
      <c r="A331" t="s">
        <v>346</v>
      </c>
      <c r="B331" t="s">
        <v>346</v>
      </c>
      <c r="C331" s="22" t="s">
        <v>136</v>
      </c>
      <c r="D331" t="str">
        <f t="shared" si="10"/>
        <v/>
      </c>
      <c r="E331" t="str">
        <f>IF(ISNA(MATCH(B331, A:A, 0)), "Missing in A", "")</f>
        <v/>
      </c>
      <c r="F331" t="str">
        <f t="shared" si="11"/>
        <v/>
      </c>
    </row>
    <row r="332" spans="1:6" x14ac:dyDescent="0.2">
      <c r="A332" t="s">
        <v>350</v>
      </c>
      <c r="B332" t="s">
        <v>350</v>
      </c>
      <c r="C332" s="22" t="s">
        <v>444</v>
      </c>
      <c r="D332" t="str">
        <f t="shared" si="10"/>
        <v/>
      </c>
      <c r="E332" t="str">
        <f>IF(ISNA(MATCH(B332, A:A, 0)), "Missing in A", "")</f>
        <v/>
      </c>
      <c r="F332" t="str">
        <f t="shared" si="11"/>
        <v/>
      </c>
    </row>
    <row r="333" spans="1:6" x14ac:dyDescent="0.2">
      <c r="A333" t="s">
        <v>504</v>
      </c>
      <c r="B333" t="s">
        <v>504</v>
      </c>
      <c r="C333" s="22" t="s">
        <v>260</v>
      </c>
      <c r="D333" t="str">
        <f t="shared" si="10"/>
        <v/>
      </c>
      <c r="E333" t="str">
        <f>IF(ISNA(MATCH(B333, A:A, 0)), "Missing in A", "")</f>
        <v/>
      </c>
      <c r="F333" t="str">
        <f t="shared" si="11"/>
        <v>Missing in C</v>
      </c>
    </row>
    <row r="334" spans="1:6" x14ac:dyDescent="0.2">
      <c r="A334" t="s">
        <v>563</v>
      </c>
      <c r="B334" t="s">
        <v>563</v>
      </c>
      <c r="C334" s="22" t="s">
        <v>545</v>
      </c>
      <c r="D334" t="str">
        <f t="shared" si="10"/>
        <v/>
      </c>
      <c r="E334" t="str">
        <f>IF(ISNA(MATCH(B334, A:A, 0)), "Missing in A", "")</f>
        <v/>
      </c>
      <c r="F334" t="str">
        <f t="shared" si="11"/>
        <v>Missing in C</v>
      </c>
    </row>
    <row r="335" spans="1:6" x14ac:dyDescent="0.2">
      <c r="A335" t="s">
        <v>314</v>
      </c>
      <c r="B335" t="s">
        <v>314</v>
      </c>
      <c r="C335" s="22" t="s">
        <v>129</v>
      </c>
      <c r="D335" t="str">
        <f t="shared" si="10"/>
        <v/>
      </c>
      <c r="E335" t="str">
        <f>IF(ISNA(MATCH(B335, A:A, 0)), "Missing in A", "")</f>
        <v/>
      </c>
      <c r="F335" t="str">
        <f t="shared" si="11"/>
        <v/>
      </c>
    </row>
    <row r="336" spans="1:6" x14ac:dyDescent="0.2">
      <c r="A336" t="s">
        <v>310</v>
      </c>
      <c r="B336" t="s">
        <v>310</v>
      </c>
      <c r="C336" s="22" t="s">
        <v>189</v>
      </c>
      <c r="D336" t="str">
        <f t="shared" si="10"/>
        <v/>
      </c>
      <c r="E336" t="str">
        <f>IF(ISNA(MATCH(B336, A:A, 0)), "Missing in A", "")</f>
        <v/>
      </c>
      <c r="F336" t="str">
        <f t="shared" si="11"/>
        <v/>
      </c>
    </row>
    <row r="337" spans="1:6" x14ac:dyDescent="0.2">
      <c r="A337" t="s">
        <v>547</v>
      </c>
      <c r="B337" t="s">
        <v>547</v>
      </c>
      <c r="C337" s="22" t="s">
        <v>659</v>
      </c>
      <c r="D337" t="str">
        <f t="shared" si="10"/>
        <v/>
      </c>
      <c r="E337" t="str">
        <f>IF(ISNA(MATCH(B337, A:A, 0)), "Missing in A", "")</f>
        <v/>
      </c>
      <c r="F337" t="str">
        <f t="shared" si="11"/>
        <v/>
      </c>
    </row>
    <row r="338" spans="1:6" x14ac:dyDescent="0.2">
      <c r="A338" t="s">
        <v>115</v>
      </c>
      <c r="B338" t="s">
        <v>115</v>
      </c>
      <c r="C338" s="22" t="s">
        <v>162</v>
      </c>
      <c r="D338" t="str">
        <f t="shared" si="10"/>
        <v/>
      </c>
      <c r="E338" t="str">
        <f>IF(ISNA(MATCH(B338, A:A, 0)), "Missing in A", "")</f>
        <v/>
      </c>
      <c r="F338" t="str">
        <f t="shared" si="11"/>
        <v/>
      </c>
    </row>
    <row r="339" spans="1:6" x14ac:dyDescent="0.2">
      <c r="A339" t="s">
        <v>156</v>
      </c>
      <c r="B339" t="s">
        <v>156</v>
      </c>
      <c r="C339" s="22" t="s">
        <v>311</v>
      </c>
      <c r="D339" t="str">
        <f t="shared" si="10"/>
        <v/>
      </c>
      <c r="E339" t="str">
        <f>IF(ISNA(MATCH(B339, A:A, 0)), "Missing in A", "")</f>
        <v/>
      </c>
      <c r="F339" t="str">
        <f t="shared" si="11"/>
        <v/>
      </c>
    </row>
    <row r="340" spans="1:6" x14ac:dyDescent="0.2">
      <c r="A340" t="s">
        <v>326</v>
      </c>
      <c r="B340" t="s">
        <v>326</v>
      </c>
      <c r="C340" s="22" t="s">
        <v>253</v>
      </c>
      <c r="D340" t="str">
        <f t="shared" si="10"/>
        <v/>
      </c>
      <c r="E340" t="str">
        <f>IF(ISNA(MATCH(B340, A:A, 0)), "Missing in A", "")</f>
        <v/>
      </c>
      <c r="F340" t="str">
        <f t="shared" si="11"/>
        <v/>
      </c>
    </row>
    <row r="341" spans="1:6" x14ac:dyDescent="0.2">
      <c r="A341" t="s">
        <v>291</v>
      </c>
      <c r="B341" t="s">
        <v>291</v>
      </c>
      <c r="C341" s="22" t="s">
        <v>334</v>
      </c>
      <c r="D341" t="str">
        <f t="shared" si="10"/>
        <v/>
      </c>
      <c r="E341" t="str">
        <f>IF(ISNA(MATCH(B341, A:A, 0)), "Missing in A", "")</f>
        <v/>
      </c>
      <c r="F341" t="str">
        <f t="shared" si="11"/>
        <v/>
      </c>
    </row>
    <row r="342" spans="1:6" x14ac:dyDescent="0.2">
      <c r="A342" t="s">
        <v>474</v>
      </c>
      <c r="B342" t="s">
        <v>474</v>
      </c>
      <c r="C342" s="22" t="s">
        <v>420</v>
      </c>
      <c r="D342" t="str">
        <f t="shared" si="10"/>
        <v/>
      </c>
      <c r="E342" t="str">
        <f>IF(ISNA(MATCH(B342, A:A, 0)), "Missing in A", "")</f>
        <v/>
      </c>
      <c r="F342" t="str">
        <f t="shared" si="11"/>
        <v/>
      </c>
    </row>
    <row r="343" spans="1:6" x14ac:dyDescent="0.2">
      <c r="A343" t="s">
        <v>460</v>
      </c>
      <c r="B343" t="s">
        <v>460</v>
      </c>
      <c r="C343" s="22" t="s">
        <v>213</v>
      </c>
      <c r="D343" t="str">
        <f t="shared" si="10"/>
        <v/>
      </c>
      <c r="E343" t="str">
        <f>IF(ISNA(MATCH(B343, A:A, 0)), "Missing in A", "")</f>
        <v/>
      </c>
      <c r="F343" t="str">
        <f t="shared" si="11"/>
        <v/>
      </c>
    </row>
    <row r="344" spans="1:6" x14ac:dyDescent="0.2">
      <c r="A344" t="s">
        <v>518</v>
      </c>
      <c r="B344" t="s">
        <v>518</v>
      </c>
      <c r="C344" s="22" t="s">
        <v>355</v>
      </c>
      <c r="D344" t="str">
        <f t="shared" si="10"/>
        <v/>
      </c>
      <c r="E344" t="str">
        <f>IF(ISNA(MATCH(B344, A:A, 0)), "Missing in A", "")</f>
        <v/>
      </c>
      <c r="F344" t="str">
        <f t="shared" si="11"/>
        <v/>
      </c>
    </row>
    <row r="345" spans="1:6" x14ac:dyDescent="0.2">
      <c r="A345" t="s">
        <v>366</v>
      </c>
      <c r="B345" t="s">
        <v>366</v>
      </c>
      <c r="C345" s="22" t="s">
        <v>675</v>
      </c>
      <c r="D345" t="str">
        <f t="shared" si="10"/>
        <v/>
      </c>
      <c r="E345" t="str">
        <f>IF(ISNA(MATCH(B345, A:A, 0)), "Missing in A", "")</f>
        <v/>
      </c>
      <c r="F345" t="str">
        <f t="shared" si="11"/>
        <v/>
      </c>
    </row>
    <row r="346" spans="1:6" x14ac:dyDescent="0.2">
      <c r="A346" t="s">
        <v>561</v>
      </c>
      <c r="B346" t="s">
        <v>561</v>
      </c>
      <c r="C346" s="22" t="s">
        <v>45</v>
      </c>
      <c r="D346" t="str">
        <f t="shared" si="10"/>
        <v/>
      </c>
      <c r="E346" t="str">
        <f>IF(ISNA(MATCH(B346, A:A, 0)), "Missing in A", "")</f>
        <v/>
      </c>
      <c r="F346" t="str">
        <f t="shared" si="11"/>
        <v>Missing in C</v>
      </c>
    </row>
    <row r="347" spans="1:6" x14ac:dyDescent="0.2">
      <c r="A347" t="s">
        <v>335</v>
      </c>
      <c r="B347" t="s">
        <v>335</v>
      </c>
      <c r="C347" s="22" t="s">
        <v>312</v>
      </c>
      <c r="D347" t="str">
        <f t="shared" si="10"/>
        <v/>
      </c>
      <c r="E347" t="str">
        <f>IF(ISNA(MATCH(B347, A:A, 0)), "Missing in A", "")</f>
        <v/>
      </c>
      <c r="F347" t="str">
        <f t="shared" si="11"/>
        <v/>
      </c>
    </row>
    <row r="348" spans="1:6" x14ac:dyDescent="0.2">
      <c r="A348" t="s">
        <v>304</v>
      </c>
      <c r="B348" t="s">
        <v>304</v>
      </c>
      <c r="C348" s="22" t="s">
        <v>654</v>
      </c>
      <c r="D348" t="str">
        <f t="shared" si="10"/>
        <v/>
      </c>
      <c r="E348" t="str">
        <f>IF(ISNA(MATCH(B348, A:A, 0)), "Missing in A", "")</f>
        <v/>
      </c>
      <c r="F348" t="str">
        <f t="shared" si="11"/>
        <v/>
      </c>
    </row>
    <row r="349" spans="1:6" x14ac:dyDescent="0.2">
      <c r="A349" t="s">
        <v>495</v>
      </c>
      <c r="B349" t="s">
        <v>495</v>
      </c>
      <c r="C349" s="22" t="s">
        <v>69</v>
      </c>
      <c r="D349" t="str">
        <f t="shared" si="10"/>
        <v/>
      </c>
      <c r="E349" t="str">
        <f>IF(ISNA(MATCH(B349, A:A, 0)), "Missing in A", "")</f>
        <v/>
      </c>
      <c r="F349" t="str">
        <f t="shared" si="11"/>
        <v>Missing in C</v>
      </c>
    </row>
    <row r="350" spans="1:6" x14ac:dyDescent="0.2">
      <c r="A350" t="s">
        <v>302</v>
      </c>
      <c r="B350" t="s">
        <v>302</v>
      </c>
      <c r="C350" s="22" t="s">
        <v>320</v>
      </c>
      <c r="D350" t="str">
        <f t="shared" si="10"/>
        <v/>
      </c>
      <c r="E350" t="str">
        <f>IF(ISNA(MATCH(B350, A:A, 0)), "Missing in A", "")</f>
        <v/>
      </c>
      <c r="F350" t="str">
        <f t="shared" si="11"/>
        <v/>
      </c>
    </row>
    <row r="351" spans="1:6" x14ac:dyDescent="0.2">
      <c r="A351" t="s">
        <v>453</v>
      </c>
      <c r="B351" t="s">
        <v>453</v>
      </c>
      <c r="C351" s="22" t="s">
        <v>106</v>
      </c>
      <c r="D351" t="str">
        <f t="shared" si="10"/>
        <v/>
      </c>
      <c r="E351" t="str">
        <f>IF(ISNA(MATCH(B351, A:A, 0)), "Missing in A", "")</f>
        <v/>
      </c>
      <c r="F351" t="str">
        <f t="shared" si="11"/>
        <v/>
      </c>
    </row>
    <row r="352" spans="1:6" x14ac:dyDescent="0.2">
      <c r="A352" t="s">
        <v>529</v>
      </c>
      <c r="B352" t="s">
        <v>529</v>
      </c>
      <c r="C352" s="22" t="s">
        <v>200</v>
      </c>
      <c r="D352" t="str">
        <f t="shared" si="10"/>
        <v/>
      </c>
      <c r="E352" t="str">
        <f>IF(ISNA(MATCH(B352, A:A, 0)), "Missing in A", "")</f>
        <v/>
      </c>
      <c r="F352" t="str">
        <f t="shared" si="11"/>
        <v/>
      </c>
    </row>
    <row r="353" spans="1:6" x14ac:dyDescent="0.2">
      <c r="A353" t="s">
        <v>468</v>
      </c>
      <c r="B353" t="s">
        <v>468</v>
      </c>
      <c r="C353" s="22" t="s">
        <v>159</v>
      </c>
      <c r="D353" t="str">
        <f t="shared" si="10"/>
        <v/>
      </c>
      <c r="E353" t="str">
        <f>IF(ISNA(MATCH(B353, A:A, 0)), "Missing in A", "")</f>
        <v/>
      </c>
      <c r="F353" t="str">
        <f t="shared" si="11"/>
        <v>Missing in C</v>
      </c>
    </row>
    <row r="354" spans="1:6" x14ac:dyDescent="0.2">
      <c r="A354" t="s">
        <v>109</v>
      </c>
      <c r="B354" t="s">
        <v>109</v>
      </c>
      <c r="C354" s="22" t="s">
        <v>98</v>
      </c>
      <c r="D354" t="str">
        <f t="shared" si="10"/>
        <v/>
      </c>
      <c r="E354" t="str">
        <f>IF(ISNA(MATCH(B354, A:A, 0)), "Missing in A", "")</f>
        <v/>
      </c>
      <c r="F354" t="str">
        <f t="shared" si="11"/>
        <v/>
      </c>
    </row>
    <row r="355" spans="1:6" x14ac:dyDescent="0.2">
      <c r="A355" t="s">
        <v>105</v>
      </c>
      <c r="B355" t="s">
        <v>105</v>
      </c>
      <c r="C355" s="22" t="s">
        <v>442</v>
      </c>
      <c r="D355" t="str">
        <f t="shared" si="10"/>
        <v/>
      </c>
      <c r="E355" t="str">
        <f>IF(ISNA(MATCH(B355, A:A, 0)), "Missing in A", "")</f>
        <v/>
      </c>
      <c r="F355" t="str">
        <f t="shared" si="11"/>
        <v/>
      </c>
    </row>
    <row r="356" spans="1:6" x14ac:dyDescent="0.2">
      <c r="A356" t="s">
        <v>258</v>
      </c>
      <c r="B356" t="s">
        <v>258</v>
      </c>
      <c r="C356" s="22" t="s">
        <v>179</v>
      </c>
      <c r="D356" t="str">
        <f t="shared" si="10"/>
        <v/>
      </c>
      <c r="E356" t="str">
        <f>IF(ISNA(MATCH(B356, A:A, 0)), "Missing in A", "")</f>
        <v/>
      </c>
      <c r="F356" t="str">
        <f t="shared" si="11"/>
        <v/>
      </c>
    </row>
    <row r="357" spans="1:6" x14ac:dyDescent="0.2">
      <c r="A357" t="s">
        <v>252</v>
      </c>
      <c r="B357" t="s">
        <v>252</v>
      </c>
      <c r="C357" s="22" t="s">
        <v>491</v>
      </c>
      <c r="D357" t="str">
        <f t="shared" si="10"/>
        <v/>
      </c>
      <c r="E357" t="str">
        <f>IF(ISNA(MATCH(B357, A:A, 0)), "Missing in A", "")</f>
        <v/>
      </c>
      <c r="F357" t="str">
        <f t="shared" si="11"/>
        <v/>
      </c>
    </row>
    <row r="358" spans="1:6" x14ac:dyDescent="0.2">
      <c r="A358" t="s">
        <v>220</v>
      </c>
      <c r="B358" t="s">
        <v>220</v>
      </c>
      <c r="C358" s="22" t="s">
        <v>365</v>
      </c>
      <c r="D358" t="str">
        <f t="shared" si="10"/>
        <v/>
      </c>
      <c r="E358" t="str">
        <f>IF(ISNA(MATCH(B358, A:A, 0)), "Missing in A", "")</f>
        <v/>
      </c>
      <c r="F358" t="str">
        <f t="shared" si="11"/>
        <v/>
      </c>
    </row>
    <row r="359" spans="1:6" x14ac:dyDescent="0.2">
      <c r="A359" t="s">
        <v>405</v>
      </c>
      <c r="B359" t="s">
        <v>405</v>
      </c>
      <c r="C359" s="22" t="s">
        <v>395</v>
      </c>
      <c r="D359" t="str">
        <f t="shared" si="10"/>
        <v/>
      </c>
      <c r="E359" t="str">
        <f>IF(ISNA(MATCH(B359, A:A, 0)), "Missing in A", "")</f>
        <v/>
      </c>
      <c r="F359" t="str">
        <f t="shared" si="11"/>
        <v/>
      </c>
    </row>
    <row r="360" spans="1:6" x14ac:dyDescent="0.2">
      <c r="A360" t="s">
        <v>341</v>
      </c>
      <c r="B360" t="s">
        <v>341</v>
      </c>
      <c r="C360" s="22" t="s">
        <v>649</v>
      </c>
      <c r="D360" t="str">
        <f t="shared" si="10"/>
        <v/>
      </c>
      <c r="E360" t="str">
        <f>IF(ISNA(MATCH(B360, A:A, 0)), "Missing in A", "")</f>
        <v/>
      </c>
      <c r="F360" t="str">
        <f t="shared" si="11"/>
        <v/>
      </c>
    </row>
    <row r="361" spans="1:6" x14ac:dyDescent="0.2">
      <c r="A361" t="s">
        <v>136</v>
      </c>
      <c r="B361" t="s">
        <v>136</v>
      </c>
      <c r="C361" s="22" t="s">
        <v>201</v>
      </c>
      <c r="D361" t="str">
        <f t="shared" si="10"/>
        <v/>
      </c>
      <c r="E361" t="str">
        <f>IF(ISNA(MATCH(B361, A:A, 0)), "Missing in A", "")</f>
        <v/>
      </c>
      <c r="F361" t="str">
        <f t="shared" si="11"/>
        <v/>
      </c>
    </row>
    <row r="362" spans="1:6" x14ac:dyDescent="0.2">
      <c r="A362" t="s">
        <v>444</v>
      </c>
      <c r="B362" t="s">
        <v>444</v>
      </c>
      <c r="C362" s="22" t="s">
        <v>470</v>
      </c>
      <c r="D362" t="str">
        <f t="shared" si="10"/>
        <v/>
      </c>
      <c r="E362" t="str">
        <f>IF(ISNA(MATCH(B362, A:A, 0)), "Missing in A", "")</f>
        <v/>
      </c>
      <c r="F362" t="str">
        <f t="shared" si="11"/>
        <v/>
      </c>
    </row>
    <row r="363" spans="1:6" x14ac:dyDescent="0.2">
      <c r="A363" t="s">
        <v>260</v>
      </c>
      <c r="B363" t="s">
        <v>260</v>
      </c>
      <c r="C363" s="22" t="s">
        <v>286</v>
      </c>
      <c r="D363" t="str">
        <f t="shared" si="10"/>
        <v/>
      </c>
      <c r="E363" t="str">
        <f>IF(ISNA(MATCH(B363, A:A, 0)), "Missing in A", "")</f>
        <v/>
      </c>
      <c r="F363" t="str">
        <f t="shared" si="11"/>
        <v/>
      </c>
    </row>
    <row r="364" spans="1:6" x14ac:dyDescent="0.2">
      <c r="A364" t="s">
        <v>545</v>
      </c>
      <c r="B364" t="s">
        <v>545</v>
      </c>
      <c r="C364" s="22" t="s">
        <v>81</v>
      </c>
      <c r="D364" t="str">
        <f t="shared" si="10"/>
        <v/>
      </c>
      <c r="E364" t="str">
        <f>IF(ISNA(MATCH(B364, A:A, 0)), "Missing in A", "")</f>
        <v/>
      </c>
      <c r="F364" t="str">
        <f t="shared" si="11"/>
        <v/>
      </c>
    </row>
    <row r="365" spans="1:6" x14ac:dyDescent="0.2">
      <c r="A365" t="s">
        <v>377</v>
      </c>
      <c r="B365" t="s">
        <v>377</v>
      </c>
      <c r="C365" s="22" t="s">
        <v>373</v>
      </c>
      <c r="D365" t="str">
        <f t="shared" si="10"/>
        <v/>
      </c>
      <c r="E365" t="str">
        <f>IF(ISNA(MATCH(B365, A:A, 0)), "Missing in A", "")</f>
        <v/>
      </c>
      <c r="F365" t="str">
        <f t="shared" si="11"/>
        <v>Missing in C</v>
      </c>
    </row>
    <row r="366" spans="1:6" x14ac:dyDescent="0.2">
      <c r="A366" t="s">
        <v>129</v>
      </c>
      <c r="B366" t="s">
        <v>129</v>
      </c>
      <c r="C366" s="22" t="s">
        <v>452</v>
      </c>
      <c r="D366" t="str">
        <f t="shared" si="10"/>
        <v/>
      </c>
      <c r="E366" t="str">
        <f>IF(ISNA(MATCH(B366, A:A, 0)), "Missing in A", "")</f>
        <v/>
      </c>
      <c r="F366" t="str">
        <f t="shared" si="11"/>
        <v/>
      </c>
    </row>
    <row r="367" spans="1:6" x14ac:dyDescent="0.2">
      <c r="A367" t="s">
        <v>189</v>
      </c>
      <c r="B367" t="s">
        <v>189</v>
      </c>
      <c r="C367" s="22" t="s">
        <v>283</v>
      </c>
      <c r="D367" t="str">
        <f t="shared" si="10"/>
        <v/>
      </c>
      <c r="E367" t="str">
        <f>IF(ISNA(MATCH(B367, A:A, 0)), "Missing in A", "")</f>
        <v/>
      </c>
      <c r="F367" t="str">
        <f t="shared" si="11"/>
        <v/>
      </c>
    </row>
    <row r="368" spans="1:6" x14ac:dyDescent="0.2">
      <c r="A368" t="s">
        <v>162</v>
      </c>
      <c r="B368" t="s">
        <v>162</v>
      </c>
      <c r="C368" s="22" t="s">
        <v>436</v>
      </c>
      <c r="D368" t="str">
        <f t="shared" si="10"/>
        <v/>
      </c>
      <c r="E368" t="str">
        <f>IF(ISNA(MATCH(B368, A:A, 0)), "Missing in A", "")</f>
        <v/>
      </c>
      <c r="F368" t="str">
        <f t="shared" si="11"/>
        <v/>
      </c>
    </row>
    <row r="369" spans="1:6" x14ac:dyDescent="0.2">
      <c r="A369" t="s">
        <v>311</v>
      </c>
      <c r="B369" t="s">
        <v>311</v>
      </c>
      <c r="C369" s="22" t="s">
        <v>239</v>
      </c>
      <c r="D369" t="str">
        <f t="shared" si="10"/>
        <v/>
      </c>
      <c r="E369" t="str">
        <f>IF(ISNA(MATCH(B369, A:A, 0)), "Missing in A", "")</f>
        <v/>
      </c>
      <c r="F369" t="str">
        <f t="shared" si="11"/>
        <v/>
      </c>
    </row>
    <row r="370" spans="1:6" x14ac:dyDescent="0.2">
      <c r="A370" t="s">
        <v>253</v>
      </c>
      <c r="B370" t="s">
        <v>253</v>
      </c>
      <c r="C370" s="22" t="s">
        <v>392</v>
      </c>
      <c r="D370" t="str">
        <f t="shared" si="10"/>
        <v/>
      </c>
      <c r="E370" t="str">
        <f>IF(ISNA(MATCH(B370, A:A, 0)), "Missing in A", "")</f>
        <v/>
      </c>
      <c r="F370" t="str">
        <f t="shared" si="11"/>
        <v/>
      </c>
    </row>
    <row r="371" spans="1:6" x14ac:dyDescent="0.2">
      <c r="A371" t="s">
        <v>334</v>
      </c>
      <c r="B371" t="s">
        <v>334</v>
      </c>
      <c r="C371" s="22" t="s">
        <v>111</v>
      </c>
      <c r="D371" t="str">
        <f t="shared" si="10"/>
        <v/>
      </c>
      <c r="E371" t="str">
        <f>IF(ISNA(MATCH(B371, A:A, 0)), "Missing in A", "")</f>
        <v/>
      </c>
      <c r="F371" t="str">
        <f t="shared" si="11"/>
        <v/>
      </c>
    </row>
    <row r="372" spans="1:6" x14ac:dyDescent="0.2">
      <c r="A372" t="s">
        <v>420</v>
      </c>
      <c r="B372" t="s">
        <v>420</v>
      </c>
      <c r="C372" s="22" t="s">
        <v>354</v>
      </c>
      <c r="D372" t="str">
        <f t="shared" si="10"/>
        <v/>
      </c>
      <c r="E372" t="str">
        <f>IF(ISNA(MATCH(B372, A:A, 0)), "Missing in A", "")</f>
        <v/>
      </c>
      <c r="F372" t="str">
        <f t="shared" si="11"/>
        <v/>
      </c>
    </row>
    <row r="373" spans="1:6" x14ac:dyDescent="0.2">
      <c r="A373" t="s">
        <v>213</v>
      </c>
      <c r="B373" t="s">
        <v>213</v>
      </c>
      <c r="C373" s="22" t="s">
        <v>238</v>
      </c>
      <c r="D373" t="str">
        <f t="shared" si="10"/>
        <v/>
      </c>
      <c r="E373" t="str">
        <f>IF(ISNA(MATCH(B373, A:A, 0)), "Missing in A", "")</f>
        <v/>
      </c>
      <c r="F373" t="str">
        <f t="shared" si="11"/>
        <v/>
      </c>
    </row>
    <row r="374" spans="1:6" x14ac:dyDescent="0.2">
      <c r="A374" t="s">
        <v>355</v>
      </c>
      <c r="B374" t="s">
        <v>355</v>
      </c>
      <c r="C374" s="22" t="s">
        <v>506</v>
      </c>
      <c r="D374" t="str">
        <f t="shared" si="10"/>
        <v/>
      </c>
      <c r="E374" t="str">
        <f>IF(ISNA(MATCH(B374, A:A, 0)), "Missing in A", "")</f>
        <v/>
      </c>
      <c r="F374" t="str">
        <f t="shared" si="11"/>
        <v/>
      </c>
    </row>
    <row r="375" spans="1:6" x14ac:dyDescent="0.2">
      <c r="A375" t="s">
        <v>45</v>
      </c>
      <c r="B375" t="s">
        <v>45</v>
      </c>
      <c r="C375" s="22" t="s">
        <v>479</v>
      </c>
      <c r="D375" t="str">
        <f t="shared" si="10"/>
        <v/>
      </c>
      <c r="E375" t="str">
        <f>IF(ISNA(MATCH(B375, A:A, 0)), "Missing in A", "")</f>
        <v/>
      </c>
      <c r="F375" t="str">
        <f t="shared" si="11"/>
        <v/>
      </c>
    </row>
    <row r="376" spans="1:6" x14ac:dyDescent="0.2">
      <c r="A376" t="s">
        <v>312</v>
      </c>
      <c r="B376" t="s">
        <v>312</v>
      </c>
      <c r="C376" s="22" t="s">
        <v>237</v>
      </c>
      <c r="D376" t="str">
        <f t="shared" si="10"/>
        <v/>
      </c>
      <c r="E376" t="str">
        <f>IF(ISNA(MATCH(B376, A:A, 0)), "Missing in A", "")</f>
        <v/>
      </c>
      <c r="F376" t="str">
        <f t="shared" si="11"/>
        <v/>
      </c>
    </row>
    <row r="377" spans="1:6" x14ac:dyDescent="0.2">
      <c r="A377" t="s">
        <v>69</v>
      </c>
      <c r="B377" t="s">
        <v>69</v>
      </c>
      <c r="C377" s="22" t="s">
        <v>374</v>
      </c>
      <c r="D377" t="str">
        <f t="shared" si="10"/>
        <v/>
      </c>
      <c r="E377" t="str">
        <f>IF(ISNA(MATCH(B377, A:A, 0)), "Missing in A", "")</f>
        <v/>
      </c>
      <c r="F377" t="str">
        <f t="shared" si="11"/>
        <v/>
      </c>
    </row>
    <row r="378" spans="1:6" x14ac:dyDescent="0.2">
      <c r="A378" t="s">
        <v>320</v>
      </c>
      <c r="B378" t="s">
        <v>320</v>
      </c>
      <c r="C378" s="22" t="s">
        <v>352</v>
      </c>
      <c r="D378" t="str">
        <f t="shared" si="10"/>
        <v/>
      </c>
      <c r="E378" t="str">
        <f>IF(ISNA(MATCH(B378, A:A, 0)), "Missing in A", "")</f>
        <v/>
      </c>
      <c r="F378" t="str">
        <f t="shared" si="11"/>
        <v/>
      </c>
    </row>
    <row r="379" spans="1:6" x14ac:dyDescent="0.2">
      <c r="A379" t="s">
        <v>106</v>
      </c>
      <c r="B379" t="s">
        <v>106</v>
      </c>
      <c r="C379" s="22" t="s">
        <v>416</v>
      </c>
      <c r="D379" t="str">
        <f t="shared" si="10"/>
        <v/>
      </c>
      <c r="E379" t="str">
        <f>IF(ISNA(MATCH(B379, A:A, 0)), "Missing in A", "")</f>
        <v/>
      </c>
      <c r="F379" t="str">
        <f t="shared" si="11"/>
        <v/>
      </c>
    </row>
    <row r="380" spans="1:6" x14ac:dyDescent="0.2">
      <c r="A380" t="s">
        <v>200</v>
      </c>
      <c r="B380" t="s">
        <v>200</v>
      </c>
      <c r="C380" s="22" t="s">
        <v>416</v>
      </c>
      <c r="D380" t="str">
        <f t="shared" si="10"/>
        <v/>
      </c>
      <c r="E380" t="str">
        <f>IF(ISNA(MATCH(B380, A:A, 0)), "Missing in A", "")</f>
        <v/>
      </c>
      <c r="F380" t="str">
        <f t="shared" si="11"/>
        <v/>
      </c>
    </row>
    <row r="381" spans="1:6" x14ac:dyDescent="0.2">
      <c r="A381" t="s">
        <v>159</v>
      </c>
      <c r="B381" t="s">
        <v>159</v>
      </c>
      <c r="C381" s="22" t="s">
        <v>493</v>
      </c>
      <c r="D381" t="str">
        <f t="shared" si="10"/>
        <v/>
      </c>
      <c r="E381" t="str">
        <f>IF(ISNA(MATCH(B381, A:A, 0)), "Missing in A", "")</f>
        <v/>
      </c>
      <c r="F381" t="str">
        <f t="shared" si="11"/>
        <v/>
      </c>
    </row>
    <row r="382" spans="1:6" x14ac:dyDescent="0.2">
      <c r="A382" t="s">
        <v>98</v>
      </c>
      <c r="B382" t="s">
        <v>98</v>
      </c>
      <c r="C382" s="22" t="s">
        <v>369</v>
      </c>
      <c r="D382" t="str">
        <f t="shared" si="10"/>
        <v/>
      </c>
      <c r="E382" t="str">
        <f>IF(ISNA(MATCH(B382, A:A, 0)), "Missing in A", "")</f>
        <v/>
      </c>
      <c r="F382" t="str">
        <f t="shared" si="11"/>
        <v/>
      </c>
    </row>
    <row r="383" spans="1:6" x14ac:dyDescent="0.2">
      <c r="A383" t="s">
        <v>442</v>
      </c>
      <c r="B383" t="s">
        <v>442</v>
      </c>
      <c r="C383" s="22" t="s">
        <v>671</v>
      </c>
      <c r="D383" t="str">
        <f t="shared" si="10"/>
        <v/>
      </c>
      <c r="E383" t="str">
        <f>IF(ISNA(MATCH(B383, A:A, 0)), "Missing in A", "")</f>
        <v/>
      </c>
      <c r="F383" t="str">
        <f t="shared" si="11"/>
        <v/>
      </c>
    </row>
    <row r="384" spans="1:6" x14ac:dyDescent="0.2">
      <c r="A384" t="s">
        <v>179</v>
      </c>
      <c r="B384" t="s">
        <v>179</v>
      </c>
      <c r="C384" s="22" t="s">
        <v>65</v>
      </c>
      <c r="D384" t="str">
        <f t="shared" si="10"/>
        <v/>
      </c>
      <c r="E384" t="str">
        <f>IF(ISNA(MATCH(B384, A:A, 0)), "Missing in A", "")</f>
        <v/>
      </c>
      <c r="F384" t="str">
        <f t="shared" si="11"/>
        <v/>
      </c>
    </row>
    <row r="385" spans="1:6" x14ac:dyDescent="0.2">
      <c r="A385" t="s">
        <v>491</v>
      </c>
      <c r="B385" t="s">
        <v>491</v>
      </c>
      <c r="C385" s="22" t="s">
        <v>417</v>
      </c>
      <c r="D385" t="str">
        <f t="shared" si="10"/>
        <v/>
      </c>
      <c r="E385" t="str">
        <f>IF(ISNA(MATCH(B385, A:A, 0)), "Missing in A", "")</f>
        <v/>
      </c>
      <c r="F385" t="str">
        <f t="shared" si="11"/>
        <v/>
      </c>
    </row>
    <row r="386" spans="1:6" x14ac:dyDescent="0.2">
      <c r="A386" t="s">
        <v>541</v>
      </c>
      <c r="B386" t="s">
        <v>541</v>
      </c>
      <c r="C386" s="22" t="s">
        <v>381</v>
      </c>
      <c r="D386" t="str">
        <f t="shared" si="10"/>
        <v/>
      </c>
      <c r="E386" t="str">
        <f>IF(ISNA(MATCH(B386, A:A, 0)), "Missing in A", "")</f>
        <v/>
      </c>
      <c r="F386" t="str">
        <f t="shared" si="11"/>
        <v>Missing in C</v>
      </c>
    </row>
    <row r="387" spans="1:6" x14ac:dyDescent="0.2">
      <c r="A387" t="s">
        <v>365</v>
      </c>
      <c r="B387" t="s">
        <v>365</v>
      </c>
      <c r="C387" s="22" t="s">
        <v>267</v>
      </c>
      <c r="D387" t="str">
        <f t="shared" ref="D387:D450" si="12">IF(ISNA(MATCH(A387, B:B, 0)), "Missing in A", "")</f>
        <v/>
      </c>
      <c r="E387" t="str">
        <f>IF(ISNA(MATCH(B387, A:A, 0)), "Missing in A", "")</f>
        <v/>
      </c>
      <c r="F387" t="str">
        <f t="shared" ref="F387:F450" si="13">IF(ISNA(MATCH(A387,C:C, 0)), "Missing in C", "")</f>
        <v/>
      </c>
    </row>
    <row r="388" spans="1:6" x14ac:dyDescent="0.2">
      <c r="A388" t="s">
        <v>395</v>
      </c>
      <c r="B388" t="s">
        <v>395</v>
      </c>
      <c r="C388" s="22" t="s">
        <v>190</v>
      </c>
      <c r="D388" t="str">
        <f t="shared" si="12"/>
        <v/>
      </c>
      <c r="E388" t="str">
        <f>IF(ISNA(MATCH(B388, A:A, 0)), "Missing in A", "")</f>
        <v/>
      </c>
      <c r="F388" t="str">
        <f t="shared" si="13"/>
        <v/>
      </c>
    </row>
    <row r="389" spans="1:6" x14ac:dyDescent="0.2">
      <c r="A389" t="s">
        <v>201</v>
      </c>
      <c r="B389" t="s">
        <v>201</v>
      </c>
      <c r="C389" s="22" t="s">
        <v>197</v>
      </c>
      <c r="D389" t="str">
        <f t="shared" si="12"/>
        <v/>
      </c>
      <c r="E389" t="str">
        <f>IF(ISNA(MATCH(B389, A:A, 0)), "Missing in A", "")</f>
        <v/>
      </c>
      <c r="F389" t="str">
        <f t="shared" si="13"/>
        <v/>
      </c>
    </row>
    <row r="390" spans="1:6" x14ac:dyDescent="0.2">
      <c r="A390" t="s">
        <v>470</v>
      </c>
      <c r="B390" t="s">
        <v>470</v>
      </c>
      <c r="C390" s="22" t="s">
        <v>202</v>
      </c>
      <c r="D390" t="str">
        <f t="shared" si="12"/>
        <v/>
      </c>
      <c r="E390" t="str">
        <f>IF(ISNA(MATCH(B390, A:A, 0)), "Missing in A", "")</f>
        <v/>
      </c>
      <c r="F390" t="str">
        <f t="shared" si="13"/>
        <v/>
      </c>
    </row>
    <row r="391" spans="1:6" x14ac:dyDescent="0.2">
      <c r="A391" t="s">
        <v>286</v>
      </c>
      <c r="B391" t="s">
        <v>286</v>
      </c>
      <c r="C391" s="22" t="s">
        <v>191</v>
      </c>
      <c r="D391" t="str">
        <f t="shared" si="12"/>
        <v/>
      </c>
      <c r="E391" t="str">
        <f>IF(ISNA(MATCH(B391, A:A, 0)), "Missing in A", "")</f>
        <v/>
      </c>
      <c r="F391" t="str">
        <f t="shared" si="13"/>
        <v/>
      </c>
    </row>
    <row r="392" spans="1:6" x14ac:dyDescent="0.2">
      <c r="A392" t="s">
        <v>81</v>
      </c>
      <c r="B392" t="s">
        <v>81</v>
      </c>
      <c r="C392" s="22" t="s">
        <v>191</v>
      </c>
      <c r="D392" t="str">
        <f t="shared" si="12"/>
        <v/>
      </c>
      <c r="E392" t="str">
        <f>IF(ISNA(MATCH(B392, A:A, 0)), "Missing in A", "")</f>
        <v/>
      </c>
      <c r="F392" t="str">
        <f t="shared" si="13"/>
        <v/>
      </c>
    </row>
    <row r="393" spans="1:6" x14ac:dyDescent="0.2">
      <c r="A393" t="s">
        <v>373</v>
      </c>
      <c r="B393" t="s">
        <v>373</v>
      </c>
      <c r="C393" s="22" t="s">
        <v>318</v>
      </c>
      <c r="D393" t="str">
        <f t="shared" si="12"/>
        <v/>
      </c>
      <c r="E393" t="str">
        <f>IF(ISNA(MATCH(B393, A:A, 0)), "Missing in A", "")</f>
        <v/>
      </c>
      <c r="F393" t="str">
        <f t="shared" si="13"/>
        <v/>
      </c>
    </row>
    <row r="394" spans="1:6" x14ac:dyDescent="0.2">
      <c r="A394" t="s">
        <v>492</v>
      </c>
      <c r="B394" t="s">
        <v>492</v>
      </c>
      <c r="C394" s="22" t="s">
        <v>439</v>
      </c>
      <c r="D394" t="str">
        <f t="shared" si="12"/>
        <v/>
      </c>
      <c r="E394" t="str">
        <f>IF(ISNA(MATCH(B394, A:A, 0)), "Missing in A", "")</f>
        <v/>
      </c>
      <c r="F394" t="str">
        <f t="shared" si="13"/>
        <v>Missing in C</v>
      </c>
    </row>
    <row r="395" spans="1:6" x14ac:dyDescent="0.2">
      <c r="A395" t="s">
        <v>452</v>
      </c>
      <c r="B395" t="s">
        <v>452</v>
      </c>
      <c r="C395" s="22" t="s">
        <v>652</v>
      </c>
      <c r="D395" t="str">
        <f t="shared" si="12"/>
        <v/>
      </c>
      <c r="E395" t="str">
        <f>IF(ISNA(MATCH(B395, A:A, 0)), "Missing in A", "")</f>
        <v/>
      </c>
      <c r="F395" t="str">
        <f t="shared" si="13"/>
        <v/>
      </c>
    </row>
    <row r="396" spans="1:6" x14ac:dyDescent="0.2">
      <c r="A396" t="s">
        <v>283</v>
      </c>
      <c r="B396" t="s">
        <v>283</v>
      </c>
      <c r="C396" s="22" t="s">
        <v>262</v>
      </c>
      <c r="D396" t="str">
        <f t="shared" si="12"/>
        <v/>
      </c>
      <c r="E396" t="str">
        <f>IF(ISNA(MATCH(B396, A:A, 0)), "Missing in A", "")</f>
        <v/>
      </c>
      <c r="F396" t="str">
        <f t="shared" si="13"/>
        <v/>
      </c>
    </row>
    <row r="397" spans="1:6" x14ac:dyDescent="0.2">
      <c r="A397" t="s">
        <v>436</v>
      </c>
      <c r="B397" t="s">
        <v>436</v>
      </c>
      <c r="C397" s="22" t="s">
        <v>281</v>
      </c>
      <c r="D397" t="str">
        <f t="shared" si="12"/>
        <v/>
      </c>
      <c r="E397" t="str">
        <f>IF(ISNA(MATCH(B397, A:A, 0)), "Missing in A", "")</f>
        <v/>
      </c>
      <c r="F397" t="str">
        <f t="shared" si="13"/>
        <v/>
      </c>
    </row>
    <row r="398" spans="1:6" x14ac:dyDescent="0.2">
      <c r="A398" t="s">
        <v>239</v>
      </c>
      <c r="B398" t="s">
        <v>239</v>
      </c>
      <c r="C398" s="22" t="s">
        <v>360</v>
      </c>
      <c r="D398" t="str">
        <f t="shared" si="12"/>
        <v/>
      </c>
      <c r="E398" t="str">
        <f>IF(ISNA(MATCH(B398, A:A, 0)), "Missing in A", "")</f>
        <v/>
      </c>
      <c r="F398" t="str">
        <f t="shared" si="13"/>
        <v/>
      </c>
    </row>
    <row r="399" spans="1:6" x14ac:dyDescent="0.2">
      <c r="A399" t="s">
        <v>392</v>
      </c>
      <c r="B399" t="s">
        <v>392</v>
      </c>
      <c r="C399" s="22" t="s">
        <v>145</v>
      </c>
      <c r="D399" t="str">
        <f t="shared" si="12"/>
        <v/>
      </c>
      <c r="E399" t="str">
        <f>IF(ISNA(MATCH(B399, A:A, 0)), "Missing in A", "")</f>
        <v/>
      </c>
      <c r="F399" t="str">
        <f t="shared" si="13"/>
        <v/>
      </c>
    </row>
    <row r="400" spans="1:6" x14ac:dyDescent="0.2">
      <c r="A400" t="s">
        <v>111</v>
      </c>
      <c r="B400" t="s">
        <v>111</v>
      </c>
      <c r="C400" s="22" t="s">
        <v>231</v>
      </c>
      <c r="D400" t="str">
        <f t="shared" si="12"/>
        <v/>
      </c>
      <c r="E400" t="str">
        <f>IF(ISNA(MATCH(B400, A:A, 0)), "Missing in A", "")</f>
        <v/>
      </c>
      <c r="F400" t="str">
        <f t="shared" si="13"/>
        <v/>
      </c>
    </row>
    <row r="401" spans="1:6" x14ac:dyDescent="0.2">
      <c r="A401" t="s">
        <v>354</v>
      </c>
      <c r="B401" t="s">
        <v>354</v>
      </c>
      <c r="C401" s="22" t="s">
        <v>167</v>
      </c>
      <c r="D401" t="str">
        <f t="shared" si="12"/>
        <v/>
      </c>
      <c r="E401" t="str">
        <f>IF(ISNA(MATCH(B401, A:A, 0)), "Missing in A", "")</f>
        <v/>
      </c>
      <c r="F401" t="str">
        <f t="shared" si="13"/>
        <v/>
      </c>
    </row>
    <row r="402" spans="1:6" x14ac:dyDescent="0.2">
      <c r="A402" t="s">
        <v>238</v>
      </c>
      <c r="B402" t="s">
        <v>238</v>
      </c>
      <c r="C402" s="22" t="s">
        <v>181</v>
      </c>
      <c r="D402" t="str">
        <f t="shared" si="12"/>
        <v/>
      </c>
      <c r="E402" t="str">
        <f>IF(ISNA(MATCH(B402, A:A, 0)), "Missing in A", "")</f>
        <v/>
      </c>
      <c r="F402" t="str">
        <f t="shared" si="13"/>
        <v/>
      </c>
    </row>
    <row r="403" spans="1:6" x14ac:dyDescent="0.2">
      <c r="A403" t="s">
        <v>506</v>
      </c>
      <c r="B403" t="s">
        <v>506</v>
      </c>
      <c r="C403" s="22" t="s">
        <v>323</v>
      </c>
      <c r="D403" t="str">
        <f t="shared" si="12"/>
        <v/>
      </c>
      <c r="E403" t="str">
        <f>IF(ISNA(MATCH(B403, A:A, 0)), "Missing in A", "")</f>
        <v/>
      </c>
      <c r="F403" t="str">
        <f t="shared" si="13"/>
        <v/>
      </c>
    </row>
    <row r="404" spans="1:6" x14ac:dyDescent="0.2">
      <c r="A404" t="s">
        <v>525</v>
      </c>
      <c r="B404" t="s">
        <v>525</v>
      </c>
      <c r="C404" s="22" t="s">
        <v>174</v>
      </c>
      <c r="D404" t="str">
        <f t="shared" si="12"/>
        <v/>
      </c>
      <c r="E404" t="str">
        <f>IF(ISNA(MATCH(B404, A:A, 0)), "Missing in A", "")</f>
        <v/>
      </c>
      <c r="F404" t="str">
        <f t="shared" si="13"/>
        <v>Missing in C</v>
      </c>
    </row>
    <row r="405" spans="1:6" x14ac:dyDescent="0.2">
      <c r="A405" t="s">
        <v>479</v>
      </c>
      <c r="B405" s="4" t="s">
        <v>0</v>
      </c>
      <c r="C405" s="22" t="s">
        <v>31</v>
      </c>
      <c r="D405" t="str">
        <f t="shared" si="12"/>
        <v/>
      </c>
      <c r="E405" t="str">
        <f>IF(ISNA(MATCH(B405, A:A, 0)), "Missing in A", "")</f>
        <v>Missing in A</v>
      </c>
      <c r="F405" t="str">
        <f t="shared" si="13"/>
        <v/>
      </c>
    </row>
    <row r="406" spans="1:6" x14ac:dyDescent="0.2">
      <c r="A406" t="s">
        <v>237</v>
      </c>
      <c r="B406" t="s">
        <v>479</v>
      </c>
      <c r="C406" s="22" t="s">
        <v>316</v>
      </c>
      <c r="D406" t="str">
        <f t="shared" si="12"/>
        <v/>
      </c>
      <c r="E406" t="str">
        <f>IF(ISNA(MATCH(B406, A:A, 0)), "Missing in A", "")</f>
        <v/>
      </c>
      <c r="F406" t="str">
        <f t="shared" si="13"/>
        <v/>
      </c>
    </row>
    <row r="407" spans="1:6" x14ac:dyDescent="0.2">
      <c r="A407" t="s">
        <v>344</v>
      </c>
      <c r="B407" t="s">
        <v>237</v>
      </c>
      <c r="C407" s="22" t="s">
        <v>517</v>
      </c>
      <c r="D407" t="str">
        <f t="shared" si="12"/>
        <v/>
      </c>
      <c r="E407" t="str">
        <f>IF(ISNA(MATCH(B407, A:A, 0)), "Missing in A", "")</f>
        <v/>
      </c>
      <c r="F407" t="str">
        <f t="shared" si="13"/>
        <v>Missing in C</v>
      </c>
    </row>
    <row r="408" spans="1:6" x14ac:dyDescent="0.2">
      <c r="A408" t="s">
        <v>539</v>
      </c>
      <c r="B408" t="s">
        <v>344</v>
      </c>
      <c r="C408" s="22" t="s">
        <v>278</v>
      </c>
      <c r="D408" t="str">
        <f t="shared" si="12"/>
        <v/>
      </c>
      <c r="E408" t="str">
        <f>IF(ISNA(MATCH(B408, A:A, 0)), "Missing in A", "")</f>
        <v/>
      </c>
      <c r="F408" t="str">
        <f t="shared" si="13"/>
        <v>Missing in C</v>
      </c>
    </row>
    <row r="409" spans="1:6" x14ac:dyDescent="0.2">
      <c r="A409" t="s">
        <v>374</v>
      </c>
      <c r="B409" t="s">
        <v>539</v>
      </c>
      <c r="C409" s="22" t="s">
        <v>243</v>
      </c>
      <c r="D409" t="str">
        <f t="shared" si="12"/>
        <v/>
      </c>
      <c r="E409" t="str">
        <f>IF(ISNA(MATCH(B409, A:A, 0)), "Missing in A", "")</f>
        <v/>
      </c>
      <c r="F409" t="str">
        <f t="shared" si="13"/>
        <v/>
      </c>
    </row>
    <row r="410" spans="1:6" x14ac:dyDescent="0.2">
      <c r="A410" t="s">
        <v>543</v>
      </c>
      <c r="B410" t="s">
        <v>374</v>
      </c>
      <c r="C410" s="22" t="s">
        <v>99</v>
      </c>
      <c r="D410" t="str">
        <f t="shared" si="12"/>
        <v/>
      </c>
      <c r="E410" t="str">
        <f>IF(ISNA(MATCH(B410, A:A, 0)), "Missing in A", "")</f>
        <v/>
      </c>
      <c r="F410" t="str">
        <f t="shared" si="13"/>
        <v>Missing in C</v>
      </c>
    </row>
    <row r="411" spans="1:6" x14ac:dyDescent="0.2">
      <c r="A411" t="s">
        <v>352</v>
      </c>
      <c r="B411" t="s">
        <v>543</v>
      </c>
      <c r="C411" s="22" t="s">
        <v>163</v>
      </c>
      <c r="D411" t="str">
        <f t="shared" si="12"/>
        <v/>
      </c>
      <c r="E411" t="str">
        <f>IF(ISNA(MATCH(B411, A:A, 0)), "Missing in A", "")</f>
        <v/>
      </c>
      <c r="F411" t="str">
        <f t="shared" si="13"/>
        <v/>
      </c>
    </row>
    <row r="412" spans="1:6" x14ac:dyDescent="0.2">
      <c r="A412" t="s">
        <v>416</v>
      </c>
      <c r="B412" t="s">
        <v>352</v>
      </c>
      <c r="C412" s="22" t="s">
        <v>428</v>
      </c>
      <c r="D412" t="str">
        <f t="shared" si="12"/>
        <v/>
      </c>
      <c r="E412" t="str">
        <f>IF(ISNA(MATCH(B412, A:A, 0)), "Missing in A", "")</f>
        <v/>
      </c>
      <c r="F412" t="str">
        <f t="shared" si="13"/>
        <v/>
      </c>
    </row>
    <row r="413" spans="1:6" x14ac:dyDescent="0.2">
      <c r="A413" t="s">
        <v>493</v>
      </c>
      <c r="B413" t="s">
        <v>416</v>
      </c>
      <c r="C413" s="22" t="s">
        <v>441</v>
      </c>
      <c r="D413" t="str">
        <f t="shared" si="12"/>
        <v/>
      </c>
      <c r="E413" t="str">
        <f>IF(ISNA(MATCH(B413, A:A, 0)), "Missing in A", "")</f>
        <v/>
      </c>
      <c r="F413" t="str">
        <f t="shared" si="13"/>
        <v/>
      </c>
    </row>
    <row r="414" spans="1:6" x14ac:dyDescent="0.2">
      <c r="A414" t="s">
        <v>369</v>
      </c>
      <c r="B414" t="s">
        <v>493</v>
      </c>
      <c r="C414" s="22" t="s">
        <v>178</v>
      </c>
      <c r="D414" t="str">
        <f t="shared" si="12"/>
        <v/>
      </c>
      <c r="E414" t="str">
        <f>IF(ISNA(MATCH(B414, A:A, 0)), "Missing in A", "")</f>
        <v/>
      </c>
      <c r="F414" t="str">
        <f t="shared" si="13"/>
        <v/>
      </c>
    </row>
    <row r="415" spans="1:6" x14ac:dyDescent="0.2">
      <c r="A415" t="s">
        <v>565</v>
      </c>
      <c r="B415" t="s">
        <v>369</v>
      </c>
      <c r="C415" s="22" t="s">
        <v>422</v>
      </c>
      <c r="D415" t="str">
        <f t="shared" si="12"/>
        <v/>
      </c>
      <c r="E415" t="str">
        <f>IF(ISNA(MATCH(B415, A:A, 0)), "Missing in A", "")</f>
        <v/>
      </c>
      <c r="F415" t="str">
        <f t="shared" si="13"/>
        <v>Missing in C</v>
      </c>
    </row>
    <row r="416" spans="1:6" x14ac:dyDescent="0.2">
      <c r="A416" t="s">
        <v>65</v>
      </c>
      <c r="B416" t="s">
        <v>565</v>
      </c>
      <c r="C416" s="22" t="s">
        <v>298</v>
      </c>
      <c r="D416" t="str">
        <f t="shared" si="12"/>
        <v/>
      </c>
      <c r="E416" t="str">
        <f>IF(ISNA(MATCH(B416, A:A, 0)), "Missing in A", "")</f>
        <v/>
      </c>
      <c r="F416" t="str">
        <f t="shared" si="13"/>
        <v/>
      </c>
    </row>
    <row r="417" spans="1:6" x14ac:dyDescent="0.2">
      <c r="A417" t="s">
        <v>417</v>
      </c>
      <c r="B417" t="s">
        <v>65</v>
      </c>
      <c r="C417" s="22" t="s">
        <v>187</v>
      </c>
      <c r="D417" t="str">
        <f t="shared" si="12"/>
        <v/>
      </c>
      <c r="E417" t="str">
        <f>IF(ISNA(MATCH(B417, A:A, 0)), "Missing in A", "")</f>
        <v/>
      </c>
      <c r="F417" t="str">
        <f t="shared" si="13"/>
        <v/>
      </c>
    </row>
    <row r="418" spans="1:6" x14ac:dyDescent="0.2">
      <c r="A418" t="s">
        <v>381</v>
      </c>
      <c r="B418" t="s">
        <v>417</v>
      </c>
      <c r="C418" s="22" t="s">
        <v>242</v>
      </c>
      <c r="D418" t="str">
        <f t="shared" si="12"/>
        <v/>
      </c>
      <c r="E418" t="str">
        <f>IF(ISNA(MATCH(B418, A:A, 0)), "Missing in A", "")</f>
        <v/>
      </c>
      <c r="F418" t="str">
        <f t="shared" si="13"/>
        <v/>
      </c>
    </row>
    <row r="419" spans="1:6" x14ac:dyDescent="0.2">
      <c r="A419" t="s">
        <v>267</v>
      </c>
      <c r="B419" t="s">
        <v>381</v>
      </c>
      <c r="C419" s="22" t="s">
        <v>489</v>
      </c>
      <c r="D419" t="str">
        <f t="shared" si="12"/>
        <v/>
      </c>
      <c r="E419" t="str">
        <f>IF(ISNA(MATCH(B419, A:A, 0)), "Missing in A", "")</f>
        <v/>
      </c>
      <c r="F419" t="str">
        <f t="shared" si="13"/>
        <v/>
      </c>
    </row>
    <row r="420" spans="1:6" x14ac:dyDescent="0.2">
      <c r="A420" t="s">
        <v>190</v>
      </c>
      <c r="B420" t="s">
        <v>267</v>
      </c>
      <c r="C420" s="22" t="s">
        <v>290</v>
      </c>
      <c r="D420" t="str">
        <f t="shared" si="12"/>
        <v/>
      </c>
      <c r="E420" t="str">
        <f>IF(ISNA(MATCH(B420, A:A, 0)), "Missing in A", "")</f>
        <v/>
      </c>
      <c r="F420" t="str">
        <f t="shared" si="13"/>
        <v/>
      </c>
    </row>
    <row r="421" spans="1:6" x14ac:dyDescent="0.2">
      <c r="A421" t="s">
        <v>197</v>
      </c>
      <c r="B421" t="s">
        <v>190</v>
      </c>
      <c r="C421" s="22" t="s">
        <v>501</v>
      </c>
      <c r="D421" t="str">
        <f t="shared" si="12"/>
        <v/>
      </c>
      <c r="E421" t="str">
        <f>IF(ISNA(MATCH(B421, A:A, 0)), "Missing in A", "")</f>
        <v/>
      </c>
      <c r="F421" t="str">
        <f t="shared" si="13"/>
        <v/>
      </c>
    </row>
    <row r="422" spans="1:6" x14ac:dyDescent="0.2">
      <c r="A422" t="s">
        <v>202</v>
      </c>
      <c r="B422" t="s">
        <v>197</v>
      </c>
      <c r="C422" s="22" t="s">
        <v>193</v>
      </c>
      <c r="D422" t="str">
        <f t="shared" si="12"/>
        <v/>
      </c>
      <c r="E422" t="str">
        <f>IF(ISNA(MATCH(B422, A:A, 0)), "Missing in A", "")</f>
        <v/>
      </c>
      <c r="F422" t="str">
        <f t="shared" si="13"/>
        <v/>
      </c>
    </row>
    <row r="423" spans="1:6" x14ac:dyDescent="0.2">
      <c r="A423" t="s">
        <v>191</v>
      </c>
      <c r="B423" t="s">
        <v>202</v>
      </c>
      <c r="C423" s="22" t="s">
        <v>419</v>
      </c>
      <c r="D423" t="str">
        <f t="shared" si="12"/>
        <v/>
      </c>
      <c r="E423" t="str">
        <f>IF(ISNA(MATCH(B423, A:A, 0)), "Missing in A", "")</f>
        <v/>
      </c>
      <c r="F423" t="str">
        <f t="shared" si="13"/>
        <v/>
      </c>
    </row>
    <row r="424" spans="1:6" x14ac:dyDescent="0.2">
      <c r="A424" t="s">
        <v>318</v>
      </c>
      <c r="B424" t="s">
        <v>191</v>
      </c>
      <c r="C424" s="22" t="s">
        <v>337</v>
      </c>
      <c r="D424" t="str">
        <f t="shared" si="12"/>
        <v/>
      </c>
      <c r="E424" t="str">
        <f>IF(ISNA(MATCH(B424, A:A, 0)), "Missing in A", "")</f>
        <v/>
      </c>
      <c r="F424" t="str">
        <f t="shared" si="13"/>
        <v/>
      </c>
    </row>
    <row r="425" spans="1:6" x14ac:dyDescent="0.2">
      <c r="A425" t="s">
        <v>439</v>
      </c>
      <c r="B425" t="s">
        <v>318</v>
      </c>
      <c r="C425" s="22" t="s">
        <v>214</v>
      </c>
      <c r="D425" t="str">
        <f t="shared" si="12"/>
        <v/>
      </c>
      <c r="E425" t="str">
        <f>IF(ISNA(MATCH(B425, A:A, 0)), "Missing in A", "")</f>
        <v/>
      </c>
      <c r="F425" t="str">
        <f t="shared" si="13"/>
        <v/>
      </c>
    </row>
    <row r="426" spans="1:6" x14ac:dyDescent="0.2">
      <c r="A426" t="s">
        <v>262</v>
      </c>
      <c r="B426" t="s">
        <v>439</v>
      </c>
      <c r="C426" s="22" t="s">
        <v>132</v>
      </c>
      <c r="D426" t="str">
        <f t="shared" si="12"/>
        <v/>
      </c>
      <c r="E426" t="str">
        <f>IF(ISNA(MATCH(B426, A:A, 0)), "Missing in A", "")</f>
        <v/>
      </c>
      <c r="F426" t="str">
        <f t="shared" si="13"/>
        <v/>
      </c>
    </row>
    <row r="427" spans="1:6" x14ac:dyDescent="0.2">
      <c r="A427" t="s">
        <v>281</v>
      </c>
      <c r="B427" t="s">
        <v>262</v>
      </c>
      <c r="C427" s="22" t="s">
        <v>438</v>
      </c>
      <c r="D427" t="str">
        <f t="shared" si="12"/>
        <v/>
      </c>
      <c r="E427" t="str">
        <f>IF(ISNA(MATCH(B427, A:A, 0)), "Missing in A", "")</f>
        <v/>
      </c>
      <c r="F427" t="str">
        <f t="shared" si="13"/>
        <v/>
      </c>
    </row>
    <row r="428" spans="1:6" x14ac:dyDescent="0.2">
      <c r="A428" t="s">
        <v>360</v>
      </c>
      <c r="B428" t="s">
        <v>281</v>
      </c>
      <c r="C428" s="22" t="s">
        <v>217</v>
      </c>
      <c r="D428" t="str">
        <f t="shared" si="12"/>
        <v/>
      </c>
      <c r="E428" t="str">
        <f>IF(ISNA(MATCH(B428, A:A, 0)), "Missing in A", "")</f>
        <v/>
      </c>
      <c r="F428" t="str">
        <f t="shared" si="13"/>
        <v/>
      </c>
    </row>
    <row r="429" spans="1:6" x14ac:dyDescent="0.2">
      <c r="A429" t="s">
        <v>145</v>
      </c>
      <c r="B429" t="s">
        <v>360</v>
      </c>
      <c r="C429" s="22" t="s">
        <v>71</v>
      </c>
      <c r="D429" t="str">
        <f t="shared" si="12"/>
        <v/>
      </c>
      <c r="E429" t="str">
        <f>IF(ISNA(MATCH(B429, A:A, 0)), "Missing in A", "")</f>
        <v/>
      </c>
      <c r="F429" t="str">
        <f t="shared" si="13"/>
        <v/>
      </c>
    </row>
    <row r="430" spans="1:6" x14ac:dyDescent="0.2">
      <c r="A430" t="s">
        <v>231</v>
      </c>
      <c r="B430" t="s">
        <v>145</v>
      </c>
      <c r="C430" s="22" t="s">
        <v>259</v>
      </c>
      <c r="D430" t="str">
        <f t="shared" si="12"/>
        <v/>
      </c>
      <c r="E430" t="str">
        <f>IF(ISNA(MATCH(B430, A:A, 0)), "Missing in A", "")</f>
        <v/>
      </c>
      <c r="F430" t="str">
        <f t="shared" si="13"/>
        <v/>
      </c>
    </row>
    <row r="431" spans="1:6" x14ac:dyDescent="0.2">
      <c r="A431" t="s">
        <v>167</v>
      </c>
      <c r="B431" t="s">
        <v>231</v>
      </c>
      <c r="C431" s="22" t="s">
        <v>432</v>
      </c>
      <c r="D431" t="str">
        <f t="shared" si="12"/>
        <v/>
      </c>
      <c r="E431" t="str">
        <f>IF(ISNA(MATCH(B431, A:A, 0)), "Missing in A", "")</f>
        <v/>
      </c>
      <c r="F431" t="str">
        <f t="shared" si="13"/>
        <v/>
      </c>
    </row>
    <row r="432" spans="1:6" x14ac:dyDescent="0.2">
      <c r="A432" t="s">
        <v>181</v>
      </c>
      <c r="B432" t="s">
        <v>167</v>
      </c>
      <c r="C432" s="22" t="s">
        <v>246</v>
      </c>
      <c r="D432" t="str">
        <f t="shared" si="12"/>
        <v/>
      </c>
      <c r="E432" t="str">
        <f>IF(ISNA(MATCH(B432, A:A, 0)), "Missing in A", "")</f>
        <v/>
      </c>
      <c r="F432" t="str">
        <f t="shared" si="13"/>
        <v/>
      </c>
    </row>
    <row r="433" spans="1:6" x14ac:dyDescent="0.2">
      <c r="A433" t="s">
        <v>323</v>
      </c>
      <c r="B433" t="s">
        <v>181</v>
      </c>
      <c r="C433" s="22" t="s">
        <v>338</v>
      </c>
      <c r="D433" t="str">
        <f t="shared" si="12"/>
        <v/>
      </c>
      <c r="E433" t="str">
        <f>IF(ISNA(MATCH(B433, A:A, 0)), "Missing in A", "")</f>
        <v/>
      </c>
      <c r="F433" t="str">
        <f t="shared" si="13"/>
        <v/>
      </c>
    </row>
    <row r="434" spans="1:6" x14ac:dyDescent="0.2">
      <c r="A434" t="s">
        <v>174</v>
      </c>
      <c r="B434" t="s">
        <v>323</v>
      </c>
      <c r="C434" s="22" t="s">
        <v>340</v>
      </c>
      <c r="D434" t="str">
        <f t="shared" si="12"/>
        <v/>
      </c>
      <c r="E434" t="str">
        <f>IF(ISNA(MATCH(B434, A:A, 0)), "Missing in A", "")</f>
        <v/>
      </c>
      <c r="F434" t="str">
        <f t="shared" si="13"/>
        <v/>
      </c>
    </row>
    <row r="435" spans="1:6" x14ac:dyDescent="0.2">
      <c r="A435" t="s">
        <v>31</v>
      </c>
      <c r="B435" t="s">
        <v>174</v>
      </c>
      <c r="C435" s="22" t="s">
        <v>205</v>
      </c>
      <c r="D435" t="str">
        <f t="shared" si="12"/>
        <v/>
      </c>
      <c r="E435" t="str">
        <f>IF(ISNA(MATCH(B435, A:A, 0)), "Missing in A", "")</f>
        <v/>
      </c>
      <c r="F435" t="str">
        <f t="shared" si="13"/>
        <v/>
      </c>
    </row>
    <row r="436" spans="1:6" x14ac:dyDescent="0.2">
      <c r="A436" t="s">
        <v>316</v>
      </c>
      <c r="B436" t="s">
        <v>31</v>
      </c>
      <c r="C436" s="22" t="s">
        <v>268</v>
      </c>
      <c r="D436" t="str">
        <f t="shared" si="12"/>
        <v/>
      </c>
      <c r="E436" t="str">
        <f>IF(ISNA(MATCH(B436, A:A, 0)), "Missing in A", "")</f>
        <v/>
      </c>
      <c r="F436" t="str">
        <f t="shared" si="13"/>
        <v/>
      </c>
    </row>
    <row r="437" spans="1:6" x14ac:dyDescent="0.2">
      <c r="A437" t="s">
        <v>517</v>
      </c>
      <c r="B437" t="s">
        <v>316</v>
      </c>
      <c r="C437" s="22" t="s">
        <v>451</v>
      </c>
      <c r="D437" t="str">
        <f t="shared" si="12"/>
        <v/>
      </c>
      <c r="E437" t="str">
        <f>IF(ISNA(MATCH(B437, A:A, 0)), "Missing in A", "")</f>
        <v/>
      </c>
      <c r="F437" t="str">
        <f t="shared" si="13"/>
        <v/>
      </c>
    </row>
    <row r="438" spans="1:6" x14ac:dyDescent="0.2">
      <c r="A438" t="s">
        <v>278</v>
      </c>
      <c r="B438" t="s">
        <v>517</v>
      </c>
      <c r="C438" s="22" t="s">
        <v>180</v>
      </c>
      <c r="D438" t="str">
        <f t="shared" si="12"/>
        <v/>
      </c>
      <c r="E438" t="str">
        <f>IF(ISNA(MATCH(B438, A:A, 0)), "Missing in A", "")</f>
        <v/>
      </c>
      <c r="F438" t="str">
        <f t="shared" si="13"/>
        <v/>
      </c>
    </row>
    <row r="439" spans="1:6" x14ac:dyDescent="0.2">
      <c r="A439" t="s">
        <v>243</v>
      </c>
      <c r="B439" t="s">
        <v>278</v>
      </c>
      <c r="C439" s="22" t="s">
        <v>60</v>
      </c>
      <c r="D439" t="str">
        <f t="shared" si="12"/>
        <v/>
      </c>
      <c r="E439" t="str">
        <f>IF(ISNA(MATCH(B439, A:A, 0)), "Missing in A", "")</f>
        <v/>
      </c>
      <c r="F439" t="str">
        <f t="shared" si="13"/>
        <v/>
      </c>
    </row>
    <row r="440" spans="1:6" x14ac:dyDescent="0.2">
      <c r="A440" t="s">
        <v>562</v>
      </c>
      <c r="B440" t="s">
        <v>243</v>
      </c>
      <c r="C440" s="22" t="s">
        <v>411</v>
      </c>
      <c r="D440" t="str">
        <f t="shared" si="12"/>
        <v/>
      </c>
      <c r="E440" t="str">
        <f>IF(ISNA(MATCH(B440, A:A, 0)), "Missing in A", "")</f>
        <v/>
      </c>
      <c r="F440" t="str">
        <f t="shared" si="13"/>
        <v>Missing in C</v>
      </c>
    </row>
    <row r="441" spans="1:6" x14ac:dyDescent="0.2">
      <c r="A441" t="s">
        <v>542</v>
      </c>
      <c r="B441" t="s">
        <v>562</v>
      </c>
      <c r="C441" s="22" t="s">
        <v>469</v>
      </c>
      <c r="D441" t="str">
        <f t="shared" si="12"/>
        <v/>
      </c>
      <c r="E441" t="str">
        <f>IF(ISNA(MATCH(B441, A:A, 0)), "Missing in A", "")</f>
        <v/>
      </c>
      <c r="F441" t="str">
        <f t="shared" si="13"/>
        <v>Missing in C</v>
      </c>
    </row>
    <row r="442" spans="1:6" x14ac:dyDescent="0.2">
      <c r="A442" t="s">
        <v>99</v>
      </c>
      <c r="B442" t="s">
        <v>542</v>
      </c>
      <c r="C442" s="22" t="s">
        <v>97</v>
      </c>
      <c r="D442" t="str">
        <f t="shared" si="12"/>
        <v/>
      </c>
      <c r="E442" t="str">
        <f>IF(ISNA(MATCH(B442, A:A, 0)), "Missing in A", "")</f>
        <v/>
      </c>
      <c r="F442" t="str">
        <f t="shared" si="13"/>
        <v/>
      </c>
    </row>
    <row r="443" spans="1:6" x14ac:dyDescent="0.2">
      <c r="A443" t="s">
        <v>163</v>
      </c>
      <c r="B443" t="s">
        <v>99</v>
      </c>
      <c r="C443" s="22" t="s">
        <v>121</v>
      </c>
      <c r="D443" t="str">
        <f t="shared" si="12"/>
        <v/>
      </c>
      <c r="E443" t="str">
        <f>IF(ISNA(MATCH(B443, A:A, 0)), "Missing in A", "")</f>
        <v/>
      </c>
      <c r="F443" t="str">
        <f t="shared" si="13"/>
        <v/>
      </c>
    </row>
    <row r="444" spans="1:6" x14ac:dyDescent="0.2">
      <c r="A444" t="s">
        <v>428</v>
      </c>
      <c r="B444" t="s">
        <v>163</v>
      </c>
      <c r="C444" s="22" t="s">
        <v>171</v>
      </c>
      <c r="D444" t="str">
        <f t="shared" si="12"/>
        <v/>
      </c>
      <c r="E444" t="str">
        <f>IF(ISNA(MATCH(B444, A:A, 0)), "Missing in A", "")</f>
        <v/>
      </c>
      <c r="F444" t="str">
        <f t="shared" si="13"/>
        <v/>
      </c>
    </row>
    <row r="445" spans="1:6" x14ac:dyDescent="0.2">
      <c r="A445" t="s">
        <v>441</v>
      </c>
      <c r="B445" t="s">
        <v>428</v>
      </c>
      <c r="C445" s="22" t="s">
        <v>336</v>
      </c>
      <c r="D445" t="str">
        <f t="shared" si="12"/>
        <v/>
      </c>
      <c r="E445" t="str">
        <f>IF(ISNA(MATCH(B445, A:A, 0)), "Missing in A", "")</f>
        <v/>
      </c>
      <c r="F445" t="str">
        <f t="shared" si="13"/>
        <v/>
      </c>
    </row>
    <row r="446" spans="1:6" x14ac:dyDescent="0.2">
      <c r="A446" t="s">
        <v>178</v>
      </c>
      <c r="B446" t="s">
        <v>441</v>
      </c>
      <c r="C446" s="22" t="s">
        <v>92</v>
      </c>
      <c r="D446" t="str">
        <f t="shared" si="12"/>
        <v/>
      </c>
      <c r="E446" t="str">
        <f>IF(ISNA(MATCH(B446, A:A, 0)), "Missing in A", "")</f>
        <v/>
      </c>
      <c r="F446" t="str">
        <f t="shared" si="13"/>
        <v/>
      </c>
    </row>
    <row r="447" spans="1:6" x14ac:dyDescent="0.2">
      <c r="A447" t="s">
        <v>422</v>
      </c>
      <c r="B447" t="s">
        <v>178</v>
      </c>
      <c r="C447" s="22" t="s">
        <v>483</v>
      </c>
      <c r="D447" t="str">
        <f t="shared" si="12"/>
        <v/>
      </c>
      <c r="E447" t="str">
        <f>IF(ISNA(MATCH(B447, A:A, 0)), "Missing in A", "")</f>
        <v/>
      </c>
      <c r="F447" t="str">
        <f t="shared" si="13"/>
        <v/>
      </c>
    </row>
    <row r="448" spans="1:6" x14ac:dyDescent="0.2">
      <c r="A448" t="s">
        <v>298</v>
      </c>
      <c r="B448" t="s">
        <v>422</v>
      </c>
      <c r="C448" s="22" t="s">
        <v>433</v>
      </c>
      <c r="D448" t="str">
        <f t="shared" si="12"/>
        <v/>
      </c>
      <c r="E448" t="str">
        <f>IF(ISNA(MATCH(B448, A:A, 0)), "Missing in A", "")</f>
        <v/>
      </c>
      <c r="F448" t="str">
        <f t="shared" si="13"/>
        <v/>
      </c>
    </row>
    <row r="449" spans="1:6" x14ac:dyDescent="0.2">
      <c r="A449" t="s">
        <v>187</v>
      </c>
      <c r="B449" t="s">
        <v>298</v>
      </c>
      <c r="C449" s="22" t="s">
        <v>498</v>
      </c>
      <c r="D449" t="str">
        <f t="shared" si="12"/>
        <v/>
      </c>
      <c r="E449" t="str">
        <f>IF(ISNA(MATCH(B449, A:A, 0)), "Missing in A", "")</f>
        <v/>
      </c>
      <c r="F449" t="str">
        <f t="shared" si="13"/>
        <v/>
      </c>
    </row>
    <row r="450" spans="1:6" x14ac:dyDescent="0.2">
      <c r="A450" t="s">
        <v>242</v>
      </c>
      <c r="B450" t="s">
        <v>187</v>
      </c>
      <c r="C450" s="22" t="s">
        <v>245</v>
      </c>
      <c r="D450" t="str">
        <f t="shared" si="12"/>
        <v/>
      </c>
      <c r="E450" t="str">
        <f>IF(ISNA(MATCH(B450, A:A, 0)), "Missing in A", "")</f>
        <v/>
      </c>
      <c r="F450" t="str">
        <f t="shared" si="13"/>
        <v/>
      </c>
    </row>
    <row r="451" spans="1:6" x14ac:dyDescent="0.2">
      <c r="A451" t="s">
        <v>489</v>
      </c>
      <c r="B451" t="s">
        <v>242</v>
      </c>
      <c r="C451" s="22" t="s">
        <v>329</v>
      </c>
      <c r="D451" t="str">
        <f t="shared" ref="D451:D504" si="14">IF(ISNA(MATCH(A451, B:B, 0)), "Missing in A", "")</f>
        <v/>
      </c>
      <c r="E451" t="str">
        <f>IF(ISNA(MATCH(B451, A:A, 0)), "Missing in A", "")</f>
        <v/>
      </c>
      <c r="F451" t="str">
        <f t="shared" ref="F451:F503" si="15">IF(ISNA(MATCH(A451,C:C, 0)), "Missing in C", "")</f>
        <v/>
      </c>
    </row>
    <row r="452" spans="1:6" x14ac:dyDescent="0.2">
      <c r="A452" t="s">
        <v>510</v>
      </c>
      <c r="B452" t="s">
        <v>489</v>
      </c>
      <c r="C452" s="22" t="s">
        <v>402</v>
      </c>
      <c r="D452" t="str">
        <f t="shared" si="14"/>
        <v/>
      </c>
      <c r="E452" t="str">
        <f>IF(ISNA(MATCH(B452, A:A, 0)), "Missing in A", "")</f>
        <v/>
      </c>
      <c r="F452" t="str">
        <f t="shared" si="15"/>
        <v>Missing in C</v>
      </c>
    </row>
    <row r="453" spans="1:6" x14ac:dyDescent="0.2">
      <c r="A453" t="s">
        <v>290</v>
      </c>
      <c r="B453" t="s">
        <v>510</v>
      </c>
      <c r="C453" s="22" t="s">
        <v>477</v>
      </c>
      <c r="D453" t="str">
        <f t="shared" si="14"/>
        <v/>
      </c>
      <c r="E453" t="str">
        <f>IF(ISNA(MATCH(B453, A:A, 0)), "Missing in A", "")</f>
        <v/>
      </c>
      <c r="F453" t="str">
        <f t="shared" si="15"/>
        <v/>
      </c>
    </row>
    <row r="454" spans="1:6" x14ac:dyDescent="0.2">
      <c r="A454" t="s">
        <v>501</v>
      </c>
      <c r="B454" t="s">
        <v>290</v>
      </c>
      <c r="C454" s="22" t="s">
        <v>206</v>
      </c>
      <c r="D454" t="str">
        <f t="shared" si="14"/>
        <v/>
      </c>
      <c r="E454" t="str">
        <f>IF(ISNA(MATCH(B454, A:A, 0)), "Missing in A", "")</f>
        <v/>
      </c>
      <c r="F454" t="str">
        <f t="shared" si="15"/>
        <v/>
      </c>
    </row>
    <row r="455" spans="1:6" x14ac:dyDescent="0.2">
      <c r="A455" t="s">
        <v>193</v>
      </c>
      <c r="B455" t="s">
        <v>501</v>
      </c>
      <c r="C455" s="22" t="s">
        <v>165</v>
      </c>
      <c r="D455" t="str">
        <f t="shared" si="14"/>
        <v/>
      </c>
      <c r="E455" t="str">
        <f>IF(ISNA(MATCH(B455, A:A, 0)), "Missing in A", "")</f>
        <v/>
      </c>
      <c r="F455" t="str">
        <f t="shared" si="15"/>
        <v/>
      </c>
    </row>
    <row r="456" spans="1:6" x14ac:dyDescent="0.2">
      <c r="A456" t="s">
        <v>419</v>
      </c>
      <c r="B456" t="s">
        <v>193</v>
      </c>
      <c r="C456" s="22" t="s">
        <v>296</v>
      </c>
      <c r="D456" t="str">
        <f t="shared" si="14"/>
        <v/>
      </c>
      <c r="E456" t="str">
        <f>IF(ISNA(MATCH(B456, A:A, 0)), "Missing in A", "")</f>
        <v/>
      </c>
      <c r="F456" t="str">
        <f t="shared" si="15"/>
        <v/>
      </c>
    </row>
    <row r="457" spans="1:6" x14ac:dyDescent="0.2">
      <c r="A457" t="s">
        <v>337</v>
      </c>
      <c r="B457" t="s">
        <v>419</v>
      </c>
      <c r="C457" s="22" t="s">
        <v>274</v>
      </c>
      <c r="D457" t="str">
        <f t="shared" si="14"/>
        <v/>
      </c>
      <c r="E457" t="str">
        <f>IF(ISNA(MATCH(B457, A:A, 0)), "Missing in A", "")</f>
        <v/>
      </c>
      <c r="F457" t="str">
        <f t="shared" si="15"/>
        <v/>
      </c>
    </row>
    <row r="458" spans="1:6" x14ac:dyDescent="0.2">
      <c r="A458" t="s">
        <v>214</v>
      </c>
      <c r="B458" t="s">
        <v>337</v>
      </c>
      <c r="C458" s="22" t="s">
        <v>85</v>
      </c>
      <c r="D458" t="str">
        <f t="shared" si="14"/>
        <v/>
      </c>
      <c r="E458" t="str">
        <f>IF(ISNA(MATCH(B458, A:A, 0)), "Missing in A", "")</f>
        <v/>
      </c>
      <c r="F458" t="str">
        <f t="shared" si="15"/>
        <v/>
      </c>
    </row>
    <row r="459" spans="1:6" x14ac:dyDescent="0.2">
      <c r="A459" t="s">
        <v>132</v>
      </c>
      <c r="B459" t="s">
        <v>214</v>
      </c>
      <c r="C459" s="22" t="s">
        <v>471</v>
      </c>
      <c r="D459" t="str">
        <f t="shared" si="14"/>
        <v/>
      </c>
      <c r="E459" t="str">
        <f>IF(ISNA(MATCH(B459, A:A, 0)), "Missing in A", "")</f>
        <v/>
      </c>
      <c r="F459" t="str">
        <f t="shared" si="15"/>
        <v/>
      </c>
    </row>
    <row r="460" spans="1:6" x14ac:dyDescent="0.2">
      <c r="A460" t="s">
        <v>438</v>
      </c>
      <c r="B460" t="s">
        <v>132</v>
      </c>
      <c r="C460" s="22" t="s">
        <v>248</v>
      </c>
      <c r="D460" t="str">
        <f t="shared" si="14"/>
        <v/>
      </c>
      <c r="E460" t="str">
        <f>IF(ISNA(MATCH(B460, A:A, 0)), "Missing in A", "")</f>
        <v/>
      </c>
      <c r="F460" t="str">
        <f t="shared" si="15"/>
        <v/>
      </c>
    </row>
    <row r="461" spans="1:6" x14ac:dyDescent="0.2">
      <c r="A461" t="s">
        <v>217</v>
      </c>
      <c r="B461" t="s">
        <v>438</v>
      </c>
      <c r="C461" s="22" t="s">
        <v>300</v>
      </c>
      <c r="D461" t="str">
        <f t="shared" si="14"/>
        <v/>
      </c>
      <c r="E461" t="str">
        <f>IF(ISNA(MATCH(B461, A:A, 0)), "Missing in A", "")</f>
        <v/>
      </c>
      <c r="F461" t="str">
        <f t="shared" si="15"/>
        <v/>
      </c>
    </row>
    <row r="462" spans="1:6" x14ac:dyDescent="0.2">
      <c r="A462" t="s">
        <v>71</v>
      </c>
      <c r="B462" t="s">
        <v>217</v>
      </c>
      <c r="C462" s="22"/>
      <c r="D462" t="str">
        <f t="shared" si="14"/>
        <v/>
      </c>
      <c r="E462" t="str">
        <f>IF(ISNA(MATCH(B462, A:A, 0)), "Missing in A", "")</f>
        <v/>
      </c>
      <c r="F462" t="str">
        <f t="shared" si="15"/>
        <v/>
      </c>
    </row>
    <row r="463" spans="1:6" x14ac:dyDescent="0.2">
      <c r="A463" t="s">
        <v>259</v>
      </c>
      <c r="B463" t="s">
        <v>71</v>
      </c>
      <c r="C463" s="22"/>
      <c r="D463" t="str">
        <f t="shared" si="14"/>
        <v/>
      </c>
      <c r="E463" t="str">
        <f>IF(ISNA(MATCH(B463, A:A, 0)), "Missing in A", "")</f>
        <v/>
      </c>
      <c r="F463" t="str">
        <f t="shared" si="15"/>
        <v/>
      </c>
    </row>
    <row r="464" spans="1:6" x14ac:dyDescent="0.2">
      <c r="A464" t="s">
        <v>432</v>
      </c>
      <c r="B464" t="s">
        <v>259</v>
      </c>
      <c r="C464" s="22"/>
      <c r="D464" t="str">
        <f t="shared" si="14"/>
        <v/>
      </c>
      <c r="E464" t="str">
        <f>IF(ISNA(MATCH(B464, A:A, 0)), "Missing in A", "")</f>
        <v/>
      </c>
      <c r="F464" t="str">
        <f t="shared" si="15"/>
        <v/>
      </c>
    </row>
    <row r="465" spans="1:6" x14ac:dyDescent="0.2">
      <c r="A465" t="s">
        <v>246</v>
      </c>
      <c r="B465" t="s">
        <v>432</v>
      </c>
      <c r="C465" s="22"/>
      <c r="D465" t="str">
        <f t="shared" si="14"/>
        <v/>
      </c>
      <c r="E465" t="str">
        <f>IF(ISNA(MATCH(B465, A:A, 0)), "Missing in A", "")</f>
        <v/>
      </c>
      <c r="F465" t="str">
        <f t="shared" si="15"/>
        <v/>
      </c>
    </row>
    <row r="466" spans="1:6" x14ac:dyDescent="0.2">
      <c r="A466" t="s">
        <v>338</v>
      </c>
      <c r="B466" t="s">
        <v>246</v>
      </c>
      <c r="C466" s="22"/>
      <c r="D466" t="str">
        <f t="shared" si="14"/>
        <v/>
      </c>
      <c r="E466" t="str">
        <f>IF(ISNA(MATCH(B466, A:A, 0)), "Missing in A", "")</f>
        <v/>
      </c>
      <c r="F466" t="str">
        <f t="shared" si="15"/>
        <v/>
      </c>
    </row>
    <row r="467" spans="1:6" x14ac:dyDescent="0.2">
      <c r="A467" t="s">
        <v>499</v>
      </c>
      <c r="B467" t="s">
        <v>338</v>
      </c>
      <c r="C467" s="22"/>
      <c r="D467" t="str">
        <f t="shared" si="14"/>
        <v/>
      </c>
      <c r="E467" t="str">
        <f>IF(ISNA(MATCH(B467, A:A, 0)), "Missing in A", "")</f>
        <v/>
      </c>
      <c r="F467" t="str">
        <f t="shared" si="15"/>
        <v>Missing in C</v>
      </c>
    </row>
    <row r="468" spans="1:6" x14ac:dyDescent="0.2">
      <c r="A468" t="s">
        <v>540</v>
      </c>
      <c r="B468" t="s">
        <v>499</v>
      </c>
      <c r="C468" s="22"/>
      <c r="D468" t="str">
        <f t="shared" si="14"/>
        <v/>
      </c>
      <c r="E468" t="str">
        <f>IF(ISNA(MATCH(B468, A:A, 0)), "Missing in A", "")</f>
        <v/>
      </c>
      <c r="F468" t="str">
        <f t="shared" si="15"/>
        <v>Missing in C</v>
      </c>
    </row>
    <row r="469" spans="1:6" x14ac:dyDescent="0.2">
      <c r="A469" t="s">
        <v>497</v>
      </c>
      <c r="B469" t="s">
        <v>540</v>
      </c>
      <c r="C469" s="22"/>
      <c r="D469" t="str">
        <f t="shared" si="14"/>
        <v/>
      </c>
      <c r="E469" t="str">
        <f>IF(ISNA(MATCH(B469, A:A, 0)), "Missing in A", "")</f>
        <v/>
      </c>
      <c r="F469" t="str">
        <f t="shared" si="15"/>
        <v>Missing in C</v>
      </c>
    </row>
    <row r="470" spans="1:6" x14ac:dyDescent="0.2">
      <c r="A470" t="s">
        <v>426</v>
      </c>
      <c r="B470" t="s">
        <v>497</v>
      </c>
      <c r="C470" s="22"/>
      <c r="D470" t="str">
        <f t="shared" si="14"/>
        <v/>
      </c>
      <c r="E470" t="str">
        <f>IF(ISNA(MATCH(B470, A:A, 0)), "Missing in A", "")</f>
        <v/>
      </c>
      <c r="F470" t="str">
        <f t="shared" si="15"/>
        <v>Missing in C</v>
      </c>
    </row>
    <row r="471" spans="1:6" x14ac:dyDescent="0.2">
      <c r="A471" t="s">
        <v>340</v>
      </c>
      <c r="B471" t="s">
        <v>426</v>
      </c>
      <c r="C471" s="22"/>
      <c r="D471" t="str">
        <f t="shared" si="14"/>
        <v/>
      </c>
      <c r="E471" t="str">
        <f>IF(ISNA(MATCH(B471, A:A, 0)), "Missing in A", "")</f>
        <v/>
      </c>
      <c r="F471" t="str">
        <f t="shared" si="15"/>
        <v/>
      </c>
    </row>
    <row r="472" spans="1:6" x14ac:dyDescent="0.2">
      <c r="A472" t="s">
        <v>205</v>
      </c>
      <c r="B472" t="s">
        <v>340</v>
      </c>
      <c r="C472" s="22"/>
      <c r="D472" t="str">
        <f t="shared" si="14"/>
        <v/>
      </c>
      <c r="E472" t="str">
        <f>IF(ISNA(MATCH(B472, A:A, 0)), "Missing in A", "")</f>
        <v/>
      </c>
      <c r="F472" t="str">
        <f t="shared" si="15"/>
        <v/>
      </c>
    </row>
    <row r="473" spans="1:6" x14ac:dyDescent="0.2">
      <c r="A473" t="s">
        <v>268</v>
      </c>
      <c r="B473" t="s">
        <v>205</v>
      </c>
      <c r="C473" s="22"/>
      <c r="D473" t="str">
        <f t="shared" si="14"/>
        <v/>
      </c>
      <c r="E473" t="str">
        <f>IF(ISNA(MATCH(B473, A:A, 0)), "Missing in A", "")</f>
        <v/>
      </c>
      <c r="F473" t="str">
        <f t="shared" si="15"/>
        <v/>
      </c>
    </row>
    <row r="474" spans="1:6" x14ac:dyDescent="0.2">
      <c r="A474" t="s">
        <v>451</v>
      </c>
      <c r="B474" t="s">
        <v>268</v>
      </c>
      <c r="C474" s="22"/>
      <c r="D474" t="str">
        <f t="shared" si="14"/>
        <v/>
      </c>
      <c r="E474" t="str">
        <f>IF(ISNA(MATCH(B474, A:A, 0)), "Missing in A", "")</f>
        <v/>
      </c>
      <c r="F474" t="str">
        <f t="shared" si="15"/>
        <v/>
      </c>
    </row>
    <row r="475" spans="1:6" x14ac:dyDescent="0.2">
      <c r="A475" t="s">
        <v>538</v>
      </c>
      <c r="B475" t="s">
        <v>451</v>
      </c>
      <c r="C475" s="22"/>
      <c r="D475" t="str">
        <f t="shared" si="14"/>
        <v/>
      </c>
      <c r="E475" t="str">
        <f>IF(ISNA(MATCH(B475, A:A, 0)), "Missing in A", "")</f>
        <v/>
      </c>
      <c r="F475" t="str">
        <f t="shared" si="15"/>
        <v>Missing in C</v>
      </c>
    </row>
    <row r="476" spans="1:6" x14ac:dyDescent="0.2">
      <c r="A476" t="s">
        <v>180</v>
      </c>
      <c r="B476" t="s">
        <v>538</v>
      </c>
      <c r="C476" s="22"/>
      <c r="D476" t="str">
        <f t="shared" si="14"/>
        <v/>
      </c>
      <c r="E476" t="str">
        <f>IF(ISNA(MATCH(B476, A:A, 0)), "Missing in A", "")</f>
        <v/>
      </c>
      <c r="F476" t="str">
        <f t="shared" si="15"/>
        <v/>
      </c>
    </row>
    <row r="477" spans="1:6" x14ac:dyDescent="0.2">
      <c r="A477" t="s">
        <v>60</v>
      </c>
      <c r="B477" t="s">
        <v>180</v>
      </c>
      <c r="C477" s="22"/>
      <c r="D477" t="str">
        <f t="shared" si="14"/>
        <v/>
      </c>
      <c r="E477" t="str">
        <f>IF(ISNA(MATCH(B477, A:A, 0)), "Missing in A", "")</f>
        <v/>
      </c>
      <c r="F477" t="str">
        <f t="shared" si="15"/>
        <v/>
      </c>
    </row>
    <row r="478" spans="1:6" x14ac:dyDescent="0.2">
      <c r="A478" t="s">
        <v>411</v>
      </c>
      <c r="B478" t="s">
        <v>60</v>
      </c>
      <c r="C478" s="22"/>
      <c r="D478" t="str">
        <f t="shared" si="14"/>
        <v/>
      </c>
      <c r="E478" t="str">
        <f>IF(ISNA(MATCH(B478, A:A, 0)), "Missing in A", "")</f>
        <v/>
      </c>
      <c r="F478" t="str">
        <f t="shared" si="15"/>
        <v/>
      </c>
    </row>
    <row r="479" spans="1:6" x14ac:dyDescent="0.2">
      <c r="A479" t="s">
        <v>469</v>
      </c>
      <c r="B479" t="s">
        <v>411</v>
      </c>
      <c r="C479" s="22"/>
      <c r="D479" t="str">
        <f t="shared" si="14"/>
        <v/>
      </c>
      <c r="E479" t="str">
        <f>IF(ISNA(MATCH(B479, A:A, 0)), "Missing in A", "")</f>
        <v/>
      </c>
      <c r="F479" t="str">
        <f t="shared" si="15"/>
        <v/>
      </c>
    </row>
    <row r="480" spans="1:6" x14ac:dyDescent="0.2">
      <c r="A480" t="s">
        <v>97</v>
      </c>
      <c r="B480" t="s">
        <v>469</v>
      </c>
      <c r="C480" s="22"/>
      <c r="D480" t="str">
        <f t="shared" si="14"/>
        <v/>
      </c>
      <c r="E480" t="str">
        <f>IF(ISNA(MATCH(B480, A:A, 0)), "Missing in A", "")</f>
        <v/>
      </c>
      <c r="F480" t="str">
        <f t="shared" si="15"/>
        <v/>
      </c>
    </row>
    <row r="481" spans="1:6" x14ac:dyDescent="0.2">
      <c r="A481" t="s">
        <v>383</v>
      </c>
      <c r="B481" t="s">
        <v>97</v>
      </c>
      <c r="C481" s="22"/>
      <c r="D481" t="str">
        <f t="shared" si="14"/>
        <v/>
      </c>
      <c r="E481" t="str">
        <f>IF(ISNA(MATCH(B481, A:A, 0)), "Missing in A", "")</f>
        <v/>
      </c>
      <c r="F481" t="str">
        <f t="shared" si="15"/>
        <v>Missing in C</v>
      </c>
    </row>
    <row r="482" spans="1:6" x14ac:dyDescent="0.2">
      <c r="A482" t="s">
        <v>121</v>
      </c>
      <c r="B482" t="s">
        <v>383</v>
      </c>
      <c r="C482" s="22"/>
      <c r="D482" t="str">
        <f t="shared" si="14"/>
        <v/>
      </c>
      <c r="E482" t="str">
        <f>IF(ISNA(MATCH(B482, A:A, 0)), "Missing in A", "")</f>
        <v/>
      </c>
      <c r="F482" t="str">
        <f t="shared" si="15"/>
        <v/>
      </c>
    </row>
    <row r="483" spans="1:6" x14ac:dyDescent="0.2">
      <c r="A483" t="s">
        <v>505</v>
      </c>
      <c r="B483" t="s">
        <v>121</v>
      </c>
      <c r="C483" s="22"/>
      <c r="D483" t="str">
        <f t="shared" si="14"/>
        <v/>
      </c>
      <c r="E483" t="str">
        <f>IF(ISNA(MATCH(B483, A:A, 0)), "Missing in A", "")</f>
        <v/>
      </c>
      <c r="F483" t="str">
        <f t="shared" si="15"/>
        <v>Missing in C</v>
      </c>
    </row>
    <row r="484" spans="1:6" x14ac:dyDescent="0.2">
      <c r="A484" t="s">
        <v>171</v>
      </c>
      <c r="B484" t="s">
        <v>505</v>
      </c>
      <c r="C484" s="22"/>
      <c r="D484" t="str">
        <f t="shared" si="14"/>
        <v/>
      </c>
      <c r="E484" t="str">
        <f>IF(ISNA(MATCH(B484, A:A, 0)), "Missing in A", "")</f>
        <v/>
      </c>
      <c r="F484" t="str">
        <f t="shared" si="15"/>
        <v/>
      </c>
    </row>
    <row r="485" spans="1:6" x14ac:dyDescent="0.2">
      <c r="A485" t="s">
        <v>544</v>
      </c>
      <c r="B485" t="s">
        <v>171</v>
      </c>
      <c r="C485" s="22"/>
      <c r="D485" t="str">
        <f t="shared" si="14"/>
        <v/>
      </c>
      <c r="E485" t="str">
        <f>IF(ISNA(MATCH(B485, A:A, 0)), "Missing in A", "")</f>
        <v/>
      </c>
      <c r="F485" t="str">
        <f t="shared" si="15"/>
        <v>Missing in C</v>
      </c>
    </row>
    <row r="486" spans="1:6" x14ac:dyDescent="0.2">
      <c r="A486" t="s">
        <v>336</v>
      </c>
      <c r="B486" t="s">
        <v>544</v>
      </c>
      <c r="C486" s="22"/>
      <c r="D486" t="str">
        <f t="shared" si="14"/>
        <v/>
      </c>
      <c r="E486" t="str">
        <f>IF(ISNA(MATCH(B486, A:A, 0)), "Missing in A", "")</f>
        <v/>
      </c>
      <c r="F486" t="str">
        <f t="shared" si="15"/>
        <v/>
      </c>
    </row>
    <row r="487" spans="1:6" x14ac:dyDescent="0.2">
      <c r="A487" t="s">
        <v>92</v>
      </c>
      <c r="B487" t="s">
        <v>336</v>
      </c>
      <c r="C487" s="22"/>
      <c r="D487" t="str">
        <f t="shared" si="14"/>
        <v/>
      </c>
      <c r="E487" t="str">
        <f>IF(ISNA(MATCH(B487, A:A, 0)), "Missing in A", "")</f>
        <v/>
      </c>
      <c r="F487" t="str">
        <f t="shared" si="15"/>
        <v/>
      </c>
    </row>
    <row r="488" spans="1:6" x14ac:dyDescent="0.2">
      <c r="A488" t="s">
        <v>483</v>
      </c>
      <c r="B488" t="s">
        <v>92</v>
      </c>
      <c r="C488" s="22"/>
      <c r="D488" t="str">
        <f t="shared" si="14"/>
        <v/>
      </c>
      <c r="E488" t="str">
        <f>IF(ISNA(MATCH(B488, A:A, 0)), "Missing in A", "")</f>
        <v/>
      </c>
      <c r="F488" t="str">
        <f t="shared" si="15"/>
        <v/>
      </c>
    </row>
    <row r="489" spans="1:6" x14ac:dyDescent="0.2">
      <c r="A489" t="s">
        <v>433</v>
      </c>
      <c r="B489" t="s">
        <v>483</v>
      </c>
      <c r="C489" s="22"/>
      <c r="D489" t="str">
        <f t="shared" si="14"/>
        <v/>
      </c>
      <c r="E489" t="str">
        <f>IF(ISNA(MATCH(B489, A:A, 0)), "Missing in A", "")</f>
        <v/>
      </c>
      <c r="F489" t="str">
        <f t="shared" si="15"/>
        <v/>
      </c>
    </row>
    <row r="490" spans="1:6" x14ac:dyDescent="0.2">
      <c r="A490" t="s">
        <v>498</v>
      </c>
      <c r="B490" t="s">
        <v>433</v>
      </c>
      <c r="C490" s="22"/>
      <c r="D490" t="str">
        <f t="shared" si="14"/>
        <v/>
      </c>
      <c r="E490" t="str">
        <f>IF(ISNA(MATCH(B490, A:A, 0)), "Missing in A", "")</f>
        <v/>
      </c>
      <c r="F490" t="str">
        <f t="shared" si="15"/>
        <v/>
      </c>
    </row>
    <row r="491" spans="1:6" x14ac:dyDescent="0.2">
      <c r="A491" t="s">
        <v>245</v>
      </c>
      <c r="B491" t="s">
        <v>498</v>
      </c>
      <c r="C491" s="22"/>
      <c r="D491" t="str">
        <f t="shared" si="14"/>
        <v/>
      </c>
      <c r="E491" t="str">
        <f>IF(ISNA(MATCH(B491, A:A, 0)), "Missing in A", "")</f>
        <v/>
      </c>
      <c r="F491" t="str">
        <f t="shared" si="15"/>
        <v/>
      </c>
    </row>
    <row r="492" spans="1:6" x14ac:dyDescent="0.2">
      <c r="A492" t="s">
        <v>329</v>
      </c>
      <c r="B492" t="s">
        <v>245</v>
      </c>
      <c r="C492" s="22"/>
      <c r="D492" t="str">
        <f t="shared" si="14"/>
        <v/>
      </c>
      <c r="E492" t="str">
        <f>IF(ISNA(MATCH(B492, A:A, 0)), "Missing in A", "")</f>
        <v/>
      </c>
      <c r="F492" t="str">
        <f t="shared" si="15"/>
        <v/>
      </c>
    </row>
    <row r="493" spans="1:6" x14ac:dyDescent="0.2">
      <c r="A493" t="s">
        <v>402</v>
      </c>
      <c r="B493" t="s">
        <v>329</v>
      </c>
      <c r="C493" s="22"/>
      <c r="D493" t="str">
        <f t="shared" si="14"/>
        <v/>
      </c>
      <c r="E493" t="str">
        <f>IF(ISNA(MATCH(B493, A:A, 0)), "Missing in A", "")</f>
        <v/>
      </c>
      <c r="F493" t="str">
        <f t="shared" si="15"/>
        <v/>
      </c>
    </row>
    <row r="494" spans="1:6" x14ac:dyDescent="0.2">
      <c r="A494" t="s">
        <v>477</v>
      </c>
      <c r="B494" t="s">
        <v>402</v>
      </c>
      <c r="C494" s="22"/>
      <c r="D494" t="str">
        <f t="shared" si="14"/>
        <v/>
      </c>
      <c r="E494" t="str">
        <f>IF(ISNA(MATCH(B494, A:A, 0)), "Missing in A", "")</f>
        <v/>
      </c>
      <c r="F494" t="str">
        <f t="shared" si="15"/>
        <v/>
      </c>
    </row>
    <row r="495" spans="1:6" x14ac:dyDescent="0.2">
      <c r="A495" t="s">
        <v>490</v>
      </c>
      <c r="B495" t="s">
        <v>477</v>
      </c>
      <c r="C495" s="22"/>
      <c r="D495" t="str">
        <f t="shared" si="14"/>
        <v/>
      </c>
      <c r="E495" t="str">
        <f>IF(ISNA(MATCH(B495, A:A, 0)), "Missing in A", "")</f>
        <v/>
      </c>
      <c r="F495" t="str">
        <f t="shared" si="15"/>
        <v>Missing in C</v>
      </c>
    </row>
    <row r="496" spans="1:6" x14ac:dyDescent="0.2">
      <c r="A496" t="s">
        <v>206</v>
      </c>
      <c r="B496" t="s">
        <v>490</v>
      </c>
      <c r="C496" s="22"/>
      <c r="D496" t="str">
        <f t="shared" si="14"/>
        <v/>
      </c>
      <c r="E496" t="str">
        <f>IF(ISNA(MATCH(B496, A:A, 0)), "Missing in A", "")</f>
        <v/>
      </c>
      <c r="F496" t="str">
        <f t="shared" si="15"/>
        <v/>
      </c>
    </row>
    <row r="497" spans="1:6" x14ac:dyDescent="0.2">
      <c r="A497" t="s">
        <v>165</v>
      </c>
      <c r="B497" t="s">
        <v>206</v>
      </c>
      <c r="C497" s="22"/>
      <c r="D497" t="str">
        <f t="shared" si="14"/>
        <v/>
      </c>
      <c r="E497" t="str">
        <f>IF(ISNA(MATCH(B497, A:A, 0)), "Missing in A", "")</f>
        <v/>
      </c>
      <c r="F497" t="str">
        <f t="shared" si="15"/>
        <v/>
      </c>
    </row>
    <row r="498" spans="1:6" x14ac:dyDescent="0.2">
      <c r="A498" t="s">
        <v>296</v>
      </c>
      <c r="B498" t="s">
        <v>165</v>
      </c>
      <c r="C498" s="22"/>
      <c r="D498" t="str">
        <f t="shared" si="14"/>
        <v/>
      </c>
      <c r="E498" t="str">
        <f>IF(ISNA(MATCH(B498, A:A, 0)), "Missing in A", "")</f>
        <v/>
      </c>
      <c r="F498" t="str">
        <f t="shared" si="15"/>
        <v/>
      </c>
    </row>
    <row r="499" spans="1:6" x14ac:dyDescent="0.2">
      <c r="A499" t="s">
        <v>274</v>
      </c>
      <c r="B499" t="s">
        <v>296</v>
      </c>
      <c r="C499" s="22"/>
      <c r="D499" t="str">
        <f t="shared" si="14"/>
        <v/>
      </c>
      <c r="E499" t="str">
        <f>IF(ISNA(MATCH(B499, A:A, 0)), "Missing in A", "")</f>
        <v/>
      </c>
      <c r="F499" t="str">
        <f t="shared" si="15"/>
        <v/>
      </c>
    </row>
    <row r="500" spans="1:6" x14ac:dyDescent="0.2">
      <c r="A500" t="s">
        <v>85</v>
      </c>
      <c r="B500" t="s">
        <v>274</v>
      </c>
      <c r="C500" s="22"/>
      <c r="D500" t="str">
        <f t="shared" si="14"/>
        <v/>
      </c>
      <c r="E500" t="str">
        <f>IF(ISNA(MATCH(B500, A:A, 0)), "Missing in A", "")</f>
        <v/>
      </c>
      <c r="F500" t="str">
        <f t="shared" si="15"/>
        <v/>
      </c>
    </row>
    <row r="501" spans="1:6" x14ac:dyDescent="0.2">
      <c r="A501" t="s">
        <v>471</v>
      </c>
      <c r="B501" t="s">
        <v>85</v>
      </c>
      <c r="C501" s="22"/>
      <c r="D501" t="str">
        <f t="shared" si="14"/>
        <v/>
      </c>
      <c r="E501" t="str">
        <f>IF(ISNA(MATCH(B501, A:A, 0)), "Missing in A", "")</f>
        <v/>
      </c>
      <c r="F501" t="str">
        <f t="shared" si="15"/>
        <v/>
      </c>
    </row>
    <row r="502" spans="1:6" x14ac:dyDescent="0.2">
      <c r="A502" t="s">
        <v>248</v>
      </c>
      <c r="B502" t="s">
        <v>471</v>
      </c>
      <c r="C502" s="22"/>
      <c r="D502" t="str">
        <f t="shared" si="14"/>
        <v/>
      </c>
      <c r="E502" t="str">
        <f>IF(ISNA(MATCH(B502, A:A, 0)), "Missing in A", "")</f>
        <v/>
      </c>
      <c r="F502" t="str">
        <f t="shared" si="15"/>
        <v/>
      </c>
    </row>
    <row r="503" spans="1:6" x14ac:dyDescent="0.2">
      <c r="A503" t="s">
        <v>300</v>
      </c>
      <c r="B503" t="s">
        <v>248</v>
      </c>
      <c r="C503" s="22"/>
      <c r="D503" t="str">
        <f t="shared" si="14"/>
        <v/>
      </c>
      <c r="E503" t="str">
        <f>IF(ISNA(MATCH(B503, A:A, 0)), "Missing in A", "")</f>
        <v/>
      </c>
      <c r="F503" t="str">
        <f t="shared" si="15"/>
        <v/>
      </c>
    </row>
    <row r="504" spans="1:6" x14ac:dyDescent="0.2">
      <c r="B504" t="s">
        <v>300</v>
      </c>
      <c r="D504" t="str">
        <f t="shared" si="14"/>
        <v>Missing in A</v>
      </c>
      <c r="E504" t="str">
        <f>IF(ISNA(MATCH(B504, A:A, 0)), "Missing in A", "")</f>
        <v/>
      </c>
    </row>
  </sheetData>
  <conditionalFormatting sqref="D1:F1048576">
    <cfRule type="containsText" dxfId="0" priority="1" operator="containsText" text="Missing in">
      <formula>NOT(ISERROR(SEARCH("Missing in",D1)))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EA019F-E74E-5B4F-BADE-98B926385529}">
  <dimension ref="A1:R503"/>
  <sheetViews>
    <sheetView tabSelected="1" workbookViewId="0">
      <pane ySplit="1" topLeftCell="A3" activePane="bottomLeft" state="frozen"/>
      <selection pane="bottomLeft" activeCell="S5" sqref="S5"/>
    </sheetView>
  </sheetViews>
  <sheetFormatPr baseColWidth="10" defaultRowHeight="16" x14ac:dyDescent="0.2"/>
  <cols>
    <col min="5" max="5" width="10.83203125" customWidth="1"/>
    <col min="10" max="10" width="10.83203125" style="18"/>
  </cols>
  <sheetData>
    <row r="1" spans="1:18" x14ac:dyDescent="0.2">
      <c r="A1" s="16" t="s">
        <v>0</v>
      </c>
      <c r="B1" s="16" t="s">
        <v>1</v>
      </c>
      <c r="C1" s="16" t="s">
        <v>2</v>
      </c>
      <c r="D1" s="16" t="s">
        <v>3</v>
      </c>
      <c r="E1" s="16" t="s">
        <v>4</v>
      </c>
      <c r="F1" s="16" t="s">
        <v>6</v>
      </c>
      <c r="G1" s="16" t="s">
        <v>570</v>
      </c>
      <c r="H1" s="16" t="s">
        <v>684</v>
      </c>
      <c r="I1" s="16" t="s">
        <v>580</v>
      </c>
      <c r="J1" s="19" t="s">
        <v>685</v>
      </c>
      <c r="K1" s="16" t="s">
        <v>586</v>
      </c>
      <c r="L1" s="16" t="s">
        <v>582</v>
      </c>
      <c r="M1" s="16" t="s">
        <v>575</v>
      </c>
      <c r="N1" s="16" t="s">
        <v>569</v>
      </c>
      <c r="O1" s="16" t="s">
        <v>588</v>
      </c>
      <c r="P1" s="16" t="s">
        <v>584</v>
      </c>
      <c r="Q1" s="16" t="s">
        <v>16</v>
      </c>
      <c r="R1" s="16" t="s">
        <v>572</v>
      </c>
    </row>
    <row r="2" spans="1:18" x14ac:dyDescent="0.2">
      <c r="A2" t="s">
        <v>244</v>
      </c>
      <c r="B2" s="2">
        <v>25</v>
      </c>
      <c r="C2" t="s">
        <v>35</v>
      </c>
      <c r="D2" s="2" t="s">
        <v>52</v>
      </c>
      <c r="E2" s="2">
        <v>23</v>
      </c>
      <c r="F2" s="2">
        <v>488</v>
      </c>
      <c r="G2" s="2" cm="1">
        <f t="array" ref="G2:G503">VLOOKUP(A2:A503,Advanced!A2:I503,9,FALSE)</f>
        <v>0.69699999999999995</v>
      </c>
      <c r="H2" s="2" cm="1">
        <f t="array" ref="H2:H503">VLOOKUP(A2:A503,'Per 100'!A2:AC503,29,FALSE)</f>
        <v>18.5</v>
      </c>
      <c r="I2" s="2" cm="1">
        <f t="array" ref="I2:I503">VLOOKUP(A2:A503,Advanced!A2:S503,19, FALSE)</f>
        <v>13.4</v>
      </c>
      <c r="J2" s="18" cm="1">
        <f t="array" ref="J2:J503">VLOOKUP(A2:A503,Totals!A2:AE503,31,FALSE)</f>
        <v>1.4666666666666666</v>
      </c>
      <c r="K2" s="2" cm="1">
        <f t="array" ref="K2:K503">VLOOKUP(A2:A503,Advanced!A2:Y503,25,FALSE)</f>
        <v>-0.8</v>
      </c>
      <c r="L2" s="2" cm="1">
        <f t="array" ref="L2:L503">VLOOKUP(A2:A503,Advanced!A2:U503,21,FALSE)</f>
        <v>0.3</v>
      </c>
      <c r="M2" s="2" cm="1">
        <f t="array" ref="M2:M503">VLOOKUP(B2:B503,Advanced!B2:N503,13,FALSE)</f>
        <v>5.7</v>
      </c>
      <c r="N2" s="2" cm="1">
        <f t="array" ref="N2:N503">VLOOKUP(A2:A503,Advanced!A2:H503,8,FALSE)</f>
        <v>11.1</v>
      </c>
      <c r="O2" s="2" cm="1">
        <f t="array" ref="O2:O503">VLOOKUP(A2:A503,Advanced!A2:AA503,27,FALSE)</f>
        <v>0.1</v>
      </c>
      <c r="P2" s="2" cm="1">
        <f t="array" ref="P2:P503">VLOOKUP(A2:A503,Advanced!A2:W503,23,FALSE)</f>
        <v>9.6000000000000002E-2</v>
      </c>
      <c r="Q2" s="2" cm="1">
        <f t="array" ref="Q2:Q503">VLOOKUP(A2:A503,'Adjusted Shooting'!A2:K503,11,FALSE)</f>
        <v>0.69199999999999995</v>
      </c>
      <c r="R2" s="2" cm="1">
        <f t="array" ref="R2:R503">VLOOKUP(A2:A503,Advanced!A2:K503,11,FALSE)</f>
        <v>4.5999999999999999E-2</v>
      </c>
    </row>
    <row r="3" spans="1:18" x14ac:dyDescent="0.2">
      <c r="A3" t="s">
        <v>273</v>
      </c>
      <c r="B3" s="2">
        <v>29</v>
      </c>
      <c r="C3" t="s">
        <v>46</v>
      </c>
      <c r="D3" s="2" t="s">
        <v>27</v>
      </c>
      <c r="E3" s="2">
        <v>11</v>
      </c>
      <c r="F3" s="2">
        <v>326</v>
      </c>
      <c r="G3" s="2">
        <v>0.65200000000000002</v>
      </c>
      <c r="H3" s="2">
        <v>22.9</v>
      </c>
      <c r="I3" s="2">
        <v>17.7</v>
      </c>
      <c r="J3" s="18">
        <v>2.2941176470588234</v>
      </c>
      <c r="K3">
        <v>-0.8</v>
      </c>
      <c r="L3" s="2">
        <v>0.2</v>
      </c>
      <c r="M3" s="2">
        <v>11</v>
      </c>
      <c r="N3" s="2">
        <v>17.100000000000001</v>
      </c>
      <c r="O3" s="2">
        <v>0.3</v>
      </c>
      <c r="P3" s="2">
        <v>0.14799999999999999</v>
      </c>
      <c r="Q3" s="2">
        <v>0.60799999999999998</v>
      </c>
      <c r="R3" s="2">
        <v>0.41199999999999998</v>
      </c>
    </row>
    <row r="4" spans="1:18" x14ac:dyDescent="0.2">
      <c r="A4" t="s">
        <v>384</v>
      </c>
      <c r="B4" s="2">
        <v>28</v>
      </c>
      <c r="C4" t="s">
        <v>87</v>
      </c>
      <c r="D4" s="2" t="s">
        <v>33</v>
      </c>
      <c r="E4" s="2">
        <v>15</v>
      </c>
      <c r="F4" s="2">
        <v>145</v>
      </c>
      <c r="G4" s="2">
        <v>0.65400000000000003</v>
      </c>
      <c r="H4" s="2">
        <v>21.3</v>
      </c>
      <c r="I4" s="2">
        <v>15.4</v>
      </c>
      <c r="J4" s="18">
        <v>4</v>
      </c>
      <c r="K4" s="2">
        <v>0.6</v>
      </c>
      <c r="L4" s="2">
        <v>0.2</v>
      </c>
      <c r="M4" s="2">
        <v>5.4</v>
      </c>
      <c r="N4" s="2">
        <v>14.8</v>
      </c>
      <c r="O4" s="2">
        <v>0.2</v>
      </c>
      <c r="P4" s="2">
        <v>0.192</v>
      </c>
      <c r="Q4" s="2">
        <v>0.63300000000000001</v>
      </c>
      <c r="R4" s="2">
        <v>0.2</v>
      </c>
    </row>
    <row r="5" spans="1:18" x14ac:dyDescent="0.2">
      <c r="A5" t="s">
        <v>398</v>
      </c>
      <c r="B5" s="2">
        <v>25</v>
      </c>
      <c r="C5" t="s">
        <v>82</v>
      </c>
      <c r="D5" s="2" t="s">
        <v>49</v>
      </c>
      <c r="E5" s="2">
        <v>6</v>
      </c>
      <c r="F5" s="2">
        <v>136</v>
      </c>
      <c r="G5" s="2">
        <v>0.65900000000000003</v>
      </c>
      <c r="H5" s="2">
        <v>19.399999999999999</v>
      </c>
      <c r="I5" s="2">
        <v>14.9</v>
      </c>
      <c r="J5" s="18">
        <v>1.2</v>
      </c>
      <c r="K5" s="2">
        <v>-0.4</v>
      </c>
      <c r="L5" s="2">
        <v>0.1</v>
      </c>
      <c r="M5" s="2">
        <v>5.7</v>
      </c>
      <c r="N5" s="2">
        <v>12</v>
      </c>
      <c r="O5" s="2">
        <v>0</v>
      </c>
      <c r="P5" s="2">
        <v>0.10100000000000001</v>
      </c>
      <c r="Q5" s="2">
        <v>0.61099999999999999</v>
      </c>
      <c r="R5" s="2">
        <v>0.36099999999999999</v>
      </c>
    </row>
    <row r="6" spans="1:18" x14ac:dyDescent="0.2">
      <c r="A6" t="s">
        <v>215</v>
      </c>
      <c r="B6" s="2">
        <v>26</v>
      </c>
      <c r="C6" t="s">
        <v>32</v>
      </c>
      <c r="D6" s="2" t="s">
        <v>52</v>
      </c>
      <c r="E6" s="2">
        <v>24</v>
      </c>
      <c r="F6" s="2">
        <v>489</v>
      </c>
      <c r="G6" s="2">
        <v>0.55400000000000005</v>
      </c>
      <c r="H6" s="2">
        <v>21.7</v>
      </c>
      <c r="I6" s="2">
        <v>19.100000000000001</v>
      </c>
      <c r="J6" s="18">
        <v>1.7619047619047619</v>
      </c>
      <c r="K6" s="2">
        <v>0.3</v>
      </c>
      <c r="L6" s="2">
        <v>0.9</v>
      </c>
      <c r="M6" s="2">
        <v>9.1</v>
      </c>
      <c r="N6" s="2">
        <v>14.3</v>
      </c>
      <c r="O6" s="2">
        <v>0.3</v>
      </c>
      <c r="P6" s="2">
        <v>0.125</v>
      </c>
      <c r="Q6" s="2">
        <v>0.54100000000000004</v>
      </c>
      <c r="R6" s="2">
        <v>7.8E-2</v>
      </c>
    </row>
    <row r="7" spans="1:18" x14ac:dyDescent="0.2">
      <c r="A7" t="s">
        <v>484</v>
      </c>
      <c r="B7" s="2">
        <v>25</v>
      </c>
      <c r="C7" t="s">
        <v>32</v>
      </c>
      <c r="D7" s="2" t="s">
        <v>52</v>
      </c>
      <c r="E7" s="2">
        <v>11</v>
      </c>
      <c r="F7" s="2">
        <v>40</v>
      </c>
      <c r="G7" s="2">
        <v>0.375</v>
      </c>
      <c r="H7" s="2">
        <v>18</v>
      </c>
      <c r="I7" s="2">
        <v>21.2</v>
      </c>
      <c r="J7" s="18" t="e">
        <v>#DIV/0!</v>
      </c>
      <c r="K7" s="2">
        <v>-2</v>
      </c>
      <c r="L7" s="2">
        <v>0.1</v>
      </c>
      <c r="M7" s="2">
        <v>5.7</v>
      </c>
      <c r="N7" s="2">
        <v>4.8</v>
      </c>
      <c r="O7" s="2">
        <v>-0.1</v>
      </c>
      <c r="P7" s="2">
        <v>-1.4999999999999999E-2</v>
      </c>
      <c r="Q7" s="2">
        <v>0.375</v>
      </c>
      <c r="R7" s="2">
        <v>0</v>
      </c>
    </row>
    <row r="8" spans="1:18" x14ac:dyDescent="0.2">
      <c r="A8" t="s">
        <v>511</v>
      </c>
      <c r="B8" s="2">
        <v>22</v>
      </c>
      <c r="C8" t="s">
        <v>70</v>
      </c>
      <c r="D8" s="2" t="s">
        <v>42</v>
      </c>
      <c r="E8" s="2">
        <v>3</v>
      </c>
      <c r="F8" s="2">
        <v>14</v>
      </c>
      <c r="G8" s="2">
        <v>0.6</v>
      </c>
      <c r="H8" s="2">
        <v>19.7</v>
      </c>
      <c r="I8" s="2">
        <v>17.899999999999999</v>
      </c>
      <c r="J8" s="18">
        <v>1</v>
      </c>
      <c r="K8" s="2">
        <v>-1.9</v>
      </c>
      <c r="L8" s="2">
        <v>0</v>
      </c>
      <c r="M8" s="2">
        <v>7.6</v>
      </c>
      <c r="N8" s="2">
        <v>12.2</v>
      </c>
      <c r="O8" s="2">
        <v>0</v>
      </c>
      <c r="P8" s="2">
        <v>3.7999999999999999E-2</v>
      </c>
      <c r="Q8" s="2">
        <v>0.6</v>
      </c>
      <c r="R8" s="2">
        <v>0</v>
      </c>
    </row>
    <row r="9" spans="1:18" x14ac:dyDescent="0.2">
      <c r="A9" t="s">
        <v>461</v>
      </c>
      <c r="B9" s="2">
        <v>21</v>
      </c>
      <c r="C9" t="s">
        <v>122</v>
      </c>
      <c r="D9" s="2" t="s">
        <v>42</v>
      </c>
      <c r="E9" s="2">
        <v>14</v>
      </c>
      <c r="F9" s="2">
        <v>90</v>
      </c>
      <c r="G9" s="2">
        <v>0.67100000000000004</v>
      </c>
      <c r="H9" s="2">
        <v>11.6</v>
      </c>
      <c r="I9" s="2">
        <v>10.6</v>
      </c>
      <c r="J9" s="18">
        <v>0</v>
      </c>
      <c r="K9" s="2">
        <v>-0.6</v>
      </c>
      <c r="L9" s="2">
        <v>0.1</v>
      </c>
      <c r="M9" s="2">
        <v>15.4</v>
      </c>
      <c r="N9" s="2">
        <v>9</v>
      </c>
      <c r="O9" s="2">
        <v>-0.1</v>
      </c>
      <c r="P9" s="2">
        <v>6.6000000000000003E-2</v>
      </c>
      <c r="Q9" s="2">
        <v>0.61499999999999999</v>
      </c>
      <c r="R9" s="2">
        <v>0.46200000000000002</v>
      </c>
    </row>
    <row r="10" spans="1:18" x14ac:dyDescent="0.2">
      <c r="A10" t="s">
        <v>507</v>
      </c>
      <c r="B10" s="2">
        <v>20</v>
      </c>
      <c r="C10" t="s">
        <v>35</v>
      </c>
      <c r="D10" s="2" t="s">
        <v>52</v>
      </c>
      <c r="E10" s="2">
        <v>5</v>
      </c>
      <c r="F10" s="2">
        <v>11</v>
      </c>
      <c r="G10" s="2">
        <v>0.58299999999999996</v>
      </c>
      <c r="H10" s="2">
        <v>31.1</v>
      </c>
      <c r="I10" s="2">
        <v>32.200000000000003</v>
      </c>
      <c r="J10" s="18">
        <v>0.5</v>
      </c>
      <c r="K10" s="2">
        <v>-5.0999999999999996</v>
      </c>
      <c r="L10" s="2">
        <v>0</v>
      </c>
      <c r="M10" s="2">
        <v>10</v>
      </c>
      <c r="N10" s="2">
        <v>10.1</v>
      </c>
      <c r="O10" s="2">
        <v>0</v>
      </c>
      <c r="P10" s="2">
        <v>-0.13400000000000001</v>
      </c>
      <c r="Q10" s="2">
        <v>0.58299999999999996</v>
      </c>
      <c r="R10" s="2">
        <v>0</v>
      </c>
    </row>
    <row r="11" spans="1:18" x14ac:dyDescent="0.2">
      <c r="A11" t="s">
        <v>301</v>
      </c>
      <c r="B11" s="2">
        <v>22</v>
      </c>
      <c r="C11" t="s">
        <v>32</v>
      </c>
      <c r="D11" s="2" t="s">
        <v>52</v>
      </c>
      <c r="E11" s="2">
        <v>24</v>
      </c>
      <c r="F11" s="2">
        <v>383</v>
      </c>
      <c r="G11" s="2">
        <v>0.55500000000000005</v>
      </c>
      <c r="H11" s="2">
        <v>16.899999999999999</v>
      </c>
      <c r="I11" s="2">
        <v>15.6</v>
      </c>
      <c r="J11" s="18">
        <v>2.1578947368421053</v>
      </c>
      <c r="K11" s="2">
        <v>1.2</v>
      </c>
      <c r="L11" s="2">
        <v>0.7</v>
      </c>
      <c r="M11" s="2">
        <v>7.6</v>
      </c>
      <c r="N11" s="2">
        <v>11</v>
      </c>
      <c r="O11" s="2">
        <v>0</v>
      </c>
      <c r="P11" s="2">
        <v>0.108</v>
      </c>
      <c r="Q11" s="2">
        <v>0.53500000000000003</v>
      </c>
      <c r="R11" s="2">
        <v>0.13</v>
      </c>
    </row>
    <row r="12" spans="1:18" x14ac:dyDescent="0.2">
      <c r="A12" t="s">
        <v>255</v>
      </c>
      <c r="B12" s="2">
        <v>38</v>
      </c>
      <c r="C12" t="s">
        <v>39</v>
      </c>
      <c r="D12" s="2" t="s">
        <v>42</v>
      </c>
      <c r="E12" s="2">
        <v>19</v>
      </c>
      <c r="F12" s="2">
        <v>532</v>
      </c>
      <c r="G12" s="2">
        <v>0.627</v>
      </c>
      <c r="H12" s="2">
        <v>16.100000000000001</v>
      </c>
      <c r="I12" s="2">
        <v>12.9</v>
      </c>
      <c r="J12" s="18">
        <v>2.3157894736842106</v>
      </c>
      <c r="K12" s="2">
        <v>1.4</v>
      </c>
      <c r="L12" s="2">
        <v>0.7</v>
      </c>
      <c r="M12" s="2">
        <v>10.5</v>
      </c>
      <c r="N12" s="2">
        <v>13</v>
      </c>
      <c r="O12" s="2">
        <v>0.5</v>
      </c>
      <c r="P12" s="2">
        <v>0.13100000000000001</v>
      </c>
      <c r="Q12" s="2">
        <v>0.61699999999999999</v>
      </c>
      <c r="R12" s="2">
        <v>4.3999999999999997E-2</v>
      </c>
    </row>
    <row r="13" spans="1:18" x14ac:dyDescent="0.2">
      <c r="A13" t="s">
        <v>388</v>
      </c>
      <c r="B13" s="2">
        <v>33</v>
      </c>
      <c r="C13" t="s">
        <v>61</v>
      </c>
      <c r="D13" s="2" t="s">
        <v>52</v>
      </c>
      <c r="E13" s="2">
        <v>12</v>
      </c>
      <c r="F13" s="2">
        <v>181</v>
      </c>
      <c r="G13" s="2">
        <v>0.63600000000000001</v>
      </c>
      <c r="H13" s="2">
        <v>17.3</v>
      </c>
      <c r="I13" s="2">
        <v>12.4</v>
      </c>
      <c r="J13" s="18">
        <v>8</v>
      </c>
      <c r="K13" s="2">
        <v>1.6</v>
      </c>
      <c r="L13" s="2">
        <v>0.2</v>
      </c>
      <c r="M13" s="2">
        <v>6.9</v>
      </c>
      <c r="N13" s="2">
        <v>14.4</v>
      </c>
      <c r="O13" s="2">
        <v>0.2</v>
      </c>
      <c r="P13" s="2">
        <v>0.154</v>
      </c>
      <c r="Q13" s="2">
        <v>0.62</v>
      </c>
      <c r="R13" s="2">
        <v>0.17399999999999999</v>
      </c>
    </row>
    <row r="14" spans="1:18" x14ac:dyDescent="0.2">
      <c r="A14" t="s">
        <v>349</v>
      </c>
      <c r="B14" s="2">
        <v>30</v>
      </c>
      <c r="C14" t="s">
        <v>32</v>
      </c>
      <c r="D14" s="2" t="s">
        <v>52</v>
      </c>
      <c r="E14" s="2">
        <v>16</v>
      </c>
      <c r="F14" s="2">
        <v>320</v>
      </c>
      <c r="G14" s="2">
        <v>0.47899999999999998</v>
      </c>
      <c r="H14" s="2">
        <v>14</v>
      </c>
      <c r="I14" s="2">
        <v>14.6</v>
      </c>
      <c r="J14" s="18">
        <v>2.8461538461538463</v>
      </c>
      <c r="K14" s="2">
        <v>4.2</v>
      </c>
      <c r="L14" s="2">
        <v>0.8</v>
      </c>
      <c r="M14" s="2">
        <v>7.9</v>
      </c>
      <c r="N14" s="2">
        <v>12.4</v>
      </c>
      <c r="O14" s="2">
        <v>0.3</v>
      </c>
      <c r="P14" s="2">
        <v>0.122</v>
      </c>
      <c r="Q14" s="2">
        <v>0.46800000000000003</v>
      </c>
      <c r="R14" s="2">
        <v>7.3999999999999996E-2</v>
      </c>
    </row>
    <row r="15" spans="1:18" x14ac:dyDescent="0.2">
      <c r="A15" t="s">
        <v>556</v>
      </c>
      <c r="B15" s="2">
        <v>24</v>
      </c>
      <c r="C15" t="s">
        <v>32</v>
      </c>
      <c r="D15" s="2" t="s">
        <v>52</v>
      </c>
      <c r="E15" s="2">
        <v>4</v>
      </c>
      <c r="F15" s="2">
        <v>7</v>
      </c>
      <c r="G15" s="2">
        <v>0</v>
      </c>
      <c r="H15" s="2">
        <v>0</v>
      </c>
      <c r="I15" s="2">
        <v>18.2</v>
      </c>
      <c r="J15" s="18" t="e">
        <v>#DIV/0!</v>
      </c>
      <c r="K15" s="2">
        <v>-6.4</v>
      </c>
      <c r="L15" s="2">
        <v>0</v>
      </c>
      <c r="M15" s="2">
        <v>0</v>
      </c>
      <c r="N15" s="2">
        <v>-15.8</v>
      </c>
      <c r="O15" s="2">
        <v>0</v>
      </c>
      <c r="P15" s="2">
        <v>-0.41099999999999998</v>
      </c>
      <c r="Q15" s="2">
        <v>0</v>
      </c>
      <c r="R15" s="2">
        <v>0</v>
      </c>
    </row>
    <row r="16" spans="1:18" x14ac:dyDescent="0.2">
      <c r="A16" t="s">
        <v>450</v>
      </c>
      <c r="B16" s="2">
        <v>31</v>
      </c>
      <c r="C16" t="s">
        <v>37</v>
      </c>
      <c r="D16" s="2" t="s">
        <v>42</v>
      </c>
      <c r="E16" s="2">
        <v>19</v>
      </c>
      <c r="F16" s="2">
        <v>135</v>
      </c>
      <c r="G16" s="2">
        <v>0.54700000000000004</v>
      </c>
      <c r="H16" s="2">
        <v>9.4</v>
      </c>
      <c r="I16" s="2">
        <v>9.5</v>
      </c>
      <c r="J16" s="18">
        <v>2.6666666666666665</v>
      </c>
      <c r="K16" s="2">
        <v>2.6</v>
      </c>
      <c r="L16" s="2">
        <v>0.2</v>
      </c>
      <c r="M16" s="2">
        <v>14.4</v>
      </c>
      <c r="N16" s="2">
        <v>12.6</v>
      </c>
      <c r="O16" s="2">
        <v>0.1</v>
      </c>
      <c r="P16" s="2">
        <v>0.113</v>
      </c>
      <c r="Q16" s="2">
        <v>0.54500000000000004</v>
      </c>
      <c r="R16" s="2">
        <v>0.182</v>
      </c>
    </row>
    <row r="17" spans="1:18" x14ac:dyDescent="0.2">
      <c r="A17" t="s">
        <v>550</v>
      </c>
      <c r="B17" s="2">
        <v>25</v>
      </c>
      <c r="C17" t="s">
        <v>32</v>
      </c>
      <c r="D17" s="2" t="s">
        <v>27</v>
      </c>
      <c r="E17" s="2">
        <v>1</v>
      </c>
      <c r="F17" s="2">
        <v>2</v>
      </c>
      <c r="G17" s="2">
        <v>1</v>
      </c>
      <c r="H17" s="2">
        <v>48.1</v>
      </c>
      <c r="I17" s="2">
        <v>21.2</v>
      </c>
      <c r="J17" s="18" t="e">
        <v>#DIV/0!</v>
      </c>
      <c r="K17" s="2">
        <v>-4</v>
      </c>
      <c r="L17" s="2">
        <v>0</v>
      </c>
      <c r="M17" s="2">
        <v>5.7</v>
      </c>
      <c r="N17" s="2">
        <v>54.8</v>
      </c>
      <c r="O17" s="2">
        <v>0</v>
      </c>
      <c r="P17" s="2">
        <v>0.59699999999999998</v>
      </c>
      <c r="Q17" s="2">
        <v>1</v>
      </c>
      <c r="R17" s="2">
        <v>0</v>
      </c>
    </row>
    <row r="18" spans="1:18" x14ac:dyDescent="0.2">
      <c r="A18" t="s">
        <v>222</v>
      </c>
      <c r="B18" s="2">
        <v>19</v>
      </c>
      <c r="C18" t="s">
        <v>114</v>
      </c>
      <c r="D18" s="2" t="s">
        <v>42</v>
      </c>
      <c r="E18" s="2">
        <v>20</v>
      </c>
      <c r="F18" s="2">
        <v>536</v>
      </c>
      <c r="G18" s="2">
        <v>0.46200000000000002</v>
      </c>
      <c r="H18" s="2">
        <v>18.399999999999999</v>
      </c>
      <c r="I18" s="2">
        <v>19.8</v>
      </c>
      <c r="J18" s="18">
        <v>1.4285714285714286</v>
      </c>
      <c r="K18" s="2">
        <v>-0.9</v>
      </c>
      <c r="L18" s="2">
        <v>0.3</v>
      </c>
      <c r="M18" s="2">
        <v>12.4</v>
      </c>
      <c r="N18" s="2">
        <v>11.9</v>
      </c>
      <c r="O18" s="2">
        <v>-0.3</v>
      </c>
      <c r="P18" s="2">
        <v>-1.4E-2</v>
      </c>
      <c r="Q18" s="2">
        <v>0.435</v>
      </c>
      <c r="R18" s="2">
        <v>0.21099999999999999</v>
      </c>
    </row>
    <row r="19" spans="1:18" x14ac:dyDescent="0.2">
      <c r="A19" t="s">
        <v>522</v>
      </c>
      <c r="B19" s="2">
        <v>25</v>
      </c>
      <c r="C19" t="s">
        <v>75</v>
      </c>
      <c r="D19" s="2" t="s">
        <v>52</v>
      </c>
      <c r="E19" s="2">
        <v>1</v>
      </c>
      <c r="F19" s="2">
        <v>4</v>
      </c>
      <c r="G19" s="2">
        <v>1.25</v>
      </c>
      <c r="H19" s="2">
        <v>61.1</v>
      </c>
      <c r="I19" s="2">
        <v>21.4</v>
      </c>
      <c r="J19" s="18" t="e">
        <v>#DIV/0!</v>
      </c>
      <c r="K19" s="2">
        <v>6</v>
      </c>
      <c r="L19" s="2">
        <v>0</v>
      </c>
      <c r="M19" s="2">
        <v>5.7</v>
      </c>
      <c r="N19" s="2">
        <v>55.5</v>
      </c>
      <c r="O19" s="2">
        <v>0</v>
      </c>
      <c r="P19" s="2">
        <v>0.55500000000000005</v>
      </c>
      <c r="Q19" s="2">
        <v>1.25</v>
      </c>
      <c r="R19" s="2">
        <v>0</v>
      </c>
    </row>
    <row r="20" spans="1:18" x14ac:dyDescent="0.2">
      <c r="A20" t="s">
        <v>90</v>
      </c>
      <c r="B20" s="2">
        <v>22</v>
      </c>
      <c r="C20" t="s">
        <v>87</v>
      </c>
      <c r="D20" s="2" t="s">
        <v>42</v>
      </c>
      <c r="E20" s="2">
        <v>25</v>
      </c>
      <c r="F20" s="2">
        <v>776</v>
      </c>
      <c r="G20" s="2">
        <v>0.53800000000000003</v>
      </c>
      <c r="H20" s="2">
        <v>29.4</v>
      </c>
      <c r="I20" s="2">
        <v>26.3</v>
      </c>
      <c r="J20" s="18">
        <v>2.375</v>
      </c>
      <c r="K20" s="2">
        <v>3</v>
      </c>
      <c r="L20" s="4">
        <v>1.8</v>
      </c>
      <c r="M20" s="4">
        <v>7.6</v>
      </c>
      <c r="N20" s="2">
        <v>23.1</v>
      </c>
      <c r="O20" s="2">
        <v>1.8</v>
      </c>
      <c r="P20" s="2">
        <v>0.21099999999999999</v>
      </c>
      <c r="Q20" s="2">
        <v>0.48799999999999999</v>
      </c>
      <c r="R20" s="2">
        <v>0.33200000000000002</v>
      </c>
    </row>
    <row r="21" spans="1:18" x14ac:dyDescent="0.2">
      <c r="A21" t="s">
        <v>158</v>
      </c>
      <c r="B21" s="2">
        <v>22</v>
      </c>
      <c r="C21" t="s">
        <v>87</v>
      </c>
      <c r="D21" s="2" t="s">
        <v>49</v>
      </c>
      <c r="E21" s="2">
        <v>25</v>
      </c>
      <c r="F21" s="2">
        <v>675</v>
      </c>
      <c r="G21" s="2">
        <v>0.61199999999999999</v>
      </c>
      <c r="H21" s="2">
        <v>21.2</v>
      </c>
      <c r="I21" s="2">
        <v>17.399999999999999</v>
      </c>
      <c r="J21" s="18">
        <v>1.1860465116279071</v>
      </c>
      <c r="K21" s="2">
        <v>2.5</v>
      </c>
      <c r="L21" s="2">
        <v>1.5</v>
      </c>
      <c r="M21" s="2">
        <v>7.6</v>
      </c>
      <c r="N21" s="2">
        <v>17.3</v>
      </c>
      <c r="O21" s="2">
        <v>0.8</v>
      </c>
      <c r="P21" s="2">
        <v>0.17799999999999999</v>
      </c>
      <c r="Q21" s="2">
        <v>0.57499999999999996</v>
      </c>
      <c r="R21" s="2">
        <v>0.46300000000000002</v>
      </c>
    </row>
    <row r="22" spans="1:18" x14ac:dyDescent="0.2">
      <c r="A22" t="s">
        <v>195</v>
      </c>
      <c r="B22" s="2">
        <v>27</v>
      </c>
      <c r="C22" t="s">
        <v>77</v>
      </c>
      <c r="D22" s="2" t="s">
        <v>52</v>
      </c>
      <c r="E22" s="2">
        <v>24</v>
      </c>
      <c r="F22" s="2">
        <v>576</v>
      </c>
      <c r="G22" s="2">
        <v>0.63100000000000001</v>
      </c>
      <c r="H22" s="2">
        <v>21</v>
      </c>
      <c r="I22" s="2">
        <v>15.8</v>
      </c>
      <c r="J22" s="18">
        <v>1.8235294117647058</v>
      </c>
      <c r="K22" s="2">
        <v>-0.3</v>
      </c>
      <c r="L22" s="2">
        <v>0.5</v>
      </c>
      <c r="M22" s="2">
        <v>6</v>
      </c>
      <c r="N22" s="2">
        <v>13</v>
      </c>
      <c r="O22" s="2">
        <v>0.3</v>
      </c>
      <c r="P22" s="2">
        <v>0.128</v>
      </c>
      <c r="Q22" s="2">
        <v>0.59899999999999998</v>
      </c>
      <c r="R22" s="2">
        <v>0.22</v>
      </c>
    </row>
    <row r="23" spans="1:18" x14ac:dyDescent="0.2">
      <c r="A23" t="s">
        <v>284</v>
      </c>
      <c r="B23" s="2">
        <v>31</v>
      </c>
      <c r="C23" t="s">
        <v>122</v>
      </c>
      <c r="D23" s="2" t="s">
        <v>42</v>
      </c>
      <c r="E23" s="2">
        <v>19</v>
      </c>
      <c r="F23" s="2">
        <v>380</v>
      </c>
      <c r="G23" s="2">
        <v>0.54200000000000004</v>
      </c>
      <c r="H23" s="2">
        <v>19.399999999999999</v>
      </c>
      <c r="I23" s="2">
        <v>19.600000000000001</v>
      </c>
      <c r="J23" s="18">
        <v>0.30303030303030304</v>
      </c>
      <c r="K23" s="2">
        <v>0</v>
      </c>
      <c r="L23" s="2">
        <v>0.8</v>
      </c>
      <c r="M23" s="2">
        <v>14.4</v>
      </c>
      <c r="N23" s="2">
        <v>16.2</v>
      </c>
      <c r="O23" s="2">
        <v>-0.1</v>
      </c>
      <c r="P23" s="2">
        <v>8.6999999999999994E-2</v>
      </c>
      <c r="Q23" s="2">
        <v>0.52200000000000002</v>
      </c>
      <c r="R23" s="2">
        <v>0.44700000000000001</v>
      </c>
    </row>
    <row r="24" spans="1:18" x14ac:dyDescent="0.2">
      <c r="A24" t="s">
        <v>361</v>
      </c>
      <c r="B24" s="2">
        <v>23</v>
      </c>
      <c r="C24" t="s">
        <v>35</v>
      </c>
      <c r="D24" s="2" t="s">
        <v>52</v>
      </c>
      <c r="E24" s="2">
        <v>23</v>
      </c>
      <c r="F24" s="2">
        <v>407</v>
      </c>
      <c r="G24" s="2">
        <v>0.503</v>
      </c>
      <c r="H24" s="2">
        <v>10</v>
      </c>
      <c r="I24" s="2">
        <v>12.3</v>
      </c>
      <c r="J24" s="18">
        <v>0.967741935483871</v>
      </c>
      <c r="K24" s="2">
        <v>0.3</v>
      </c>
      <c r="L24" s="2">
        <v>0.4</v>
      </c>
      <c r="M24" s="2">
        <v>9.1</v>
      </c>
      <c r="N24" s="2">
        <v>5.4</v>
      </c>
      <c r="O24" s="2">
        <v>-0.4</v>
      </c>
      <c r="P24" s="2">
        <v>-4.0000000000000001E-3</v>
      </c>
      <c r="Q24" s="2">
        <v>0.5</v>
      </c>
      <c r="R24" s="2">
        <v>0.10100000000000001</v>
      </c>
    </row>
    <row r="25" spans="1:18" x14ac:dyDescent="0.2">
      <c r="A25" t="s">
        <v>356</v>
      </c>
      <c r="B25" s="2">
        <v>25</v>
      </c>
      <c r="C25" t="s">
        <v>82</v>
      </c>
      <c r="D25" s="2" t="s">
        <v>52</v>
      </c>
      <c r="E25" s="2">
        <v>11</v>
      </c>
      <c r="F25" s="2">
        <v>272</v>
      </c>
      <c r="G25" s="2">
        <v>0.52300000000000002</v>
      </c>
      <c r="H25" s="2">
        <v>15.7</v>
      </c>
      <c r="I25" s="2">
        <v>16.3</v>
      </c>
      <c r="J25" s="18">
        <v>2.8235294117647061</v>
      </c>
      <c r="K25" s="2">
        <v>-0.9</v>
      </c>
      <c r="L25" s="2">
        <v>0.1</v>
      </c>
      <c r="M25" s="2">
        <v>5.7</v>
      </c>
      <c r="N25" s="2">
        <v>10.6</v>
      </c>
      <c r="O25" s="2">
        <v>-0.1</v>
      </c>
      <c r="P25" s="2">
        <v>3.2000000000000001E-2</v>
      </c>
      <c r="Q25" s="2">
        <v>0.48099999999999998</v>
      </c>
      <c r="R25" s="2">
        <v>0.20499999999999999</v>
      </c>
    </row>
    <row r="26" spans="1:18" x14ac:dyDescent="0.2">
      <c r="A26" t="s">
        <v>137</v>
      </c>
      <c r="B26" s="2">
        <v>29</v>
      </c>
      <c r="C26" t="s">
        <v>100</v>
      </c>
      <c r="D26" s="2" t="s">
        <v>49</v>
      </c>
      <c r="E26" s="2">
        <v>20</v>
      </c>
      <c r="F26" s="2">
        <v>572</v>
      </c>
      <c r="G26" s="2">
        <v>0.59099999999999997</v>
      </c>
      <c r="H26" s="2">
        <v>28.8</v>
      </c>
      <c r="I26" s="2">
        <v>22.8</v>
      </c>
      <c r="J26" s="18">
        <v>2</v>
      </c>
      <c r="K26" s="2">
        <v>0.4</v>
      </c>
      <c r="L26" s="2">
        <v>0.8</v>
      </c>
      <c r="M26" s="2">
        <v>11</v>
      </c>
      <c r="N26" s="2">
        <v>18</v>
      </c>
      <c r="O26" s="2">
        <v>0.8</v>
      </c>
      <c r="P26" s="2">
        <v>0.16800000000000001</v>
      </c>
      <c r="Q26" s="2">
        <v>0.54800000000000004</v>
      </c>
      <c r="R26" s="2">
        <v>0.34499999999999997</v>
      </c>
    </row>
    <row r="27" spans="1:18" x14ac:dyDescent="0.2">
      <c r="A27" t="s">
        <v>134</v>
      </c>
      <c r="B27" s="2">
        <v>25</v>
      </c>
      <c r="C27" t="s">
        <v>135</v>
      </c>
      <c r="D27" s="2" t="s">
        <v>52</v>
      </c>
      <c r="E27" s="2">
        <v>21</v>
      </c>
      <c r="F27" s="2">
        <v>636</v>
      </c>
      <c r="G27" s="2">
        <v>0.52500000000000002</v>
      </c>
      <c r="H27" s="2">
        <v>26.2</v>
      </c>
      <c r="I27" s="2">
        <v>24.8</v>
      </c>
      <c r="J27" s="18">
        <v>1.8235294117647058</v>
      </c>
      <c r="K27" s="2">
        <v>-2.4</v>
      </c>
      <c r="L27" s="2">
        <v>0.1</v>
      </c>
      <c r="M27" s="2">
        <v>5.7</v>
      </c>
      <c r="N27" s="2">
        <v>12.3</v>
      </c>
      <c r="O27" s="2">
        <v>-0.1</v>
      </c>
      <c r="P27" s="2">
        <v>1.7999999999999999E-2</v>
      </c>
      <c r="Q27" s="2">
        <v>0.48399999999999999</v>
      </c>
      <c r="R27" s="2">
        <v>0.191</v>
      </c>
    </row>
    <row r="28" spans="1:18" x14ac:dyDescent="0.2">
      <c r="A28" t="s">
        <v>212</v>
      </c>
      <c r="B28" s="2">
        <v>21</v>
      </c>
      <c r="C28" t="s">
        <v>48</v>
      </c>
      <c r="D28" s="2" t="s">
        <v>33</v>
      </c>
      <c r="E28" s="4">
        <v>27</v>
      </c>
      <c r="F28" s="2">
        <v>655</v>
      </c>
      <c r="G28" s="2">
        <v>0.50900000000000001</v>
      </c>
      <c r="H28" s="2">
        <v>16.899999999999999</v>
      </c>
      <c r="I28" s="2">
        <v>18.7</v>
      </c>
      <c r="J28" s="18">
        <v>1.6349206349206349</v>
      </c>
      <c r="K28" s="2">
        <v>1.2</v>
      </c>
      <c r="L28" s="2">
        <v>1.1000000000000001</v>
      </c>
      <c r="M28" s="2">
        <v>15.4</v>
      </c>
      <c r="N28" s="2">
        <v>10.1</v>
      </c>
      <c r="O28" s="2">
        <v>-0.1</v>
      </c>
      <c r="P28" s="2">
        <v>4.3999999999999997E-2</v>
      </c>
      <c r="Q28" s="2">
        <v>0.46300000000000002</v>
      </c>
      <c r="R28" s="2">
        <v>0.35799999999999998</v>
      </c>
    </row>
    <row r="29" spans="1:18" x14ac:dyDescent="0.2">
      <c r="A29" t="s">
        <v>40</v>
      </c>
      <c r="B29" s="2">
        <v>31</v>
      </c>
      <c r="C29" t="s">
        <v>41</v>
      </c>
      <c r="D29" s="2" t="s">
        <v>42</v>
      </c>
      <c r="E29" s="2">
        <v>23</v>
      </c>
      <c r="F29" s="2">
        <v>813</v>
      </c>
      <c r="G29" s="2">
        <v>0.61</v>
      </c>
      <c r="H29" s="2">
        <v>38.1</v>
      </c>
      <c r="I29" s="2">
        <v>30.5</v>
      </c>
      <c r="J29" s="18">
        <v>1.7391304347826086</v>
      </c>
      <c r="K29" s="2">
        <v>0.5</v>
      </c>
      <c r="L29" s="2">
        <v>1</v>
      </c>
      <c r="M29" s="2">
        <v>14.4</v>
      </c>
      <c r="N29" s="2">
        <v>27.8</v>
      </c>
      <c r="O29" s="2">
        <v>1.6</v>
      </c>
      <c r="P29" s="2">
        <v>0.20599999999999999</v>
      </c>
      <c r="Q29" s="2">
        <v>0.54800000000000004</v>
      </c>
      <c r="R29" s="2">
        <v>0.47299999999999998</v>
      </c>
    </row>
    <row r="30" spans="1:18" x14ac:dyDescent="0.2">
      <c r="A30" t="s">
        <v>50</v>
      </c>
      <c r="B30" s="2">
        <v>23</v>
      </c>
      <c r="C30" t="s">
        <v>51</v>
      </c>
      <c r="D30" s="2" t="s">
        <v>52</v>
      </c>
      <c r="E30" s="2">
        <v>23</v>
      </c>
      <c r="F30" s="2">
        <v>836</v>
      </c>
      <c r="G30" s="2">
        <v>0.59499999999999997</v>
      </c>
      <c r="H30" s="2">
        <v>35.700000000000003</v>
      </c>
      <c r="I30" s="2">
        <v>30.6</v>
      </c>
      <c r="J30" s="18">
        <v>1.2916666666666667</v>
      </c>
      <c r="K30" s="2">
        <v>0.2</v>
      </c>
      <c r="L30" s="2">
        <v>1.3</v>
      </c>
      <c r="M30" s="2">
        <v>9.1</v>
      </c>
      <c r="N30" s="2">
        <v>19.2</v>
      </c>
      <c r="O30" s="2">
        <v>1.2</v>
      </c>
      <c r="P30" s="2">
        <v>0.126</v>
      </c>
      <c r="Q30" s="2">
        <v>0.56299999999999994</v>
      </c>
      <c r="R30" s="2">
        <v>0.217</v>
      </c>
    </row>
    <row r="31" spans="1:18" x14ac:dyDescent="0.2">
      <c r="A31" t="s">
        <v>414</v>
      </c>
      <c r="B31" s="2">
        <v>32</v>
      </c>
      <c r="C31" t="s">
        <v>114</v>
      </c>
      <c r="D31" s="2" t="s">
        <v>27</v>
      </c>
      <c r="E31" s="2">
        <v>17</v>
      </c>
      <c r="F31" s="2">
        <v>131</v>
      </c>
      <c r="G31" s="2">
        <v>0.61199999999999999</v>
      </c>
      <c r="H31" s="2">
        <v>15.7</v>
      </c>
      <c r="I31" s="2">
        <v>12.6</v>
      </c>
      <c r="J31" s="18">
        <v>1.5</v>
      </c>
      <c r="K31" s="2">
        <v>-0.8</v>
      </c>
      <c r="L31" s="2">
        <v>0</v>
      </c>
      <c r="M31" s="2">
        <v>8.9</v>
      </c>
      <c r="N31" s="2">
        <v>11.5</v>
      </c>
      <c r="O31" s="2">
        <v>0</v>
      </c>
      <c r="P31" s="2">
        <v>5.5E-2</v>
      </c>
      <c r="Q31" s="2">
        <v>0.60699999999999998</v>
      </c>
      <c r="R31" s="2">
        <v>0.64300000000000002</v>
      </c>
    </row>
    <row r="32" spans="1:18" x14ac:dyDescent="0.2">
      <c r="A32" t="s">
        <v>386</v>
      </c>
      <c r="B32" s="2">
        <v>24</v>
      </c>
      <c r="C32" t="s">
        <v>117</v>
      </c>
      <c r="D32" s="2" t="s">
        <v>52</v>
      </c>
      <c r="E32" s="2">
        <v>14</v>
      </c>
      <c r="F32" s="2">
        <v>138</v>
      </c>
      <c r="G32" s="2">
        <v>0.48399999999999999</v>
      </c>
      <c r="H32" s="2">
        <v>22.7</v>
      </c>
      <c r="I32" s="2">
        <v>21.5</v>
      </c>
      <c r="J32" s="18">
        <v>1.75</v>
      </c>
      <c r="K32" s="2">
        <v>-2.5</v>
      </c>
      <c r="L32" s="2">
        <v>0</v>
      </c>
      <c r="M32" s="2">
        <v>0</v>
      </c>
      <c r="N32" s="2">
        <v>10.8</v>
      </c>
      <c r="O32" s="2">
        <v>-0.1</v>
      </c>
      <c r="P32" s="2">
        <v>-6.0000000000000001E-3</v>
      </c>
      <c r="Q32" s="2">
        <v>0.46</v>
      </c>
      <c r="R32" s="2">
        <v>0.111</v>
      </c>
    </row>
    <row r="33" spans="1:18" x14ac:dyDescent="0.2">
      <c r="A33" t="s">
        <v>463</v>
      </c>
      <c r="B33" s="2">
        <v>22</v>
      </c>
      <c r="C33" t="s">
        <v>44</v>
      </c>
      <c r="D33" s="2" t="s">
        <v>42</v>
      </c>
      <c r="E33" s="2">
        <v>11</v>
      </c>
      <c r="F33" s="2">
        <v>97</v>
      </c>
      <c r="G33" s="2">
        <v>0.63100000000000001</v>
      </c>
      <c r="H33" s="2">
        <v>10.7</v>
      </c>
      <c r="I33" s="2">
        <v>11.7</v>
      </c>
      <c r="J33" s="18">
        <v>0.66666666666666663</v>
      </c>
      <c r="K33" s="2">
        <v>1.3</v>
      </c>
      <c r="L33" s="2">
        <v>0.1</v>
      </c>
      <c r="M33" s="2">
        <v>7.6</v>
      </c>
      <c r="N33" s="2">
        <v>7</v>
      </c>
      <c r="O33" s="2">
        <v>-0.1</v>
      </c>
      <c r="P33" s="2">
        <v>8.9999999999999993E-3</v>
      </c>
      <c r="Q33" s="2">
        <v>0.64300000000000002</v>
      </c>
      <c r="R33" s="2">
        <v>0.42899999999999999</v>
      </c>
    </row>
    <row r="34" spans="1:18" x14ac:dyDescent="0.2">
      <c r="A34" t="s">
        <v>494</v>
      </c>
      <c r="B34" s="2">
        <v>22</v>
      </c>
      <c r="C34" t="s">
        <v>41</v>
      </c>
      <c r="D34" s="2" t="s">
        <v>49</v>
      </c>
      <c r="E34" s="2">
        <v>8</v>
      </c>
      <c r="F34" s="2">
        <v>61</v>
      </c>
      <c r="G34" s="2">
        <v>0.28499999999999998</v>
      </c>
      <c r="H34" s="2">
        <v>9.6</v>
      </c>
      <c r="I34" s="2">
        <v>16.600000000000001</v>
      </c>
      <c r="J34" s="18">
        <v>0.5</v>
      </c>
      <c r="K34" s="2">
        <v>-1</v>
      </c>
      <c r="L34" s="2">
        <v>0.1</v>
      </c>
      <c r="M34" s="2">
        <v>7.6</v>
      </c>
      <c r="N34" s="2">
        <v>2.8</v>
      </c>
      <c r="O34" s="2">
        <v>-0.1</v>
      </c>
      <c r="P34" s="2">
        <v>-0.128</v>
      </c>
      <c r="Q34" s="2">
        <v>0.27800000000000002</v>
      </c>
      <c r="R34" s="2">
        <v>0.38900000000000001</v>
      </c>
    </row>
    <row r="35" spans="1:18" x14ac:dyDescent="0.2">
      <c r="A35" t="s">
        <v>430</v>
      </c>
      <c r="B35" s="2">
        <v>22</v>
      </c>
      <c r="C35" t="s">
        <v>75</v>
      </c>
      <c r="D35" s="2" t="s">
        <v>49</v>
      </c>
      <c r="E35" s="2">
        <v>6</v>
      </c>
      <c r="F35" s="2">
        <v>90</v>
      </c>
      <c r="G35" s="2">
        <v>0.44600000000000001</v>
      </c>
      <c r="H35" s="2">
        <v>18.5</v>
      </c>
      <c r="I35" s="2">
        <v>22.4</v>
      </c>
      <c r="J35" s="18">
        <v>1.5555555555555556</v>
      </c>
      <c r="K35" s="2">
        <v>-1.1000000000000001</v>
      </c>
      <c r="L35" s="2">
        <v>0.1</v>
      </c>
      <c r="M35" s="2">
        <v>7.6</v>
      </c>
      <c r="N35" s="2">
        <v>9</v>
      </c>
      <c r="O35" s="2">
        <v>-0.1</v>
      </c>
      <c r="P35" s="2">
        <v>-2.7E-2</v>
      </c>
      <c r="Q35" s="2">
        <v>0.443</v>
      </c>
      <c r="R35" s="2">
        <v>0.2</v>
      </c>
    </row>
    <row r="36" spans="1:18" x14ac:dyDescent="0.2">
      <c r="A36" t="s">
        <v>148</v>
      </c>
      <c r="B36" s="2">
        <v>26</v>
      </c>
      <c r="C36" t="s">
        <v>41</v>
      </c>
      <c r="D36" s="2" t="s">
        <v>52</v>
      </c>
      <c r="E36" s="2">
        <v>19</v>
      </c>
      <c r="F36" s="2">
        <v>641</v>
      </c>
      <c r="G36" s="2">
        <v>0.57299999999999995</v>
      </c>
      <c r="H36" s="2">
        <v>24.3</v>
      </c>
      <c r="I36" s="2">
        <v>22</v>
      </c>
      <c r="J36" s="18">
        <v>2.13953488372093</v>
      </c>
      <c r="K36" s="2">
        <v>-1.9</v>
      </c>
      <c r="L36" s="2">
        <v>0.2</v>
      </c>
      <c r="M36" s="2">
        <v>9.1</v>
      </c>
      <c r="N36" s="2">
        <v>14.1</v>
      </c>
      <c r="O36" s="2">
        <v>0</v>
      </c>
      <c r="P36" s="2">
        <v>5.1999999999999998E-2</v>
      </c>
      <c r="Q36" s="2">
        <v>0.54</v>
      </c>
      <c r="R36" s="2">
        <v>0.248</v>
      </c>
    </row>
    <row r="37" spans="1:18" x14ac:dyDescent="0.2">
      <c r="A37" t="s">
        <v>149</v>
      </c>
      <c r="B37" s="2">
        <v>25</v>
      </c>
      <c r="C37" t="s">
        <v>70</v>
      </c>
      <c r="D37" s="2" t="s">
        <v>52</v>
      </c>
      <c r="E37" s="2">
        <v>25</v>
      </c>
      <c r="F37" s="2">
        <v>748</v>
      </c>
      <c r="G37" s="2">
        <v>0.59799999999999998</v>
      </c>
      <c r="H37" s="2">
        <v>19.5</v>
      </c>
      <c r="I37" s="2">
        <v>16.600000000000001</v>
      </c>
      <c r="J37" s="18">
        <v>3.4545454545454546</v>
      </c>
      <c r="K37" s="2">
        <v>-1</v>
      </c>
      <c r="L37" s="2">
        <v>0.2</v>
      </c>
      <c r="M37" s="2">
        <v>5.7</v>
      </c>
      <c r="N37" s="2">
        <v>13.8</v>
      </c>
      <c r="O37" s="2">
        <v>0.1</v>
      </c>
      <c r="P37" s="2">
        <v>9.4E-2</v>
      </c>
      <c r="Q37" s="2">
        <v>0.56799999999999995</v>
      </c>
      <c r="R37" s="2">
        <v>0.20599999999999999</v>
      </c>
    </row>
    <row r="38" spans="1:18" x14ac:dyDescent="0.2">
      <c r="A38" t="s">
        <v>125</v>
      </c>
      <c r="B38" s="2">
        <v>27</v>
      </c>
      <c r="C38" t="s">
        <v>61</v>
      </c>
      <c r="D38" s="2" t="s">
        <v>42</v>
      </c>
      <c r="E38" s="2">
        <v>23</v>
      </c>
      <c r="F38" s="2">
        <v>799</v>
      </c>
      <c r="G38" s="2">
        <v>0.51400000000000001</v>
      </c>
      <c r="H38" s="2">
        <v>23.1</v>
      </c>
      <c r="I38" s="2">
        <v>22.2</v>
      </c>
      <c r="J38" s="18">
        <v>2.7674418604651163</v>
      </c>
      <c r="K38" s="2">
        <v>1.4</v>
      </c>
      <c r="L38" s="2">
        <v>1.3</v>
      </c>
      <c r="M38" s="2">
        <v>6</v>
      </c>
      <c r="N38" s="2">
        <v>18.100000000000001</v>
      </c>
      <c r="O38" s="2">
        <v>0.8</v>
      </c>
      <c r="P38" s="2">
        <v>0.13500000000000001</v>
      </c>
      <c r="Q38" s="2">
        <v>0.47499999999999998</v>
      </c>
      <c r="R38" s="2">
        <v>0.28899999999999998</v>
      </c>
    </row>
    <row r="39" spans="1:18" x14ac:dyDescent="0.2">
      <c r="A39" t="s">
        <v>532</v>
      </c>
      <c r="B39" s="2">
        <v>24</v>
      </c>
      <c r="C39" t="s">
        <v>39</v>
      </c>
      <c r="D39" s="2" t="s">
        <v>52</v>
      </c>
      <c r="E39" s="2">
        <v>5</v>
      </c>
      <c r="F39" s="2">
        <v>34</v>
      </c>
      <c r="G39" s="2">
        <v>0.184</v>
      </c>
      <c r="H39" s="2">
        <v>5.8</v>
      </c>
      <c r="I39" s="2">
        <v>13.8</v>
      </c>
      <c r="J39" s="18" t="e">
        <v>#DIV/0!</v>
      </c>
      <c r="K39" s="2">
        <v>-0.9</v>
      </c>
      <c r="L39" s="2">
        <v>0</v>
      </c>
      <c r="M39" s="2">
        <v>0</v>
      </c>
      <c r="N39" s="2">
        <v>0.5</v>
      </c>
      <c r="O39" s="2">
        <v>-0.1</v>
      </c>
      <c r="P39" s="2">
        <v>-8.2000000000000003E-2</v>
      </c>
      <c r="Q39" s="2">
        <v>0.1</v>
      </c>
      <c r="R39" s="2">
        <v>0.2</v>
      </c>
    </row>
    <row r="40" spans="1:18" x14ac:dyDescent="0.2">
      <c r="A40" t="s">
        <v>371</v>
      </c>
      <c r="B40" s="2">
        <v>23</v>
      </c>
      <c r="C40" t="s">
        <v>82</v>
      </c>
      <c r="D40" s="2" t="s">
        <v>52</v>
      </c>
      <c r="E40" s="2">
        <v>13</v>
      </c>
      <c r="F40" s="2">
        <v>272</v>
      </c>
      <c r="G40" s="2">
        <v>0.56799999999999995</v>
      </c>
      <c r="H40" s="2">
        <v>13.2</v>
      </c>
      <c r="I40" s="2">
        <v>11.3</v>
      </c>
      <c r="J40" s="18">
        <v>3.4</v>
      </c>
      <c r="K40" s="2">
        <v>-0.9</v>
      </c>
      <c r="L40" s="2">
        <v>0.1</v>
      </c>
      <c r="M40" s="2">
        <v>9.1</v>
      </c>
      <c r="N40" s="2">
        <v>7.7</v>
      </c>
      <c r="O40" s="2">
        <v>-0.1</v>
      </c>
      <c r="P40" s="2">
        <v>4.2000000000000003E-2</v>
      </c>
      <c r="Q40" s="2">
        <v>0.56799999999999995</v>
      </c>
      <c r="R40" s="2">
        <v>0</v>
      </c>
    </row>
    <row r="41" spans="1:18" x14ac:dyDescent="0.2">
      <c r="A41" t="s">
        <v>347</v>
      </c>
      <c r="B41" s="2">
        <v>28</v>
      </c>
      <c r="C41" t="s">
        <v>103</v>
      </c>
      <c r="D41" s="2" t="s">
        <v>33</v>
      </c>
      <c r="E41" s="2">
        <v>18</v>
      </c>
      <c r="F41" s="2">
        <v>425</v>
      </c>
      <c r="G41" s="2">
        <v>0.60599999999999998</v>
      </c>
      <c r="H41" s="2">
        <v>11</v>
      </c>
      <c r="I41" s="2">
        <v>12.8</v>
      </c>
      <c r="J41" s="18">
        <v>2.6136363636363638</v>
      </c>
      <c r="K41" s="2">
        <v>2.6</v>
      </c>
      <c r="L41" s="2">
        <v>0.4</v>
      </c>
      <c r="M41" s="2">
        <v>5.4</v>
      </c>
      <c r="N41" s="2">
        <v>13.6</v>
      </c>
      <c r="O41" s="2">
        <v>0.3</v>
      </c>
      <c r="P41" s="2">
        <v>9.4E-2</v>
      </c>
      <c r="Q41" s="2">
        <v>0.60799999999999998</v>
      </c>
      <c r="R41" s="2">
        <v>0.108</v>
      </c>
    </row>
    <row r="42" spans="1:18" x14ac:dyDescent="0.2">
      <c r="A42" t="s">
        <v>94</v>
      </c>
      <c r="B42" s="2">
        <v>22</v>
      </c>
      <c r="C42" t="s">
        <v>82</v>
      </c>
      <c r="D42" s="2" t="s">
        <v>52</v>
      </c>
      <c r="E42" s="2">
        <v>25</v>
      </c>
      <c r="F42" s="2">
        <v>818</v>
      </c>
      <c r="G42" s="2">
        <v>0.60099999999999998</v>
      </c>
      <c r="H42" s="2">
        <v>26</v>
      </c>
      <c r="I42" s="2">
        <v>22.4</v>
      </c>
      <c r="J42" s="18">
        <v>0.81132075471698117</v>
      </c>
      <c r="K42" s="2">
        <v>-2.2999999999999998</v>
      </c>
      <c r="L42" s="2">
        <v>0.3</v>
      </c>
      <c r="M42" s="2">
        <v>7.6</v>
      </c>
      <c r="N42" s="2">
        <v>14.4</v>
      </c>
      <c r="O42" s="2">
        <v>-0.2</v>
      </c>
      <c r="P42" s="2">
        <v>6.6000000000000003E-2</v>
      </c>
      <c r="Q42" s="2">
        <v>0.53400000000000003</v>
      </c>
      <c r="R42" s="2">
        <v>0.42</v>
      </c>
    </row>
    <row r="43" spans="1:18" x14ac:dyDescent="0.2">
      <c r="A43" t="s">
        <v>192</v>
      </c>
      <c r="B43" s="2">
        <v>20</v>
      </c>
      <c r="C43" t="s">
        <v>114</v>
      </c>
      <c r="D43" s="2" t="s">
        <v>49</v>
      </c>
      <c r="E43" s="2">
        <v>21</v>
      </c>
      <c r="F43" s="2">
        <v>726</v>
      </c>
      <c r="G43" s="2">
        <v>0.53100000000000003</v>
      </c>
      <c r="H43" s="2">
        <v>16</v>
      </c>
      <c r="I43" s="2">
        <v>15.6</v>
      </c>
      <c r="J43" s="18">
        <v>1.625</v>
      </c>
      <c r="K43" s="2">
        <v>-0.6</v>
      </c>
      <c r="L43" s="2">
        <v>0.2</v>
      </c>
      <c r="M43" s="2">
        <v>10</v>
      </c>
      <c r="N43" s="2">
        <v>11.1</v>
      </c>
      <c r="O43" s="2">
        <v>-0.2</v>
      </c>
      <c r="P43" s="2">
        <v>1.6E-2</v>
      </c>
      <c r="Q43" s="2">
        <v>0.47799999999999998</v>
      </c>
      <c r="R43" s="2">
        <v>0.34</v>
      </c>
    </row>
    <row r="44" spans="1:18" x14ac:dyDescent="0.2">
      <c r="A44" t="s">
        <v>372</v>
      </c>
      <c r="B44" s="2">
        <v>21</v>
      </c>
      <c r="C44" t="s">
        <v>93</v>
      </c>
      <c r="D44" s="2" t="s">
        <v>52</v>
      </c>
      <c r="E44" s="2">
        <v>19</v>
      </c>
      <c r="F44" s="2">
        <v>212</v>
      </c>
      <c r="G44" s="2">
        <v>0.504</v>
      </c>
      <c r="H44" s="2">
        <v>17.2</v>
      </c>
      <c r="I44" s="2">
        <v>19</v>
      </c>
      <c r="J44" s="18">
        <v>1.4</v>
      </c>
      <c r="K44" s="2">
        <v>-1.6</v>
      </c>
      <c r="L44" s="2">
        <v>0.1</v>
      </c>
      <c r="M44" s="2">
        <v>15.4</v>
      </c>
      <c r="N44" s="2">
        <v>7.9</v>
      </c>
      <c r="O44" s="2">
        <v>-0.2</v>
      </c>
      <c r="P44" s="2">
        <v>-0.03</v>
      </c>
      <c r="Q44" s="2">
        <v>0.47</v>
      </c>
      <c r="R44" s="2">
        <v>0.28799999999999998</v>
      </c>
    </row>
    <row r="45" spans="1:18" x14ac:dyDescent="0.2">
      <c r="A45" t="s">
        <v>152</v>
      </c>
      <c r="B45" s="2">
        <v>29</v>
      </c>
      <c r="C45" t="s">
        <v>35</v>
      </c>
      <c r="D45" s="2" t="s">
        <v>27</v>
      </c>
      <c r="E45" s="2">
        <v>23</v>
      </c>
      <c r="F45" s="2">
        <v>555</v>
      </c>
      <c r="G45" s="2">
        <v>0.54500000000000004</v>
      </c>
      <c r="H45" s="2">
        <v>26.7</v>
      </c>
      <c r="I45" s="2">
        <v>24.5</v>
      </c>
      <c r="J45" s="18">
        <v>1.3571428571428572</v>
      </c>
      <c r="K45" s="2">
        <v>-1.4</v>
      </c>
      <c r="L45" s="2">
        <v>0.7</v>
      </c>
      <c r="M45" s="2">
        <v>11</v>
      </c>
      <c r="N45" s="2">
        <v>17.8</v>
      </c>
      <c r="O45" s="2">
        <v>0.2</v>
      </c>
      <c r="P45" s="2">
        <v>9.1999999999999998E-2</v>
      </c>
      <c r="Q45" s="2">
        <v>0.53200000000000003</v>
      </c>
      <c r="R45" s="2">
        <v>0.109</v>
      </c>
    </row>
    <row r="46" spans="1:18" x14ac:dyDescent="0.2">
      <c r="A46" t="s">
        <v>303</v>
      </c>
      <c r="B46" s="2">
        <v>32</v>
      </c>
      <c r="C46" t="s">
        <v>72</v>
      </c>
      <c r="D46" s="2" t="s">
        <v>52</v>
      </c>
      <c r="E46" s="2">
        <v>11</v>
      </c>
      <c r="F46" s="2">
        <v>277</v>
      </c>
      <c r="G46" s="2">
        <v>0.54800000000000004</v>
      </c>
      <c r="H46" s="2">
        <v>21.9</v>
      </c>
      <c r="I46" s="2">
        <v>20.100000000000001</v>
      </c>
      <c r="J46" s="18">
        <v>1.2105263157894737</v>
      </c>
      <c r="K46" s="2">
        <v>-0.1</v>
      </c>
      <c r="L46" s="2">
        <v>0.2</v>
      </c>
      <c r="M46" s="2">
        <v>8.9</v>
      </c>
      <c r="N46" s="2">
        <v>10.7</v>
      </c>
      <c r="O46" s="2">
        <v>0</v>
      </c>
      <c r="P46" s="2">
        <v>3.5999999999999997E-2</v>
      </c>
      <c r="Q46" s="2">
        <v>0.51300000000000001</v>
      </c>
      <c r="R46" s="2">
        <v>0.152</v>
      </c>
    </row>
    <row r="47" spans="1:18" x14ac:dyDescent="0.2">
      <c r="A47" t="s">
        <v>456</v>
      </c>
      <c r="B47" s="2">
        <v>25</v>
      </c>
      <c r="C47" t="s">
        <v>54</v>
      </c>
      <c r="D47" s="2" t="s">
        <v>27</v>
      </c>
      <c r="E47" s="2">
        <v>7</v>
      </c>
      <c r="F47" s="2">
        <v>37</v>
      </c>
      <c r="G47" s="2">
        <v>0.65200000000000002</v>
      </c>
      <c r="H47" s="2">
        <v>30.6</v>
      </c>
      <c r="I47" s="2">
        <v>24.6</v>
      </c>
      <c r="J47" s="18">
        <v>0.33333333333333331</v>
      </c>
      <c r="K47" s="2">
        <v>-3.6</v>
      </c>
      <c r="L47" s="2">
        <v>0</v>
      </c>
      <c r="M47" s="2">
        <v>5.7</v>
      </c>
      <c r="N47" s="2">
        <v>18.899999999999999</v>
      </c>
      <c r="O47" s="2">
        <v>0</v>
      </c>
      <c r="P47" s="2">
        <v>8.7999999999999995E-2</v>
      </c>
      <c r="Q47" s="2">
        <v>0.63300000000000001</v>
      </c>
      <c r="R47" s="2">
        <v>0.4</v>
      </c>
    </row>
    <row r="48" spans="1:18" x14ac:dyDescent="0.2">
      <c r="A48" t="s">
        <v>368</v>
      </c>
      <c r="B48" s="2">
        <v>24</v>
      </c>
      <c r="C48" t="s">
        <v>77</v>
      </c>
      <c r="D48" s="2" t="s">
        <v>33</v>
      </c>
      <c r="E48" s="2">
        <v>10</v>
      </c>
      <c r="F48" s="2">
        <v>104</v>
      </c>
      <c r="G48" s="2">
        <v>0.58699999999999997</v>
      </c>
      <c r="H48" s="2">
        <v>36.5</v>
      </c>
      <c r="I48" s="2">
        <v>31.8</v>
      </c>
      <c r="J48" s="18">
        <v>0.90909090909090906</v>
      </c>
      <c r="K48" s="2">
        <v>0.8</v>
      </c>
      <c r="L48" s="2">
        <v>0.2</v>
      </c>
      <c r="M48" s="2">
        <v>0</v>
      </c>
      <c r="N48" s="2">
        <v>18</v>
      </c>
      <c r="O48" s="2">
        <v>0.2</v>
      </c>
      <c r="P48" s="2">
        <v>0.11</v>
      </c>
      <c r="Q48" s="2">
        <v>0.54200000000000004</v>
      </c>
      <c r="R48" s="2">
        <v>0.254</v>
      </c>
    </row>
    <row r="49" spans="1:18" x14ac:dyDescent="0.2">
      <c r="A49" t="s">
        <v>182</v>
      </c>
      <c r="B49" s="2">
        <v>31</v>
      </c>
      <c r="C49" t="s">
        <v>54</v>
      </c>
      <c r="D49" s="2" t="s">
        <v>52</v>
      </c>
      <c r="E49" s="2">
        <v>15</v>
      </c>
      <c r="F49" s="2">
        <v>502</v>
      </c>
      <c r="G49" s="2">
        <v>0.59399999999999997</v>
      </c>
      <c r="H49" s="2">
        <v>26.2</v>
      </c>
      <c r="I49" s="2">
        <v>22.7</v>
      </c>
      <c r="J49" s="18">
        <v>1.4411764705882353</v>
      </c>
      <c r="K49" s="2">
        <v>-0.7</v>
      </c>
      <c r="L49" s="2">
        <v>0.3</v>
      </c>
      <c r="M49" s="2">
        <v>14.4</v>
      </c>
      <c r="N49" s="2">
        <v>14.8</v>
      </c>
      <c r="O49" s="2">
        <v>0.1</v>
      </c>
      <c r="P49" s="2">
        <v>6.5000000000000002E-2</v>
      </c>
      <c r="Q49" s="2">
        <v>0.56799999999999995</v>
      </c>
      <c r="R49" s="2">
        <v>0.193</v>
      </c>
    </row>
    <row r="50" spans="1:18" x14ac:dyDescent="0.2">
      <c r="A50" t="s">
        <v>523</v>
      </c>
      <c r="B50" s="2">
        <v>25</v>
      </c>
      <c r="C50" t="s">
        <v>32</v>
      </c>
      <c r="D50" s="2" t="s">
        <v>42</v>
      </c>
      <c r="E50" s="2">
        <v>5</v>
      </c>
      <c r="F50" s="2">
        <v>18</v>
      </c>
      <c r="G50" s="2">
        <v>0.254</v>
      </c>
      <c r="H50" s="2">
        <v>10.7</v>
      </c>
      <c r="I50" s="2">
        <v>18.600000000000001</v>
      </c>
      <c r="J50" s="18" t="e">
        <v>#DIV/0!</v>
      </c>
      <c r="K50" s="2">
        <v>-1.3</v>
      </c>
      <c r="L50" s="2">
        <v>0.1</v>
      </c>
      <c r="M50" s="2">
        <v>5.7</v>
      </c>
      <c r="N50" s="2">
        <v>12.9</v>
      </c>
      <c r="O50" s="2">
        <v>0</v>
      </c>
      <c r="P50" s="2">
        <v>7.3999999999999996E-2</v>
      </c>
      <c r="Q50" s="2">
        <v>0.14299999999999999</v>
      </c>
      <c r="R50" s="2">
        <v>0.28599999999999998</v>
      </c>
    </row>
    <row r="51" spans="1:18" x14ac:dyDescent="0.2">
      <c r="A51" t="s">
        <v>247</v>
      </c>
      <c r="B51" s="2">
        <v>21</v>
      </c>
      <c r="C51" t="s">
        <v>100</v>
      </c>
      <c r="D51" s="2" t="s">
        <v>52</v>
      </c>
      <c r="E51" s="2">
        <v>23</v>
      </c>
      <c r="F51" s="2">
        <v>572</v>
      </c>
      <c r="G51" s="2">
        <v>0.46400000000000002</v>
      </c>
      <c r="H51" s="2">
        <v>15.3</v>
      </c>
      <c r="I51" s="2">
        <v>16.399999999999999</v>
      </c>
      <c r="J51" s="18">
        <v>2.7241379310344827</v>
      </c>
      <c r="K51" s="2">
        <v>0.8</v>
      </c>
      <c r="L51" s="2">
        <v>0.9</v>
      </c>
      <c r="M51" s="2">
        <v>15.4</v>
      </c>
      <c r="N51" s="2">
        <v>10.1</v>
      </c>
      <c r="O51" s="2">
        <v>0</v>
      </c>
      <c r="P51" s="2">
        <v>7.0000000000000007E-2</v>
      </c>
      <c r="Q51" s="2">
        <v>0.438</v>
      </c>
      <c r="R51" s="2">
        <v>0.152</v>
      </c>
    </row>
    <row r="52" spans="1:18" x14ac:dyDescent="0.2">
      <c r="A52" t="s">
        <v>177</v>
      </c>
      <c r="B52" s="2">
        <v>23</v>
      </c>
      <c r="C52" t="s">
        <v>117</v>
      </c>
      <c r="D52" s="2" t="s">
        <v>52</v>
      </c>
      <c r="E52" s="2">
        <v>23</v>
      </c>
      <c r="F52" s="2">
        <v>633</v>
      </c>
      <c r="G52" s="2">
        <v>0.53800000000000003</v>
      </c>
      <c r="H52" s="2">
        <v>21.3</v>
      </c>
      <c r="I52" s="2">
        <v>19.5</v>
      </c>
      <c r="J52" s="18">
        <v>2.1714285714285713</v>
      </c>
      <c r="K52" s="2">
        <v>-0.2</v>
      </c>
      <c r="L52" s="2">
        <v>0.3</v>
      </c>
      <c r="M52" s="2">
        <v>9.1</v>
      </c>
      <c r="N52" s="2">
        <v>13.8</v>
      </c>
      <c r="O52" s="2">
        <v>0</v>
      </c>
      <c r="P52" s="2">
        <v>4.8000000000000001E-2</v>
      </c>
      <c r="Q52" s="2">
        <v>0.5</v>
      </c>
      <c r="R52" s="2">
        <v>0.19900000000000001</v>
      </c>
    </row>
    <row r="53" spans="1:18" x14ac:dyDescent="0.2">
      <c r="A53" t="s">
        <v>251</v>
      </c>
      <c r="B53" s="2">
        <v>28</v>
      </c>
      <c r="C53" t="s">
        <v>80</v>
      </c>
      <c r="D53" s="2" t="s">
        <v>27</v>
      </c>
      <c r="E53" s="2">
        <v>24</v>
      </c>
      <c r="F53" s="2">
        <v>444</v>
      </c>
      <c r="G53" s="2">
        <v>0.622</v>
      </c>
      <c r="H53" s="2">
        <v>18.3</v>
      </c>
      <c r="I53" s="2">
        <v>13.8</v>
      </c>
      <c r="J53" s="18">
        <v>2.4</v>
      </c>
      <c r="K53" s="2">
        <v>1.3</v>
      </c>
      <c r="L53" s="2">
        <v>0.8</v>
      </c>
      <c r="M53" s="2">
        <v>5.4</v>
      </c>
      <c r="N53" s="2">
        <v>16.100000000000001</v>
      </c>
      <c r="O53" s="2">
        <v>0.3</v>
      </c>
      <c r="P53" s="2">
        <v>0.17899999999999999</v>
      </c>
      <c r="Q53" s="2">
        <v>0.61599999999999999</v>
      </c>
      <c r="R53" s="2">
        <v>0.14199999999999999</v>
      </c>
    </row>
    <row r="54" spans="1:18" x14ac:dyDescent="0.2">
      <c r="A54" t="s">
        <v>116</v>
      </c>
      <c r="B54" s="2">
        <v>27</v>
      </c>
      <c r="C54" t="s">
        <v>117</v>
      </c>
      <c r="D54" s="2" t="s">
        <v>49</v>
      </c>
      <c r="E54" s="2">
        <v>18</v>
      </c>
      <c r="F54" s="2">
        <v>595</v>
      </c>
      <c r="G54" s="2">
        <v>0.56000000000000005</v>
      </c>
      <c r="H54" s="2">
        <v>32.9</v>
      </c>
      <c r="I54" s="2">
        <v>30.3</v>
      </c>
      <c r="J54" s="18">
        <v>1.3478260869565217</v>
      </c>
      <c r="K54" s="2">
        <v>-2.1</v>
      </c>
      <c r="L54" s="2">
        <v>0.2</v>
      </c>
      <c r="M54" s="2">
        <v>6</v>
      </c>
      <c r="N54" s="2">
        <v>16.8</v>
      </c>
      <c r="O54" s="2">
        <v>0.2</v>
      </c>
      <c r="P54" s="2">
        <v>1.2999999999999999E-2</v>
      </c>
      <c r="Q54" s="2">
        <v>0.53</v>
      </c>
      <c r="R54" s="2">
        <v>0.16500000000000001</v>
      </c>
    </row>
    <row r="55" spans="1:18" x14ac:dyDescent="0.2">
      <c r="A55" t="s">
        <v>95</v>
      </c>
      <c r="B55" s="2">
        <v>22</v>
      </c>
      <c r="C55" t="s">
        <v>59</v>
      </c>
      <c r="D55" s="2" t="s">
        <v>49</v>
      </c>
      <c r="E55" s="2">
        <v>20</v>
      </c>
      <c r="F55" s="2">
        <v>688</v>
      </c>
      <c r="G55" s="2">
        <v>0.54700000000000004</v>
      </c>
      <c r="H55" s="2">
        <v>31.8</v>
      </c>
      <c r="I55" s="2">
        <v>28.3</v>
      </c>
      <c r="J55" s="18">
        <v>1.2545454545454546</v>
      </c>
      <c r="K55" s="2">
        <v>-0.8</v>
      </c>
      <c r="L55" s="2">
        <v>0.5</v>
      </c>
      <c r="M55" s="2">
        <v>7.6</v>
      </c>
      <c r="N55" s="2">
        <v>15.7</v>
      </c>
      <c r="O55" s="2">
        <v>0.5</v>
      </c>
      <c r="P55" s="2">
        <v>6.6000000000000003E-2</v>
      </c>
      <c r="Q55" s="2">
        <v>0.51300000000000001</v>
      </c>
      <c r="R55" s="2">
        <v>0.16200000000000001</v>
      </c>
    </row>
    <row r="56" spans="1:18" x14ac:dyDescent="0.2">
      <c r="A56" t="s">
        <v>514</v>
      </c>
      <c r="B56" s="2">
        <v>25</v>
      </c>
      <c r="C56" t="s">
        <v>63</v>
      </c>
      <c r="D56" s="2" t="s">
        <v>33</v>
      </c>
      <c r="E56" s="2">
        <v>5</v>
      </c>
      <c r="F56" s="2">
        <v>21</v>
      </c>
      <c r="G56" s="2">
        <v>0.29099999999999998</v>
      </c>
      <c r="H56" s="2">
        <v>13.8</v>
      </c>
      <c r="I56" s="2">
        <v>24.8</v>
      </c>
      <c r="J56" s="18">
        <v>1</v>
      </c>
      <c r="K56" s="2">
        <v>-3.5</v>
      </c>
      <c r="L56" s="2">
        <v>0</v>
      </c>
      <c r="M56" s="2">
        <v>5.7</v>
      </c>
      <c r="N56" s="2">
        <v>-2.2000000000000002</v>
      </c>
      <c r="O56" s="2">
        <v>-0.1</v>
      </c>
      <c r="P56" s="2">
        <v>-0.215</v>
      </c>
      <c r="Q56" s="2">
        <v>0.222</v>
      </c>
      <c r="R56" s="2">
        <v>0.33300000000000002</v>
      </c>
    </row>
    <row r="57" spans="1:18" x14ac:dyDescent="0.2">
      <c r="A57" t="s">
        <v>297</v>
      </c>
      <c r="B57" s="2">
        <v>21</v>
      </c>
      <c r="C57" t="s">
        <v>120</v>
      </c>
      <c r="D57" s="2" t="s">
        <v>49</v>
      </c>
      <c r="E57" s="2">
        <v>17</v>
      </c>
      <c r="F57" s="2">
        <v>283</v>
      </c>
      <c r="G57" s="2">
        <v>0.61799999999999999</v>
      </c>
      <c r="H57" s="2">
        <v>23.6</v>
      </c>
      <c r="I57" s="2">
        <v>20.3</v>
      </c>
      <c r="J57" s="18">
        <v>0.68</v>
      </c>
      <c r="K57" s="2">
        <v>-1.7</v>
      </c>
      <c r="L57" s="2">
        <v>0</v>
      </c>
      <c r="M57" s="2">
        <v>15.4</v>
      </c>
      <c r="N57" s="2">
        <v>12.1</v>
      </c>
      <c r="O57" s="2">
        <v>0</v>
      </c>
      <c r="P57" s="2">
        <v>1.7000000000000001E-2</v>
      </c>
      <c r="Q57" s="2">
        <v>0.59399999999999997</v>
      </c>
      <c r="R57" s="2">
        <v>0.123</v>
      </c>
    </row>
    <row r="58" spans="1:18" x14ac:dyDescent="0.2">
      <c r="A58" t="s">
        <v>527</v>
      </c>
      <c r="B58" s="2">
        <v>20</v>
      </c>
      <c r="C58" t="s">
        <v>41</v>
      </c>
      <c r="D58" s="2" t="s">
        <v>52</v>
      </c>
      <c r="E58" s="2">
        <v>7</v>
      </c>
      <c r="F58" s="2">
        <v>18</v>
      </c>
      <c r="G58" s="2">
        <v>0.22500000000000001</v>
      </c>
      <c r="H58" s="2">
        <v>10.9</v>
      </c>
      <c r="I58" s="2">
        <v>21.7</v>
      </c>
      <c r="J58" s="18" t="e">
        <v>#DIV/0!</v>
      </c>
      <c r="K58" s="2">
        <v>-1.9</v>
      </c>
      <c r="L58" s="2">
        <v>0</v>
      </c>
      <c r="M58" s="2">
        <v>10</v>
      </c>
      <c r="N58" s="2">
        <v>2.5</v>
      </c>
      <c r="O58" s="2">
        <v>0</v>
      </c>
      <c r="P58" s="2">
        <v>-0.16600000000000001</v>
      </c>
      <c r="Q58" s="2">
        <v>0.125</v>
      </c>
      <c r="R58" s="2">
        <v>0.25</v>
      </c>
    </row>
    <row r="59" spans="1:18" x14ac:dyDescent="0.2">
      <c r="A59" t="s">
        <v>185</v>
      </c>
      <c r="B59" s="2">
        <v>36</v>
      </c>
      <c r="C59" t="s">
        <v>35</v>
      </c>
      <c r="D59" s="2" t="s">
        <v>42</v>
      </c>
      <c r="E59" s="2">
        <v>24</v>
      </c>
      <c r="F59" s="2">
        <v>784</v>
      </c>
      <c r="G59" s="2">
        <v>0.58099999999999996</v>
      </c>
      <c r="H59" s="2">
        <v>16.5</v>
      </c>
      <c r="I59" s="2">
        <v>14.5</v>
      </c>
      <c r="J59" s="18">
        <v>1.3571428571428572</v>
      </c>
      <c r="K59" s="2">
        <v>0.9</v>
      </c>
      <c r="L59" s="2">
        <v>0.9</v>
      </c>
      <c r="M59" s="2">
        <v>8.4</v>
      </c>
      <c r="N59" s="2">
        <v>12.9</v>
      </c>
      <c r="O59" s="2">
        <v>0.4</v>
      </c>
      <c r="P59" s="2">
        <v>0.09</v>
      </c>
      <c r="Q59" s="2">
        <v>0.56599999999999995</v>
      </c>
      <c r="R59" s="2">
        <v>0.16</v>
      </c>
    </row>
    <row r="60" spans="1:18" x14ac:dyDescent="0.2">
      <c r="A60" t="s">
        <v>391</v>
      </c>
      <c r="B60" s="2">
        <v>26</v>
      </c>
      <c r="C60" t="s">
        <v>66</v>
      </c>
      <c r="D60" s="2" t="s">
        <v>42</v>
      </c>
      <c r="E60" s="2">
        <v>16</v>
      </c>
      <c r="F60" s="2">
        <v>143</v>
      </c>
      <c r="G60" s="2">
        <v>0.56299999999999994</v>
      </c>
      <c r="H60" s="2">
        <v>19.600000000000001</v>
      </c>
      <c r="I60" s="2">
        <v>19</v>
      </c>
      <c r="J60" s="18">
        <v>1.2857142857142858</v>
      </c>
      <c r="K60" s="2">
        <v>1.9</v>
      </c>
      <c r="L60" s="2">
        <v>0.2</v>
      </c>
      <c r="M60" s="2">
        <v>9.1</v>
      </c>
      <c r="N60" s="2">
        <v>16.399999999999999</v>
      </c>
      <c r="O60" s="2">
        <v>0.1</v>
      </c>
      <c r="P60" s="2">
        <v>8.5000000000000006E-2</v>
      </c>
      <c r="Q60" s="2">
        <v>0.54200000000000004</v>
      </c>
      <c r="R60" s="2">
        <v>0.16700000000000001</v>
      </c>
    </row>
    <row r="61" spans="1:18" x14ac:dyDescent="0.2">
      <c r="A61" t="s">
        <v>549</v>
      </c>
      <c r="B61" s="2">
        <v>22</v>
      </c>
      <c r="C61" t="s">
        <v>135</v>
      </c>
      <c r="D61" s="2" t="s">
        <v>52</v>
      </c>
      <c r="E61" s="2">
        <v>1</v>
      </c>
      <c r="F61" s="2">
        <v>3</v>
      </c>
      <c r="G61" s="2">
        <v>0.5</v>
      </c>
      <c r="H61" s="2">
        <v>32.1</v>
      </c>
      <c r="I61" s="2">
        <v>27.6</v>
      </c>
      <c r="J61" s="18" t="e">
        <v>#DIV/0!</v>
      </c>
      <c r="K61" s="2">
        <v>0.6</v>
      </c>
      <c r="L61" s="2">
        <v>0</v>
      </c>
      <c r="M61" s="2">
        <v>7.6</v>
      </c>
      <c r="N61" s="2">
        <v>22</v>
      </c>
      <c r="O61" s="2">
        <v>0</v>
      </c>
      <c r="P61" s="2">
        <v>0.15</v>
      </c>
      <c r="Q61" s="2">
        <v>0.5</v>
      </c>
      <c r="R61" s="2">
        <v>0</v>
      </c>
    </row>
    <row r="62" spans="1:18" x14ac:dyDescent="0.2">
      <c r="A62" t="s">
        <v>131</v>
      </c>
      <c r="B62" s="2">
        <v>32</v>
      </c>
      <c r="C62" t="s">
        <v>100</v>
      </c>
      <c r="D62" s="2" t="s">
        <v>52</v>
      </c>
      <c r="E62" s="2">
        <v>24</v>
      </c>
      <c r="F62" s="2">
        <v>574</v>
      </c>
      <c r="G62" s="2">
        <v>0.61799999999999999</v>
      </c>
      <c r="H62" s="2">
        <v>29.1</v>
      </c>
      <c r="I62" s="2">
        <v>22.5</v>
      </c>
      <c r="J62" s="18">
        <v>1.1724137931034482</v>
      </c>
      <c r="K62" s="2">
        <v>0.2</v>
      </c>
      <c r="L62" s="2">
        <v>0.8</v>
      </c>
      <c r="M62" s="2">
        <v>8.9</v>
      </c>
      <c r="N62" s="2">
        <v>15.9</v>
      </c>
      <c r="O62" s="2">
        <v>0.6</v>
      </c>
      <c r="P62" s="2">
        <v>0.13400000000000001</v>
      </c>
      <c r="Q62" s="2">
        <v>0.6</v>
      </c>
      <c r="R62" s="2">
        <v>9.6000000000000002E-2</v>
      </c>
    </row>
    <row r="63" spans="1:18" x14ac:dyDescent="0.2">
      <c r="A63" t="s">
        <v>74</v>
      </c>
      <c r="B63" s="2">
        <v>23</v>
      </c>
      <c r="C63" t="s">
        <v>75</v>
      </c>
      <c r="D63" s="2" t="s">
        <v>33</v>
      </c>
      <c r="E63" s="2">
        <v>22</v>
      </c>
      <c r="F63" s="2">
        <v>789</v>
      </c>
      <c r="G63" s="2">
        <v>0.54600000000000004</v>
      </c>
      <c r="H63" s="2">
        <v>32.200000000000003</v>
      </c>
      <c r="I63" s="2">
        <v>31.3</v>
      </c>
      <c r="J63" s="18">
        <v>2.0297029702970297</v>
      </c>
      <c r="K63" s="2">
        <v>-0.2</v>
      </c>
      <c r="L63" s="2">
        <v>0.8</v>
      </c>
      <c r="M63" s="2">
        <v>9.1</v>
      </c>
      <c r="N63" s="2">
        <v>18.899999999999999</v>
      </c>
      <c r="O63" s="2">
        <v>0.9</v>
      </c>
      <c r="P63" s="2">
        <v>8.3000000000000004E-2</v>
      </c>
      <c r="Q63" s="2">
        <v>0.51400000000000001</v>
      </c>
      <c r="R63" s="2">
        <v>0.214</v>
      </c>
    </row>
    <row r="64" spans="1:18" x14ac:dyDescent="0.2">
      <c r="A64" t="s">
        <v>462</v>
      </c>
      <c r="B64" s="2">
        <v>22</v>
      </c>
      <c r="C64" t="s">
        <v>48</v>
      </c>
      <c r="D64" s="2" t="s">
        <v>49</v>
      </c>
      <c r="E64" s="2">
        <v>17</v>
      </c>
      <c r="F64" s="2">
        <v>93</v>
      </c>
      <c r="G64" s="2">
        <v>0.42199999999999999</v>
      </c>
      <c r="H64" s="2">
        <v>11.1</v>
      </c>
      <c r="I64" s="2">
        <v>12</v>
      </c>
      <c r="J64" s="18">
        <v>1</v>
      </c>
      <c r="K64" s="2">
        <v>-1.4</v>
      </c>
      <c r="L64" s="2">
        <v>0.1</v>
      </c>
      <c r="M64" s="2">
        <v>7.6</v>
      </c>
      <c r="N64" s="2">
        <v>3.4</v>
      </c>
      <c r="O64" s="2">
        <v>-0.1</v>
      </c>
      <c r="P64" s="2">
        <v>1.4999999999999999E-2</v>
      </c>
      <c r="Q64" s="2">
        <v>0.39600000000000002</v>
      </c>
      <c r="R64" s="2">
        <v>8.3000000000000004E-2</v>
      </c>
    </row>
    <row r="65" spans="1:18" x14ac:dyDescent="0.2">
      <c r="A65" t="s">
        <v>257</v>
      </c>
      <c r="B65" s="2">
        <v>29</v>
      </c>
      <c r="C65" t="s">
        <v>122</v>
      </c>
      <c r="D65" s="2" t="s">
        <v>49</v>
      </c>
      <c r="E65" s="2">
        <v>20</v>
      </c>
      <c r="F65" s="2">
        <v>582</v>
      </c>
      <c r="G65" s="2">
        <v>0.501</v>
      </c>
      <c r="H65" s="2">
        <v>14.9</v>
      </c>
      <c r="I65" s="2">
        <v>15.8</v>
      </c>
      <c r="J65" s="18">
        <v>1.25</v>
      </c>
      <c r="K65" s="2">
        <v>-0.4</v>
      </c>
      <c r="L65" s="2">
        <v>0.5</v>
      </c>
      <c r="M65" s="2">
        <v>11</v>
      </c>
      <c r="N65" s="2">
        <v>9.1999999999999993</v>
      </c>
      <c r="O65" s="2">
        <v>-0.2</v>
      </c>
      <c r="P65" s="2">
        <v>2.1000000000000001E-2</v>
      </c>
      <c r="Q65" s="2">
        <v>0.45600000000000002</v>
      </c>
      <c r="R65" s="2">
        <v>0.39200000000000002</v>
      </c>
    </row>
    <row r="66" spans="1:18" x14ac:dyDescent="0.2">
      <c r="A66" t="s">
        <v>516</v>
      </c>
      <c r="B66" s="2">
        <v>19</v>
      </c>
      <c r="C66" t="s">
        <v>77</v>
      </c>
      <c r="D66" s="2" t="s">
        <v>52</v>
      </c>
      <c r="E66" s="2">
        <v>1</v>
      </c>
      <c r="F66" s="2">
        <v>18</v>
      </c>
      <c r="G66" s="2">
        <v>0.35699999999999998</v>
      </c>
      <c r="H66" s="2">
        <v>13.7</v>
      </c>
      <c r="I66" s="2">
        <v>19.2</v>
      </c>
      <c r="J66" s="18">
        <v>0</v>
      </c>
      <c r="K66" s="2">
        <v>3.6</v>
      </c>
      <c r="L66" s="2">
        <v>0</v>
      </c>
      <c r="M66" s="2">
        <v>12.4</v>
      </c>
      <c r="N66" s="2">
        <v>6.5</v>
      </c>
      <c r="O66" s="2">
        <v>0</v>
      </c>
      <c r="P66" s="2">
        <v>-5.5E-2</v>
      </c>
      <c r="Q66" s="2">
        <v>0.35699999999999998</v>
      </c>
      <c r="R66" s="2">
        <v>0</v>
      </c>
    </row>
    <row r="67" spans="1:18" x14ac:dyDescent="0.2">
      <c r="A67" t="s">
        <v>390</v>
      </c>
      <c r="B67" s="2">
        <v>25</v>
      </c>
      <c r="C67" t="s">
        <v>41</v>
      </c>
      <c r="D67" s="2" t="s">
        <v>49</v>
      </c>
      <c r="E67" s="2">
        <v>17</v>
      </c>
      <c r="F67" s="2">
        <v>339</v>
      </c>
      <c r="G67" s="2">
        <v>0.626</v>
      </c>
      <c r="H67" s="2">
        <v>8.5</v>
      </c>
      <c r="I67" s="2">
        <v>7</v>
      </c>
      <c r="J67" s="18">
        <v>1.8571428571428572</v>
      </c>
      <c r="K67" s="2">
        <v>0.7</v>
      </c>
      <c r="L67" s="2">
        <v>0.2</v>
      </c>
      <c r="M67" s="2">
        <v>5.7</v>
      </c>
      <c r="N67" s="2">
        <v>8</v>
      </c>
      <c r="O67" s="2">
        <v>-0.1</v>
      </c>
      <c r="P67" s="2">
        <v>5.7000000000000002E-2</v>
      </c>
      <c r="Q67" s="2">
        <v>0.61</v>
      </c>
      <c r="R67" s="2">
        <v>0.34100000000000003</v>
      </c>
    </row>
    <row r="68" spans="1:18" x14ac:dyDescent="0.2">
      <c r="A68" t="s">
        <v>482</v>
      </c>
      <c r="B68" s="2">
        <v>24</v>
      </c>
      <c r="C68" t="s">
        <v>80</v>
      </c>
      <c r="D68" s="2" t="s">
        <v>52</v>
      </c>
      <c r="E68" s="2">
        <v>3</v>
      </c>
      <c r="F68" s="2">
        <v>46</v>
      </c>
      <c r="G68" s="2">
        <v>0.68</v>
      </c>
      <c r="H68" s="2">
        <v>16</v>
      </c>
      <c r="I68" s="2">
        <v>12</v>
      </c>
      <c r="J68" s="18">
        <v>3.5</v>
      </c>
      <c r="K68" s="2">
        <v>0.7</v>
      </c>
      <c r="L68" s="2">
        <v>0.1</v>
      </c>
      <c r="M68" s="2">
        <v>0</v>
      </c>
      <c r="N68" s="2">
        <v>13.1</v>
      </c>
      <c r="O68" s="2">
        <v>0</v>
      </c>
      <c r="P68" s="2">
        <v>0.17399999999999999</v>
      </c>
      <c r="Q68" s="2">
        <v>0.6</v>
      </c>
      <c r="R68" s="2">
        <v>0.4</v>
      </c>
    </row>
    <row r="69" spans="1:18" x14ac:dyDescent="0.2">
      <c r="A69" t="s">
        <v>107</v>
      </c>
      <c r="B69" s="2">
        <v>23</v>
      </c>
      <c r="C69" t="s">
        <v>103</v>
      </c>
      <c r="D69" s="2" t="s">
        <v>52</v>
      </c>
      <c r="E69" s="2">
        <v>17</v>
      </c>
      <c r="F69" s="2">
        <v>568</v>
      </c>
      <c r="G69" s="2">
        <v>0.60599999999999998</v>
      </c>
      <c r="H69" s="2">
        <v>36.799999999999997</v>
      </c>
      <c r="I69" s="2">
        <v>31.1</v>
      </c>
      <c r="J69" s="18">
        <v>1.1875</v>
      </c>
      <c r="K69" s="2">
        <v>-2.2000000000000002</v>
      </c>
      <c r="L69" s="2">
        <v>0.2</v>
      </c>
      <c r="M69" s="2">
        <v>9.1</v>
      </c>
      <c r="N69" s="2">
        <v>17.899999999999999</v>
      </c>
      <c r="O69" s="2">
        <v>0.3</v>
      </c>
      <c r="P69" s="2">
        <v>7.3999999999999996E-2</v>
      </c>
      <c r="Q69" s="2">
        <v>0.54400000000000004</v>
      </c>
      <c r="R69" s="2">
        <v>0.377</v>
      </c>
    </row>
    <row r="70" spans="1:18" x14ac:dyDescent="0.2">
      <c r="A70" t="s">
        <v>409</v>
      </c>
      <c r="B70" s="2">
        <v>20</v>
      </c>
      <c r="C70" t="s">
        <v>87</v>
      </c>
      <c r="D70" s="2" t="s">
        <v>49</v>
      </c>
      <c r="E70" s="2">
        <v>8</v>
      </c>
      <c r="F70" s="2">
        <v>79</v>
      </c>
      <c r="G70" s="2">
        <v>0.42699999999999999</v>
      </c>
      <c r="H70" s="2">
        <v>28.8</v>
      </c>
      <c r="I70" s="2">
        <v>30.3</v>
      </c>
      <c r="J70" s="18">
        <v>1.3333333333333333</v>
      </c>
      <c r="K70" s="2">
        <v>-2.1</v>
      </c>
      <c r="L70" s="2">
        <v>0.1</v>
      </c>
      <c r="M70" s="2">
        <v>10</v>
      </c>
      <c r="N70" s="2">
        <v>9.1</v>
      </c>
      <c r="O70" s="2">
        <v>-0.1</v>
      </c>
      <c r="P70" s="2">
        <v>-8.0000000000000002E-3</v>
      </c>
      <c r="Q70" s="2">
        <v>0.38500000000000001</v>
      </c>
      <c r="R70" s="2">
        <v>0.33300000000000002</v>
      </c>
    </row>
    <row r="71" spans="1:18" x14ac:dyDescent="0.2">
      <c r="A71" t="s">
        <v>102</v>
      </c>
      <c r="B71" s="2">
        <v>28</v>
      </c>
      <c r="C71" t="s">
        <v>103</v>
      </c>
      <c r="D71" s="2" t="s">
        <v>27</v>
      </c>
      <c r="E71" s="2">
        <v>23</v>
      </c>
      <c r="F71" s="2">
        <v>755</v>
      </c>
      <c r="G71" s="2">
        <v>0.65900000000000003</v>
      </c>
      <c r="H71" s="2">
        <v>28.5</v>
      </c>
      <c r="I71" s="2">
        <v>20.8</v>
      </c>
      <c r="J71" s="18">
        <v>2.8695652173913042</v>
      </c>
      <c r="K71" s="2">
        <v>-0.4</v>
      </c>
      <c r="L71" s="2">
        <v>0.4</v>
      </c>
      <c r="M71" s="2">
        <v>5.4</v>
      </c>
      <c r="N71" s="2">
        <v>18.899999999999999</v>
      </c>
      <c r="O71" s="2">
        <v>1.2</v>
      </c>
      <c r="P71" s="2">
        <v>0.16</v>
      </c>
      <c r="Q71" s="2">
        <v>0.61699999999999999</v>
      </c>
      <c r="R71" s="2">
        <v>0.254</v>
      </c>
    </row>
    <row r="72" spans="1:18" x14ac:dyDescent="0.2">
      <c r="A72" t="s">
        <v>276</v>
      </c>
      <c r="B72" s="2">
        <v>30</v>
      </c>
      <c r="C72" t="s">
        <v>44</v>
      </c>
      <c r="D72" s="2" t="s">
        <v>33</v>
      </c>
      <c r="E72" s="2">
        <v>19</v>
      </c>
      <c r="F72" s="2">
        <v>332</v>
      </c>
      <c r="G72" s="2">
        <v>0.57599999999999996</v>
      </c>
      <c r="H72" s="2">
        <v>22.8</v>
      </c>
      <c r="I72" s="2">
        <v>19</v>
      </c>
      <c r="J72" s="18">
        <v>5.9</v>
      </c>
      <c r="K72" s="2">
        <v>0.2</v>
      </c>
      <c r="L72" s="2">
        <v>0.3</v>
      </c>
      <c r="M72" s="2">
        <v>7.9</v>
      </c>
      <c r="N72" s="2">
        <v>16</v>
      </c>
      <c r="O72" s="2">
        <v>0.3</v>
      </c>
      <c r="P72" s="2">
        <v>0.15</v>
      </c>
      <c r="Q72" s="2">
        <v>0.56299999999999994</v>
      </c>
      <c r="R72" s="2">
        <v>8.5999999999999993E-2</v>
      </c>
    </row>
    <row r="73" spans="1:18" x14ac:dyDescent="0.2">
      <c r="A73" t="s">
        <v>211</v>
      </c>
      <c r="B73" s="2">
        <v>30</v>
      </c>
      <c r="C73" t="s">
        <v>57</v>
      </c>
      <c r="D73" s="2" t="s">
        <v>49</v>
      </c>
      <c r="E73" s="2">
        <v>19</v>
      </c>
      <c r="F73" s="2">
        <v>465</v>
      </c>
      <c r="G73" s="2">
        <v>0.66500000000000004</v>
      </c>
      <c r="H73" s="2">
        <v>23.2</v>
      </c>
      <c r="I73" s="2">
        <v>18.100000000000001</v>
      </c>
      <c r="J73" s="18">
        <v>3.12</v>
      </c>
      <c r="K73" s="2">
        <v>0.8</v>
      </c>
      <c r="L73" s="2">
        <v>0.5</v>
      </c>
      <c r="M73" s="2">
        <v>7.9</v>
      </c>
      <c r="N73" s="2">
        <v>18.100000000000001</v>
      </c>
      <c r="O73" s="2">
        <v>0.6</v>
      </c>
      <c r="P73" s="2">
        <v>0.182</v>
      </c>
      <c r="Q73" s="2">
        <v>0.64800000000000002</v>
      </c>
      <c r="R73" s="2">
        <v>0.309</v>
      </c>
    </row>
    <row r="74" spans="1:18" x14ac:dyDescent="0.2">
      <c r="A74" t="s">
        <v>229</v>
      </c>
      <c r="B74" s="2">
        <v>19</v>
      </c>
      <c r="C74" t="s">
        <v>114</v>
      </c>
      <c r="D74" s="2" t="s">
        <v>33</v>
      </c>
      <c r="E74" s="2">
        <v>22</v>
      </c>
      <c r="F74" s="2">
        <v>630</v>
      </c>
      <c r="G74" s="2">
        <v>0.5</v>
      </c>
      <c r="H74" s="2">
        <v>15</v>
      </c>
      <c r="I74" s="2">
        <v>16.100000000000001</v>
      </c>
      <c r="J74" s="18">
        <v>2.0930232558139537</v>
      </c>
      <c r="K74" s="2">
        <v>-1.2</v>
      </c>
      <c r="L74" s="2">
        <v>0.1</v>
      </c>
      <c r="M74" s="2">
        <v>12.4</v>
      </c>
      <c r="N74" s="2">
        <v>8.1999999999999993</v>
      </c>
      <c r="O74" s="2">
        <v>-0.6</v>
      </c>
      <c r="P74" s="2">
        <v>-2.7E-2</v>
      </c>
      <c r="Q74" s="2">
        <v>0.47699999999999998</v>
      </c>
      <c r="R74" s="2">
        <v>0.13</v>
      </c>
    </row>
    <row r="75" spans="1:18" x14ac:dyDescent="0.2">
      <c r="A75" t="s">
        <v>263</v>
      </c>
      <c r="B75" s="2">
        <v>21</v>
      </c>
      <c r="C75" t="s">
        <v>32</v>
      </c>
      <c r="D75" s="2" t="s">
        <v>52</v>
      </c>
      <c r="E75" s="2">
        <v>24</v>
      </c>
      <c r="F75" s="2">
        <v>635</v>
      </c>
      <c r="G75" s="2">
        <v>0.503</v>
      </c>
      <c r="H75" s="2">
        <v>12.7</v>
      </c>
      <c r="I75" s="2">
        <v>12.1</v>
      </c>
      <c r="J75" s="18">
        <v>3.7857142857142856</v>
      </c>
      <c r="K75" s="2">
        <v>2.7</v>
      </c>
      <c r="L75" s="2">
        <v>1.3</v>
      </c>
      <c r="M75" s="2">
        <v>15.4</v>
      </c>
      <c r="N75" s="2">
        <v>11.9</v>
      </c>
      <c r="O75" s="2">
        <v>0.4</v>
      </c>
      <c r="P75" s="2">
        <v>0.13100000000000001</v>
      </c>
      <c r="Q75" s="2">
        <v>0.49399999999999999</v>
      </c>
      <c r="R75" s="2">
        <v>4.2999999999999997E-2</v>
      </c>
    </row>
    <row r="76" spans="1:18" x14ac:dyDescent="0.2">
      <c r="A76" t="s">
        <v>387</v>
      </c>
      <c r="B76" s="2">
        <v>24</v>
      </c>
      <c r="C76" t="s">
        <v>93</v>
      </c>
      <c r="D76" s="2" t="s">
        <v>42</v>
      </c>
      <c r="E76" s="2">
        <v>15</v>
      </c>
      <c r="F76" s="2">
        <v>158</v>
      </c>
      <c r="G76" s="2">
        <v>0.56000000000000005</v>
      </c>
      <c r="H76" s="2">
        <v>19.399999999999999</v>
      </c>
      <c r="I76" s="2">
        <v>17.899999999999999</v>
      </c>
      <c r="J76" s="18">
        <v>0.8</v>
      </c>
      <c r="K76" s="2">
        <v>1.4</v>
      </c>
      <c r="L76" s="2">
        <v>0.3</v>
      </c>
      <c r="M76" s="2">
        <v>0</v>
      </c>
      <c r="N76" s="2">
        <v>19</v>
      </c>
      <c r="O76" s="2">
        <v>0</v>
      </c>
      <c r="P76" s="2">
        <v>0.13</v>
      </c>
      <c r="Q76" s="2">
        <v>0.55300000000000005</v>
      </c>
      <c r="R76" s="2">
        <v>0.44700000000000001</v>
      </c>
    </row>
    <row r="77" spans="1:18" x14ac:dyDescent="0.2">
      <c r="A77" t="s">
        <v>269</v>
      </c>
      <c r="B77" s="2">
        <v>22</v>
      </c>
      <c r="C77" t="s">
        <v>32</v>
      </c>
      <c r="D77" s="2" t="s">
        <v>42</v>
      </c>
      <c r="E77" s="2">
        <v>10</v>
      </c>
      <c r="F77" s="2">
        <v>265</v>
      </c>
      <c r="G77" s="2">
        <v>0.61899999999999999</v>
      </c>
      <c r="H77" s="2">
        <v>29.8</v>
      </c>
      <c r="I77" s="2">
        <v>24.9</v>
      </c>
      <c r="J77" s="18">
        <v>0.86956521739130432</v>
      </c>
      <c r="K77" s="2">
        <v>3.5</v>
      </c>
      <c r="L77" s="2">
        <v>0.7</v>
      </c>
      <c r="M77" s="2">
        <v>7.6</v>
      </c>
      <c r="N77" s="2">
        <v>22.5</v>
      </c>
      <c r="O77" s="2">
        <v>0.5</v>
      </c>
      <c r="P77" s="2">
        <v>0.19900000000000001</v>
      </c>
      <c r="Q77" s="2">
        <v>0.56799999999999995</v>
      </c>
      <c r="R77" s="2">
        <v>0.441</v>
      </c>
    </row>
    <row r="78" spans="1:18" x14ac:dyDescent="0.2">
      <c r="A78" t="s">
        <v>207</v>
      </c>
      <c r="B78" s="2">
        <v>32</v>
      </c>
      <c r="C78" t="s">
        <v>66</v>
      </c>
      <c r="D78" s="2" t="s">
        <v>27</v>
      </c>
      <c r="E78" s="2">
        <v>23</v>
      </c>
      <c r="F78" s="2">
        <v>413</v>
      </c>
      <c r="G78" s="2">
        <v>0.55700000000000005</v>
      </c>
      <c r="H78" s="2">
        <v>26.8</v>
      </c>
      <c r="I78" s="2">
        <v>22.3</v>
      </c>
      <c r="J78" s="18">
        <v>0.875</v>
      </c>
      <c r="K78" s="2">
        <v>-0.9</v>
      </c>
      <c r="L78" s="2">
        <v>0.4</v>
      </c>
      <c r="M78" s="2">
        <v>8.9</v>
      </c>
      <c r="N78" s="2">
        <v>16.899999999999999</v>
      </c>
      <c r="O78" s="2">
        <v>0.3</v>
      </c>
      <c r="P78" s="2">
        <v>0.10100000000000001</v>
      </c>
      <c r="Q78" s="2">
        <v>0.51900000000000002</v>
      </c>
      <c r="R78" s="2">
        <v>0.27900000000000003</v>
      </c>
    </row>
    <row r="79" spans="1:18" x14ac:dyDescent="0.2">
      <c r="A79" t="s">
        <v>445</v>
      </c>
      <c r="B79" s="2">
        <v>27</v>
      </c>
      <c r="C79" t="s">
        <v>70</v>
      </c>
      <c r="D79" s="2" t="s">
        <v>52</v>
      </c>
      <c r="E79" s="2">
        <v>12</v>
      </c>
      <c r="F79" s="2">
        <v>50</v>
      </c>
      <c r="G79" s="2">
        <v>0.67400000000000004</v>
      </c>
      <c r="H79" s="2">
        <v>26.7</v>
      </c>
      <c r="I79" s="2">
        <v>18.8</v>
      </c>
      <c r="J79" s="18">
        <v>4</v>
      </c>
      <c r="K79" s="2">
        <v>-1.7</v>
      </c>
      <c r="L79" s="2">
        <v>0</v>
      </c>
      <c r="M79" s="2">
        <v>6</v>
      </c>
      <c r="N79" s="2">
        <v>19</v>
      </c>
      <c r="O79" s="2">
        <v>0</v>
      </c>
      <c r="P79" s="2">
        <v>0.186</v>
      </c>
      <c r="Q79" s="2">
        <v>0.63900000000000001</v>
      </c>
      <c r="R79" s="2">
        <v>0.44400000000000001</v>
      </c>
    </row>
    <row r="80" spans="1:18" x14ac:dyDescent="0.2">
      <c r="A80" t="s">
        <v>548</v>
      </c>
      <c r="B80" s="2">
        <v>21</v>
      </c>
      <c r="C80" t="s">
        <v>35</v>
      </c>
      <c r="D80" s="2" t="s">
        <v>49</v>
      </c>
      <c r="E80" s="2">
        <v>3</v>
      </c>
      <c r="F80" s="2">
        <v>6</v>
      </c>
      <c r="G80" s="2">
        <v>0.5</v>
      </c>
      <c r="H80" s="2">
        <v>16.3</v>
      </c>
      <c r="I80" s="2">
        <v>22.1</v>
      </c>
      <c r="J80" s="18">
        <v>1</v>
      </c>
      <c r="K80" s="2">
        <v>4.3</v>
      </c>
      <c r="L80" s="2">
        <v>0</v>
      </c>
      <c r="M80" s="2">
        <v>15.4</v>
      </c>
      <c r="N80" s="2">
        <v>19.5</v>
      </c>
      <c r="O80" s="2">
        <v>0</v>
      </c>
      <c r="P80" s="2">
        <v>6.4000000000000001E-2</v>
      </c>
      <c r="Q80" s="2">
        <v>0.5</v>
      </c>
      <c r="R80" s="2">
        <v>0</v>
      </c>
    </row>
    <row r="81" spans="1:18" x14ac:dyDescent="0.2">
      <c r="A81" t="s">
        <v>196</v>
      </c>
      <c r="B81" s="2">
        <v>39</v>
      </c>
      <c r="C81" t="s">
        <v>93</v>
      </c>
      <c r="D81" s="2" t="s">
        <v>33</v>
      </c>
      <c r="E81" s="2">
        <v>24</v>
      </c>
      <c r="F81" s="2">
        <v>693</v>
      </c>
      <c r="G81" s="2">
        <v>0.58499999999999996</v>
      </c>
      <c r="H81" s="2">
        <v>17.2</v>
      </c>
      <c r="I81" s="2">
        <v>15.6</v>
      </c>
      <c r="J81" s="18">
        <v>4.7674418604651159</v>
      </c>
      <c r="K81" s="2">
        <v>0.4</v>
      </c>
      <c r="L81" s="2">
        <v>0.6</v>
      </c>
      <c r="M81" s="2">
        <v>7.5</v>
      </c>
      <c r="N81" s="2">
        <v>17.100000000000001</v>
      </c>
      <c r="O81" s="2">
        <v>0.7</v>
      </c>
      <c r="P81" s="2">
        <v>0.158</v>
      </c>
      <c r="Q81" s="2">
        <v>0.54100000000000004</v>
      </c>
      <c r="R81" s="2">
        <v>0.18</v>
      </c>
    </row>
    <row r="82" spans="1:18" x14ac:dyDescent="0.2">
      <c r="A82" t="s">
        <v>138</v>
      </c>
      <c r="B82" s="2">
        <v>23</v>
      </c>
      <c r="C82" t="s">
        <v>46</v>
      </c>
      <c r="D82" s="2" t="s">
        <v>52</v>
      </c>
      <c r="E82" s="2">
        <v>22</v>
      </c>
      <c r="F82" s="2">
        <v>774</v>
      </c>
      <c r="G82" s="2">
        <v>0.65900000000000003</v>
      </c>
      <c r="H82" s="2">
        <v>20.8</v>
      </c>
      <c r="I82" s="2">
        <v>15.7</v>
      </c>
      <c r="J82" s="18">
        <v>1.28125</v>
      </c>
      <c r="K82" s="2">
        <v>-0.4</v>
      </c>
      <c r="L82" s="2">
        <v>0.6</v>
      </c>
      <c r="M82" s="2">
        <v>9.1</v>
      </c>
      <c r="N82" s="2">
        <v>14.5</v>
      </c>
      <c r="O82" s="2">
        <v>0.3</v>
      </c>
      <c r="P82" s="2">
        <v>0.115</v>
      </c>
      <c r="Q82" s="2">
        <v>0.626</v>
      </c>
      <c r="R82" s="2">
        <v>0.34100000000000003</v>
      </c>
    </row>
    <row r="83" spans="1:18" x14ac:dyDescent="0.2">
      <c r="A83" t="s">
        <v>440</v>
      </c>
      <c r="B83" s="2">
        <v>24</v>
      </c>
      <c r="C83" t="s">
        <v>41</v>
      </c>
      <c r="D83" s="2" t="s">
        <v>42</v>
      </c>
      <c r="E83" s="2">
        <v>14</v>
      </c>
      <c r="F83" s="2">
        <v>138</v>
      </c>
      <c r="G83" s="2">
        <v>0.65600000000000003</v>
      </c>
      <c r="H83" s="2">
        <v>10.6</v>
      </c>
      <c r="I83" s="2">
        <v>8.9</v>
      </c>
      <c r="J83" s="18">
        <v>0.8</v>
      </c>
      <c r="K83" s="2">
        <v>-1.2</v>
      </c>
      <c r="L83" s="2">
        <v>0.1</v>
      </c>
      <c r="M83" s="2">
        <v>0</v>
      </c>
      <c r="N83" s="2">
        <v>10.7</v>
      </c>
      <c r="O83" s="2">
        <v>-0.1</v>
      </c>
      <c r="P83" s="2">
        <v>8.4000000000000005E-2</v>
      </c>
      <c r="Q83" s="2">
        <v>0.63600000000000001</v>
      </c>
      <c r="R83" s="2">
        <v>9.0999999999999998E-2</v>
      </c>
    </row>
    <row r="84" spans="1:18" x14ac:dyDescent="0.2">
      <c r="A84" t="s">
        <v>172</v>
      </c>
      <c r="B84" s="2">
        <v>33</v>
      </c>
      <c r="C84" t="s">
        <v>117</v>
      </c>
      <c r="D84" s="2" t="s">
        <v>33</v>
      </c>
      <c r="E84" s="2">
        <v>13</v>
      </c>
      <c r="F84" s="2">
        <v>439</v>
      </c>
      <c r="G84" s="2">
        <v>0.53900000000000003</v>
      </c>
      <c r="H84" s="2">
        <v>31.2</v>
      </c>
      <c r="I84" s="2">
        <v>27</v>
      </c>
      <c r="J84" s="18">
        <v>2.5</v>
      </c>
      <c r="K84" s="2">
        <v>-1.9</v>
      </c>
      <c r="L84" s="2">
        <v>0.1</v>
      </c>
      <c r="M84" s="2">
        <v>6.9</v>
      </c>
      <c r="N84" s="2">
        <v>16.7</v>
      </c>
      <c r="O84" s="2">
        <v>0.2</v>
      </c>
      <c r="P84" s="2">
        <v>4.9000000000000002E-2</v>
      </c>
      <c r="Q84" s="2">
        <v>0.52700000000000002</v>
      </c>
      <c r="R84" s="2">
        <v>0.13900000000000001</v>
      </c>
    </row>
    <row r="85" spans="1:18" x14ac:dyDescent="0.2">
      <c r="A85" t="s">
        <v>183</v>
      </c>
      <c r="B85" s="2">
        <v>30</v>
      </c>
      <c r="C85" t="s">
        <v>72</v>
      </c>
      <c r="D85" s="2" t="s">
        <v>42</v>
      </c>
      <c r="E85" s="2">
        <v>26</v>
      </c>
      <c r="F85" s="2">
        <v>593</v>
      </c>
      <c r="G85" s="2">
        <v>0.58899999999999997</v>
      </c>
      <c r="H85" s="2">
        <v>20.7</v>
      </c>
      <c r="I85" s="2">
        <v>16.600000000000001</v>
      </c>
      <c r="J85" s="18">
        <v>1.8421052631578947</v>
      </c>
      <c r="K85" s="2">
        <v>-0.7</v>
      </c>
      <c r="L85" s="2">
        <v>0.7</v>
      </c>
      <c r="M85" s="2">
        <v>7.9</v>
      </c>
      <c r="N85" s="2">
        <v>19.899999999999999</v>
      </c>
      <c r="O85" s="2">
        <v>0.3</v>
      </c>
      <c r="P85" s="2">
        <v>0.16600000000000001</v>
      </c>
      <c r="Q85" s="2">
        <v>0.58399999999999996</v>
      </c>
      <c r="R85" s="2">
        <v>0.25700000000000001</v>
      </c>
    </row>
    <row r="86" spans="1:18" x14ac:dyDescent="0.2">
      <c r="A86" t="s">
        <v>110</v>
      </c>
      <c r="B86" s="2">
        <v>24</v>
      </c>
      <c r="C86" t="s">
        <v>70</v>
      </c>
      <c r="D86" s="2" t="s">
        <v>52</v>
      </c>
      <c r="E86" s="2">
        <v>23</v>
      </c>
      <c r="F86" s="2">
        <v>751</v>
      </c>
      <c r="G86" s="2">
        <v>0.57899999999999996</v>
      </c>
      <c r="H86" s="2">
        <v>25.5</v>
      </c>
      <c r="I86" s="2">
        <v>23</v>
      </c>
      <c r="J86" s="18">
        <v>2.0185185185185186</v>
      </c>
      <c r="K86" s="2">
        <v>-1.7</v>
      </c>
      <c r="L86" s="2">
        <v>0.3</v>
      </c>
      <c r="M86" s="2">
        <v>0</v>
      </c>
      <c r="N86" s="2">
        <v>14</v>
      </c>
      <c r="O86" s="2">
        <v>0</v>
      </c>
      <c r="P86" s="2">
        <v>5.5E-2</v>
      </c>
      <c r="Q86" s="2">
        <v>0.54</v>
      </c>
      <c r="R86" s="2">
        <v>0.216</v>
      </c>
    </row>
    <row r="87" spans="1:18" x14ac:dyDescent="0.2">
      <c r="A87" t="s">
        <v>225</v>
      </c>
      <c r="B87" s="2">
        <v>29</v>
      </c>
      <c r="C87" t="s">
        <v>59</v>
      </c>
      <c r="D87" s="2" t="s">
        <v>49</v>
      </c>
      <c r="E87" s="2">
        <v>24</v>
      </c>
      <c r="F87" s="2">
        <v>629</v>
      </c>
      <c r="G87" s="2">
        <v>0.53900000000000003</v>
      </c>
      <c r="H87" s="2">
        <v>16.2</v>
      </c>
      <c r="I87" s="2">
        <v>14.6</v>
      </c>
      <c r="J87" s="18">
        <v>2.2799999999999998</v>
      </c>
      <c r="K87" s="2">
        <v>1</v>
      </c>
      <c r="L87" s="2">
        <v>0.6</v>
      </c>
      <c r="M87" s="2">
        <v>11</v>
      </c>
      <c r="N87" s="2">
        <v>12.6</v>
      </c>
      <c r="O87" s="2">
        <v>0.2</v>
      </c>
      <c r="P87" s="2">
        <v>8.6999999999999994E-2</v>
      </c>
      <c r="Q87" s="2">
        <v>0.52300000000000002</v>
      </c>
      <c r="R87" s="2">
        <v>0.18099999999999999</v>
      </c>
    </row>
    <row r="88" spans="1:18" x14ac:dyDescent="0.2">
      <c r="A88" t="s">
        <v>406</v>
      </c>
      <c r="B88" s="2">
        <v>20</v>
      </c>
      <c r="C88" t="s">
        <v>120</v>
      </c>
      <c r="D88" s="2" t="s">
        <v>52</v>
      </c>
      <c r="E88" s="2">
        <v>16</v>
      </c>
      <c r="F88" s="2">
        <v>299</v>
      </c>
      <c r="G88" s="2">
        <v>0.34300000000000003</v>
      </c>
      <c r="H88" s="2">
        <v>7.9</v>
      </c>
      <c r="I88" s="2">
        <v>11.6</v>
      </c>
      <c r="J88" s="18">
        <v>1.7272727272727273</v>
      </c>
      <c r="K88" s="2">
        <v>-1.1000000000000001</v>
      </c>
      <c r="L88" s="2">
        <v>0</v>
      </c>
      <c r="M88" s="2">
        <v>10</v>
      </c>
      <c r="N88" s="2">
        <v>2.9</v>
      </c>
      <c r="O88" s="2">
        <v>-0.4</v>
      </c>
      <c r="P88" s="2">
        <v>-7.0999999999999994E-2</v>
      </c>
      <c r="Q88" s="2">
        <v>0.32100000000000001</v>
      </c>
      <c r="R88" s="2">
        <v>0.14899999999999999</v>
      </c>
    </row>
    <row r="89" spans="1:18" x14ac:dyDescent="0.2">
      <c r="A89" t="s">
        <v>466</v>
      </c>
      <c r="B89" s="2">
        <v>22</v>
      </c>
      <c r="C89" t="s">
        <v>37</v>
      </c>
      <c r="D89" s="2" t="s">
        <v>52</v>
      </c>
      <c r="E89" s="2">
        <v>16</v>
      </c>
      <c r="F89" s="2">
        <v>82</v>
      </c>
      <c r="G89" s="2">
        <v>0.52600000000000002</v>
      </c>
      <c r="H89" s="2">
        <v>11.9</v>
      </c>
      <c r="I89" s="2">
        <v>13.2</v>
      </c>
      <c r="J89" s="18">
        <v>0.66666666666666663</v>
      </c>
      <c r="K89" s="2">
        <v>0.5</v>
      </c>
      <c r="L89" s="2">
        <v>0.1</v>
      </c>
      <c r="M89" s="2">
        <v>7.6</v>
      </c>
      <c r="N89" s="2">
        <v>8.3000000000000007</v>
      </c>
      <c r="O89" s="2">
        <v>0</v>
      </c>
      <c r="P89" s="2">
        <v>2.1000000000000001E-2</v>
      </c>
      <c r="Q89" s="2">
        <v>0.52600000000000002</v>
      </c>
      <c r="R89" s="2">
        <v>0</v>
      </c>
    </row>
    <row r="90" spans="1:18" x14ac:dyDescent="0.2">
      <c r="A90" t="s">
        <v>308</v>
      </c>
      <c r="B90" s="2">
        <v>24</v>
      </c>
      <c r="C90" t="s">
        <v>48</v>
      </c>
      <c r="D90" s="2" t="s">
        <v>33</v>
      </c>
      <c r="E90" s="2">
        <v>24</v>
      </c>
      <c r="F90" s="2">
        <v>265</v>
      </c>
      <c r="G90" s="2">
        <v>0.48799999999999999</v>
      </c>
      <c r="H90" s="2">
        <v>23.3</v>
      </c>
      <c r="I90" s="2">
        <v>25.5</v>
      </c>
      <c r="J90" s="18">
        <v>1.5714285714285714</v>
      </c>
      <c r="K90" s="2">
        <v>0.6</v>
      </c>
      <c r="L90" s="2">
        <v>0.4</v>
      </c>
      <c r="M90" s="2">
        <v>0</v>
      </c>
      <c r="N90" s="2">
        <v>10.7</v>
      </c>
      <c r="O90" s="2">
        <v>-0.1</v>
      </c>
      <c r="P90" s="2">
        <v>2.4E-2</v>
      </c>
      <c r="Q90" s="2">
        <v>0.44700000000000001</v>
      </c>
      <c r="R90" s="2">
        <v>0.28100000000000003</v>
      </c>
    </row>
    <row r="91" spans="1:18" x14ac:dyDescent="0.2">
      <c r="A91" t="s">
        <v>566</v>
      </c>
      <c r="B91" s="2">
        <v>25</v>
      </c>
      <c r="C91" t="s">
        <v>75</v>
      </c>
      <c r="D91" s="2" t="s">
        <v>49</v>
      </c>
      <c r="E91" s="2">
        <v>2</v>
      </c>
      <c r="F91" s="2">
        <v>13</v>
      </c>
      <c r="G91" s="2">
        <v>0</v>
      </c>
      <c r="H91" s="2">
        <v>0</v>
      </c>
      <c r="I91" s="2">
        <v>16.5</v>
      </c>
      <c r="J91" s="18" t="e">
        <v>#DIV/0!</v>
      </c>
      <c r="K91" s="2">
        <v>-6.3</v>
      </c>
      <c r="L91" s="2">
        <v>0</v>
      </c>
      <c r="M91" s="2">
        <v>5.7</v>
      </c>
      <c r="N91" s="2">
        <v>-11.4</v>
      </c>
      <c r="O91" s="2">
        <v>-0.1</v>
      </c>
      <c r="P91" s="2">
        <v>-0.33300000000000002</v>
      </c>
      <c r="Q91" s="2">
        <v>0</v>
      </c>
      <c r="R91" s="2">
        <v>0</v>
      </c>
    </row>
    <row r="92" spans="1:18" x14ac:dyDescent="0.2">
      <c r="A92" t="s">
        <v>496</v>
      </c>
      <c r="B92" s="2">
        <v>24</v>
      </c>
      <c r="C92" t="s">
        <v>80</v>
      </c>
      <c r="D92" s="2" t="s">
        <v>42</v>
      </c>
      <c r="E92" s="2">
        <v>7</v>
      </c>
      <c r="F92" s="2">
        <v>21</v>
      </c>
      <c r="G92" s="2">
        <v>0.66500000000000004</v>
      </c>
      <c r="H92" s="2">
        <v>21.9</v>
      </c>
      <c r="I92" s="2">
        <v>14.4</v>
      </c>
      <c r="J92" s="18" t="e">
        <v>#DIV/0!</v>
      </c>
      <c r="K92" s="2">
        <v>-0.6</v>
      </c>
      <c r="L92" s="2">
        <v>0</v>
      </c>
      <c r="M92" s="2">
        <v>0</v>
      </c>
      <c r="N92" s="2">
        <v>18.2</v>
      </c>
      <c r="O92" s="2">
        <v>0</v>
      </c>
      <c r="P92" s="2">
        <v>0.29699999999999999</v>
      </c>
      <c r="Q92" s="2">
        <v>0.25</v>
      </c>
      <c r="R92" s="2">
        <v>2</v>
      </c>
    </row>
    <row r="93" spans="1:18" x14ac:dyDescent="0.2">
      <c r="A93" t="s">
        <v>536</v>
      </c>
      <c r="B93" s="2">
        <v>25</v>
      </c>
      <c r="C93" t="s">
        <v>54</v>
      </c>
      <c r="D93" s="2" t="s">
        <v>33</v>
      </c>
      <c r="E93" s="2">
        <v>1</v>
      </c>
      <c r="F93" s="2">
        <v>3</v>
      </c>
      <c r="G93" s="2">
        <v>0.75</v>
      </c>
      <c r="H93" s="2">
        <v>49.2</v>
      </c>
      <c r="I93" s="2">
        <v>29.4</v>
      </c>
      <c r="J93" s="18" t="e">
        <v>#DIV/0!</v>
      </c>
      <c r="K93" s="2">
        <v>0.1</v>
      </c>
      <c r="L93" s="2">
        <v>0</v>
      </c>
      <c r="M93" s="2">
        <v>5.7</v>
      </c>
      <c r="N93" s="2">
        <v>26.8</v>
      </c>
      <c r="O93" s="2">
        <v>0</v>
      </c>
      <c r="P93" s="2">
        <v>0.14199999999999999</v>
      </c>
      <c r="Q93" s="2">
        <v>0.75</v>
      </c>
      <c r="R93" s="2">
        <v>0</v>
      </c>
    </row>
    <row r="94" spans="1:18" x14ac:dyDescent="0.2">
      <c r="A94" t="s">
        <v>123</v>
      </c>
      <c r="B94" s="2">
        <v>26</v>
      </c>
      <c r="C94" t="s">
        <v>120</v>
      </c>
      <c r="D94" s="2" t="s">
        <v>52</v>
      </c>
      <c r="E94" s="2">
        <v>23</v>
      </c>
      <c r="F94" s="2">
        <v>641</v>
      </c>
      <c r="G94" s="2">
        <v>0.61099999999999999</v>
      </c>
      <c r="H94" s="2">
        <v>29.2</v>
      </c>
      <c r="I94" s="2">
        <v>24.3</v>
      </c>
      <c r="J94" s="18">
        <v>1.3454545454545455</v>
      </c>
      <c r="K94" s="2">
        <v>-2.2999999999999998</v>
      </c>
      <c r="L94" s="2">
        <v>-0.1</v>
      </c>
      <c r="M94" s="2">
        <v>9.1</v>
      </c>
      <c r="N94" s="2">
        <v>15.3</v>
      </c>
      <c r="O94" s="2">
        <v>0</v>
      </c>
      <c r="P94" s="2">
        <v>6.6000000000000003E-2</v>
      </c>
      <c r="Q94" s="2">
        <v>0.55400000000000005</v>
      </c>
      <c r="R94" s="2">
        <v>0.318</v>
      </c>
    </row>
    <row r="95" spans="1:18" x14ac:dyDescent="0.2">
      <c r="A95" t="s">
        <v>224</v>
      </c>
      <c r="B95" s="2">
        <v>25</v>
      </c>
      <c r="C95" t="s">
        <v>114</v>
      </c>
      <c r="D95" s="2" t="s">
        <v>49</v>
      </c>
      <c r="E95" s="2">
        <v>19</v>
      </c>
      <c r="F95" s="2">
        <v>525</v>
      </c>
      <c r="G95" s="2">
        <v>0.53200000000000003</v>
      </c>
      <c r="H95" s="2">
        <v>18.399999999999999</v>
      </c>
      <c r="I95" s="2">
        <v>17</v>
      </c>
      <c r="J95" s="18">
        <v>1.3333333333333333</v>
      </c>
      <c r="K95" s="2">
        <v>-2.6</v>
      </c>
      <c r="L95" s="2">
        <v>-0.1</v>
      </c>
      <c r="M95" s="2">
        <v>5.7</v>
      </c>
      <c r="N95" s="2">
        <v>8.8000000000000007</v>
      </c>
      <c r="O95" s="2">
        <v>-0.5</v>
      </c>
      <c r="P95" s="2">
        <v>-1.6E-2</v>
      </c>
      <c r="Q95" s="2">
        <v>0.50800000000000001</v>
      </c>
      <c r="R95" s="2">
        <v>0.13</v>
      </c>
    </row>
    <row r="96" spans="1:18" x14ac:dyDescent="0.2">
      <c r="A96" t="s">
        <v>485</v>
      </c>
      <c r="B96" s="2">
        <v>33</v>
      </c>
      <c r="C96" t="s">
        <v>48</v>
      </c>
      <c r="D96" s="2" t="s">
        <v>33</v>
      </c>
      <c r="E96" s="2">
        <v>13</v>
      </c>
      <c r="F96" s="2">
        <v>46</v>
      </c>
      <c r="G96" s="2">
        <v>0.5</v>
      </c>
      <c r="H96" s="2">
        <v>16.100000000000001</v>
      </c>
      <c r="I96" s="2">
        <v>16</v>
      </c>
      <c r="J96" s="18">
        <v>4.5</v>
      </c>
      <c r="K96" s="2">
        <v>3.1</v>
      </c>
      <c r="L96" s="2">
        <v>0.1</v>
      </c>
      <c r="M96" s="2">
        <v>6.9</v>
      </c>
      <c r="N96" s="2">
        <v>15.5</v>
      </c>
      <c r="O96" s="2">
        <v>0.1</v>
      </c>
      <c r="P96" s="2">
        <v>0.159</v>
      </c>
      <c r="Q96" s="2">
        <v>0.5</v>
      </c>
      <c r="R96" s="2">
        <v>0</v>
      </c>
    </row>
    <row r="97" spans="1:18" x14ac:dyDescent="0.2">
      <c r="A97" t="s">
        <v>415</v>
      </c>
      <c r="B97" s="2">
        <v>24</v>
      </c>
      <c r="C97" t="s">
        <v>57</v>
      </c>
      <c r="D97" s="2" t="s">
        <v>33</v>
      </c>
      <c r="E97" s="2">
        <v>16</v>
      </c>
      <c r="F97" s="2">
        <v>151</v>
      </c>
      <c r="G97" s="2">
        <v>0.66300000000000003</v>
      </c>
      <c r="H97" s="2">
        <v>14</v>
      </c>
      <c r="I97" s="2">
        <v>12.1</v>
      </c>
      <c r="J97" s="18">
        <v>2.4444444444444446</v>
      </c>
      <c r="K97" s="2">
        <v>1.2</v>
      </c>
      <c r="L97" s="2">
        <v>0.2</v>
      </c>
      <c r="M97" s="2">
        <v>0</v>
      </c>
      <c r="N97" s="2">
        <v>12.5</v>
      </c>
      <c r="O97" s="2">
        <v>0.1</v>
      </c>
      <c r="P97" s="2">
        <v>0.111</v>
      </c>
      <c r="Q97" s="2">
        <v>0.66100000000000003</v>
      </c>
      <c r="R97" s="2">
        <v>0.161</v>
      </c>
    </row>
    <row r="98" spans="1:18" x14ac:dyDescent="0.2">
      <c r="A98" t="s">
        <v>534</v>
      </c>
      <c r="B98" s="2">
        <v>21</v>
      </c>
      <c r="C98" t="s">
        <v>103</v>
      </c>
      <c r="D98" s="2" t="s">
        <v>52</v>
      </c>
      <c r="E98" s="2">
        <v>5</v>
      </c>
      <c r="F98" s="2">
        <v>10</v>
      </c>
      <c r="G98" s="2">
        <v>0.19</v>
      </c>
      <c r="H98" s="2">
        <v>14.9</v>
      </c>
      <c r="I98" s="2">
        <v>35.299999999999997</v>
      </c>
      <c r="J98" s="18" t="e">
        <v>#DIV/0!</v>
      </c>
      <c r="K98" s="2">
        <v>-8.5</v>
      </c>
      <c r="L98" s="2">
        <v>0</v>
      </c>
      <c r="M98" s="2">
        <v>15.4</v>
      </c>
      <c r="N98" s="2">
        <v>-10.9</v>
      </c>
      <c r="O98" s="2">
        <v>-0.1</v>
      </c>
      <c r="P98" s="2">
        <v>-0.51600000000000001</v>
      </c>
      <c r="Q98" s="2">
        <v>0.14299999999999999</v>
      </c>
      <c r="R98" s="2">
        <v>0.28599999999999998</v>
      </c>
    </row>
    <row r="99" spans="1:18" x14ac:dyDescent="0.2">
      <c r="A99" t="s">
        <v>533</v>
      </c>
      <c r="B99" s="2">
        <v>24</v>
      </c>
      <c r="C99" t="s">
        <v>66</v>
      </c>
      <c r="D99" s="2" t="s">
        <v>52</v>
      </c>
      <c r="E99" s="2">
        <v>4</v>
      </c>
      <c r="F99" s="2">
        <v>33</v>
      </c>
      <c r="G99" s="2">
        <v>0.20200000000000001</v>
      </c>
      <c r="H99" s="2">
        <v>4.4000000000000004</v>
      </c>
      <c r="I99" s="2">
        <v>14.4</v>
      </c>
      <c r="J99" s="18">
        <v>0.75</v>
      </c>
      <c r="K99" s="2">
        <v>-1.3</v>
      </c>
      <c r="L99" s="2">
        <v>0</v>
      </c>
      <c r="M99" s="2">
        <v>0</v>
      </c>
      <c r="N99" s="2">
        <v>-2.6</v>
      </c>
      <c r="O99" s="2">
        <v>-0.1</v>
      </c>
      <c r="P99" s="2">
        <v>-0.20899999999999999</v>
      </c>
      <c r="Q99" s="2">
        <v>0.14299999999999999</v>
      </c>
      <c r="R99" s="2">
        <v>0.14299999999999999</v>
      </c>
    </row>
    <row r="100" spans="1:18" x14ac:dyDescent="0.2">
      <c r="A100" t="s">
        <v>157</v>
      </c>
      <c r="B100" s="2">
        <v>28</v>
      </c>
      <c r="C100" t="s">
        <v>41</v>
      </c>
      <c r="D100" s="2" t="s">
        <v>33</v>
      </c>
      <c r="E100" s="2">
        <v>23</v>
      </c>
      <c r="F100" s="2">
        <v>629</v>
      </c>
      <c r="G100" s="2">
        <v>0.54800000000000004</v>
      </c>
      <c r="H100" s="2">
        <v>23.1</v>
      </c>
      <c r="I100" s="2">
        <v>21.8</v>
      </c>
      <c r="J100" s="18">
        <v>2.8780487804878048</v>
      </c>
      <c r="K100" s="2">
        <v>-1.8</v>
      </c>
      <c r="L100" s="2">
        <v>0.2</v>
      </c>
      <c r="M100" s="2">
        <v>5.4</v>
      </c>
      <c r="N100" s="2">
        <v>13.9</v>
      </c>
      <c r="O100" s="2">
        <v>0</v>
      </c>
      <c r="P100" s="2">
        <v>0.05</v>
      </c>
      <c r="Q100" s="2">
        <v>0.51400000000000001</v>
      </c>
      <c r="R100" s="2">
        <v>0.17899999999999999</v>
      </c>
    </row>
    <row r="101" spans="1:18" x14ac:dyDescent="0.2">
      <c r="A101" t="s">
        <v>554</v>
      </c>
      <c r="B101" s="2">
        <v>22</v>
      </c>
      <c r="C101" t="s">
        <v>51</v>
      </c>
      <c r="D101" s="2" t="s">
        <v>33</v>
      </c>
      <c r="E101" s="2">
        <v>3</v>
      </c>
      <c r="F101" s="2">
        <v>13</v>
      </c>
      <c r="G101" s="2">
        <v>0.26600000000000001</v>
      </c>
      <c r="H101" s="2">
        <v>3.8</v>
      </c>
      <c r="I101" s="2">
        <v>19.899999999999999</v>
      </c>
      <c r="J101" s="18">
        <v>0.75</v>
      </c>
      <c r="K101" s="2">
        <v>-1.2</v>
      </c>
      <c r="L101" s="2">
        <v>0</v>
      </c>
      <c r="M101" s="2">
        <v>7.6</v>
      </c>
      <c r="N101" s="2">
        <v>-7</v>
      </c>
      <c r="O101" s="2">
        <v>0</v>
      </c>
      <c r="P101" s="2">
        <v>-0.318</v>
      </c>
      <c r="Q101" s="2">
        <v>0</v>
      </c>
      <c r="R101" s="2">
        <v>2</v>
      </c>
    </row>
    <row r="102" spans="1:18" x14ac:dyDescent="0.2">
      <c r="A102" t="s">
        <v>209</v>
      </c>
      <c r="B102" s="2">
        <v>25</v>
      </c>
      <c r="C102" t="s">
        <v>135</v>
      </c>
      <c r="D102" s="2" t="s">
        <v>33</v>
      </c>
      <c r="E102" s="2">
        <v>22</v>
      </c>
      <c r="F102" s="2">
        <v>378</v>
      </c>
      <c r="G102" s="2">
        <v>0.54100000000000004</v>
      </c>
      <c r="H102" s="2">
        <v>28.9</v>
      </c>
      <c r="I102" s="2">
        <v>27.1</v>
      </c>
      <c r="J102" s="18">
        <v>1.5263157894736843</v>
      </c>
      <c r="K102" s="2">
        <v>0.2</v>
      </c>
      <c r="L102" s="2">
        <v>0.3</v>
      </c>
      <c r="M102" s="2">
        <v>5.7</v>
      </c>
      <c r="N102" s="2">
        <v>16.5</v>
      </c>
      <c r="O102" s="2">
        <v>0.4</v>
      </c>
      <c r="P102" s="2">
        <v>4.4999999999999998E-2</v>
      </c>
      <c r="Q102" s="2">
        <v>0.51300000000000001</v>
      </c>
      <c r="R102" s="2">
        <v>0.27800000000000002</v>
      </c>
    </row>
    <row r="103" spans="1:18" x14ac:dyDescent="0.2">
      <c r="A103" t="s">
        <v>330</v>
      </c>
      <c r="B103" s="2">
        <v>22</v>
      </c>
      <c r="C103" t="s">
        <v>70</v>
      </c>
      <c r="D103" s="2" t="s">
        <v>52</v>
      </c>
      <c r="E103" s="2">
        <v>25</v>
      </c>
      <c r="F103" s="2">
        <v>337</v>
      </c>
      <c r="G103" s="2">
        <v>0.61399999999999999</v>
      </c>
      <c r="H103" s="2">
        <v>14.5</v>
      </c>
      <c r="I103" s="2">
        <v>13.3</v>
      </c>
      <c r="J103" s="18">
        <v>1.0952380952380953</v>
      </c>
      <c r="K103" s="2">
        <v>-0.4</v>
      </c>
      <c r="L103" s="2">
        <v>0.1</v>
      </c>
      <c r="M103" s="2">
        <v>7.6</v>
      </c>
      <c r="N103" s="2">
        <v>9.6999999999999993</v>
      </c>
      <c r="O103" s="2">
        <v>-0.1</v>
      </c>
      <c r="P103" s="2">
        <v>4.7E-2</v>
      </c>
      <c r="Q103" s="2">
        <v>0.56799999999999995</v>
      </c>
      <c r="R103" s="2">
        <v>0.378</v>
      </c>
    </row>
    <row r="104" spans="1:18" x14ac:dyDescent="0.2">
      <c r="A104" t="s">
        <v>184</v>
      </c>
      <c r="B104" s="2">
        <v>23</v>
      </c>
      <c r="C104" t="s">
        <v>41</v>
      </c>
      <c r="D104" s="2" t="s">
        <v>49</v>
      </c>
      <c r="E104" s="2">
        <v>24</v>
      </c>
      <c r="F104" s="2">
        <v>583</v>
      </c>
      <c r="G104" s="2">
        <v>0.6</v>
      </c>
      <c r="H104" s="2">
        <v>22.3</v>
      </c>
      <c r="I104" s="2">
        <v>17.600000000000001</v>
      </c>
      <c r="J104" s="18">
        <v>2.1538461538461537</v>
      </c>
      <c r="K104" s="2">
        <v>-2.2999999999999998</v>
      </c>
      <c r="L104" s="2">
        <v>0.1</v>
      </c>
      <c r="M104" s="2">
        <v>9.1</v>
      </c>
      <c r="N104" s="2">
        <v>13</v>
      </c>
      <c r="O104" s="2">
        <v>0</v>
      </c>
      <c r="P104" s="2">
        <v>6.9000000000000006E-2</v>
      </c>
      <c r="Q104" s="2">
        <v>0.58799999999999997</v>
      </c>
      <c r="R104" s="2">
        <v>0.104</v>
      </c>
    </row>
    <row r="105" spans="1:18" x14ac:dyDescent="0.2">
      <c r="A105" t="s">
        <v>64</v>
      </c>
      <c r="B105" s="2">
        <v>34</v>
      </c>
      <c r="C105" t="s">
        <v>35</v>
      </c>
      <c r="D105" s="2" t="s">
        <v>33</v>
      </c>
      <c r="E105" s="2">
        <v>21</v>
      </c>
      <c r="F105" s="2">
        <v>763</v>
      </c>
      <c r="G105" s="2">
        <v>0.626</v>
      </c>
      <c r="H105" s="2">
        <v>34.6</v>
      </c>
      <c r="I105" s="2">
        <v>28.8</v>
      </c>
      <c r="J105" s="18">
        <v>2.484375</v>
      </c>
      <c r="K105" s="2">
        <v>-1.3</v>
      </c>
      <c r="L105" s="2">
        <v>0.5</v>
      </c>
      <c r="M105" s="2">
        <v>6.7</v>
      </c>
      <c r="N105" s="2">
        <v>22.4</v>
      </c>
      <c r="O105" s="2">
        <v>1.1000000000000001</v>
      </c>
      <c r="P105" s="2">
        <v>0.186</v>
      </c>
      <c r="Q105" s="2">
        <v>0.55100000000000005</v>
      </c>
      <c r="R105" s="2">
        <v>0.41</v>
      </c>
    </row>
    <row r="106" spans="1:18" x14ac:dyDescent="0.2">
      <c r="A106" t="s">
        <v>486</v>
      </c>
      <c r="B106" s="2">
        <v>32</v>
      </c>
      <c r="C106" t="s">
        <v>54</v>
      </c>
      <c r="D106" s="2" t="s">
        <v>52</v>
      </c>
      <c r="E106" s="2">
        <v>4</v>
      </c>
      <c r="F106" s="2">
        <v>37</v>
      </c>
      <c r="G106" s="2">
        <v>0.45100000000000001</v>
      </c>
      <c r="H106" s="2">
        <v>20</v>
      </c>
      <c r="I106" s="2">
        <v>23.4</v>
      </c>
      <c r="J106" s="18">
        <v>1.6666666666666667</v>
      </c>
      <c r="K106" s="2">
        <v>0.6</v>
      </c>
      <c r="L106" s="2">
        <v>0</v>
      </c>
      <c r="M106" s="2">
        <v>8.9</v>
      </c>
      <c r="N106" s="2">
        <v>9.4</v>
      </c>
      <c r="O106" s="2">
        <v>0</v>
      </c>
      <c r="P106" s="2">
        <v>-3.2000000000000001E-2</v>
      </c>
      <c r="Q106" s="2">
        <v>0.32100000000000001</v>
      </c>
      <c r="R106" s="2">
        <v>0.42899999999999999</v>
      </c>
    </row>
    <row r="107" spans="1:18" x14ac:dyDescent="0.2">
      <c r="A107" t="s">
        <v>155</v>
      </c>
      <c r="B107" s="2">
        <v>26</v>
      </c>
      <c r="C107" t="s">
        <v>63</v>
      </c>
      <c r="D107" s="2" t="s">
        <v>42</v>
      </c>
      <c r="E107" s="2">
        <v>24</v>
      </c>
      <c r="F107" s="2">
        <v>500</v>
      </c>
      <c r="G107" s="4">
        <v>0.74299999999999999</v>
      </c>
      <c r="H107" s="2">
        <v>28.9</v>
      </c>
      <c r="I107" s="2">
        <v>18.899999999999999</v>
      </c>
      <c r="J107" s="18">
        <v>1.3636363636363635</v>
      </c>
      <c r="K107" s="2">
        <v>0.8</v>
      </c>
      <c r="L107" s="2">
        <v>0.7</v>
      </c>
      <c r="M107" s="2">
        <v>9.1</v>
      </c>
      <c r="N107" s="2">
        <v>26.4</v>
      </c>
      <c r="O107" s="2">
        <v>0.9</v>
      </c>
      <c r="P107" s="2">
        <v>0.28100000000000003</v>
      </c>
      <c r="Q107" s="4">
        <v>0.73799999999999999</v>
      </c>
      <c r="R107" s="2">
        <v>0.39500000000000002</v>
      </c>
    </row>
    <row r="108" spans="1:18" x14ac:dyDescent="0.2">
      <c r="A108" t="s">
        <v>380</v>
      </c>
      <c r="B108" s="2">
        <v>32</v>
      </c>
      <c r="C108" t="s">
        <v>117</v>
      </c>
      <c r="D108" s="2" t="s">
        <v>42</v>
      </c>
      <c r="E108" s="2">
        <v>18</v>
      </c>
      <c r="F108" s="2">
        <v>257</v>
      </c>
      <c r="G108" s="2">
        <v>0.52100000000000002</v>
      </c>
      <c r="H108" s="2">
        <v>12.7</v>
      </c>
      <c r="I108" s="2">
        <v>12.6</v>
      </c>
      <c r="J108" s="18">
        <v>1.9166666666666667</v>
      </c>
      <c r="K108" s="2">
        <v>-0.1</v>
      </c>
      <c r="L108" s="2">
        <v>0.1</v>
      </c>
      <c r="M108" s="2">
        <v>8.9</v>
      </c>
      <c r="N108" s="2">
        <v>10.4</v>
      </c>
      <c r="O108" s="2">
        <v>-0.2</v>
      </c>
      <c r="P108" s="2">
        <v>3.9E-2</v>
      </c>
      <c r="Q108" s="2">
        <v>0.48299999999999998</v>
      </c>
      <c r="R108" s="2">
        <v>0.20300000000000001</v>
      </c>
    </row>
    <row r="109" spans="1:18" x14ac:dyDescent="0.2">
      <c r="A109" t="s">
        <v>560</v>
      </c>
      <c r="B109" s="2">
        <v>23</v>
      </c>
      <c r="C109" t="s">
        <v>75</v>
      </c>
      <c r="D109" s="2" t="s">
        <v>33</v>
      </c>
      <c r="E109" s="2">
        <v>2</v>
      </c>
      <c r="F109" s="2">
        <v>5</v>
      </c>
      <c r="G109" s="2">
        <v>0</v>
      </c>
      <c r="H109" s="2">
        <v>0</v>
      </c>
      <c r="I109" s="2">
        <v>17.100000000000001</v>
      </c>
      <c r="J109" s="18" t="e">
        <v>#DIV/0!</v>
      </c>
      <c r="K109" s="2">
        <v>-7.5</v>
      </c>
      <c r="L109" s="2">
        <v>0</v>
      </c>
      <c r="M109" s="2">
        <v>9.1</v>
      </c>
      <c r="N109" s="2">
        <v>-18</v>
      </c>
      <c r="O109" s="2">
        <v>0</v>
      </c>
      <c r="P109" s="2">
        <v>-0.40400000000000003</v>
      </c>
      <c r="Q109" s="2">
        <v>0</v>
      </c>
      <c r="R109" s="2">
        <v>0</v>
      </c>
    </row>
    <row r="110" spans="1:18" x14ac:dyDescent="0.2">
      <c r="A110" t="s">
        <v>431</v>
      </c>
      <c r="B110" s="2">
        <v>27</v>
      </c>
      <c r="C110" t="s">
        <v>59</v>
      </c>
      <c r="D110" s="2" t="s">
        <v>52</v>
      </c>
      <c r="E110" s="2">
        <v>3</v>
      </c>
      <c r="F110" s="2">
        <v>61</v>
      </c>
      <c r="G110" s="2">
        <v>0.79</v>
      </c>
      <c r="H110" s="2">
        <v>26.8</v>
      </c>
      <c r="I110" s="2">
        <v>15.9</v>
      </c>
      <c r="J110" s="18">
        <v>1.5</v>
      </c>
      <c r="K110" s="2">
        <v>-0.2</v>
      </c>
      <c r="L110" s="2">
        <v>0</v>
      </c>
      <c r="M110" s="2">
        <v>6</v>
      </c>
      <c r="N110" s="2">
        <v>20.2</v>
      </c>
      <c r="O110" s="2">
        <v>0.1</v>
      </c>
      <c r="P110" s="2">
        <v>0.184</v>
      </c>
      <c r="Q110" s="2">
        <v>0.8</v>
      </c>
      <c r="R110" s="2">
        <v>0.1</v>
      </c>
    </row>
    <row r="111" spans="1:18" x14ac:dyDescent="0.2">
      <c r="A111" t="s">
        <v>429</v>
      </c>
      <c r="B111" s="2">
        <v>30</v>
      </c>
      <c r="C111" t="s">
        <v>46</v>
      </c>
      <c r="D111" s="2" t="s">
        <v>42</v>
      </c>
      <c r="E111" s="2">
        <v>10</v>
      </c>
      <c r="F111" s="2">
        <v>136</v>
      </c>
      <c r="G111" s="2">
        <v>0.39900000000000002</v>
      </c>
      <c r="H111" s="2">
        <v>11.9</v>
      </c>
      <c r="I111" s="2">
        <v>16.600000000000001</v>
      </c>
      <c r="J111" s="18">
        <v>1</v>
      </c>
      <c r="K111" s="2">
        <v>-0.9</v>
      </c>
      <c r="L111" s="2">
        <v>0.1</v>
      </c>
      <c r="M111" s="2">
        <v>7.9</v>
      </c>
      <c r="N111" s="2">
        <v>5.3</v>
      </c>
      <c r="O111" s="2">
        <v>-0.2</v>
      </c>
      <c r="P111" s="2">
        <v>-4.4999999999999998E-2</v>
      </c>
      <c r="Q111" s="2">
        <v>0.36299999999999999</v>
      </c>
      <c r="R111" s="2">
        <v>0.15</v>
      </c>
    </row>
    <row r="112" spans="1:18" x14ac:dyDescent="0.2">
      <c r="A112" t="s">
        <v>476</v>
      </c>
      <c r="B112" s="2">
        <v>20</v>
      </c>
      <c r="C112" t="s">
        <v>103</v>
      </c>
      <c r="D112" s="2" t="s">
        <v>49</v>
      </c>
      <c r="E112" s="2">
        <v>3</v>
      </c>
      <c r="F112" s="2">
        <v>26</v>
      </c>
      <c r="G112" s="2">
        <v>0.81799999999999995</v>
      </c>
      <c r="H112" s="2">
        <v>34.4</v>
      </c>
      <c r="I112" s="2">
        <v>24.1</v>
      </c>
      <c r="J112" s="18">
        <v>0.33333333333333331</v>
      </c>
      <c r="K112" s="2">
        <v>1.8</v>
      </c>
      <c r="L112" s="2">
        <v>0</v>
      </c>
      <c r="M112" s="2">
        <v>10</v>
      </c>
      <c r="N112" s="2">
        <v>21.8</v>
      </c>
      <c r="O112" s="2">
        <v>0.1</v>
      </c>
      <c r="P112" s="2">
        <v>7.9000000000000001E-2</v>
      </c>
      <c r="Q112" s="2">
        <v>0.81799999999999995</v>
      </c>
      <c r="R112" s="2">
        <v>0</v>
      </c>
    </row>
    <row r="113" spans="1:18" x14ac:dyDescent="0.2">
      <c r="A113" t="s">
        <v>83</v>
      </c>
      <c r="B113" s="2">
        <v>25</v>
      </c>
      <c r="C113" t="s">
        <v>57</v>
      </c>
      <c r="D113" s="2" t="s">
        <v>33</v>
      </c>
      <c r="E113" s="2">
        <v>24</v>
      </c>
      <c r="F113" s="2">
        <v>728</v>
      </c>
      <c r="G113" s="2">
        <v>0.621</v>
      </c>
      <c r="H113" s="2">
        <v>32.4</v>
      </c>
      <c r="I113" s="2">
        <v>26.8</v>
      </c>
      <c r="J113" s="18">
        <v>2.8703703703703702</v>
      </c>
      <c r="K113" s="2">
        <v>-1.2</v>
      </c>
      <c r="L113" s="2">
        <v>0.6</v>
      </c>
      <c r="M113" s="2">
        <v>5.7</v>
      </c>
      <c r="N113" s="2">
        <v>20.6</v>
      </c>
      <c r="O113" s="2">
        <v>0.9</v>
      </c>
      <c r="P113" s="2">
        <v>0.183</v>
      </c>
      <c r="Q113" s="2">
        <v>0.58199999999999996</v>
      </c>
      <c r="R113" s="2">
        <v>0.19500000000000001</v>
      </c>
    </row>
    <row r="114" spans="1:18" x14ac:dyDescent="0.2">
      <c r="A114" t="s">
        <v>535</v>
      </c>
      <c r="B114" s="2">
        <v>25</v>
      </c>
      <c r="C114" t="s">
        <v>93</v>
      </c>
      <c r="D114" s="2" t="s">
        <v>52</v>
      </c>
      <c r="E114" s="2">
        <v>1</v>
      </c>
      <c r="F114" s="2">
        <v>8</v>
      </c>
      <c r="G114" s="2">
        <v>0.307</v>
      </c>
      <c r="H114" s="2">
        <v>18.2</v>
      </c>
      <c r="I114" s="2">
        <v>26.1</v>
      </c>
      <c r="J114" s="18" t="e">
        <v>#DIV/0!</v>
      </c>
      <c r="K114" s="2">
        <v>-5</v>
      </c>
      <c r="L114" s="2">
        <v>0</v>
      </c>
      <c r="M114" s="2">
        <v>5.7</v>
      </c>
      <c r="N114" s="2">
        <v>3.1</v>
      </c>
      <c r="O114" s="2">
        <v>0</v>
      </c>
      <c r="P114" s="2">
        <v>-0.11700000000000001</v>
      </c>
      <c r="Q114" s="2">
        <v>0.25</v>
      </c>
      <c r="R114" s="2">
        <v>0.5</v>
      </c>
    </row>
    <row r="115" spans="1:18" x14ac:dyDescent="0.2">
      <c r="A115" t="s">
        <v>370</v>
      </c>
      <c r="B115" s="2">
        <v>23</v>
      </c>
      <c r="C115" t="s">
        <v>72</v>
      </c>
      <c r="D115" s="2" t="s">
        <v>27</v>
      </c>
      <c r="E115" s="2">
        <v>14</v>
      </c>
      <c r="F115" s="2">
        <v>204</v>
      </c>
      <c r="G115" s="2">
        <v>0.69799999999999995</v>
      </c>
      <c r="H115" s="2">
        <v>17</v>
      </c>
      <c r="I115" s="2">
        <v>13.2</v>
      </c>
      <c r="J115" s="18">
        <v>1.4615384615384615</v>
      </c>
      <c r="K115" s="2">
        <v>0.1</v>
      </c>
      <c r="L115" s="2">
        <v>0.2</v>
      </c>
      <c r="M115" s="2">
        <v>9.1</v>
      </c>
      <c r="N115" s="2">
        <v>12.8</v>
      </c>
      <c r="O115" s="2">
        <v>0.1</v>
      </c>
      <c r="P115" s="2">
        <v>9.2999999999999999E-2</v>
      </c>
      <c r="Q115" s="2">
        <v>0.66700000000000004</v>
      </c>
      <c r="R115" s="2">
        <v>0.27100000000000002</v>
      </c>
    </row>
    <row r="116" spans="1:18" x14ac:dyDescent="0.2">
      <c r="A116" t="s">
        <v>249</v>
      </c>
      <c r="B116" s="2">
        <v>26</v>
      </c>
      <c r="C116" t="s">
        <v>66</v>
      </c>
      <c r="D116" s="2" t="s">
        <v>33</v>
      </c>
      <c r="E116" s="2">
        <v>26</v>
      </c>
      <c r="F116" s="2">
        <v>707</v>
      </c>
      <c r="G116" s="2">
        <v>0.48699999999999999</v>
      </c>
      <c r="H116" s="2">
        <v>12.2</v>
      </c>
      <c r="I116" s="2">
        <v>13.7</v>
      </c>
      <c r="J116" s="18">
        <v>2.64</v>
      </c>
      <c r="K116" s="2">
        <v>-0.6</v>
      </c>
      <c r="L116" s="2">
        <v>0.2</v>
      </c>
      <c r="M116" s="2">
        <v>9.1</v>
      </c>
      <c r="N116" s="2">
        <v>7.5</v>
      </c>
      <c r="O116" s="2">
        <v>-0.5</v>
      </c>
      <c r="P116" s="2">
        <v>8.0000000000000002E-3</v>
      </c>
      <c r="Q116" s="2">
        <v>0.46400000000000002</v>
      </c>
      <c r="R116" s="2">
        <v>0.183</v>
      </c>
    </row>
    <row r="117" spans="1:18" x14ac:dyDescent="0.2">
      <c r="A117" t="s">
        <v>488</v>
      </c>
      <c r="B117" s="2">
        <v>23</v>
      </c>
      <c r="C117" t="s">
        <v>103</v>
      </c>
      <c r="D117" s="2" t="s">
        <v>42</v>
      </c>
      <c r="E117" s="2">
        <v>3</v>
      </c>
      <c r="F117" s="2">
        <v>44</v>
      </c>
      <c r="G117" s="2">
        <v>0.55000000000000004</v>
      </c>
      <c r="H117" s="2">
        <v>17</v>
      </c>
      <c r="I117" s="2">
        <v>14.9</v>
      </c>
      <c r="J117" s="18">
        <v>3</v>
      </c>
      <c r="K117" s="2">
        <v>1.9</v>
      </c>
      <c r="L117" s="2">
        <v>0.1</v>
      </c>
      <c r="M117" s="2">
        <v>9.1</v>
      </c>
      <c r="N117" s="2">
        <v>17.100000000000001</v>
      </c>
      <c r="O117" s="2">
        <v>0</v>
      </c>
      <c r="P117" s="2">
        <v>0.16900000000000001</v>
      </c>
      <c r="Q117" s="2">
        <v>0.40899999999999997</v>
      </c>
      <c r="R117" s="2">
        <v>0.54500000000000004</v>
      </c>
    </row>
    <row r="118" spans="1:18" x14ac:dyDescent="0.2">
      <c r="A118" t="s">
        <v>36</v>
      </c>
      <c r="B118" s="2">
        <v>27</v>
      </c>
      <c r="C118" t="s">
        <v>37</v>
      </c>
      <c r="D118" s="2" t="s">
        <v>33</v>
      </c>
      <c r="E118" s="2">
        <v>26</v>
      </c>
      <c r="F118" s="4">
        <v>968</v>
      </c>
      <c r="G118" s="2">
        <v>0.57699999999999996</v>
      </c>
      <c r="H118" s="2">
        <v>34.1</v>
      </c>
      <c r="I118" s="2">
        <v>30.3</v>
      </c>
      <c r="J118" s="18">
        <v>1.7472527472527473</v>
      </c>
      <c r="K118" s="2">
        <v>-1.1000000000000001</v>
      </c>
      <c r="L118" s="2">
        <v>0.9</v>
      </c>
      <c r="M118" s="2">
        <v>6</v>
      </c>
      <c r="N118" s="2">
        <v>19.899999999999999</v>
      </c>
      <c r="O118" s="2">
        <v>0.8</v>
      </c>
      <c r="P118" s="2">
        <v>0.11600000000000001</v>
      </c>
      <c r="Q118" s="2">
        <v>0.53500000000000003</v>
      </c>
      <c r="R118" s="2">
        <v>0.29199999999999998</v>
      </c>
    </row>
    <row r="119" spans="1:18" x14ac:dyDescent="0.2">
      <c r="A119" t="s">
        <v>160</v>
      </c>
      <c r="B119" s="2">
        <v>27</v>
      </c>
      <c r="C119" t="s">
        <v>72</v>
      </c>
      <c r="D119" s="2" t="s">
        <v>49</v>
      </c>
      <c r="E119" s="2">
        <v>15</v>
      </c>
      <c r="F119" s="2">
        <v>417</v>
      </c>
      <c r="G119" s="2">
        <v>0.63800000000000001</v>
      </c>
      <c r="H119" s="2">
        <v>32.700000000000003</v>
      </c>
      <c r="I119" s="2">
        <v>23.9</v>
      </c>
      <c r="J119" s="18">
        <v>1.0588235294117647</v>
      </c>
      <c r="K119" s="2">
        <v>-1.2</v>
      </c>
      <c r="L119" s="2">
        <v>0.2</v>
      </c>
      <c r="M119" s="2">
        <v>6</v>
      </c>
      <c r="N119" s="2">
        <v>17.7</v>
      </c>
      <c r="O119" s="2">
        <v>0.3</v>
      </c>
      <c r="P119" s="2">
        <v>0.13800000000000001</v>
      </c>
      <c r="Q119" s="2">
        <v>0.58499999999999996</v>
      </c>
      <c r="R119" s="2">
        <v>0.33300000000000002</v>
      </c>
    </row>
    <row r="120" spans="1:18" x14ac:dyDescent="0.2">
      <c r="A120" t="s">
        <v>389</v>
      </c>
      <c r="B120" s="2">
        <v>26</v>
      </c>
      <c r="C120" t="s">
        <v>100</v>
      </c>
      <c r="D120" s="2" t="s">
        <v>52</v>
      </c>
      <c r="E120" s="2">
        <v>6</v>
      </c>
      <c r="F120" s="2">
        <v>121</v>
      </c>
      <c r="G120" s="2">
        <v>0.53900000000000003</v>
      </c>
      <c r="H120" s="2">
        <v>24.6</v>
      </c>
      <c r="I120" s="2">
        <v>23.2</v>
      </c>
      <c r="J120" s="18">
        <v>1.7</v>
      </c>
      <c r="K120" s="2">
        <v>0.7</v>
      </c>
      <c r="L120" s="2">
        <v>0.2</v>
      </c>
      <c r="M120" s="2">
        <v>9.1</v>
      </c>
      <c r="N120" s="2">
        <v>13.5</v>
      </c>
      <c r="O120" s="2">
        <v>0</v>
      </c>
      <c r="P120" s="2">
        <v>9.5000000000000001E-2</v>
      </c>
      <c r="Q120" s="2">
        <v>0.52800000000000002</v>
      </c>
      <c r="R120" s="2">
        <v>0.14799999999999999</v>
      </c>
    </row>
    <row r="121" spans="1:18" x14ac:dyDescent="0.2">
      <c r="A121" t="s">
        <v>348</v>
      </c>
      <c r="B121" s="2">
        <v>28</v>
      </c>
      <c r="C121" t="s">
        <v>57</v>
      </c>
      <c r="D121" s="2" t="s">
        <v>27</v>
      </c>
      <c r="E121" s="2">
        <v>17</v>
      </c>
      <c r="F121" s="2">
        <v>376</v>
      </c>
      <c r="G121" s="2">
        <v>0.498</v>
      </c>
      <c r="H121" s="2">
        <v>12</v>
      </c>
      <c r="I121" s="2">
        <v>11.4</v>
      </c>
      <c r="J121" s="18">
        <v>5</v>
      </c>
      <c r="K121" s="2">
        <v>1.4</v>
      </c>
      <c r="L121" s="2">
        <v>0.6</v>
      </c>
      <c r="M121" s="2">
        <v>5.4</v>
      </c>
      <c r="N121" s="2">
        <v>10.199999999999999</v>
      </c>
      <c r="O121" s="2">
        <v>0.2</v>
      </c>
      <c r="P121" s="2">
        <v>9.6000000000000002E-2</v>
      </c>
      <c r="Q121" s="2">
        <v>0.5</v>
      </c>
      <c r="R121" s="2">
        <v>0.221</v>
      </c>
    </row>
    <row r="122" spans="1:18" x14ac:dyDescent="0.2">
      <c r="A122" t="s">
        <v>199</v>
      </c>
      <c r="B122" s="2">
        <v>26</v>
      </c>
      <c r="C122" t="s">
        <v>135</v>
      </c>
      <c r="D122" s="2" t="s">
        <v>42</v>
      </c>
      <c r="E122" s="2">
        <v>17</v>
      </c>
      <c r="F122" s="2">
        <v>513</v>
      </c>
      <c r="G122" s="2">
        <v>0.57299999999999995</v>
      </c>
      <c r="H122" s="2">
        <v>22.7</v>
      </c>
      <c r="I122" s="2">
        <v>19.5</v>
      </c>
      <c r="J122" s="18">
        <v>0.67741935483870963</v>
      </c>
      <c r="K122" s="2">
        <v>-1.4</v>
      </c>
      <c r="L122" s="2">
        <v>0.5</v>
      </c>
      <c r="M122" s="2">
        <v>9.1</v>
      </c>
      <c r="N122" s="2">
        <v>16.5</v>
      </c>
      <c r="O122" s="2">
        <v>-0.1</v>
      </c>
      <c r="P122" s="2">
        <v>7.9000000000000001E-2</v>
      </c>
      <c r="Q122" s="2">
        <v>0.56699999999999995</v>
      </c>
      <c r="R122" s="2">
        <v>0.104</v>
      </c>
    </row>
    <row r="123" spans="1:18" x14ac:dyDescent="0.2">
      <c r="A123" t="s">
        <v>449</v>
      </c>
      <c r="B123" s="2">
        <v>36</v>
      </c>
      <c r="C123" t="s">
        <v>46</v>
      </c>
      <c r="D123" s="2" t="s">
        <v>42</v>
      </c>
      <c r="E123" s="2">
        <v>10</v>
      </c>
      <c r="F123" s="2">
        <v>98</v>
      </c>
      <c r="G123" s="2">
        <v>0.53</v>
      </c>
      <c r="H123" s="2">
        <v>12.6</v>
      </c>
      <c r="I123" s="2">
        <v>14.8</v>
      </c>
      <c r="J123" s="18">
        <v>0.8</v>
      </c>
      <c r="K123" s="2">
        <v>-1.1000000000000001</v>
      </c>
      <c r="L123" s="2">
        <v>0.1</v>
      </c>
      <c r="M123" s="2">
        <v>8.4</v>
      </c>
      <c r="N123" s="2">
        <v>9.1</v>
      </c>
      <c r="O123" s="2">
        <v>-0.1</v>
      </c>
      <c r="P123" s="2">
        <v>5.0000000000000001E-3</v>
      </c>
      <c r="Q123" s="2">
        <v>0.57099999999999995</v>
      </c>
      <c r="R123" s="2">
        <v>0.38100000000000001</v>
      </c>
    </row>
    <row r="124" spans="1:18" x14ac:dyDescent="0.2">
      <c r="A124" t="s">
        <v>285</v>
      </c>
      <c r="B124" s="2">
        <v>28</v>
      </c>
      <c r="C124" t="s">
        <v>117</v>
      </c>
      <c r="D124" s="2" t="s">
        <v>33</v>
      </c>
      <c r="E124" s="2">
        <v>9</v>
      </c>
      <c r="F124" s="2">
        <v>295</v>
      </c>
      <c r="G124" s="2">
        <v>0.45100000000000001</v>
      </c>
      <c r="H124" s="2">
        <v>24.4</v>
      </c>
      <c r="I124" s="2">
        <v>28.3</v>
      </c>
      <c r="J124" s="18">
        <v>1.7941176470588236</v>
      </c>
      <c r="K124" s="2">
        <v>-0.1</v>
      </c>
      <c r="L124" s="2">
        <v>0.3</v>
      </c>
      <c r="M124" s="2">
        <v>5.4</v>
      </c>
      <c r="N124" s="2">
        <v>12.5</v>
      </c>
      <c r="O124" s="2">
        <v>-0.1</v>
      </c>
      <c r="P124" s="2">
        <v>-4.7E-2</v>
      </c>
      <c r="Q124" s="2">
        <v>0.39500000000000002</v>
      </c>
      <c r="R124" s="2">
        <v>0.245</v>
      </c>
    </row>
    <row r="125" spans="1:18" x14ac:dyDescent="0.2">
      <c r="A125" t="s">
        <v>407</v>
      </c>
      <c r="B125" s="2">
        <v>32</v>
      </c>
      <c r="C125" t="s">
        <v>35</v>
      </c>
      <c r="D125" s="2" t="s">
        <v>33</v>
      </c>
      <c r="E125" s="2">
        <v>18</v>
      </c>
      <c r="F125" s="2">
        <v>287</v>
      </c>
      <c r="G125" s="2">
        <v>0.41799999999999998</v>
      </c>
      <c r="H125" s="2">
        <v>8.1999999999999993</v>
      </c>
      <c r="I125" s="2">
        <v>10.1</v>
      </c>
      <c r="J125" s="18">
        <v>3.625</v>
      </c>
      <c r="K125" s="2">
        <v>0.7</v>
      </c>
      <c r="L125" s="2">
        <v>0.3</v>
      </c>
      <c r="M125" s="2">
        <v>8.9</v>
      </c>
      <c r="N125" s="2">
        <v>8</v>
      </c>
      <c r="O125" s="2">
        <v>0</v>
      </c>
      <c r="P125" s="2">
        <v>3.7999999999999999E-2</v>
      </c>
      <c r="Q125" s="2">
        <v>0.40600000000000003</v>
      </c>
      <c r="R125" s="2">
        <v>0.189</v>
      </c>
    </row>
    <row r="126" spans="1:18" x14ac:dyDescent="0.2">
      <c r="A126" t="s">
        <v>88</v>
      </c>
      <c r="B126" s="2">
        <v>35</v>
      </c>
      <c r="C126" t="s">
        <v>37</v>
      </c>
      <c r="D126" s="2" t="s">
        <v>49</v>
      </c>
      <c r="E126" s="2">
        <v>21</v>
      </c>
      <c r="F126" s="2">
        <v>747</v>
      </c>
      <c r="G126" s="2">
        <v>0.58599999999999997</v>
      </c>
      <c r="H126" s="2">
        <v>31.2</v>
      </c>
      <c r="I126" s="2">
        <v>25.7</v>
      </c>
      <c r="J126" s="18">
        <v>2.4</v>
      </c>
      <c r="K126" s="2">
        <v>-0.1</v>
      </c>
      <c r="L126" s="2">
        <v>0.7</v>
      </c>
      <c r="M126" s="2">
        <v>6.3</v>
      </c>
      <c r="N126" s="2">
        <v>19.8</v>
      </c>
      <c r="O126" s="2">
        <v>0.7</v>
      </c>
      <c r="P126" s="2">
        <v>0.14899999999999999</v>
      </c>
      <c r="Q126" s="2">
        <v>0.52</v>
      </c>
      <c r="R126" s="2">
        <v>0.39</v>
      </c>
    </row>
    <row r="127" spans="1:18" x14ac:dyDescent="0.2">
      <c r="A127" t="s">
        <v>169</v>
      </c>
      <c r="B127" s="2">
        <v>24</v>
      </c>
      <c r="C127" t="s">
        <v>135</v>
      </c>
      <c r="D127" s="2" t="s">
        <v>49</v>
      </c>
      <c r="E127" s="2">
        <v>24</v>
      </c>
      <c r="F127" s="2">
        <v>638</v>
      </c>
      <c r="G127" s="2">
        <v>0.54500000000000004</v>
      </c>
      <c r="H127" s="2">
        <v>21.4</v>
      </c>
      <c r="I127" s="2">
        <v>19.899999999999999</v>
      </c>
      <c r="J127" s="18">
        <v>1.5416666666666667</v>
      </c>
      <c r="K127" s="2">
        <v>0.2</v>
      </c>
      <c r="L127" s="2">
        <v>0.6</v>
      </c>
      <c r="M127" s="2">
        <v>0</v>
      </c>
      <c r="N127" s="2">
        <v>14.3</v>
      </c>
      <c r="O127" s="2">
        <v>0.3</v>
      </c>
      <c r="P127" s="2">
        <v>6.8000000000000005E-2</v>
      </c>
      <c r="Q127" s="2">
        <v>0.48599999999999999</v>
      </c>
      <c r="R127" s="2">
        <v>0.38300000000000001</v>
      </c>
    </row>
    <row r="128" spans="1:18" x14ac:dyDescent="0.2">
      <c r="A128" t="s">
        <v>112</v>
      </c>
      <c r="B128" s="2">
        <v>31</v>
      </c>
      <c r="C128" t="s">
        <v>103</v>
      </c>
      <c r="D128" s="2" t="s">
        <v>33</v>
      </c>
      <c r="E128" s="2">
        <v>22</v>
      </c>
      <c r="F128" s="2">
        <v>746</v>
      </c>
      <c r="G128" s="2">
        <v>0.58299999999999996</v>
      </c>
      <c r="H128" s="2">
        <v>27.3</v>
      </c>
      <c r="I128" s="2">
        <v>24.2</v>
      </c>
      <c r="J128" s="18">
        <v>2.7169811320754715</v>
      </c>
      <c r="K128" s="2">
        <v>-1.1000000000000001</v>
      </c>
      <c r="L128" s="2">
        <v>0.3</v>
      </c>
      <c r="M128" s="2">
        <v>14.4</v>
      </c>
      <c r="N128" s="2">
        <v>16.399999999999999</v>
      </c>
      <c r="O128" s="2">
        <v>0.4</v>
      </c>
      <c r="P128" s="2">
        <v>9.9000000000000005E-2</v>
      </c>
      <c r="Q128" s="2">
        <v>0.53500000000000003</v>
      </c>
      <c r="R128" s="2">
        <v>0.25700000000000001</v>
      </c>
    </row>
    <row r="129" spans="1:18" x14ac:dyDescent="0.2">
      <c r="A129" t="s">
        <v>256</v>
      </c>
      <c r="B129" s="2">
        <v>20</v>
      </c>
      <c r="C129" t="s">
        <v>63</v>
      </c>
      <c r="D129" s="2" t="s">
        <v>42</v>
      </c>
      <c r="E129" s="2">
        <v>20</v>
      </c>
      <c r="F129" s="2">
        <v>470</v>
      </c>
      <c r="G129" s="2">
        <v>0.68200000000000005</v>
      </c>
      <c r="H129" s="2">
        <v>17.899999999999999</v>
      </c>
      <c r="I129" s="2">
        <v>13.7</v>
      </c>
      <c r="J129" s="18">
        <v>2</v>
      </c>
      <c r="K129" s="2">
        <v>2.2000000000000002</v>
      </c>
      <c r="L129" s="2">
        <v>0.7</v>
      </c>
      <c r="M129" s="2">
        <v>10</v>
      </c>
      <c r="N129" s="2">
        <v>20.100000000000001</v>
      </c>
      <c r="O129" s="2">
        <v>0.7</v>
      </c>
      <c r="P129" s="2">
        <v>0.217</v>
      </c>
      <c r="Q129" s="2">
        <v>0.67600000000000005</v>
      </c>
      <c r="R129" s="2">
        <v>0.505</v>
      </c>
    </row>
    <row r="130" spans="1:18" x14ac:dyDescent="0.2">
      <c r="A130" t="s">
        <v>188</v>
      </c>
      <c r="B130" s="2">
        <v>27</v>
      </c>
      <c r="C130" t="s">
        <v>77</v>
      </c>
      <c r="D130" s="2" t="s">
        <v>49</v>
      </c>
      <c r="E130" s="2">
        <v>25</v>
      </c>
      <c r="F130" s="2">
        <v>625</v>
      </c>
      <c r="G130" s="2">
        <v>0.60399999999999998</v>
      </c>
      <c r="H130" s="2">
        <v>19.8</v>
      </c>
      <c r="I130" s="2">
        <v>16.2</v>
      </c>
      <c r="J130" s="18">
        <v>0.85185185185185186</v>
      </c>
      <c r="K130" s="2">
        <v>0.8</v>
      </c>
      <c r="L130" s="2">
        <v>0.8</v>
      </c>
      <c r="M130" s="2">
        <v>6</v>
      </c>
      <c r="N130" s="2">
        <v>13</v>
      </c>
      <c r="O130" s="2">
        <v>0.3</v>
      </c>
      <c r="P130" s="2">
        <v>0.112</v>
      </c>
      <c r="Q130" s="2">
        <v>0.57699999999999996</v>
      </c>
      <c r="R130" s="2">
        <v>0.16</v>
      </c>
    </row>
    <row r="131" spans="1:18" x14ac:dyDescent="0.2">
      <c r="A131" t="s">
        <v>108</v>
      </c>
      <c r="B131" s="2">
        <v>30</v>
      </c>
      <c r="C131" t="s">
        <v>39</v>
      </c>
      <c r="D131" s="2" t="s">
        <v>52</v>
      </c>
      <c r="E131" s="2">
        <v>24</v>
      </c>
      <c r="F131" s="2">
        <v>827</v>
      </c>
      <c r="G131" s="2">
        <v>0.622</v>
      </c>
      <c r="H131" s="2">
        <v>24.9</v>
      </c>
      <c r="I131" s="2">
        <v>19.5</v>
      </c>
      <c r="J131" s="18">
        <v>3.25</v>
      </c>
      <c r="K131" s="2">
        <v>0.7</v>
      </c>
      <c r="L131" s="2">
        <v>1</v>
      </c>
      <c r="M131" s="2">
        <v>7.9</v>
      </c>
      <c r="N131" s="2">
        <v>18.100000000000001</v>
      </c>
      <c r="O131" s="2">
        <v>1.3</v>
      </c>
      <c r="P131" s="2">
        <v>0.186</v>
      </c>
      <c r="Q131" s="2">
        <v>0.59499999999999997</v>
      </c>
      <c r="R131" s="2">
        <v>0.16500000000000001</v>
      </c>
    </row>
    <row r="132" spans="1:18" x14ac:dyDescent="0.2">
      <c r="A132" t="s">
        <v>194</v>
      </c>
      <c r="B132" s="2">
        <v>26</v>
      </c>
      <c r="C132" t="s">
        <v>80</v>
      </c>
      <c r="D132" s="2" t="s">
        <v>52</v>
      </c>
      <c r="E132" s="2">
        <v>17</v>
      </c>
      <c r="F132" s="2">
        <v>481</v>
      </c>
      <c r="G132" s="2">
        <v>0.53800000000000003</v>
      </c>
      <c r="H132" s="2">
        <v>23.5</v>
      </c>
      <c r="I132" s="2">
        <v>22.4</v>
      </c>
      <c r="J132" s="18">
        <v>1.7250000000000001</v>
      </c>
      <c r="K132" s="2">
        <v>0.5</v>
      </c>
      <c r="L132" s="2">
        <v>0.8</v>
      </c>
      <c r="M132" s="2">
        <v>9.1</v>
      </c>
      <c r="N132" s="2">
        <v>13.2</v>
      </c>
      <c r="O132" s="2">
        <v>0.2</v>
      </c>
      <c r="P132" s="2">
        <v>8.6999999999999994E-2</v>
      </c>
      <c r="Q132" s="2">
        <v>0.50700000000000001</v>
      </c>
      <c r="R132" s="2">
        <v>0.17899999999999999</v>
      </c>
    </row>
    <row r="133" spans="1:18" x14ac:dyDescent="0.2">
      <c r="A133" t="s">
        <v>53</v>
      </c>
      <c r="B133" s="2">
        <v>28</v>
      </c>
      <c r="C133" t="s">
        <v>54</v>
      </c>
      <c r="D133" s="2" t="s">
        <v>52</v>
      </c>
      <c r="E133" s="2">
        <v>23</v>
      </c>
      <c r="F133" s="2">
        <v>851</v>
      </c>
      <c r="G133" s="2">
        <v>0.57999999999999996</v>
      </c>
      <c r="H133" s="2">
        <v>33.1</v>
      </c>
      <c r="I133" s="2">
        <v>28.5</v>
      </c>
      <c r="J133" s="18">
        <v>2.625</v>
      </c>
      <c r="K133" s="2">
        <v>-1.6</v>
      </c>
      <c r="L133" s="2">
        <v>0.4</v>
      </c>
      <c r="M133" s="2">
        <v>5.4</v>
      </c>
      <c r="N133" s="2">
        <v>19.8</v>
      </c>
      <c r="O133" s="2">
        <v>0.7</v>
      </c>
      <c r="P133" s="2">
        <v>0.14099999999999999</v>
      </c>
      <c r="Q133" s="2">
        <v>0.502</v>
      </c>
      <c r="R133" s="2">
        <v>0.39400000000000002</v>
      </c>
    </row>
    <row r="134" spans="1:18" x14ac:dyDescent="0.2">
      <c r="A134" t="s">
        <v>282</v>
      </c>
      <c r="B134" s="2">
        <v>24</v>
      </c>
      <c r="C134" t="s">
        <v>93</v>
      </c>
      <c r="D134" s="2" t="s">
        <v>52</v>
      </c>
      <c r="E134" s="2">
        <v>9</v>
      </c>
      <c r="F134" s="2">
        <v>216</v>
      </c>
      <c r="G134" s="2">
        <v>0.62</v>
      </c>
      <c r="H134" s="2">
        <v>33.5</v>
      </c>
      <c r="I134" s="2">
        <v>26.8</v>
      </c>
      <c r="J134" s="18">
        <v>1.6666666666666667</v>
      </c>
      <c r="K134" s="2">
        <v>-0.6</v>
      </c>
      <c r="L134" s="2">
        <v>0.2</v>
      </c>
      <c r="M134" s="2">
        <v>0</v>
      </c>
      <c r="N134" s="2">
        <v>18.600000000000001</v>
      </c>
      <c r="O134" s="2">
        <v>0.2</v>
      </c>
      <c r="P134" s="2">
        <v>0.112</v>
      </c>
      <c r="Q134" s="2">
        <v>0.58599999999999997</v>
      </c>
      <c r="R134" s="2">
        <v>0.189</v>
      </c>
    </row>
    <row r="135" spans="1:18" x14ac:dyDescent="0.2">
      <c r="A135" t="s">
        <v>150</v>
      </c>
      <c r="B135" s="2">
        <v>29</v>
      </c>
      <c r="C135" t="s">
        <v>87</v>
      </c>
      <c r="D135" s="2" t="s">
        <v>49</v>
      </c>
      <c r="E135" s="2">
        <v>25</v>
      </c>
      <c r="F135" s="2">
        <v>782</v>
      </c>
      <c r="G135" s="2">
        <v>0.54</v>
      </c>
      <c r="H135" s="2">
        <v>19.5</v>
      </c>
      <c r="I135" s="2">
        <v>16.7</v>
      </c>
      <c r="J135" s="18">
        <v>1.56</v>
      </c>
      <c r="K135" s="2">
        <v>0.2</v>
      </c>
      <c r="L135" s="2">
        <v>1.1000000000000001</v>
      </c>
      <c r="M135" s="2">
        <v>11</v>
      </c>
      <c r="N135" s="2">
        <v>10</v>
      </c>
      <c r="O135" s="2">
        <v>0.1</v>
      </c>
      <c r="P135" s="2">
        <v>0.107</v>
      </c>
      <c r="Q135" s="2">
        <v>0.51600000000000001</v>
      </c>
      <c r="R135" s="2">
        <v>0.13</v>
      </c>
    </row>
    <row r="136" spans="1:18" x14ac:dyDescent="0.2">
      <c r="A136" t="s">
        <v>404</v>
      </c>
      <c r="B136" s="2">
        <v>23</v>
      </c>
      <c r="C136" t="s">
        <v>32</v>
      </c>
      <c r="D136" s="2" t="s">
        <v>49</v>
      </c>
      <c r="E136" s="2">
        <v>21</v>
      </c>
      <c r="F136" s="2">
        <v>177</v>
      </c>
      <c r="G136" s="2">
        <v>0.42699999999999999</v>
      </c>
      <c r="H136" s="2">
        <v>13.6</v>
      </c>
      <c r="I136" s="2">
        <v>15.9</v>
      </c>
      <c r="J136" s="18">
        <v>1.875</v>
      </c>
      <c r="K136" s="2">
        <v>-1.3</v>
      </c>
      <c r="L136" s="2">
        <v>0.3</v>
      </c>
      <c r="M136" s="2">
        <v>9.1</v>
      </c>
      <c r="N136" s="2">
        <v>8</v>
      </c>
      <c r="O136" s="2">
        <v>-0.2</v>
      </c>
      <c r="P136" s="2">
        <v>5.7000000000000002E-2</v>
      </c>
      <c r="Q136" s="2">
        <v>0.40899999999999997</v>
      </c>
      <c r="R136" s="2">
        <v>0.14499999999999999</v>
      </c>
    </row>
    <row r="137" spans="1:18" x14ac:dyDescent="0.2">
      <c r="A137" t="s">
        <v>78</v>
      </c>
      <c r="B137" s="2">
        <v>28</v>
      </c>
      <c r="C137" t="s">
        <v>37</v>
      </c>
      <c r="D137" s="2" t="s">
        <v>42</v>
      </c>
      <c r="E137" s="2">
        <v>24</v>
      </c>
      <c r="F137" s="2">
        <v>859</v>
      </c>
      <c r="G137" s="2">
        <v>0.70699999999999996</v>
      </c>
      <c r="H137" s="2">
        <v>28.9</v>
      </c>
      <c r="I137" s="2">
        <v>21.9</v>
      </c>
      <c r="J137" s="18">
        <v>1.9078947368421053</v>
      </c>
      <c r="K137" s="2">
        <v>1</v>
      </c>
      <c r="L137" s="2">
        <v>1.1000000000000001</v>
      </c>
      <c r="M137" s="2">
        <v>5.4</v>
      </c>
      <c r="N137" s="2">
        <v>24.6</v>
      </c>
      <c r="O137" s="2">
        <v>1.8</v>
      </c>
      <c r="P137" s="2">
        <v>0.24099999999999999</v>
      </c>
      <c r="Q137" s="2">
        <v>0.66800000000000004</v>
      </c>
      <c r="R137" s="2">
        <v>0.379</v>
      </c>
    </row>
    <row r="138" spans="1:18" x14ac:dyDescent="0.2">
      <c r="A138" t="s">
        <v>552</v>
      </c>
      <c r="B138" s="2">
        <v>21</v>
      </c>
      <c r="C138" t="s">
        <v>72</v>
      </c>
      <c r="D138" s="2" t="s">
        <v>49</v>
      </c>
      <c r="E138" s="2">
        <v>2</v>
      </c>
      <c r="F138" s="2">
        <v>11</v>
      </c>
      <c r="G138" s="2">
        <v>0.26600000000000001</v>
      </c>
      <c r="H138" s="2">
        <v>4.2</v>
      </c>
      <c r="I138" s="2">
        <v>6.9</v>
      </c>
      <c r="J138" s="18" t="e">
        <v>#DIV/0!</v>
      </c>
      <c r="K138" s="2">
        <v>-3.3</v>
      </c>
      <c r="L138" s="2">
        <v>0</v>
      </c>
      <c r="M138" s="2">
        <v>15.4</v>
      </c>
      <c r="N138" s="2">
        <v>-2.7</v>
      </c>
      <c r="O138" s="2">
        <v>0</v>
      </c>
      <c r="P138" s="2">
        <v>-8.1000000000000003E-2</v>
      </c>
      <c r="Q138" s="2">
        <v>0</v>
      </c>
      <c r="R138" s="2">
        <v>2</v>
      </c>
    </row>
    <row r="139" spans="1:18" x14ac:dyDescent="0.2">
      <c r="A139" t="s">
        <v>339</v>
      </c>
      <c r="B139" s="2">
        <v>20</v>
      </c>
      <c r="C139" t="s">
        <v>135</v>
      </c>
      <c r="D139" s="2" t="s">
        <v>42</v>
      </c>
      <c r="E139" s="2">
        <v>17</v>
      </c>
      <c r="F139" s="2">
        <v>289</v>
      </c>
      <c r="G139" s="2">
        <v>0.57799999999999996</v>
      </c>
      <c r="H139" s="2">
        <v>16.5</v>
      </c>
      <c r="I139" s="2">
        <v>14.7</v>
      </c>
      <c r="J139" s="18">
        <v>0.29411764705882354</v>
      </c>
      <c r="K139" s="2">
        <v>1.5</v>
      </c>
      <c r="L139" s="2">
        <v>0.4</v>
      </c>
      <c r="M139" s="2">
        <v>10</v>
      </c>
      <c r="N139" s="2">
        <v>18.600000000000001</v>
      </c>
      <c r="O139" s="2">
        <v>0.1</v>
      </c>
      <c r="P139" s="2">
        <v>0.13200000000000001</v>
      </c>
      <c r="Q139" s="2">
        <v>0.54600000000000004</v>
      </c>
      <c r="R139" s="2">
        <v>0.28899999999999998</v>
      </c>
    </row>
    <row r="140" spans="1:18" x14ac:dyDescent="0.2">
      <c r="A140" t="s">
        <v>56</v>
      </c>
      <c r="B140" s="2">
        <v>28</v>
      </c>
      <c r="C140" t="s">
        <v>57</v>
      </c>
      <c r="D140" s="2" t="s">
        <v>52</v>
      </c>
      <c r="E140" s="2">
        <v>24</v>
      </c>
      <c r="F140" s="2">
        <v>765</v>
      </c>
      <c r="G140" s="2">
        <v>0.57999999999999996</v>
      </c>
      <c r="H140" s="2">
        <v>35.6</v>
      </c>
      <c r="I140" s="2">
        <v>30.8</v>
      </c>
      <c r="J140" s="18">
        <v>1.9811320754716981</v>
      </c>
      <c r="K140" s="2">
        <v>-0.3</v>
      </c>
      <c r="L140" s="2">
        <v>1</v>
      </c>
      <c r="M140" s="2">
        <v>5.4</v>
      </c>
      <c r="N140" s="2">
        <v>20.399999999999999</v>
      </c>
      <c r="O140" s="2">
        <v>0.9</v>
      </c>
      <c r="P140" s="2">
        <v>0.13700000000000001</v>
      </c>
      <c r="Q140" s="2">
        <v>0.55100000000000005</v>
      </c>
      <c r="R140" s="2">
        <v>0.19500000000000001</v>
      </c>
    </row>
    <row r="141" spans="1:18" x14ac:dyDescent="0.2">
      <c r="A141" t="s">
        <v>234</v>
      </c>
      <c r="B141" s="2">
        <v>28</v>
      </c>
      <c r="C141" t="s">
        <v>51</v>
      </c>
      <c r="D141" s="2" t="s">
        <v>52</v>
      </c>
      <c r="E141" s="2">
        <v>23</v>
      </c>
      <c r="F141" s="2">
        <v>579</v>
      </c>
      <c r="G141" s="2">
        <v>0.49199999999999999</v>
      </c>
      <c r="H141" s="2">
        <v>16.7</v>
      </c>
      <c r="I141" s="2">
        <v>18.2</v>
      </c>
      <c r="J141" s="18">
        <v>2.1025641025641026</v>
      </c>
      <c r="K141" s="2">
        <v>1.4</v>
      </c>
      <c r="L141" s="2">
        <v>0.9</v>
      </c>
      <c r="M141" s="2">
        <v>5.4</v>
      </c>
      <c r="N141" s="2">
        <v>9.6999999999999993</v>
      </c>
      <c r="O141" s="2">
        <v>0.1</v>
      </c>
      <c r="P141" s="2">
        <v>4.9000000000000002E-2</v>
      </c>
      <c r="Q141" s="2">
        <v>0.47899999999999998</v>
      </c>
      <c r="R141" s="2">
        <v>8.3000000000000004E-2</v>
      </c>
    </row>
    <row r="142" spans="1:18" x14ac:dyDescent="0.2">
      <c r="A142" t="s">
        <v>261</v>
      </c>
      <c r="B142" s="2">
        <v>31</v>
      </c>
      <c r="C142" t="s">
        <v>103</v>
      </c>
      <c r="D142" s="2" t="s">
        <v>27</v>
      </c>
      <c r="E142" s="2">
        <v>16</v>
      </c>
      <c r="F142" s="2">
        <v>466</v>
      </c>
      <c r="G142" s="2">
        <v>0.61699999999999999</v>
      </c>
      <c r="H142" s="2">
        <v>18</v>
      </c>
      <c r="I142" s="2">
        <v>14.7</v>
      </c>
      <c r="J142" s="18">
        <v>1.75</v>
      </c>
      <c r="K142" s="2">
        <v>-0.4</v>
      </c>
      <c r="L142" s="2">
        <v>0.3</v>
      </c>
      <c r="M142" s="2">
        <v>14.4</v>
      </c>
      <c r="N142" s="2">
        <v>12.3</v>
      </c>
      <c r="O142" s="2">
        <v>0.2</v>
      </c>
      <c r="P142" s="2">
        <v>0.09</v>
      </c>
      <c r="Q142" s="2">
        <v>0.61199999999999999</v>
      </c>
      <c r="R142" s="2">
        <v>0.14000000000000001</v>
      </c>
    </row>
    <row r="143" spans="1:18" x14ac:dyDescent="0.2">
      <c r="A143" t="s">
        <v>382</v>
      </c>
      <c r="B143" s="2">
        <v>33</v>
      </c>
      <c r="C143" t="s">
        <v>37</v>
      </c>
      <c r="D143" s="2" t="s">
        <v>49</v>
      </c>
      <c r="E143" s="2">
        <v>19</v>
      </c>
      <c r="F143" s="2">
        <v>155</v>
      </c>
      <c r="G143" s="2">
        <v>0.57699999999999996</v>
      </c>
      <c r="H143" s="2">
        <v>20.7</v>
      </c>
      <c r="I143" s="2">
        <v>16.5</v>
      </c>
      <c r="J143" s="18">
        <v>1.5</v>
      </c>
      <c r="K143" s="2">
        <v>-2.8</v>
      </c>
      <c r="L143" s="2">
        <v>0.1</v>
      </c>
      <c r="M143" s="2">
        <v>6.9</v>
      </c>
      <c r="N143" s="2">
        <v>9.1</v>
      </c>
      <c r="O143" s="2">
        <v>-0.1</v>
      </c>
      <c r="P143" s="2">
        <v>6.2E-2</v>
      </c>
      <c r="Q143" s="2">
        <v>0.57299999999999995</v>
      </c>
      <c r="R143" s="2">
        <v>9.0999999999999998E-2</v>
      </c>
    </row>
    <row r="144" spans="1:18" x14ac:dyDescent="0.2">
      <c r="A144" t="s">
        <v>240</v>
      </c>
      <c r="B144" s="2">
        <v>34</v>
      </c>
      <c r="C144" t="s">
        <v>100</v>
      </c>
      <c r="D144" s="2" t="s">
        <v>27</v>
      </c>
      <c r="E144" s="2">
        <v>22</v>
      </c>
      <c r="F144" s="2">
        <v>629</v>
      </c>
      <c r="G144" s="2">
        <v>0.56299999999999994</v>
      </c>
      <c r="H144" s="2">
        <v>14.6</v>
      </c>
      <c r="I144" s="2">
        <v>14.8</v>
      </c>
      <c r="J144" s="18">
        <v>2.4716981132075473</v>
      </c>
      <c r="K144" s="2">
        <v>2.9</v>
      </c>
      <c r="L144" s="2">
        <v>1.2</v>
      </c>
      <c r="M144" s="2">
        <v>6.7</v>
      </c>
      <c r="N144" s="2">
        <v>12.6</v>
      </c>
      <c r="O144" s="2">
        <v>0.5</v>
      </c>
      <c r="P144" s="2">
        <v>0.11799999999999999</v>
      </c>
      <c r="Q144" s="2">
        <v>0.54400000000000004</v>
      </c>
      <c r="R144" s="2">
        <v>0.32900000000000001</v>
      </c>
    </row>
    <row r="145" spans="1:18" x14ac:dyDescent="0.2">
      <c r="A145" t="s">
        <v>353</v>
      </c>
      <c r="B145" s="2">
        <v>27</v>
      </c>
      <c r="C145" t="s">
        <v>120</v>
      </c>
      <c r="D145" s="2" t="s">
        <v>42</v>
      </c>
      <c r="E145" s="2">
        <v>20</v>
      </c>
      <c r="F145" s="2">
        <v>271</v>
      </c>
      <c r="G145" s="2">
        <v>0.60899999999999999</v>
      </c>
      <c r="H145" s="2">
        <v>16.100000000000001</v>
      </c>
      <c r="I145" s="2">
        <v>13.9</v>
      </c>
      <c r="J145" s="18">
        <v>1.5</v>
      </c>
      <c r="K145" s="2">
        <v>0.4</v>
      </c>
      <c r="L145" s="2">
        <v>0.2</v>
      </c>
      <c r="M145" s="2">
        <v>6</v>
      </c>
      <c r="N145" s="2">
        <v>15.1</v>
      </c>
      <c r="O145" s="2">
        <v>0.1</v>
      </c>
      <c r="P145" s="2">
        <v>8.8999999999999996E-2</v>
      </c>
      <c r="Q145" s="2">
        <v>0.58899999999999997</v>
      </c>
      <c r="R145" s="2">
        <v>0.435</v>
      </c>
    </row>
    <row r="146" spans="1:18" x14ac:dyDescent="0.2">
      <c r="A146" t="s">
        <v>467</v>
      </c>
      <c r="B146" s="2">
        <v>25</v>
      </c>
      <c r="C146" t="s">
        <v>39</v>
      </c>
      <c r="D146" s="2" t="s">
        <v>27</v>
      </c>
      <c r="E146" s="2">
        <v>7</v>
      </c>
      <c r="F146" s="2">
        <v>81</v>
      </c>
      <c r="G146" s="2">
        <v>0.55300000000000005</v>
      </c>
      <c r="H146" s="2">
        <v>12.1</v>
      </c>
      <c r="I146" s="2">
        <v>11.2</v>
      </c>
      <c r="J146" s="18">
        <v>1.3333333333333333</v>
      </c>
      <c r="K146" s="2">
        <v>1.1000000000000001</v>
      </c>
      <c r="L146" s="2">
        <v>0.1</v>
      </c>
      <c r="M146" s="2">
        <v>5.7</v>
      </c>
      <c r="N146" s="2">
        <v>9.1</v>
      </c>
      <c r="O146" s="2">
        <v>0</v>
      </c>
      <c r="P146" s="2">
        <v>9.6000000000000002E-2</v>
      </c>
      <c r="Q146" s="2">
        <v>0.46700000000000003</v>
      </c>
      <c r="R146" s="2">
        <v>0.46700000000000003</v>
      </c>
    </row>
    <row r="147" spans="1:18" x14ac:dyDescent="0.2">
      <c r="A147" t="s">
        <v>400</v>
      </c>
      <c r="B147" s="2">
        <v>27</v>
      </c>
      <c r="C147" t="s">
        <v>61</v>
      </c>
      <c r="D147" s="2" t="s">
        <v>52</v>
      </c>
      <c r="E147" s="2">
        <v>10</v>
      </c>
      <c r="F147" s="2">
        <v>174</v>
      </c>
      <c r="G147" s="2">
        <v>0.60499999999999998</v>
      </c>
      <c r="H147" s="2">
        <v>15.4</v>
      </c>
      <c r="I147" s="2">
        <v>13.7</v>
      </c>
      <c r="J147" s="18">
        <v>1.6</v>
      </c>
      <c r="K147" s="2">
        <v>2.2999999999999998</v>
      </c>
      <c r="L147" s="2">
        <v>0.3</v>
      </c>
      <c r="M147" s="2">
        <v>6</v>
      </c>
      <c r="N147" s="2">
        <v>13</v>
      </c>
      <c r="O147" s="2">
        <v>0.1</v>
      </c>
      <c r="P147" s="2">
        <v>0.108</v>
      </c>
      <c r="Q147" s="2">
        <v>0.59499999999999997</v>
      </c>
      <c r="R147" s="2">
        <v>0.14299999999999999</v>
      </c>
    </row>
    <row r="148" spans="1:18" x14ac:dyDescent="0.2">
      <c r="A148" t="s">
        <v>198</v>
      </c>
      <c r="B148" s="2">
        <v>30</v>
      </c>
      <c r="C148" t="s">
        <v>61</v>
      </c>
      <c r="D148" s="2" t="s">
        <v>49</v>
      </c>
      <c r="E148" s="2">
        <v>22</v>
      </c>
      <c r="F148" s="2">
        <v>496</v>
      </c>
      <c r="G148" s="2">
        <v>0.56299999999999994</v>
      </c>
      <c r="H148" s="2">
        <v>24.3</v>
      </c>
      <c r="I148" s="2">
        <v>20.8</v>
      </c>
      <c r="J148" s="18">
        <v>2.5</v>
      </c>
      <c r="K148" s="2">
        <v>-1.2</v>
      </c>
      <c r="L148" s="2">
        <v>0.4</v>
      </c>
      <c r="M148" s="2">
        <v>7.9</v>
      </c>
      <c r="N148" s="2">
        <v>12.4</v>
      </c>
      <c r="O148" s="2">
        <v>0</v>
      </c>
      <c r="P148" s="2">
        <v>7.8E-2</v>
      </c>
      <c r="Q148" s="2">
        <v>0.54800000000000004</v>
      </c>
      <c r="R148" s="2">
        <v>8.6999999999999994E-2</v>
      </c>
    </row>
    <row r="149" spans="1:18" x14ac:dyDescent="0.2">
      <c r="A149" t="s">
        <v>447</v>
      </c>
      <c r="B149" s="2">
        <v>28</v>
      </c>
      <c r="C149" t="s">
        <v>135</v>
      </c>
      <c r="D149" s="2" t="s">
        <v>42</v>
      </c>
      <c r="E149" s="2">
        <v>13</v>
      </c>
      <c r="F149" s="2">
        <v>83</v>
      </c>
      <c r="G149" s="2">
        <v>0.51900000000000002</v>
      </c>
      <c r="H149" s="2">
        <v>15.7</v>
      </c>
      <c r="I149" s="2">
        <v>13.5</v>
      </c>
      <c r="J149" s="18">
        <v>3</v>
      </c>
      <c r="K149" s="2">
        <v>-2.7</v>
      </c>
      <c r="L149" s="2">
        <v>0</v>
      </c>
      <c r="M149" s="2">
        <v>5.4</v>
      </c>
      <c r="N149" s="2">
        <v>8.6999999999999993</v>
      </c>
      <c r="O149" s="2">
        <v>0</v>
      </c>
      <c r="P149" s="2">
        <v>4.9000000000000002E-2</v>
      </c>
      <c r="Q149" s="2">
        <v>0.51900000000000002</v>
      </c>
      <c r="R149" s="2">
        <v>0</v>
      </c>
    </row>
    <row r="150" spans="1:18" x14ac:dyDescent="0.2">
      <c r="A150" t="s">
        <v>434</v>
      </c>
      <c r="B150" s="2">
        <v>33</v>
      </c>
      <c r="C150" t="s">
        <v>63</v>
      </c>
      <c r="D150" s="2" t="s">
        <v>42</v>
      </c>
      <c r="E150" s="2">
        <v>19</v>
      </c>
      <c r="F150" s="2">
        <v>154</v>
      </c>
      <c r="G150" s="2">
        <v>0.80300000000000005</v>
      </c>
      <c r="H150" s="2">
        <v>10.3</v>
      </c>
      <c r="I150" s="2">
        <v>7</v>
      </c>
      <c r="J150" s="18">
        <v>2.6</v>
      </c>
      <c r="K150" s="2">
        <v>3</v>
      </c>
      <c r="L150" s="2">
        <v>0.2</v>
      </c>
      <c r="M150" s="2">
        <v>6.9</v>
      </c>
      <c r="N150" s="2">
        <v>14.1</v>
      </c>
      <c r="O150" s="2">
        <v>0.2</v>
      </c>
      <c r="P150" s="2">
        <v>0.19700000000000001</v>
      </c>
      <c r="Q150" s="2">
        <v>0.8</v>
      </c>
      <c r="R150" s="2">
        <v>2.4</v>
      </c>
    </row>
    <row r="151" spans="1:18" x14ac:dyDescent="0.2">
      <c r="A151" t="s">
        <v>146</v>
      </c>
      <c r="B151" s="2">
        <v>21</v>
      </c>
      <c r="C151" t="s">
        <v>72</v>
      </c>
      <c r="D151" s="2" t="s">
        <v>52</v>
      </c>
      <c r="E151" s="2">
        <v>24</v>
      </c>
      <c r="F151" s="2">
        <v>811</v>
      </c>
      <c r="G151" s="2">
        <v>0.50700000000000001</v>
      </c>
      <c r="H151" s="2">
        <v>18.5</v>
      </c>
      <c r="I151" s="2">
        <v>17.899999999999999</v>
      </c>
      <c r="J151" s="18">
        <v>1.8604651162790697</v>
      </c>
      <c r="K151" s="2">
        <v>2.4</v>
      </c>
      <c r="L151" s="2">
        <v>1.1000000000000001</v>
      </c>
      <c r="M151" s="2">
        <v>15.4</v>
      </c>
      <c r="N151" s="2">
        <v>13.6</v>
      </c>
      <c r="O151" s="2">
        <v>0.4</v>
      </c>
      <c r="P151" s="2">
        <v>6.7000000000000004E-2</v>
      </c>
      <c r="Q151" s="2">
        <v>0.495</v>
      </c>
      <c r="R151" s="2">
        <v>0.123</v>
      </c>
    </row>
    <row r="152" spans="1:18" x14ac:dyDescent="0.2">
      <c r="A152" t="s">
        <v>487</v>
      </c>
      <c r="B152" s="2">
        <v>24</v>
      </c>
      <c r="C152" t="s">
        <v>70</v>
      </c>
      <c r="D152" s="2" t="s">
        <v>27</v>
      </c>
      <c r="E152" s="2">
        <v>6</v>
      </c>
      <c r="F152" s="2">
        <v>31</v>
      </c>
      <c r="G152" s="2">
        <v>0.84499999999999997</v>
      </c>
      <c r="H152" s="2">
        <v>22.2</v>
      </c>
      <c r="I152" s="2">
        <v>14.7</v>
      </c>
      <c r="J152" s="18">
        <v>1.5</v>
      </c>
      <c r="K152" s="2">
        <v>0.4</v>
      </c>
      <c r="L152" s="2">
        <v>0</v>
      </c>
      <c r="M152" s="2">
        <v>0</v>
      </c>
      <c r="N152" s="2">
        <v>15.4</v>
      </c>
      <c r="O152" s="2">
        <v>0</v>
      </c>
      <c r="P152" s="2">
        <v>0.16500000000000001</v>
      </c>
      <c r="Q152" s="2">
        <v>0.81299999999999994</v>
      </c>
      <c r="R152" s="2">
        <v>0.25</v>
      </c>
    </row>
    <row r="153" spans="1:18" x14ac:dyDescent="0.2">
      <c r="A153" t="s">
        <v>408</v>
      </c>
      <c r="B153" s="2">
        <v>30</v>
      </c>
      <c r="C153" t="s">
        <v>117</v>
      </c>
      <c r="D153" s="2" t="s">
        <v>33</v>
      </c>
      <c r="E153" s="2">
        <v>7</v>
      </c>
      <c r="F153" s="2">
        <v>144</v>
      </c>
      <c r="G153" s="2">
        <v>0.501</v>
      </c>
      <c r="H153" s="2">
        <v>15.9</v>
      </c>
      <c r="I153" s="2">
        <v>19.7</v>
      </c>
      <c r="J153" s="18">
        <v>2.4</v>
      </c>
      <c r="K153" s="2">
        <v>-0.1</v>
      </c>
      <c r="L153" s="2">
        <v>0.1</v>
      </c>
      <c r="M153" s="2">
        <v>7.9</v>
      </c>
      <c r="N153" s="2">
        <v>15.1</v>
      </c>
      <c r="O153" s="2">
        <v>0</v>
      </c>
      <c r="P153" s="2">
        <v>8.0000000000000002E-3</v>
      </c>
      <c r="Q153" s="2">
        <v>0.5</v>
      </c>
      <c r="R153" s="2">
        <v>4.2999999999999997E-2</v>
      </c>
    </row>
    <row r="154" spans="1:18" x14ac:dyDescent="0.2">
      <c r="A154" t="s">
        <v>458</v>
      </c>
      <c r="B154" s="2">
        <v>24</v>
      </c>
      <c r="C154" t="s">
        <v>82</v>
      </c>
      <c r="D154" s="2" t="s">
        <v>27</v>
      </c>
      <c r="E154" s="2">
        <v>15</v>
      </c>
      <c r="F154" s="2">
        <v>111</v>
      </c>
      <c r="G154" s="2">
        <v>0.501</v>
      </c>
      <c r="H154" s="2">
        <v>9.5</v>
      </c>
      <c r="I154" s="2">
        <v>10.1</v>
      </c>
      <c r="J154" s="18">
        <v>1.5</v>
      </c>
      <c r="K154" s="2">
        <v>-1.7</v>
      </c>
      <c r="L154" s="2">
        <v>0</v>
      </c>
      <c r="M154" s="2">
        <v>0</v>
      </c>
      <c r="N154" s="2">
        <v>4.7</v>
      </c>
      <c r="O154" s="2">
        <v>-0.2</v>
      </c>
      <c r="P154" s="2">
        <v>-2E-3</v>
      </c>
      <c r="Q154" s="2">
        <v>0.47199999999999998</v>
      </c>
      <c r="R154" s="2">
        <v>0.5</v>
      </c>
    </row>
    <row r="155" spans="1:18" x14ac:dyDescent="0.2">
      <c r="A155" t="s">
        <v>367</v>
      </c>
      <c r="B155" s="2">
        <v>36</v>
      </c>
      <c r="C155" t="s">
        <v>122</v>
      </c>
      <c r="D155" s="2" t="s">
        <v>52</v>
      </c>
      <c r="E155" s="2">
        <v>16</v>
      </c>
      <c r="F155" s="2">
        <v>264</v>
      </c>
      <c r="G155" s="2">
        <v>0.44400000000000001</v>
      </c>
      <c r="H155" s="2">
        <v>14.5</v>
      </c>
      <c r="I155" s="2">
        <v>16.600000000000001</v>
      </c>
      <c r="J155" s="18">
        <v>1.6153846153846154</v>
      </c>
      <c r="K155" s="2">
        <v>-0.4</v>
      </c>
      <c r="L155" s="2">
        <v>0.2</v>
      </c>
      <c r="M155" s="2">
        <v>8.4</v>
      </c>
      <c r="N155" s="2">
        <v>6.6</v>
      </c>
      <c r="O155" s="2">
        <v>-0.2</v>
      </c>
      <c r="P155" s="2">
        <v>-1.9E-2</v>
      </c>
      <c r="Q155" s="2">
        <v>0.39</v>
      </c>
      <c r="R155" s="2">
        <v>0.28599999999999998</v>
      </c>
    </row>
    <row r="156" spans="1:18" x14ac:dyDescent="0.2">
      <c r="A156" t="s">
        <v>96</v>
      </c>
      <c r="B156" s="2">
        <v>23</v>
      </c>
      <c r="C156" t="s">
        <v>57</v>
      </c>
      <c r="D156" s="2" t="s">
        <v>27</v>
      </c>
      <c r="E156" s="2">
        <v>24</v>
      </c>
      <c r="F156" s="2">
        <v>736</v>
      </c>
      <c r="G156" s="2">
        <v>0.63300000000000001</v>
      </c>
      <c r="H156" s="2">
        <v>28.5</v>
      </c>
      <c r="I156" s="2">
        <v>23.4</v>
      </c>
      <c r="J156" s="18">
        <v>1.2307692307692308</v>
      </c>
      <c r="K156" s="2">
        <v>1.1000000000000001</v>
      </c>
      <c r="L156" s="2">
        <v>1.3</v>
      </c>
      <c r="M156" s="2">
        <v>9.1</v>
      </c>
      <c r="N156" s="2">
        <v>22</v>
      </c>
      <c r="O156" s="2">
        <v>0.9</v>
      </c>
      <c r="P156" s="2">
        <v>0.189</v>
      </c>
      <c r="Q156" s="2">
        <v>0.59399999999999997</v>
      </c>
      <c r="R156" s="2">
        <v>0.32300000000000001</v>
      </c>
    </row>
    <row r="157" spans="1:18" x14ac:dyDescent="0.2">
      <c r="A157" t="s">
        <v>47</v>
      </c>
      <c r="B157" s="2">
        <v>23</v>
      </c>
      <c r="C157" t="s">
        <v>48</v>
      </c>
      <c r="D157" s="2" t="s">
        <v>49</v>
      </c>
      <c r="E157" s="2">
        <v>25</v>
      </c>
      <c r="F157" s="2">
        <v>829</v>
      </c>
      <c r="G157" s="2">
        <v>0.57299999999999995</v>
      </c>
      <c r="H157" s="2">
        <v>36.299999999999997</v>
      </c>
      <c r="I157" s="2">
        <v>31</v>
      </c>
      <c r="J157" s="18">
        <v>2.3278688524590163</v>
      </c>
      <c r="K157" s="2">
        <v>1.7</v>
      </c>
      <c r="L157" s="2">
        <v>1.5</v>
      </c>
      <c r="M157" s="2">
        <v>9.1</v>
      </c>
      <c r="N157" s="2">
        <v>22.8</v>
      </c>
      <c r="O157" s="2">
        <v>1.7</v>
      </c>
      <c r="P157" s="2">
        <v>0.191</v>
      </c>
      <c r="Q157" s="2">
        <v>0.51900000000000002</v>
      </c>
      <c r="R157" s="2">
        <v>0.28499999999999998</v>
      </c>
    </row>
    <row r="158" spans="1:18" x14ac:dyDescent="0.2">
      <c r="A158" t="s">
        <v>127</v>
      </c>
      <c r="B158" s="2">
        <v>30</v>
      </c>
      <c r="C158" t="s">
        <v>87</v>
      </c>
      <c r="D158" s="2" t="s">
        <v>33</v>
      </c>
      <c r="E158" s="2">
        <v>23</v>
      </c>
      <c r="F158" s="2">
        <v>808</v>
      </c>
      <c r="G158" s="2">
        <v>0.504</v>
      </c>
      <c r="H158" s="2">
        <v>21.5</v>
      </c>
      <c r="I158" s="2">
        <v>19.8</v>
      </c>
      <c r="J158" s="18">
        <v>4.387096774193548</v>
      </c>
      <c r="K158" s="2">
        <v>1.6</v>
      </c>
      <c r="L158" s="2">
        <v>1.4</v>
      </c>
      <c r="M158" s="2">
        <v>7.9</v>
      </c>
      <c r="N158" s="2">
        <v>14.1</v>
      </c>
      <c r="O158" s="2">
        <v>0.7</v>
      </c>
      <c r="P158" s="2">
        <v>0.14099999999999999</v>
      </c>
      <c r="Q158" s="2">
        <v>0.47</v>
      </c>
      <c r="R158" s="2">
        <v>0.17899999999999999</v>
      </c>
    </row>
    <row r="159" spans="1:18" x14ac:dyDescent="0.2">
      <c r="A159" t="s">
        <v>351</v>
      </c>
      <c r="B159" s="2">
        <v>28</v>
      </c>
      <c r="C159" t="s">
        <v>41</v>
      </c>
      <c r="D159" s="2" t="s">
        <v>33</v>
      </c>
      <c r="E159" s="2">
        <v>24</v>
      </c>
      <c r="F159" s="2">
        <v>454</v>
      </c>
      <c r="G159" s="2">
        <v>0.432</v>
      </c>
      <c r="H159" s="2">
        <v>9.9</v>
      </c>
      <c r="I159" s="2">
        <v>11.4</v>
      </c>
      <c r="J159" s="18">
        <v>1.8181818181818181</v>
      </c>
      <c r="K159" s="2">
        <v>-0.7</v>
      </c>
      <c r="L159" s="2">
        <v>0.1</v>
      </c>
      <c r="M159" s="2">
        <v>5.4</v>
      </c>
      <c r="N159" s="2">
        <v>4.2</v>
      </c>
      <c r="O159" s="2">
        <v>-0.6</v>
      </c>
      <c r="P159" s="2">
        <v>-3.1E-2</v>
      </c>
      <c r="Q159" s="2">
        <v>0.42699999999999999</v>
      </c>
      <c r="R159" s="2">
        <v>7.8E-2</v>
      </c>
    </row>
    <row r="160" spans="1:18" x14ac:dyDescent="0.2">
      <c r="A160" t="s">
        <v>521</v>
      </c>
      <c r="B160" s="2">
        <v>38</v>
      </c>
      <c r="C160" t="s">
        <v>66</v>
      </c>
      <c r="D160" s="2" t="s">
        <v>52</v>
      </c>
      <c r="E160" s="2">
        <v>8</v>
      </c>
      <c r="F160" s="2">
        <v>31</v>
      </c>
      <c r="G160" s="2">
        <v>0.41699999999999998</v>
      </c>
      <c r="H160" s="2">
        <v>7.8</v>
      </c>
      <c r="I160" s="2">
        <v>9.4</v>
      </c>
      <c r="J160" s="18">
        <v>5</v>
      </c>
      <c r="K160" s="2">
        <v>6.4</v>
      </c>
      <c r="L160" s="2">
        <v>0.1</v>
      </c>
      <c r="M160" s="2">
        <v>10.5</v>
      </c>
      <c r="N160" s="2">
        <v>11.4</v>
      </c>
      <c r="O160" s="2">
        <v>0</v>
      </c>
      <c r="P160" s="2">
        <v>0.10199999999999999</v>
      </c>
      <c r="Q160" s="2">
        <v>0.41699999999999998</v>
      </c>
      <c r="R160" s="2">
        <v>0</v>
      </c>
    </row>
    <row r="161" spans="1:18" x14ac:dyDescent="0.2">
      <c r="A161" t="s">
        <v>280</v>
      </c>
      <c r="B161" s="2">
        <v>28</v>
      </c>
      <c r="C161" t="s">
        <v>72</v>
      </c>
      <c r="D161" s="2" t="s">
        <v>52</v>
      </c>
      <c r="E161" s="2">
        <v>19</v>
      </c>
      <c r="F161" s="2">
        <v>343</v>
      </c>
      <c r="G161" s="2">
        <v>0.66100000000000003</v>
      </c>
      <c r="H161" s="2">
        <v>20.100000000000001</v>
      </c>
      <c r="I161" s="2">
        <v>14.4</v>
      </c>
      <c r="J161" s="18">
        <v>2.7</v>
      </c>
      <c r="K161" s="2">
        <v>-0.5</v>
      </c>
      <c r="L161" s="2">
        <v>0.2</v>
      </c>
      <c r="M161" s="2">
        <v>5.4</v>
      </c>
      <c r="N161" s="2">
        <v>12.4</v>
      </c>
      <c r="O161" s="2">
        <v>0.1</v>
      </c>
      <c r="P161" s="2">
        <v>0.11799999999999999</v>
      </c>
      <c r="Q161" s="2">
        <v>0.621</v>
      </c>
      <c r="R161" s="2">
        <v>0.313</v>
      </c>
    </row>
    <row r="162" spans="1:18" x14ac:dyDescent="0.2">
      <c r="A162" t="s">
        <v>378</v>
      </c>
      <c r="B162" s="2">
        <v>30</v>
      </c>
      <c r="C162" t="s">
        <v>48</v>
      </c>
      <c r="D162" s="2" t="s">
        <v>52</v>
      </c>
      <c r="E162" s="2">
        <v>17</v>
      </c>
      <c r="F162" s="2">
        <v>282</v>
      </c>
      <c r="G162" s="2">
        <v>0.55100000000000005</v>
      </c>
      <c r="H162" s="2">
        <v>12.1</v>
      </c>
      <c r="I162" s="2">
        <v>10.7</v>
      </c>
      <c r="J162" s="18">
        <v>1</v>
      </c>
      <c r="K162" s="2">
        <v>0.6</v>
      </c>
      <c r="L162" s="2">
        <v>0.4</v>
      </c>
      <c r="M162" s="2">
        <v>7.9</v>
      </c>
      <c r="N162" s="2">
        <v>7.6</v>
      </c>
      <c r="O162" s="2">
        <v>0</v>
      </c>
      <c r="P162" s="2">
        <v>7.6999999999999999E-2</v>
      </c>
      <c r="Q162" s="2">
        <v>0.54200000000000004</v>
      </c>
      <c r="R162" s="2">
        <v>0.1</v>
      </c>
    </row>
    <row r="163" spans="1:18" x14ac:dyDescent="0.2">
      <c r="A163" t="s">
        <v>321</v>
      </c>
      <c r="B163" s="2">
        <v>32</v>
      </c>
      <c r="C163" t="s">
        <v>100</v>
      </c>
      <c r="D163" s="2" t="s">
        <v>52</v>
      </c>
      <c r="E163" s="2">
        <v>24</v>
      </c>
      <c r="F163" s="2">
        <v>325</v>
      </c>
      <c r="G163" s="2">
        <v>0.57199999999999995</v>
      </c>
      <c r="H163" s="2">
        <v>16.5</v>
      </c>
      <c r="I163" s="2">
        <v>14.3</v>
      </c>
      <c r="J163" s="18">
        <v>2.0714285714285716</v>
      </c>
      <c r="K163" s="2">
        <v>2.2999999999999998</v>
      </c>
      <c r="L163" s="2">
        <v>0.6</v>
      </c>
      <c r="M163" s="2">
        <v>8.9</v>
      </c>
      <c r="N163" s="2">
        <v>14.7</v>
      </c>
      <c r="O163" s="2">
        <v>0.2</v>
      </c>
      <c r="P163" s="2">
        <v>0.14499999999999999</v>
      </c>
      <c r="Q163" s="2">
        <v>0.56999999999999995</v>
      </c>
      <c r="R163" s="2">
        <v>0.11799999999999999</v>
      </c>
    </row>
    <row r="164" spans="1:18" x14ac:dyDescent="0.2">
      <c r="A164" t="s">
        <v>228</v>
      </c>
      <c r="B164" s="2">
        <v>26</v>
      </c>
      <c r="C164" t="s">
        <v>35</v>
      </c>
      <c r="D164" s="2" t="s">
        <v>52</v>
      </c>
      <c r="E164" s="2">
        <v>22</v>
      </c>
      <c r="F164" s="2">
        <v>571</v>
      </c>
      <c r="G164" s="2">
        <v>0.57899999999999996</v>
      </c>
      <c r="H164" s="2">
        <v>17.399999999999999</v>
      </c>
      <c r="I164" s="2">
        <v>14.6</v>
      </c>
      <c r="J164" s="18">
        <v>1.8333333333333333</v>
      </c>
      <c r="K164" s="2">
        <v>-0.6</v>
      </c>
      <c r="L164" s="2">
        <v>0.3</v>
      </c>
      <c r="M164" s="2">
        <v>9.1</v>
      </c>
      <c r="N164" s="2">
        <v>9.3000000000000007</v>
      </c>
      <c r="O164" s="2">
        <v>-0.2</v>
      </c>
      <c r="P164" s="2">
        <v>6.0999999999999999E-2</v>
      </c>
      <c r="Q164" s="2">
        <v>0.55100000000000005</v>
      </c>
      <c r="R164" s="2">
        <v>0.13900000000000001</v>
      </c>
    </row>
    <row r="165" spans="1:18" x14ac:dyDescent="0.2">
      <c r="A165" t="s">
        <v>221</v>
      </c>
      <c r="B165" s="2">
        <v>31</v>
      </c>
      <c r="C165" t="s">
        <v>57</v>
      </c>
      <c r="D165" s="2" t="s">
        <v>27</v>
      </c>
      <c r="E165" s="2">
        <v>25</v>
      </c>
      <c r="F165" s="2">
        <v>514</v>
      </c>
      <c r="G165" s="2">
        <v>0.59</v>
      </c>
      <c r="H165" s="2">
        <v>19.7</v>
      </c>
      <c r="I165" s="2">
        <v>17.2</v>
      </c>
      <c r="J165" s="18">
        <v>1.24</v>
      </c>
      <c r="K165" s="2">
        <v>-0.9</v>
      </c>
      <c r="L165" s="2">
        <v>0.5</v>
      </c>
      <c r="M165" s="2">
        <v>14.4</v>
      </c>
      <c r="N165" s="2">
        <v>10.7</v>
      </c>
      <c r="O165" s="2">
        <v>-0.1</v>
      </c>
      <c r="P165" s="2">
        <v>7.4999999999999997E-2</v>
      </c>
      <c r="Q165" s="2">
        <v>0.58099999999999996</v>
      </c>
      <c r="R165" s="2">
        <v>7.4999999999999997E-2</v>
      </c>
    </row>
    <row r="166" spans="1:18" x14ac:dyDescent="0.2">
      <c r="A166" t="s">
        <v>34</v>
      </c>
      <c r="B166" s="2">
        <v>30</v>
      </c>
      <c r="C166" t="s">
        <v>35</v>
      </c>
      <c r="D166" s="2" t="s">
        <v>27</v>
      </c>
      <c r="E166" s="2">
        <v>22</v>
      </c>
      <c r="F166" s="2">
        <v>772</v>
      </c>
      <c r="G166" s="2">
        <v>0.63</v>
      </c>
      <c r="H166" s="4">
        <v>45.5</v>
      </c>
      <c r="I166" s="2">
        <v>37.1</v>
      </c>
      <c r="J166" s="18">
        <v>1.736842105263158</v>
      </c>
      <c r="K166" s="2">
        <v>2</v>
      </c>
      <c r="L166" s="2">
        <v>1</v>
      </c>
      <c r="M166" s="2">
        <v>7.9</v>
      </c>
      <c r="N166" s="2">
        <v>31.5</v>
      </c>
      <c r="O166" s="2">
        <v>2</v>
      </c>
      <c r="P166" s="2">
        <v>0.23699999999999999</v>
      </c>
      <c r="Q166" s="2">
        <v>0.61499999999999999</v>
      </c>
      <c r="R166" s="2">
        <v>0.52600000000000002</v>
      </c>
    </row>
    <row r="167" spans="1:18" x14ac:dyDescent="0.2">
      <c r="A167" t="s">
        <v>235</v>
      </c>
      <c r="B167" s="2">
        <v>25</v>
      </c>
      <c r="C167" t="s">
        <v>48</v>
      </c>
      <c r="D167" s="2" t="s">
        <v>42</v>
      </c>
      <c r="E167" s="2">
        <v>22</v>
      </c>
      <c r="F167" s="2">
        <v>516</v>
      </c>
      <c r="G167" s="2">
        <v>0.66600000000000004</v>
      </c>
      <c r="H167" s="2">
        <v>18.8</v>
      </c>
      <c r="I167" s="2">
        <v>14.8</v>
      </c>
      <c r="J167" s="18">
        <v>1.4827586206896552</v>
      </c>
      <c r="K167" s="2">
        <v>2.5</v>
      </c>
      <c r="L167" s="2">
        <v>1.1000000000000001</v>
      </c>
      <c r="M167" s="2">
        <v>5.7</v>
      </c>
      <c r="N167" s="2">
        <v>19.8</v>
      </c>
      <c r="O167" s="2">
        <v>0.6</v>
      </c>
      <c r="P167" s="2">
        <v>0.215</v>
      </c>
      <c r="Q167" s="2">
        <v>0.63600000000000001</v>
      </c>
      <c r="R167" s="2">
        <v>0.318</v>
      </c>
    </row>
    <row r="168" spans="1:18" x14ac:dyDescent="0.2">
      <c r="A168" t="s">
        <v>124</v>
      </c>
      <c r="B168" s="2">
        <v>21</v>
      </c>
      <c r="C168" t="s">
        <v>66</v>
      </c>
      <c r="D168" s="2" t="s">
        <v>52</v>
      </c>
      <c r="E168" s="2">
        <v>21</v>
      </c>
      <c r="F168" s="2">
        <v>680</v>
      </c>
      <c r="G168" s="2">
        <v>0.55400000000000005</v>
      </c>
      <c r="H168" s="2">
        <v>26.9</v>
      </c>
      <c r="I168" s="2">
        <v>22.9</v>
      </c>
      <c r="J168" s="18">
        <v>1.2424242424242424</v>
      </c>
      <c r="K168" s="2">
        <v>-1.7</v>
      </c>
      <c r="L168" s="2">
        <v>0.2</v>
      </c>
      <c r="M168" s="2">
        <v>15.4</v>
      </c>
      <c r="N168" s="2">
        <v>12.5</v>
      </c>
      <c r="O168" s="2">
        <v>0</v>
      </c>
      <c r="P168" s="2">
        <v>5.3999999999999999E-2</v>
      </c>
      <c r="Q168" s="2">
        <v>0.5</v>
      </c>
      <c r="R168" s="2">
        <v>0.26100000000000001</v>
      </c>
    </row>
    <row r="169" spans="1:18" x14ac:dyDescent="0.2">
      <c r="A169" t="s">
        <v>265</v>
      </c>
      <c r="B169" s="2">
        <v>26</v>
      </c>
      <c r="C169" t="s">
        <v>59</v>
      </c>
      <c r="D169" s="2" t="s">
        <v>27</v>
      </c>
      <c r="E169" s="2">
        <v>16</v>
      </c>
      <c r="F169" s="2">
        <v>479</v>
      </c>
      <c r="G169" s="2">
        <v>0.59599999999999997</v>
      </c>
      <c r="H169" s="2">
        <v>17.2</v>
      </c>
      <c r="I169" s="2">
        <v>14.8</v>
      </c>
      <c r="J169" s="18">
        <v>1.3214285714285714</v>
      </c>
      <c r="K169" s="2">
        <v>0.5</v>
      </c>
      <c r="L169" s="2">
        <v>0.4</v>
      </c>
      <c r="M169" s="2">
        <v>9.1</v>
      </c>
      <c r="N169" s="2">
        <v>11.9</v>
      </c>
      <c r="O169" s="2">
        <v>0.1</v>
      </c>
      <c r="P169" s="2">
        <v>8.4000000000000005E-2</v>
      </c>
      <c r="Q169" s="2">
        <v>0.54900000000000004</v>
      </c>
      <c r="R169" s="2">
        <v>0.30099999999999999</v>
      </c>
    </row>
    <row r="170" spans="1:18" x14ac:dyDescent="0.2">
      <c r="A170" t="s">
        <v>223</v>
      </c>
      <c r="B170" s="2">
        <v>29</v>
      </c>
      <c r="C170" t="s">
        <v>54</v>
      </c>
      <c r="D170" s="2" t="s">
        <v>52</v>
      </c>
      <c r="E170" s="2">
        <v>19</v>
      </c>
      <c r="F170" s="2">
        <v>453</v>
      </c>
      <c r="G170" s="2">
        <v>0.61</v>
      </c>
      <c r="H170" s="2">
        <v>22.8</v>
      </c>
      <c r="I170" s="2">
        <v>19</v>
      </c>
      <c r="J170" s="18">
        <v>1.6086956521739131</v>
      </c>
      <c r="K170" s="2">
        <v>-1.2</v>
      </c>
      <c r="L170" s="2">
        <v>0.2</v>
      </c>
      <c r="M170" s="2">
        <v>11</v>
      </c>
      <c r="N170" s="2">
        <v>13.6</v>
      </c>
      <c r="O170" s="2">
        <v>0.2</v>
      </c>
      <c r="P170" s="2">
        <v>8.3000000000000004E-2</v>
      </c>
      <c r="Q170" s="2">
        <v>0.56599999999999995</v>
      </c>
      <c r="R170" s="2">
        <v>0.30299999999999999</v>
      </c>
    </row>
    <row r="171" spans="1:18" x14ac:dyDescent="0.2">
      <c r="A171" t="s">
        <v>216</v>
      </c>
      <c r="B171" s="2">
        <v>29</v>
      </c>
      <c r="C171" t="s">
        <v>122</v>
      </c>
      <c r="D171" s="2" t="s">
        <v>27</v>
      </c>
      <c r="E171" s="2">
        <v>22</v>
      </c>
      <c r="F171" s="2">
        <v>538</v>
      </c>
      <c r="G171" s="2">
        <v>0.60099999999999998</v>
      </c>
      <c r="H171" s="2">
        <v>20.100000000000001</v>
      </c>
      <c r="I171" s="2">
        <v>17.100000000000001</v>
      </c>
      <c r="J171" s="18">
        <v>1.4827586206896552</v>
      </c>
      <c r="K171" s="2">
        <v>-0.1</v>
      </c>
      <c r="L171" s="2">
        <v>0.6</v>
      </c>
      <c r="M171" s="2">
        <v>11</v>
      </c>
      <c r="N171" s="2">
        <v>14.4</v>
      </c>
      <c r="O171" s="2">
        <v>0.3</v>
      </c>
      <c r="P171" s="2">
        <v>0.11</v>
      </c>
      <c r="Q171" s="2">
        <v>0.59499999999999997</v>
      </c>
      <c r="R171" s="2">
        <v>0.245</v>
      </c>
    </row>
    <row r="172" spans="1:18" x14ac:dyDescent="0.2">
      <c r="A172" t="s">
        <v>512</v>
      </c>
      <c r="B172" s="2">
        <v>22</v>
      </c>
      <c r="C172" t="s">
        <v>100</v>
      </c>
      <c r="D172" s="2" t="s">
        <v>27</v>
      </c>
      <c r="E172" s="2">
        <v>6</v>
      </c>
      <c r="F172" s="2">
        <v>22</v>
      </c>
      <c r="G172" s="2">
        <v>0.51</v>
      </c>
      <c r="H172" s="2">
        <v>13.1</v>
      </c>
      <c r="I172" s="2">
        <v>14.9</v>
      </c>
      <c r="J172" s="18">
        <v>1</v>
      </c>
      <c r="K172" s="2">
        <v>-1.1000000000000001</v>
      </c>
      <c r="L172" s="2">
        <v>0</v>
      </c>
      <c r="M172" s="2">
        <v>7.6</v>
      </c>
      <c r="N172" s="2">
        <v>4.9000000000000004</v>
      </c>
      <c r="O172" s="2">
        <v>0</v>
      </c>
      <c r="P172" s="2">
        <v>0.01</v>
      </c>
      <c r="Q172" s="2">
        <v>0.5</v>
      </c>
      <c r="R172" s="2">
        <v>0.4</v>
      </c>
    </row>
    <row r="173" spans="1:18" x14ac:dyDescent="0.2">
      <c r="A173" t="s">
        <v>186</v>
      </c>
      <c r="B173" s="2">
        <v>32</v>
      </c>
      <c r="C173" t="s">
        <v>93</v>
      </c>
      <c r="D173" s="2" t="s">
        <v>27</v>
      </c>
      <c r="E173" s="2">
        <v>24</v>
      </c>
      <c r="F173" s="2">
        <v>688</v>
      </c>
      <c r="G173" s="2">
        <v>0.63400000000000001</v>
      </c>
      <c r="H173" s="2">
        <v>18.7</v>
      </c>
      <c r="I173" s="2">
        <v>14.1</v>
      </c>
      <c r="J173" s="18">
        <v>2.2222222222222223</v>
      </c>
      <c r="K173" s="2">
        <v>-1.8</v>
      </c>
      <c r="L173" s="2">
        <v>0.2</v>
      </c>
      <c r="M173" s="2">
        <v>8.9</v>
      </c>
      <c r="N173" s="2">
        <v>13.2</v>
      </c>
      <c r="O173" s="2">
        <v>0.1</v>
      </c>
      <c r="P173" s="2">
        <v>0.113</v>
      </c>
      <c r="Q173" s="2">
        <v>0.58199999999999996</v>
      </c>
      <c r="R173" s="2">
        <v>0.40100000000000002</v>
      </c>
    </row>
    <row r="174" spans="1:18" x14ac:dyDescent="0.2">
      <c r="A174" t="s">
        <v>559</v>
      </c>
      <c r="B174" s="2">
        <v>22</v>
      </c>
      <c r="C174" t="s">
        <v>93</v>
      </c>
      <c r="D174" s="2" t="s">
        <v>49</v>
      </c>
      <c r="E174" s="2">
        <v>1</v>
      </c>
      <c r="F174" s="2">
        <v>7</v>
      </c>
      <c r="G174" s="2">
        <v>0</v>
      </c>
      <c r="H174" s="2">
        <v>0</v>
      </c>
      <c r="I174" s="2">
        <v>6.1</v>
      </c>
      <c r="J174" s="18" t="e">
        <v>#DIV/0!</v>
      </c>
      <c r="K174" s="2">
        <v>-4.0999999999999996</v>
      </c>
      <c r="L174" s="2">
        <v>0</v>
      </c>
      <c r="M174" s="2">
        <v>7.6</v>
      </c>
      <c r="N174" s="2">
        <v>-5.7</v>
      </c>
      <c r="O174" s="2">
        <v>0</v>
      </c>
      <c r="P174" s="2">
        <v>-0.129</v>
      </c>
      <c r="Q174" s="2">
        <v>0</v>
      </c>
      <c r="R174" s="2">
        <v>0</v>
      </c>
    </row>
    <row r="175" spans="1:18" x14ac:dyDescent="0.2">
      <c r="A175" t="s">
        <v>275</v>
      </c>
      <c r="B175" s="2">
        <v>28</v>
      </c>
      <c r="C175" t="s">
        <v>61</v>
      </c>
      <c r="D175" s="2" t="s">
        <v>49</v>
      </c>
      <c r="E175" s="2">
        <v>21</v>
      </c>
      <c r="F175" s="2">
        <v>527</v>
      </c>
      <c r="G175" s="2">
        <v>0.60499999999999998</v>
      </c>
      <c r="H175" s="2">
        <v>14.4</v>
      </c>
      <c r="I175" s="2">
        <v>11.6</v>
      </c>
      <c r="J175" s="18">
        <v>1.6428571428571428</v>
      </c>
      <c r="K175" s="2">
        <v>1.1000000000000001</v>
      </c>
      <c r="L175" s="2">
        <v>0.7</v>
      </c>
      <c r="M175" s="2">
        <v>5.4</v>
      </c>
      <c r="N175" s="2">
        <v>11.1</v>
      </c>
      <c r="O175" s="2">
        <v>0.1</v>
      </c>
      <c r="P175" s="2">
        <v>0.10199999999999999</v>
      </c>
      <c r="Q175" s="2">
        <v>0.59299999999999997</v>
      </c>
      <c r="R175" s="2">
        <v>0.161</v>
      </c>
    </row>
    <row r="176" spans="1:18" x14ac:dyDescent="0.2">
      <c r="A176" t="s">
        <v>363</v>
      </c>
      <c r="B176" s="2">
        <v>26</v>
      </c>
      <c r="C176" t="s">
        <v>117</v>
      </c>
      <c r="D176" s="2" t="s">
        <v>49</v>
      </c>
      <c r="E176" s="2">
        <v>8</v>
      </c>
      <c r="F176" s="2">
        <v>255</v>
      </c>
      <c r="G176" s="2">
        <v>0.56499999999999995</v>
      </c>
      <c r="H176" s="2">
        <v>15.7</v>
      </c>
      <c r="I176" s="2">
        <v>14.4</v>
      </c>
      <c r="J176" s="18">
        <v>1.2857142857142858</v>
      </c>
      <c r="K176" s="2">
        <v>-0.4</v>
      </c>
      <c r="L176" s="2">
        <v>0.1</v>
      </c>
      <c r="M176" s="2">
        <v>9.1</v>
      </c>
      <c r="N176" s="2">
        <v>10.4</v>
      </c>
      <c r="O176" s="2">
        <v>-0.1</v>
      </c>
      <c r="P176" s="2">
        <v>2.5999999999999999E-2</v>
      </c>
      <c r="Q176" s="2">
        <v>0.54500000000000004</v>
      </c>
      <c r="R176" s="2">
        <v>0.22700000000000001</v>
      </c>
    </row>
    <row r="177" spans="1:18" x14ac:dyDescent="0.2">
      <c r="A177" t="s">
        <v>424</v>
      </c>
      <c r="B177" s="2">
        <v>24</v>
      </c>
      <c r="C177" t="s">
        <v>46</v>
      </c>
      <c r="D177" s="2" t="s">
        <v>27</v>
      </c>
      <c r="E177" s="2">
        <v>14</v>
      </c>
      <c r="F177" s="2">
        <v>129</v>
      </c>
      <c r="G177" s="2">
        <v>0.58099999999999996</v>
      </c>
      <c r="H177" s="2">
        <v>13.3</v>
      </c>
      <c r="I177" s="2">
        <v>11.7</v>
      </c>
      <c r="J177" s="18">
        <v>1.4</v>
      </c>
      <c r="K177" s="2">
        <v>-1.2</v>
      </c>
      <c r="L177" s="2">
        <v>0.1</v>
      </c>
      <c r="M177" s="2">
        <v>0</v>
      </c>
      <c r="N177" s="2">
        <v>8.9</v>
      </c>
      <c r="O177" s="2">
        <v>-0.1</v>
      </c>
      <c r="P177" s="2">
        <v>7.0000000000000007E-2</v>
      </c>
      <c r="Q177" s="2">
        <v>0.51900000000000002</v>
      </c>
      <c r="R177" s="2">
        <v>0.33300000000000002</v>
      </c>
    </row>
    <row r="178" spans="1:18" x14ac:dyDescent="0.2">
      <c r="A178" t="s">
        <v>413</v>
      </c>
      <c r="B178" s="2">
        <v>25</v>
      </c>
      <c r="C178" t="s">
        <v>66</v>
      </c>
      <c r="D178" s="2" t="s">
        <v>33</v>
      </c>
      <c r="E178" s="2">
        <v>3</v>
      </c>
      <c r="F178" s="2">
        <v>68</v>
      </c>
      <c r="G178" s="2">
        <v>0.5</v>
      </c>
      <c r="H178" s="2">
        <v>32.700000000000003</v>
      </c>
      <c r="I178" s="2">
        <v>30.5</v>
      </c>
      <c r="J178" s="18">
        <v>3</v>
      </c>
      <c r="K178" s="2">
        <v>-2.2000000000000002</v>
      </c>
      <c r="L178" s="2">
        <v>0</v>
      </c>
      <c r="M178" s="2">
        <v>5.7</v>
      </c>
      <c r="N178" s="2">
        <v>14.5</v>
      </c>
      <c r="O178" s="2">
        <v>0</v>
      </c>
      <c r="P178" s="2">
        <v>0.05</v>
      </c>
      <c r="Q178" s="2">
        <v>0.45200000000000001</v>
      </c>
      <c r="R178" s="2">
        <v>0.214</v>
      </c>
    </row>
    <row r="179" spans="1:18" x14ac:dyDescent="0.2">
      <c r="A179" t="s">
        <v>385</v>
      </c>
      <c r="B179" s="2">
        <v>24</v>
      </c>
      <c r="C179" t="s">
        <v>37</v>
      </c>
      <c r="D179" s="2" t="s">
        <v>27</v>
      </c>
      <c r="E179" s="2">
        <v>15</v>
      </c>
      <c r="F179" s="2">
        <v>142</v>
      </c>
      <c r="G179" s="2">
        <v>0.64500000000000002</v>
      </c>
      <c r="H179" s="2">
        <v>21.9</v>
      </c>
      <c r="I179" s="2">
        <v>17.8</v>
      </c>
      <c r="J179" s="18">
        <v>0.22222222222222221</v>
      </c>
      <c r="K179" s="2">
        <v>-1.5</v>
      </c>
      <c r="L179" s="2">
        <v>0.1</v>
      </c>
      <c r="M179" s="2">
        <v>0</v>
      </c>
      <c r="N179" s="2">
        <v>12.2</v>
      </c>
      <c r="O179" s="2">
        <v>-0.1</v>
      </c>
      <c r="P179" s="2">
        <v>6.4000000000000001E-2</v>
      </c>
      <c r="Q179" s="2">
        <v>0.66300000000000003</v>
      </c>
      <c r="R179" s="2">
        <v>0.34899999999999998</v>
      </c>
    </row>
    <row r="180" spans="1:18" x14ac:dyDescent="0.2">
      <c r="A180" t="s">
        <v>307</v>
      </c>
      <c r="B180" s="2">
        <v>24</v>
      </c>
      <c r="C180" t="s">
        <v>57</v>
      </c>
      <c r="D180" s="2" t="s">
        <v>52</v>
      </c>
      <c r="E180" s="2">
        <v>21</v>
      </c>
      <c r="F180" s="2">
        <v>439</v>
      </c>
      <c r="G180" s="2">
        <v>0.621</v>
      </c>
      <c r="H180" s="2">
        <v>13.8</v>
      </c>
      <c r="I180" s="2">
        <v>10.7</v>
      </c>
      <c r="J180" s="18">
        <v>5.4285714285714288</v>
      </c>
      <c r="K180" s="2">
        <v>0.8</v>
      </c>
      <c r="L180" s="2">
        <v>0.4</v>
      </c>
      <c r="M180" s="2">
        <v>0</v>
      </c>
      <c r="N180" s="2">
        <v>11.7</v>
      </c>
      <c r="O180" s="2">
        <v>0.3</v>
      </c>
      <c r="P180" s="2">
        <v>0.14000000000000001</v>
      </c>
      <c r="Q180" s="2">
        <v>0.61199999999999999</v>
      </c>
      <c r="R180" s="2">
        <v>0.18099999999999999</v>
      </c>
    </row>
    <row r="181" spans="1:18" x14ac:dyDescent="0.2">
      <c r="A181" t="s">
        <v>394</v>
      </c>
      <c r="B181" s="2">
        <v>20</v>
      </c>
      <c r="C181" t="s">
        <v>120</v>
      </c>
      <c r="D181" s="2" t="s">
        <v>33</v>
      </c>
      <c r="E181" s="2">
        <v>16</v>
      </c>
      <c r="F181" s="2">
        <v>278</v>
      </c>
      <c r="G181" s="2">
        <v>0.35499999999999998</v>
      </c>
      <c r="H181" s="2">
        <v>9.8000000000000007</v>
      </c>
      <c r="I181" s="2">
        <v>17.7</v>
      </c>
      <c r="J181" s="18">
        <v>1.3947368421052631</v>
      </c>
      <c r="K181" s="2">
        <v>-1.6</v>
      </c>
      <c r="L181" s="2">
        <v>0.1</v>
      </c>
      <c r="M181" s="2">
        <v>10</v>
      </c>
      <c r="N181" s="2">
        <v>1.9</v>
      </c>
      <c r="O181" s="2">
        <v>-0.6</v>
      </c>
      <c r="P181" s="2">
        <v>-0.156</v>
      </c>
      <c r="Q181" s="2">
        <v>0.33800000000000002</v>
      </c>
      <c r="R181" s="2">
        <v>0.254</v>
      </c>
    </row>
    <row r="182" spans="1:18" x14ac:dyDescent="0.2">
      <c r="A182" t="s">
        <v>555</v>
      </c>
      <c r="B182" s="2">
        <v>23</v>
      </c>
      <c r="C182" t="s">
        <v>37</v>
      </c>
      <c r="D182" s="2" t="s">
        <v>49</v>
      </c>
      <c r="E182" s="2">
        <v>1</v>
      </c>
      <c r="F182" s="2">
        <v>5</v>
      </c>
      <c r="G182" s="2">
        <v>0</v>
      </c>
      <c r="H182" s="2">
        <v>0</v>
      </c>
      <c r="I182" s="2">
        <v>0</v>
      </c>
      <c r="J182" s="18" t="e">
        <v>#DIV/0!</v>
      </c>
      <c r="K182" s="2">
        <v>-0.8</v>
      </c>
      <c r="L182" s="2">
        <v>0</v>
      </c>
      <c r="M182" s="2">
        <v>9.1</v>
      </c>
      <c r="N182" s="2">
        <v>-0.5</v>
      </c>
      <c r="O182" s="2">
        <v>0</v>
      </c>
      <c r="P182" s="2">
        <v>3.2000000000000001E-2</v>
      </c>
      <c r="Q182" s="2">
        <v>0</v>
      </c>
      <c r="R182" s="2">
        <v>0</v>
      </c>
    </row>
    <row r="183" spans="1:18" x14ac:dyDescent="0.2">
      <c r="A183" t="s">
        <v>332</v>
      </c>
      <c r="B183" s="2">
        <v>26</v>
      </c>
      <c r="C183" t="s">
        <v>32</v>
      </c>
      <c r="D183" s="2" t="s">
        <v>42</v>
      </c>
      <c r="E183" s="2">
        <v>9</v>
      </c>
      <c r="F183" s="2">
        <v>267</v>
      </c>
      <c r="G183" s="2">
        <v>0.56399999999999995</v>
      </c>
      <c r="H183" s="2">
        <v>18.7</v>
      </c>
      <c r="I183" s="2">
        <v>17.7</v>
      </c>
      <c r="J183" s="18">
        <v>2.0526315789473686</v>
      </c>
      <c r="K183" s="2">
        <v>2.7</v>
      </c>
      <c r="L183" s="2">
        <v>0.7</v>
      </c>
      <c r="M183" s="2">
        <v>9.1</v>
      </c>
      <c r="N183" s="2">
        <v>18.600000000000001</v>
      </c>
      <c r="O183" s="2">
        <v>0.3</v>
      </c>
      <c r="P183" s="2">
        <v>0.19400000000000001</v>
      </c>
      <c r="Q183" s="2">
        <v>0.55400000000000005</v>
      </c>
      <c r="R183" s="2">
        <v>0.253</v>
      </c>
    </row>
    <row r="184" spans="1:18" x14ac:dyDescent="0.2">
      <c r="A184" t="s">
        <v>425</v>
      </c>
      <c r="B184" s="2">
        <v>23</v>
      </c>
      <c r="C184" t="s">
        <v>82</v>
      </c>
      <c r="D184" s="2" t="s">
        <v>42</v>
      </c>
      <c r="E184" s="2">
        <v>5</v>
      </c>
      <c r="F184" s="2">
        <v>84</v>
      </c>
      <c r="G184" s="2">
        <v>0.6</v>
      </c>
      <c r="H184" s="2">
        <v>20</v>
      </c>
      <c r="I184" s="2">
        <v>17.600000000000001</v>
      </c>
      <c r="J184" s="18">
        <v>1</v>
      </c>
      <c r="K184" s="2">
        <v>1.2</v>
      </c>
      <c r="L184" s="2">
        <v>0.1</v>
      </c>
      <c r="M184" s="2">
        <v>9.1</v>
      </c>
      <c r="N184" s="2">
        <v>18.7</v>
      </c>
      <c r="O184" s="2">
        <v>0</v>
      </c>
      <c r="P184" s="2">
        <v>0.13800000000000001</v>
      </c>
      <c r="Q184" s="2">
        <v>0.60899999999999999</v>
      </c>
      <c r="R184" s="2">
        <v>0.60899999999999999</v>
      </c>
    </row>
    <row r="185" spans="1:18" x14ac:dyDescent="0.2">
      <c r="A185" t="s">
        <v>232</v>
      </c>
      <c r="B185" s="2">
        <v>25</v>
      </c>
      <c r="C185" t="s">
        <v>32</v>
      </c>
      <c r="D185" s="2" t="s">
        <v>52</v>
      </c>
      <c r="E185" s="2">
        <v>22</v>
      </c>
      <c r="F185" s="2">
        <v>473</v>
      </c>
      <c r="G185" s="2">
        <v>0.57099999999999995</v>
      </c>
      <c r="H185" s="2">
        <v>20.2</v>
      </c>
      <c r="I185" s="2">
        <v>16.5</v>
      </c>
      <c r="J185" s="18">
        <v>3.8</v>
      </c>
      <c r="K185" s="2">
        <v>0.1</v>
      </c>
      <c r="L185" s="2">
        <v>0.8</v>
      </c>
      <c r="M185" s="2">
        <v>5.7</v>
      </c>
      <c r="N185" s="2">
        <v>12.6</v>
      </c>
      <c r="O185" s="2">
        <v>0.3</v>
      </c>
      <c r="P185" s="2">
        <v>0.13800000000000001</v>
      </c>
      <c r="Q185" s="2">
        <v>0.56499999999999995</v>
      </c>
      <c r="R185" s="2">
        <v>5.8999999999999997E-2</v>
      </c>
    </row>
    <row r="186" spans="1:18" x14ac:dyDescent="0.2">
      <c r="A186" t="s">
        <v>272</v>
      </c>
      <c r="B186" s="2">
        <v>23</v>
      </c>
      <c r="C186" t="s">
        <v>75</v>
      </c>
      <c r="D186" s="2" t="s">
        <v>42</v>
      </c>
      <c r="E186" s="2">
        <v>26</v>
      </c>
      <c r="F186" s="2">
        <v>572</v>
      </c>
      <c r="G186" s="2">
        <v>0.624</v>
      </c>
      <c r="H186" s="2">
        <v>13.5</v>
      </c>
      <c r="I186" s="2">
        <v>11.6</v>
      </c>
      <c r="J186" s="18">
        <v>1.6785714285714286</v>
      </c>
      <c r="K186" s="2">
        <v>1.7</v>
      </c>
      <c r="L186" s="2">
        <v>0.7</v>
      </c>
      <c r="M186" s="2">
        <v>9.1</v>
      </c>
      <c r="N186" s="2">
        <v>14.5</v>
      </c>
      <c r="O186" s="2">
        <v>0.3</v>
      </c>
      <c r="P186" s="2">
        <v>0.13900000000000001</v>
      </c>
      <c r="Q186" s="2">
        <v>0.57599999999999996</v>
      </c>
      <c r="R186" s="2">
        <v>0.29499999999999998</v>
      </c>
    </row>
    <row r="187" spans="1:18" x14ac:dyDescent="0.2">
      <c r="A187" t="s">
        <v>478</v>
      </c>
      <c r="B187" s="2">
        <v>24</v>
      </c>
      <c r="C187" t="s">
        <v>59</v>
      </c>
      <c r="D187" s="2" t="s">
        <v>52</v>
      </c>
      <c r="E187" s="2">
        <v>2</v>
      </c>
      <c r="F187" s="2">
        <v>29</v>
      </c>
      <c r="G187" s="2">
        <v>0.62</v>
      </c>
      <c r="H187" s="2">
        <v>30.8</v>
      </c>
      <c r="I187" s="2">
        <v>25.7</v>
      </c>
      <c r="J187" s="18">
        <v>1.3333333333333333</v>
      </c>
      <c r="K187" s="2">
        <v>1.4</v>
      </c>
      <c r="L187" s="2">
        <v>0</v>
      </c>
      <c r="M187" s="2">
        <v>0</v>
      </c>
      <c r="N187" s="2">
        <v>20.5</v>
      </c>
      <c r="O187" s="2">
        <v>0</v>
      </c>
      <c r="P187" s="2">
        <v>0.18</v>
      </c>
      <c r="Q187" s="2">
        <v>0.5</v>
      </c>
      <c r="R187" s="2">
        <v>0.72699999999999998</v>
      </c>
    </row>
    <row r="188" spans="1:18" x14ac:dyDescent="0.2">
      <c r="A188" t="s">
        <v>126</v>
      </c>
      <c r="B188" s="2">
        <v>27</v>
      </c>
      <c r="C188" t="s">
        <v>77</v>
      </c>
      <c r="D188" s="2" t="s">
        <v>42</v>
      </c>
      <c r="E188" s="2">
        <v>25</v>
      </c>
      <c r="F188" s="2">
        <v>811</v>
      </c>
      <c r="G188" s="2">
        <v>0.60299999999999998</v>
      </c>
      <c r="H188" s="2">
        <v>22.4</v>
      </c>
      <c r="I188" s="2">
        <v>18.899999999999999</v>
      </c>
      <c r="J188" s="18">
        <v>1.1599999999999999</v>
      </c>
      <c r="K188" s="2">
        <v>-0.1</v>
      </c>
      <c r="L188" s="2">
        <v>1.3</v>
      </c>
      <c r="M188" s="2">
        <v>6</v>
      </c>
      <c r="N188" s="2">
        <v>19.100000000000001</v>
      </c>
      <c r="O188" s="2">
        <v>0.5</v>
      </c>
      <c r="P188" s="2">
        <v>0.153</v>
      </c>
      <c r="Q188" s="2">
        <v>0.60199999999999998</v>
      </c>
      <c r="R188" s="2">
        <v>0.26600000000000001</v>
      </c>
    </row>
    <row r="189" spans="1:18" x14ac:dyDescent="0.2">
      <c r="A189" t="s">
        <v>151</v>
      </c>
      <c r="B189" s="2">
        <v>25</v>
      </c>
      <c r="C189" t="s">
        <v>80</v>
      </c>
      <c r="D189" s="2" t="s">
        <v>33</v>
      </c>
      <c r="E189" s="2">
        <v>14</v>
      </c>
      <c r="F189" s="2">
        <v>394</v>
      </c>
      <c r="G189" s="2">
        <v>0.57399999999999995</v>
      </c>
      <c r="H189" s="2">
        <v>35.4</v>
      </c>
      <c r="I189" s="2">
        <v>32.299999999999997</v>
      </c>
      <c r="J189" s="18">
        <v>2.2884615384615383</v>
      </c>
      <c r="K189" s="2">
        <v>-0.2</v>
      </c>
      <c r="L189" s="2">
        <v>0.5</v>
      </c>
      <c r="M189" s="2">
        <v>5.7</v>
      </c>
      <c r="N189" s="2">
        <v>21.7</v>
      </c>
      <c r="O189" s="2">
        <v>0.6</v>
      </c>
      <c r="P189" s="2">
        <v>0.16800000000000001</v>
      </c>
      <c r="Q189" s="2">
        <v>0.5</v>
      </c>
      <c r="R189" s="2">
        <v>0.42599999999999999</v>
      </c>
    </row>
    <row r="190" spans="1:18" x14ac:dyDescent="0.2">
      <c r="A190" t="s">
        <v>359</v>
      </c>
      <c r="B190" s="2">
        <v>20</v>
      </c>
      <c r="C190" t="s">
        <v>66</v>
      </c>
      <c r="D190" s="2" t="s">
        <v>52</v>
      </c>
      <c r="E190" s="2">
        <v>12</v>
      </c>
      <c r="F190" s="2">
        <v>227</v>
      </c>
      <c r="G190" s="2">
        <v>0.438</v>
      </c>
      <c r="H190" s="2">
        <v>18.3</v>
      </c>
      <c r="I190" s="2">
        <v>20.100000000000001</v>
      </c>
      <c r="J190" s="18">
        <v>1.5</v>
      </c>
      <c r="K190" s="2">
        <v>-1.6</v>
      </c>
      <c r="L190" s="2">
        <v>0.1</v>
      </c>
      <c r="M190" s="2">
        <v>10</v>
      </c>
      <c r="N190" s="2">
        <v>7.6</v>
      </c>
      <c r="O190" s="2">
        <v>-0.3</v>
      </c>
      <c r="P190" s="2">
        <v>-2.7E-2</v>
      </c>
      <c r="Q190" s="2">
        <v>0.41299999999999998</v>
      </c>
      <c r="R190" s="2">
        <v>0.152</v>
      </c>
    </row>
    <row r="191" spans="1:18" x14ac:dyDescent="0.2">
      <c r="A191" t="s">
        <v>166</v>
      </c>
      <c r="B191" s="2">
        <v>21</v>
      </c>
      <c r="C191" t="s">
        <v>87</v>
      </c>
      <c r="D191" s="2" t="s">
        <v>27</v>
      </c>
      <c r="E191" s="2">
        <v>25</v>
      </c>
      <c r="F191" s="2">
        <v>758</v>
      </c>
      <c r="G191" s="2">
        <v>0.56499999999999995</v>
      </c>
      <c r="H191" s="2">
        <v>18.600000000000001</v>
      </c>
      <c r="I191" s="2">
        <v>14.9</v>
      </c>
      <c r="J191" s="18">
        <v>1.375</v>
      </c>
      <c r="K191" s="2">
        <v>0.6</v>
      </c>
      <c r="L191" s="2">
        <v>1.3</v>
      </c>
      <c r="M191" s="2">
        <v>15.4</v>
      </c>
      <c r="N191" s="2">
        <v>12.6</v>
      </c>
      <c r="O191" s="2">
        <v>0.4</v>
      </c>
      <c r="P191" s="2">
        <v>0.15</v>
      </c>
      <c r="Q191" s="2">
        <v>0.52800000000000002</v>
      </c>
      <c r="R191" s="2">
        <v>0.20799999999999999</v>
      </c>
    </row>
    <row r="192" spans="1:18" x14ac:dyDescent="0.2">
      <c r="A192" t="s">
        <v>393</v>
      </c>
      <c r="B192" s="2">
        <v>22</v>
      </c>
      <c r="C192" t="s">
        <v>135</v>
      </c>
      <c r="D192" s="2" t="s">
        <v>49</v>
      </c>
      <c r="E192" s="2">
        <v>19</v>
      </c>
      <c r="F192" s="2">
        <v>204</v>
      </c>
      <c r="G192" s="2">
        <v>0.44</v>
      </c>
      <c r="H192" s="2">
        <v>13.5</v>
      </c>
      <c r="I192" s="2">
        <v>15.8</v>
      </c>
      <c r="J192" s="18">
        <v>1</v>
      </c>
      <c r="K192" s="2">
        <v>-1.3</v>
      </c>
      <c r="L192" s="2">
        <v>0.2</v>
      </c>
      <c r="M192" s="2">
        <v>7.6</v>
      </c>
      <c r="N192" s="2">
        <v>8.4</v>
      </c>
      <c r="O192" s="2">
        <v>-0.2</v>
      </c>
      <c r="P192" s="2">
        <v>-6.0000000000000001E-3</v>
      </c>
      <c r="Q192" s="2">
        <v>0.39</v>
      </c>
      <c r="R192" s="2">
        <v>0.22</v>
      </c>
    </row>
    <row r="193" spans="1:18" x14ac:dyDescent="0.2">
      <c r="A193" t="s">
        <v>503</v>
      </c>
      <c r="B193" s="2">
        <v>28</v>
      </c>
      <c r="C193" t="s">
        <v>87</v>
      </c>
      <c r="D193" s="2" t="s">
        <v>27</v>
      </c>
      <c r="E193" s="2">
        <v>6</v>
      </c>
      <c r="F193" s="2">
        <v>21</v>
      </c>
      <c r="G193" s="2">
        <v>0.36399999999999999</v>
      </c>
      <c r="H193" s="2">
        <v>18.399999999999999</v>
      </c>
      <c r="I193" s="2">
        <v>23.6</v>
      </c>
      <c r="J193" s="18">
        <v>1</v>
      </c>
      <c r="K193" s="2">
        <v>-2.5</v>
      </c>
      <c r="L193" s="2">
        <v>0</v>
      </c>
      <c r="M193" s="2">
        <v>5.4</v>
      </c>
      <c r="N193" s="2">
        <v>4.4000000000000004</v>
      </c>
      <c r="O193" s="2">
        <v>0</v>
      </c>
      <c r="P193" s="2">
        <v>-5.6000000000000001E-2</v>
      </c>
      <c r="Q193" s="2">
        <v>0.36399999999999999</v>
      </c>
      <c r="R193" s="2">
        <v>0</v>
      </c>
    </row>
    <row r="194" spans="1:18" x14ac:dyDescent="0.2">
      <c r="A194" t="s">
        <v>551</v>
      </c>
      <c r="B194" s="2">
        <v>24</v>
      </c>
      <c r="C194" t="s">
        <v>44</v>
      </c>
      <c r="D194" s="2" t="s">
        <v>49</v>
      </c>
      <c r="E194" s="2">
        <v>7</v>
      </c>
      <c r="F194" s="2">
        <v>21</v>
      </c>
      <c r="G194" s="2">
        <v>0.33300000000000002</v>
      </c>
      <c r="H194" s="2">
        <v>4.7</v>
      </c>
      <c r="I194" s="2">
        <v>8.4</v>
      </c>
      <c r="J194" s="18">
        <v>2</v>
      </c>
      <c r="K194" s="2">
        <v>-1.7</v>
      </c>
      <c r="L194" s="2">
        <v>0</v>
      </c>
      <c r="M194" s="2">
        <v>0</v>
      </c>
      <c r="N194" s="2">
        <v>2.2000000000000002</v>
      </c>
      <c r="O194" s="2">
        <v>0</v>
      </c>
      <c r="P194" s="2">
        <v>-5.5E-2</v>
      </c>
      <c r="Q194" s="2">
        <v>0.33300000000000002</v>
      </c>
      <c r="R194" s="2">
        <v>0</v>
      </c>
    </row>
    <row r="195" spans="1:18" x14ac:dyDescent="0.2">
      <c r="A195" t="s">
        <v>288</v>
      </c>
      <c r="B195" s="2">
        <v>22</v>
      </c>
      <c r="C195" t="s">
        <v>63</v>
      </c>
      <c r="D195" s="2" t="s">
        <v>52</v>
      </c>
      <c r="E195" s="2">
        <v>22</v>
      </c>
      <c r="F195" s="2">
        <v>320</v>
      </c>
      <c r="G195" s="2">
        <v>0.5</v>
      </c>
      <c r="H195" s="2">
        <v>21.7</v>
      </c>
      <c r="I195" s="2">
        <v>23.1</v>
      </c>
      <c r="J195" s="18">
        <v>0.87096774193548387</v>
      </c>
      <c r="K195" s="2">
        <v>-1.3</v>
      </c>
      <c r="L195" s="2">
        <v>0.3</v>
      </c>
      <c r="M195" s="2">
        <v>7.6</v>
      </c>
      <c r="N195" s="2">
        <v>7.7</v>
      </c>
      <c r="O195" s="2">
        <v>-0.4</v>
      </c>
      <c r="P195" s="2">
        <v>-2.5000000000000001E-2</v>
      </c>
      <c r="Q195" s="2">
        <v>0.45900000000000002</v>
      </c>
      <c r="R195" s="2">
        <v>0.188</v>
      </c>
    </row>
    <row r="196" spans="1:18" x14ac:dyDescent="0.2">
      <c r="A196" t="s">
        <v>101</v>
      </c>
      <c r="B196" s="2">
        <v>22</v>
      </c>
      <c r="C196" t="s">
        <v>75</v>
      </c>
      <c r="D196" s="2" t="s">
        <v>52</v>
      </c>
      <c r="E196" s="2">
        <v>25</v>
      </c>
      <c r="F196" s="2">
        <v>759</v>
      </c>
      <c r="G196" s="2">
        <v>0.54200000000000004</v>
      </c>
      <c r="H196" s="2">
        <v>27.8</v>
      </c>
      <c r="I196" s="2">
        <v>26.7</v>
      </c>
      <c r="J196" s="18">
        <v>1.3866666666666667</v>
      </c>
      <c r="K196" s="2">
        <v>-1.1000000000000001</v>
      </c>
      <c r="L196" s="2">
        <v>0.6</v>
      </c>
      <c r="M196" s="2">
        <v>7.6</v>
      </c>
      <c r="N196" s="2">
        <v>14.1</v>
      </c>
      <c r="O196" s="2">
        <v>0.1</v>
      </c>
      <c r="P196" s="2">
        <v>4.2000000000000003E-2</v>
      </c>
      <c r="Q196" s="2">
        <v>0.503</v>
      </c>
      <c r="R196" s="2">
        <v>0.308</v>
      </c>
    </row>
    <row r="197" spans="1:18" x14ac:dyDescent="0.2">
      <c r="A197" t="s">
        <v>210</v>
      </c>
      <c r="B197" s="2">
        <v>24</v>
      </c>
      <c r="C197" t="s">
        <v>51</v>
      </c>
      <c r="D197" s="2" t="s">
        <v>27</v>
      </c>
      <c r="E197" s="2">
        <v>23</v>
      </c>
      <c r="F197" s="2">
        <v>691</v>
      </c>
      <c r="G197" s="2">
        <v>0.52</v>
      </c>
      <c r="H197" s="2">
        <v>16.2</v>
      </c>
      <c r="I197" s="2">
        <v>15.4</v>
      </c>
      <c r="J197" s="18">
        <v>1.75</v>
      </c>
      <c r="K197" s="2">
        <v>1.1000000000000001</v>
      </c>
      <c r="L197" s="2">
        <v>1</v>
      </c>
      <c r="M197" s="2">
        <v>0</v>
      </c>
      <c r="N197" s="2">
        <v>9.8000000000000007</v>
      </c>
      <c r="O197" s="2">
        <v>0</v>
      </c>
      <c r="P197" s="2">
        <v>7.8E-2</v>
      </c>
      <c r="Q197" s="2">
        <v>0.505</v>
      </c>
      <c r="R197" s="2">
        <v>0.126</v>
      </c>
    </row>
    <row r="198" spans="1:18" x14ac:dyDescent="0.2">
      <c r="A198" t="s">
        <v>513</v>
      </c>
      <c r="B198" s="2">
        <v>22</v>
      </c>
      <c r="C198" t="s">
        <v>39</v>
      </c>
      <c r="D198" s="2" t="s">
        <v>52</v>
      </c>
      <c r="E198" s="2">
        <v>7</v>
      </c>
      <c r="F198" s="2">
        <v>24</v>
      </c>
      <c r="G198" s="2">
        <v>0.34200000000000003</v>
      </c>
      <c r="H198" s="2">
        <v>12.2</v>
      </c>
      <c r="I198" s="2">
        <v>17.600000000000001</v>
      </c>
      <c r="J198" s="18">
        <v>3</v>
      </c>
      <c r="K198" s="2">
        <v>4.2</v>
      </c>
      <c r="L198" s="2">
        <v>0.1</v>
      </c>
      <c r="M198" s="2">
        <v>7.6</v>
      </c>
      <c r="N198" s="2">
        <v>12.4</v>
      </c>
      <c r="O198" s="2">
        <v>0</v>
      </c>
      <c r="P198" s="2">
        <v>7.6999999999999999E-2</v>
      </c>
      <c r="Q198" s="2">
        <v>0.28599999999999998</v>
      </c>
      <c r="R198" s="2">
        <v>0.57099999999999995</v>
      </c>
    </row>
    <row r="199" spans="1:18" x14ac:dyDescent="0.2">
      <c r="A199" t="s">
        <v>465</v>
      </c>
      <c r="B199" s="2">
        <v>34</v>
      </c>
      <c r="C199" t="s">
        <v>37</v>
      </c>
      <c r="D199" s="2" t="s">
        <v>49</v>
      </c>
      <c r="E199" s="2">
        <v>5</v>
      </c>
      <c r="F199" s="2">
        <v>84</v>
      </c>
      <c r="G199" s="2">
        <v>0.50900000000000001</v>
      </c>
      <c r="H199" s="2">
        <v>11.6</v>
      </c>
      <c r="I199" s="2">
        <v>11.6</v>
      </c>
      <c r="J199" s="18">
        <v>1.3333333333333333</v>
      </c>
      <c r="K199" s="2">
        <v>-0.5</v>
      </c>
      <c r="L199" s="2">
        <v>0.1</v>
      </c>
      <c r="M199" s="2">
        <v>6.7</v>
      </c>
      <c r="N199" s="2">
        <v>7.7</v>
      </c>
      <c r="O199" s="2">
        <v>0</v>
      </c>
      <c r="P199" s="2">
        <v>5.7000000000000002E-2</v>
      </c>
      <c r="Q199" s="2">
        <v>0.441</v>
      </c>
      <c r="R199" s="2">
        <v>0.35299999999999998</v>
      </c>
    </row>
    <row r="200" spans="1:18" x14ac:dyDescent="0.2">
      <c r="A200" t="s">
        <v>454</v>
      </c>
      <c r="B200" s="2">
        <v>29</v>
      </c>
      <c r="C200" t="s">
        <v>87</v>
      </c>
      <c r="D200" s="2" t="s">
        <v>49</v>
      </c>
      <c r="E200" s="2">
        <v>10</v>
      </c>
      <c r="F200" s="2">
        <v>59</v>
      </c>
      <c r="G200" s="2">
        <v>0.60099999999999998</v>
      </c>
      <c r="H200" s="2">
        <v>19.7</v>
      </c>
      <c r="I200" s="2">
        <v>18.2</v>
      </c>
      <c r="J200" s="18">
        <v>1</v>
      </c>
      <c r="K200" s="2">
        <v>4.5</v>
      </c>
      <c r="L200" s="2">
        <v>0.2</v>
      </c>
      <c r="M200" s="2">
        <v>11</v>
      </c>
      <c r="N200" s="2">
        <v>16</v>
      </c>
      <c r="O200" s="2">
        <v>0</v>
      </c>
      <c r="P200" s="2">
        <v>0.156</v>
      </c>
      <c r="Q200" s="2">
        <v>0.56299999999999994</v>
      </c>
      <c r="R200" s="2">
        <v>0.56299999999999994</v>
      </c>
    </row>
    <row r="201" spans="1:18" x14ac:dyDescent="0.2">
      <c r="A201" t="s">
        <v>270</v>
      </c>
      <c r="B201" s="2">
        <v>23</v>
      </c>
      <c r="C201" t="s">
        <v>61</v>
      </c>
      <c r="D201" s="2" t="s">
        <v>49</v>
      </c>
      <c r="E201" s="2">
        <v>19</v>
      </c>
      <c r="F201" s="2">
        <v>402</v>
      </c>
      <c r="G201" s="2">
        <v>0.496</v>
      </c>
      <c r="H201" s="2">
        <v>20.100000000000001</v>
      </c>
      <c r="I201" s="2">
        <v>20.9</v>
      </c>
      <c r="J201" s="18">
        <v>1.5</v>
      </c>
      <c r="K201" s="2">
        <v>0.3</v>
      </c>
      <c r="L201" s="2">
        <v>0.6</v>
      </c>
      <c r="M201" s="2">
        <v>9.1</v>
      </c>
      <c r="N201" s="2">
        <v>12.7</v>
      </c>
      <c r="O201" s="2">
        <v>-0.1</v>
      </c>
      <c r="P201" s="2">
        <v>5.3999999999999999E-2</v>
      </c>
      <c r="Q201" s="2">
        <v>0.45500000000000002</v>
      </c>
      <c r="R201" s="2">
        <v>0.30299999999999999</v>
      </c>
    </row>
    <row r="202" spans="1:18" x14ac:dyDescent="0.2">
      <c r="A202" t="s">
        <v>218</v>
      </c>
      <c r="B202" s="2">
        <v>23</v>
      </c>
      <c r="C202" t="s">
        <v>80</v>
      </c>
      <c r="D202" s="2" t="s">
        <v>27</v>
      </c>
      <c r="E202" s="2">
        <v>25</v>
      </c>
      <c r="F202" s="2">
        <v>584</v>
      </c>
      <c r="G202" s="2">
        <v>0.60699999999999998</v>
      </c>
      <c r="H202" s="2">
        <v>16.899999999999999</v>
      </c>
      <c r="I202" s="2">
        <v>14.6</v>
      </c>
      <c r="J202" s="18">
        <v>2.5142857142857142</v>
      </c>
      <c r="K202" s="2">
        <v>1.8</v>
      </c>
      <c r="L202" s="2">
        <v>0.9</v>
      </c>
      <c r="M202" s="2">
        <v>9.1</v>
      </c>
      <c r="N202" s="2">
        <v>14.5</v>
      </c>
      <c r="O202" s="2">
        <v>0.6</v>
      </c>
      <c r="P202" s="2">
        <v>0.155</v>
      </c>
      <c r="Q202" s="2">
        <v>0.57599999999999996</v>
      </c>
      <c r="R202" s="2">
        <v>0.39100000000000001</v>
      </c>
    </row>
    <row r="203" spans="1:18" x14ac:dyDescent="0.2">
      <c r="A203" t="s">
        <v>118</v>
      </c>
      <c r="B203" s="2">
        <v>29</v>
      </c>
      <c r="C203" t="s">
        <v>66</v>
      </c>
      <c r="D203" s="2" t="s">
        <v>42</v>
      </c>
      <c r="E203" s="2">
        <v>25</v>
      </c>
      <c r="F203" s="2">
        <v>813</v>
      </c>
      <c r="G203" s="2">
        <v>0.61499999999999999</v>
      </c>
      <c r="H203" s="2">
        <v>23.6</v>
      </c>
      <c r="I203" s="2">
        <v>19.3</v>
      </c>
      <c r="J203" s="18">
        <v>1.2363636363636363</v>
      </c>
      <c r="K203" s="2">
        <v>0.3</v>
      </c>
      <c r="L203" s="2">
        <v>0.9</v>
      </c>
      <c r="M203" s="2">
        <v>11</v>
      </c>
      <c r="N203" s="2">
        <v>19.600000000000001</v>
      </c>
      <c r="O203" s="2">
        <v>0.6</v>
      </c>
      <c r="P203" s="2">
        <v>0.14000000000000001</v>
      </c>
      <c r="Q203" s="2">
        <v>0.59299999999999997</v>
      </c>
      <c r="R203" s="2">
        <v>0.309</v>
      </c>
    </row>
    <row r="204" spans="1:18" x14ac:dyDescent="0.2">
      <c r="A204" t="s">
        <v>553</v>
      </c>
      <c r="B204" s="2">
        <v>23</v>
      </c>
      <c r="C204" t="s">
        <v>54</v>
      </c>
      <c r="D204" s="2" t="s">
        <v>49</v>
      </c>
      <c r="E204" s="2">
        <v>2</v>
      </c>
      <c r="F204" s="2">
        <v>11</v>
      </c>
      <c r="G204" s="2">
        <v>0.17399999999999999</v>
      </c>
      <c r="H204" s="2">
        <v>4.5</v>
      </c>
      <c r="I204" s="2">
        <v>19.600000000000001</v>
      </c>
      <c r="J204" s="18">
        <v>0</v>
      </c>
      <c r="K204" s="2">
        <v>-6.7</v>
      </c>
      <c r="L204" s="2">
        <v>0</v>
      </c>
      <c r="M204" s="2">
        <v>9.1</v>
      </c>
      <c r="N204" s="2">
        <v>-13</v>
      </c>
      <c r="O204" s="2">
        <v>-0.1</v>
      </c>
      <c r="P204" s="2">
        <v>-0.434</v>
      </c>
      <c r="Q204" s="2">
        <v>0</v>
      </c>
      <c r="R204" s="2">
        <v>1</v>
      </c>
    </row>
    <row r="205" spans="1:18" x14ac:dyDescent="0.2">
      <c r="A205" t="s">
        <v>43</v>
      </c>
      <c r="B205" s="2">
        <v>28</v>
      </c>
      <c r="C205" t="s">
        <v>44</v>
      </c>
      <c r="D205" s="2" t="s">
        <v>33</v>
      </c>
      <c r="E205" s="2">
        <v>25</v>
      </c>
      <c r="F205" s="2">
        <v>857</v>
      </c>
      <c r="G205" s="2">
        <v>0.61899999999999999</v>
      </c>
      <c r="H205" s="2">
        <v>35.700000000000003</v>
      </c>
      <c r="I205" s="2">
        <v>28.8</v>
      </c>
      <c r="J205" s="18">
        <v>3.3050847457627119</v>
      </c>
      <c r="K205" s="2">
        <v>-2.2000000000000002</v>
      </c>
      <c r="L205" s="2">
        <v>0.3</v>
      </c>
      <c r="M205" s="2">
        <v>5.4</v>
      </c>
      <c r="N205" s="2">
        <v>22.4</v>
      </c>
      <c r="O205" s="2">
        <v>1.1000000000000001</v>
      </c>
      <c r="P205" s="2">
        <v>0.19700000000000001</v>
      </c>
      <c r="Q205" s="2">
        <v>0.56699999999999995</v>
      </c>
      <c r="R205" s="2">
        <v>0.36699999999999999</v>
      </c>
    </row>
    <row r="206" spans="1:18" x14ac:dyDescent="0.2">
      <c r="A206" t="s">
        <v>226</v>
      </c>
      <c r="B206" s="2">
        <v>21</v>
      </c>
      <c r="C206" t="s">
        <v>75</v>
      </c>
      <c r="D206" s="2" t="s">
        <v>42</v>
      </c>
      <c r="E206" s="2">
        <v>23</v>
      </c>
      <c r="F206" s="2">
        <v>550</v>
      </c>
      <c r="G206" s="2">
        <v>0.67500000000000004</v>
      </c>
      <c r="H206" s="2">
        <v>18.100000000000001</v>
      </c>
      <c r="I206" s="2">
        <v>15.3</v>
      </c>
      <c r="J206" s="18">
        <v>1.2</v>
      </c>
      <c r="K206" s="2">
        <v>1.3</v>
      </c>
      <c r="L206" s="2">
        <v>0.8</v>
      </c>
      <c r="M206" s="2">
        <v>15.4</v>
      </c>
      <c r="N206" s="2">
        <v>17.7</v>
      </c>
      <c r="O206" s="2">
        <v>0.3</v>
      </c>
      <c r="P206" s="2">
        <v>0.14899999999999999</v>
      </c>
      <c r="Q206" s="2">
        <v>0.68</v>
      </c>
      <c r="R206" s="2">
        <v>0.54100000000000004</v>
      </c>
    </row>
    <row r="207" spans="1:18" x14ac:dyDescent="0.2">
      <c r="A207" t="s">
        <v>86</v>
      </c>
      <c r="B207" s="2">
        <v>22</v>
      </c>
      <c r="C207" t="s">
        <v>87</v>
      </c>
      <c r="D207" s="2" t="s">
        <v>52</v>
      </c>
      <c r="E207" s="2">
        <v>25</v>
      </c>
      <c r="F207" s="2">
        <v>813</v>
      </c>
      <c r="G207" s="2">
        <v>0.52900000000000003</v>
      </c>
      <c r="H207" s="2">
        <v>28.6</v>
      </c>
      <c r="I207" s="2">
        <v>26.5</v>
      </c>
      <c r="J207" s="18">
        <v>0.97058823529411764</v>
      </c>
      <c r="K207" s="2">
        <v>0.3</v>
      </c>
      <c r="L207" s="2">
        <v>1.4</v>
      </c>
      <c r="M207" s="2">
        <v>7.6</v>
      </c>
      <c r="N207" s="2">
        <v>13.2</v>
      </c>
      <c r="O207" s="2">
        <v>0.3</v>
      </c>
      <c r="P207" s="2">
        <v>7.9000000000000001E-2</v>
      </c>
      <c r="Q207" s="2">
        <v>0.47299999999999998</v>
      </c>
      <c r="R207" s="2">
        <v>0.27300000000000002</v>
      </c>
    </row>
    <row r="208" spans="1:18" x14ac:dyDescent="0.2">
      <c r="A208" t="s">
        <v>526</v>
      </c>
      <c r="B208" s="2">
        <v>21</v>
      </c>
      <c r="C208" t="s">
        <v>41</v>
      </c>
      <c r="D208" s="2" t="s">
        <v>52</v>
      </c>
      <c r="E208" s="2">
        <v>2</v>
      </c>
      <c r="F208" s="2">
        <v>14</v>
      </c>
      <c r="G208" s="2">
        <v>1.0640000000000001</v>
      </c>
      <c r="H208" s="2">
        <v>14</v>
      </c>
      <c r="I208" s="2">
        <v>9.1</v>
      </c>
      <c r="J208" s="18">
        <v>1</v>
      </c>
      <c r="K208" s="2">
        <v>0.8</v>
      </c>
      <c r="L208" s="2">
        <v>0</v>
      </c>
      <c r="M208" s="2">
        <v>15.4</v>
      </c>
      <c r="N208" s="2">
        <v>11.7</v>
      </c>
      <c r="O208" s="2">
        <v>0</v>
      </c>
      <c r="P208" s="2">
        <v>0.13600000000000001</v>
      </c>
      <c r="Q208" s="2">
        <v>1</v>
      </c>
      <c r="R208" s="2">
        <v>2</v>
      </c>
    </row>
    <row r="209" spans="1:18" x14ac:dyDescent="0.2">
      <c r="A209" t="s">
        <v>89</v>
      </c>
      <c r="B209" s="2">
        <v>23</v>
      </c>
      <c r="C209" t="s">
        <v>72</v>
      </c>
      <c r="D209" s="2" t="s">
        <v>49</v>
      </c>
      <c r="E209" s="2">
        <v>24</v>
      </c>
      <c r="F209" s="2">
        <v>877</v>
      </c>
      <c r="G209" s="2">
        <v>0.57899999999999996</v>
      </c>
      <c r="H209" s="2">
        <v>25.2</v>
      </c>
      <c r="I209" s="2">
        <v>22.5</v>
      </c>
      <c r="J209" s="18">
        <v>1.675</v>
      </c>
      <c r="K209" s="2">
        <v>1.1000000000000001</v>
      </c>
      <c r="L209" s="2">
        <v>1</v>
      </c>
      <c r="M209" s="2">
        <v>9.1</v>
      </c>
      <c r="N209" s="2">
        <v>17.5</v>
      </c>
      <c r="O209" s="2">
        <v>0.9</v>
      </c>
      <c r="P209" s="2">
        <v>9.2999999999999999E-2</v>
      </c>
      <c r="Q209" s="2">
        <v>0.55300000000000005</v>
      </c>
      <c r="R209" s="2">
        <v>0.21299999999999999</v>
      </c>
    </row>
    <row r="210" spans="1:18" x14ac:dyDescent="0.2">
      <c r="A210" t="s">
        <v>519</v>
      </c>
      <c r="B210" s="2">
        <v>25</v>
      </c>
      <c r="C210" t="s">
        <v>46</v>
      </c>
      <c r="D210" s="2" t="s">
        <v>52</v>
      </c>
      <c r="E210" s="2">
        <v>4</v>
      </c>
      <c r="F210" s="2">
        <v>37</v>
      </c>
      <c r="G210" s="2">
        <v>0.625</v>
      </c>
      <c r="H210" s="2">
        <v>6.4</v>
      </c>
      <c r="I210" s="2">
        <v>6.8</v>
      </c>
      <c r="J210" s="18">
        <v>3.5</v>
      </c>
      <c r="K210" s="2">
        <v>-0.1</v>
      </c>
      <c r="L210" s="2">
        <v>0</v>
      </c>
      <c r="M210" s="2">
        <v>5.7</v>
      </c>
      <c r="N210" s="2">
        <v>7.1</v>
      </c>
      <c r="O210" s="2">
        <v>0</v>
      </c>
      <c r="P210" s="2">
        <v>7.0999999999999994E-2</v>
      </c>
      <c r="Q210" s="2">
        <v>0.625</v>
      </c>
      <c r="R210" s="2">
        <v>0</v>
      </c>
    </row>
    <row r="211" spans="1:18" x14ac:dyDescent="0.2">
      <c r="A211" t="s">
        <v>254</v>
      </c>
      <c r="B211" s="2">
        <v>24</v>
      </c>
      <c r="C211" t="s">
        <v>70</v>
      </c>
      <c r="D211" s="2" t="s">
        <v>42</v>
      </c>
      <c r="E211" s="2">
        <v>22</v>
      </c>
      <c r="F211" s="2">
        <v>325</v>
      </c>
      <c r="G211" s="2">
        <v>0.59899999999999998</v>
      </c>
      <c r="H211" s="2">
        <v>24.9</v>
      </c>
      <c r="I211" s="2">
        <v>20.7</v>
      </c>
      <c r="J211" s="18">
        <v>1.0714285714285714</v>
      </c>
      <c r="K211" s="2">
        <v>-1.4</v>
      </c>
      <c r="L211" s="2">
        <v>0.3</v>
      </c>
      <c r="M211" s="2">
        <v>0</v>
      </c>
      <c r="N211" s="2">
        <v>18.100000000000001</v>
      </c>
      <c r="O211" s="2">
        <v>0.1</v>
      </c>
      <c r="P211" s="2">
        <v>0.124</v>
      </c>
      <c r="Q211" s="2">
        <v>0.56399999999999995</v>
      </c>
      <c r="R211" s="2">
        <v>0.25800000000000001</v>
      </c>
    </row>
    <row r="212" spans="1:18" x14ac:dyDescent="0.2">
      <c r="A212" t="s">
        <v>104</v>
      </c>
      <c r="B212" s="2">
        <v>23</v>
      </c>
      <c r="C212" t="s">
        <v>48</v>
      </c>
      <c r="D212" s="2" t="s">
        <v>33</v>
      </c>
      <c r="E212" s="2">
        <v>26</v>
      </c>
      <c r="F212" s="2">
        <v>789</v>
      </c>
      <c r="G212" s="2">
        <v>0.55000000000000004</v>
      </c>
      <c r="H212" s="2">
        <v>27</v>
      </c>
      <c r="I212" s="2">
        <v>25.5</v>
      </c>
      <c r="J212" s="18">
        <v>1.3243243243243243</v>
      </c>
      <c r="K212" s="2">
        <v>1.2</v>
      </c>
      <c r="L212" s="2">
        <v>1.5</v>
      </c>
      <c r="M212" s="2">
        <v>9.1</v>
      </c>
      <c r="N212" s="2">
        <v>14.8</v>
      </c>
      <c r="O212" s="2">
        <v>0.5</v>
      </c>
      <c r="P212" s="2">
        <v>8.7999999999999995E-2</v>
      </c>
      <c r="Q212" s="2">
        <v>0.5</v>
      </c>
      <c r="R212" s="2">
        <v>0.23</v>
      </c>
    </row>
    <row r="213" spans="1:18" x14ac:dyDescent="0.2">
      <c r="A213" t="s">
        <v>73</v>
      </c>
      <c r="B213" s="2">
        <v>23</v>
      </c>
      <c r="C213" t="s">
        <v>32</v>
      </c>
      <c r="D213" s="2" t="s">
        <v>52</v>
      </c>
      <c r="E213" s="2">
        <v>24</v>
      </c>
      <c r="F213" s="2">
        <v>764</v>
      </c>
      <c r="G213" s="2">
        <v>0.59399999999999997</v>
      </c>
      <c r="H213" s="2">
        <v>32.9</v>
      </c>
      <c r="I213" s="2">
        <v>27.4</v>
      </c>
      <c r="J213" s="18">
        <v>2.2641509433962264</v>
      </c>
      <c r="K213" s="2">
        <v>2.7</v>
      </c>
      <c r="L213" s="2">
        <v>1.8</v>
      </c>
      <c r="M213" s="2">
        <v>9.1</v>
      </c>
      <c r="N213" s="2">
        <v>22.8</v>
      </c>
      <c r="O213" s="2">
        <v>1.7</v>
      </c>
      <c r="P213" s="2">
        <v>0.21</v>
      </c>
      <c r="Q213" s="2">
        <v>0.56399999999999995</v>
      </c>
      <c r="R213" s="2">
        <v>0.20499999999999999</v>
      </c>
    </row>
    <row r="214" spans="1:18" x14ac:dyDescent="0.2">
      <c r="A214" t="s">
        <v>230</v>
      </c>
      <c r="B214" s="2">
        <v>24</v>
      </c>
      <c r="C214" t="s">
        <v>103</v>
      </c>
      <c r="D214" s="2" t="s">
        <v>27</v>
      </c>
      <c r="E214" s="2">
        <v>23</v>
      </c>
      <c r="F214" s="2">
        <v>575</v>
      </c>
      <c r="G214" s="2">
        <v>0.57199999999999995</v>
      </c>
      <c r="H214" s="2">
        <v>17.399999999999999</v>
      </c>
      <c r="I214" s="2">
        <v>15.2</v>
      </c>
      <c r="J214" s="18">
        <v>1.95</v>
      </c>
      <c r="K214" s="2">
        <v>-1.6</v>
      </c>
      <c r="L214" s="2">
        <v>0.1</v>
      </c>
      <c r="M214" s="2">
        <v>0</v>
      </c>
      <c r="N214" s="2">
        <v>10</v>
      </c>
      <c r="O214" s="2">
        <v>-0.2</v>
      </c>
      <c r="P214" s="2">
        <v>5.8999999999999997E-2</v>
      </c>
      <c r="Q214" s="2">
        <v>0.52500000000000002</v>
      </c>
      <c r="R214" s="2">
        <v>0.253</v>
      </c>
    </row>
    <row r="215" spans="1:18" x14ac:dyDescent="0.2">
      <c r="A215" t="s">
        <v>376</v>
      </c>
      <c r="B215" s="2">
        <v>25</v>
      </c>
      <c r="C215" t="s">
        <v>117</v>
      </c>
      <c r="D215" s="2" t="s">
        <v>49</v>
      </c>
      <c r="E215" s="2">
        <v>15</v>
      </c>
      <c r="F215" s="2">
        <v>217</v>
      </c>
      <c r="G215" s="2">
        <v>0.57499999999999996</v>
      </c>
      <c r="H215" s="2">
        <v>15.5</v>
      </c>
      <c r="I215" s="2">
        <v>13.1</v>
      </c>
      <c r="J215" s="18">
        <v>1.4285714285714286</v>
      </c>
      <c r="K215" s="2">
        <v>-0.1</v>
      </c>
      <c r="L215" s="2">
        <v>0.1</v>
      </c>
      <c r="M215" s="2">
        <v>5.7</v>
      </c>
      <c r="N215" s="2">
        <v>12.1</v>
      </c>
      <c r="O215" s="2">
        <v>0</v>
      </c>
      <c r="P215" s="2">
        <v>6.6000000000000003E-2</v>
      </c>
      <c r="Q215" s="2">
        <v>0.55700000000000005</v>
      </c>
      <c r="R215" s="2">
        <v>0.30199999999999999</v>
      </c>
    </row>
    <row r="216" spans="1:18" x14ac:dyDescent="0.2">
      <c r="A216" t="s">
        <v>154</v>
      </c>
      <c r="B216" s="2">
        <v>27</v>
      </c>
      <c r="C216" t="s">
        <v>46</v>
      </c>
      <c r="D216" s="2" t="s">
        <v>33</v>
      </c>
      <c r="E216" s="2">
        <v>17</v>
      </c>
      <c r="F216" s="2">
        <v>613</v>
      </c>
      <c r="G216" s="2">
        <v>0.52800000000000002</v>
      </c>
      <c r="H216" s="2">
        <v>23.4</v>
      </c>
      <c r="I216" s="2">
        <v>21.8</v>
      </c>
      <c r="J216" s="18">
        <v>3.3125</v>
      </c>
      <c r="K216" s="2">
        <v>-0.8</v>
      </c>
      <c r="L216" s="2">
        <v>0.4</v>
      </c>
      <c r="M216" s="2">
        <v>6</v>
      </c>
      <c r="N216" s="2">
        <v>14.6</v>
      </c>
      <c r="O216" s="2">
        <v>0.2</v>
      </c>
      <c r="P216" s="2">
        <v>0.08</v>
      </c>
      <c r="Q216" s="2">
        <v>0.48399999999999999</v>
      </c>
      <c r="R216" s="2">
        <v>0.25700000000000001</v>
      </c>
    </row>
    <row r="217" spans="1:18" x14ac:dyDescent="0.2">
      <c r="A217" t="s">
        <v>327</v>
      </c>
      <c r="B217" s="2">
        <v>22</v>
      </c>
      <c r="C217" t="s">
        <v>66</v>
      </c>
      <c r="D217" s="2" t="s">
        <v>33</v>
      </c>
      <c r="E217" s="2">
        <v>24</v>
      </c>
      <c r="F217" s="2">
        <v>338</v>
      </c>
      <c r="G217" s="2">
        <v>0.46100000000000002</v>
      </c>
      <c r="H217" s="2">
        <v>15.6</v>
      </c>
      <c r="I217" s="2">
        <v>18.3</v>
      </c>
      <c r="J217" s="18">
        <v>2.129032258064516</v>
      </c>
      <c r="K217" s="2">
        <v>-1.8</v>
      </c>
      <c r="L217" s="2">
        <v>0.1</v>
      </c>
      <c r="M217" s="2">
        <v>7.6</v>
      </c>
      <c r="N217" s="2">
        <v>6.2</v>
      </c>
      <c r="O217" s="2">
        <v>-0.4</v>
      </c>
      <c r="P217" s="2">
        <v>-0.04</v>
      </c>
      <c r="Q217" s="2">
        <v>0.442</v>
      </c>
      <c r="R217" s="2">
        <v>0.106</v>
      </c>
    </row>
    <row r="218" spans="1:18" x14ac:dyDescent="0.2">
      <c r="A218" t="s">
        <v>76</v>
      </c>
      <c r="B218" s="2">
        <v>35</v>
      </c>
      <c r="C218" t="s">
        <v>77</v>
      </c>
      <c r="D218" s="2" t="s">
        <v>33</v>
      </c>
      <c r="E218" s="2">
        <v>24</v>
      </c>
      <c r="F218" s="2">
        <v>814</v>
      </c>
      <c r="G218" s="2">
        <v>0.55600000000000005</v>
      </c>
      <c r="H218" s="2">
        <v>31.4</v>
      </c>
      <c r="I218" s="2">
        <v>30.3</v>
      </c>
      <c r="J218" s="18">
        <v>1.9523809523809523</v>
      </c>
      <c r="K218" s="2">
        <v>1.3</v>
      </c>
      <c r="L218" s="2">
        <v>1.4</v>
      </c>
      <c r="M218" s="2">
        <v>6.3</v>
      </c>
      <c r="N218" s="2">
        <v>19.7</v>
      </c>
      <c r="O218" s="2">
        <v>1.4</v>
      </c>
      <c r="P218" s="2">
        <v>0.13</v>
      </c>
      <c r="Q218" s="2">
        <v>0.46500000000000002</v>
      </c>
      <c r="R218" s="2">
        <v>0.442</v>
      </c>
    </row>
    <row r="219" spans="1:18" x14ac:dyDescent="0.2">
      <c r="A219" t="s">
        <v>528</v>
      </c>
      <c r="B219" s="2">
        <v>37</v>
      </c>
      <c r="C219" t="s">
        <v>82</v>
      </c>
      <c r="D219" s="2" t="s">
        <v>27</v>
      </c>
      <c r="E219" s="2">
        <v>3</v>
      </c>
      <c r="F219" s="2">
        <v>10</v>
      </c>
      <c r="G219" s="2">
        <v>0.5</v>
      </c>
      <c r="H219" s="2">
        <v>19.2</v>
      </c>
      <c r="I219" s="2">
        <v>30.4</v>
      </c>
      <c r="J219" s="18">
        <v>0.66666666666666663</v>
      </c>
      <c r="K219" s="2">
        <v>1</v>
      </c>
      <c r="L219" s="2">
        <v>0</v>
      </c>
      <c r="M219" s="2">
        <v>11.6</v>
      </c>
      <c r="N219" s="2">
        <v>4.3</v>
      </c>
      <c r="O219" s="2">
        <v>0</v>
      </c>
      <c r="P219" s="2">
        <v>-0.29199999999999998</v>
      </c>
      <c r="Q219" s="2">
        <v>0.5</v>
      </c>
      <c r="R219" s="2">
        <v>0</v>
      </c>
    </row>
    <row r="220" spans="1:18" x14ac:dyDescent="0.2">
      <c r="A220" t="s">
        <v>515</v>
      </c>
      <c r="B220" s="2">
        <v>23</v>
      </c>
      <c r="C220" t="s">
        <v>82</v>
      </c>
      <c r="D220" s="2" t="s">
        <v>42</v>
      </c>
      <c r="E220" s="2">
        <v>1</v>
      </c>
      <c r="F220" s="2">
        <v>5</v>
      </c>
      <c r="G220" s="2">
        <v>0.61499999999999999</v>
      </c>
      <c r="H220" s="2">
        <v>57.5</v>
      </c>
      <c r="I220" s="2">
        <v>42.3</v>
      </c>
      <c r="J220" s="18" t="e">
        <v>#DIV/0!</v>
      </c>
      <c r="K220" s="2">
        <v>-5.4</v>
      </c>
      <c r="L220" s="2">
        <v>0</v>
      </c>
      <c r="M220" s="2">
        <v>9.1</v>
      </c>
      <c r="N220" s="2">
        <v>32.200000000000003</v>
      </c>
      <c r="O220" s="2">
        <v>0</v>
      </c>
      <c r="P220" s="2">
        <v>0.22600000000000001</v>
      </c>
      <c r="Q220" s="2">
        <v>0.5</v>
      </c>
      <c r="R220" s="2">
        <v>0.5</v>
      </c>
    </row>
    <row r="221" spans="1:18" x14ac:dyDescent="0.2">
      <c r="A221" t="s">
        <v>295</v>
      </c>
      <c r="B221" s="2">
        <v>23</v>
      </c>
      <c r="C221" t="s">
        <v>66</v>
      </c>
      <c r="D221" s="2" t="s">
        <v>49</v>
      </c>
      <c r="E221" s="2">
        <v>24</v>
      </c>
      <c r="F221" s="2">
        <v>326</v>
      </c>
      <c r="G221" s="2">
        <v>0.66100000000000003</v>
      </c>
      <c r="H221" s="2">
        <v>20.7</v>
      </c>
      <c r="I221" s="2">
        <v>14.5</v>
      </c>
      <c r="J221" s="18">
        <v>2.75</v>
      </c>
      <c r="K221" s="2">
        <v>-1.3</v>
      </c>
      <c r="L221" s="2">
        <v>0.1</v>
      </c>
      <c r="M221" s="2">
        <v>9.1</v>
      </c>
      <c r="N221" s="2">
        <v>13.5</v>
      </c>
      <c r="O221" s="2">
        <v>0.2</v>
      </c>
      <c r="P221" s="2">
        <v>0.115</v>
      </c>
      <c r="Q221" s="2">
        <v>0.64900000000000002</v>
      </c>
      <c r="R221" s="2">
        <v>0.109</v>
      </c>
    </row>
    <row r="222" spans="1:18" x14ac:dyDescent="0.2">
      <c r="A222" t="s">
        <v>294</v>
      </c>
      <c r="B222" s="2">
        <v>21</v>
      </c>
      <c r="C222" t="s">
        <v>82</v>
      </c>
      <c r="D222" s="2" t="s">
        <v>27</v>
      </c>
      <c r="E222" s="2">
        <v>25</v>
      </c>
      <c r="F222" s="2">
        <v>456</v>
      </c>
      <c r="G222" s="2">
        <v>0.55700000000000005</v>
      </c>
      <c r="H222" s="2">
        <v>14.8</v>
      </c>
      <c r="I222" s="2">
        <v>15.5</v>
      </c>
      <c r="J222" s="18">
        <v>1.0833333333333333</v>
      </c>
      <c r="K222" s="2">
        <v>0.8</v>
      </c>
      <c r="L222" s="2">
        <v>0.5</v>
      </c>
      <c r="M222" s="2">
        <v>15.4</v>
      </c>
      <c r="N222" s="2">
        <v>10.3</v>
      </c>
      <c r="O222" s="2">
        <v>0</v>
      </c>
      <c r="P222" s="2">
        <v>0.02</v>
      </c>
      <c r="Q222" s="2">
        <v>0.54</v>
      </c>
      <c r="R222" s="2">
        <v>0.27400000000000002</v>
      </c>
    </row>
    <row r="223" spans="1:18" x14ac:dyDescent="0.2">
      <c r="A223" t="s">
        <v>343</v>
      </c>
      <c r="B223" s="2">
        <v>24</v>
      </c>
      <c r="C223" t="s">
        <v>114</v>
      </c>
      <c r="D223" s="2" t="s">
        <v>52</v>
      </c>
      <c r="E223" s="2">
        <v>17</v>
      </c>
      <c r="F223" s="2">
        <v>180</v>
      </c>
      <c r="G223" s="2">
        <v>0.51200000000000001</v>
      </c>
      <c r="H223" s="2">
        <v>25.2</v>
      </c>
      <c r="I223" s="2">
        <v>24.5</v>
      </c>
      <c r="J223" s="18">
        <v>3.8333333333333335</v>
      </c>
      <c r="K223" s="2">
        <v>-1.9</v>
      </c>
      <c r="L223" s="2">
        <v>0</v>
      </c>
      <c r="M223" s="2">
        <v>0</v>
      </c>
      <c r="N223" s="2">
        <v>15.6</v>
      </c>
      <c r="O223" s="2">
        <v>0</v>
      </c>
      <c r="P223" s="2">
        <v>3.6999999999999998E-2</v>
      </c>
      <c r="Q223" s="2">
        <v>0.47599999999999998</v>
      </c>
      <c r="R223" s="2">
        <v>0.25900000000000001</v>
      </c>
    </row>
    <row r="224" spans="1:18" x14ac:dyDescent="0.2">
      <c r="A224" t="s">
        <v>133</v>
      </c>
      <c r="B224" s="2">
        <v>20</v>
      </c>
      <c r="C224" t="s">
        <v>122</v>
      </c>
      <c r="D224" s="2" t="s">
        <v>52</v>
      </c>
      <c r="E224" s="2">
        <v>22</v>
      </c>
      <c r="F224" s="2">
        <v>563</v>
      </c>
      <c r="G224" s="2">
        <v>0.59299999999999997</v>
      </c>
      <c r="H224" s="2">
        <v>30.7</v>
      </c>
      <c r="I224" s="2">
        <v>25.6</v>
      </c>
      <c r="J224" s="18">
        <v>1.6285714285714286</v>
      </c>
      <c r="K224" s="2">
        <v>-1.4</v>
      </c>
      <c r="L224" s="2">
        <v>0.4</v>
      </c>
      <c r="M224" s="2">
        <v>10</v>
      </c>
      <c r="N224" s="2">
        <v>16.7</v>
      </c>
      <c r="O224" s="2">
        <v>0.5</v>
      </c>
      <c r="P224" s="2">
        <v>9.8000000000000004E-2</v>
      </c>
      <c r="Q224" s="2">
        <v>0.55600000000000005</v>
      </c>
      <c r="R224" s="2">
        <v>0.20899999999999999</v>
      </c>
    </row>
    <row r="225" spans="1:18" x14ac:dyDescent="0.2">
      <c r="A225" t="s">
        <v>531</v>
      </c>
      <c r="B225" s="2">
        <v>25</v>
      </c>
      <c r="C225" t="s">
        <v>59</v>
      </c>
      <c r="D225" s="2" t="s">
        <v>52</v>
      </c>
      <c r="E225" s="2">
        <v>4</v>
      </c>
      <c r="F225" s="2">
        <v>12</v>
      </c>
      <c r="G225" s="2">
        <v>0.25</v>
      </c>
      <c r="H225" s="2">
        <v>16.5</v>
      </c>
      <c r="I225" s="2">
        <v>31.9</v>
      </c>
      <c r="J225" s="18">
        <v>2</v>
      </c>
      <c r="K225" s="2">
        <v>-1.7</v>
      </c>
      <c r="L225" s="2">
        <v>0</v>
      </c>
      <c r="M225" s="2">
        <v>5.7</v>
      </c>
      <c r="N225" s="2">
        <v>5.7</v>
      </c>
      <c r="O225" s="2">
        <v>0</v>
      </c>
      <c r="P225" s="2">
        <v>-0.20399999999999999</v>
      </c>
      <c r="Q225" s="2">
        <v>0.25</v>
      </c>
      <c r="R225" s="2">
        <v>0</v>
      </c>
    </row>
    <row r="226" spans="1:18" x14ac:dyDescent="0.2">
      <c r="A226" t="s">
        <v>79</v>
      </c>
      <c r="B226" s="2">
        <v>25</v>
      </c>
      <c r="C226" t="s">
        <v>80</v>
      </c>
      <c r="D226" s="2" t="s">
        <v>42</v>
      </c>
      <c r="E226" s="2">
        <v>23</v>
      </c>
      <c r="F226" s="2">
        <v>645</v>
      </c>
      <c r="G226" s="2">
        <v>0.624</v>
      </c>
      <c r="H226" s="2">
        <v>35.9</v>
      </c>
      <c r="I226" s="2">
        <v>28.2</v>
      </c>
      <c r="J226" s="18">
        <v>0.59183673469387754</v>
      </c>
      <c r="K226" s="2">
        <v>1.5</v>
      </c>
      <c r="L226" s="2">
        <v>1.3</v>
      </c>
      <c r="M226" s="2">
        <v>5.7</v>
      </c>
      <c r="N226" s="2">
        <v>22</v>
      </c>
      <c r="O226" s="2">
        <v>0.9</v>
      </c>
      <c r="P226" s="2">
        <v>0.182</v>
      </c>
      <c r="Q226" s="2">
        <v>0.57699999999999996</v>
      </c>
      <c r="R226" s="2">
        <v>0.35099999999999998</v>
      </c>
    </row>
    <row r="227" spans="1:18" x14ac:dyDescent="0.2">
      <c r="A227" t="s">
        <v>143</v>
      </c>
      <c r="B227" s="2">
        <v>26</v>
      </c>
      <c r="C227" t="s">
        <v>57</v>
      </c>
      <c r="D227" s="2" t="s">
        <v>42</v>
      </c>
      <c r="E227" s="2">
        <v>25</v>
      </c>
      <c r="F227" s="2">
        <v>745</v>
      </c>
      <c r="G227" s="2">
        <v>0.70799999999999996</v>
      </c>
      <c r="H227" s="2">
        <v>21.5</v>
      </c>
      <c r="I227" s="2">
        <v>15.2</v>
      </c>
      <c r="J227" s="18">
        <v>1.7307692307692308</v>
      </c>
      <c r="K227" s="2">
        <v>0.6</v>
      </c>
      <c r="L227" s="2">
        <v>1.3</v>
      </c>
      <c r="M227" s="2">
        <v>9.1</v>
      </c>
      <c r="N227" s="2">
        <v>21</v>
      </c>
      <c r="O227" s="2">
        <v>0.9</v>
      </c>
      <c r="P227" s="2">
        <v>0.23</v>
      </c>
      <c r="Q227" s="2">
        <v>0.68300000000000005</v>
      </c>
      <c r="R227" s="2">
        <v>0.42199999999999999</v>
      </c>
    </row>
    <row r="228" spans="1:18" x14ac:dyDescent="0.2">
      <c r="A228" t="s">
        <v>279</v>
      </c>
      <c r="B228" s="2">
        <v>31</v>
      </c>
      <c r="C228" t="s">
        <v>117</v>
      </c>
      <c r="D228" s="2" t="s">
        <v>52</v>
      </c>
      <c r="E228" s="2">
        <v>24</v>
      </c>
      <c r="F228" s="2">
        <v>560</v>
      </c>
      <c r="G228" s="2">
        <v>0.54300000000000004</v>
      </c>
      <c r="H228" s="2">
        <v>13.2</v>
      </c>
      <c r="I228" s="2">
        <v>11.6</v>
      </c>
      <c r="J228" s="18">
        <v>1.4285714285714286</v>
      </c>
      <c r="K228" s="2">
        <v>0</v>
      </c>
      <c r="L228" s="2">
        <v>0.3</v>
      </c>
      <c r="M228" s="2">
        <v>14.4</v>
      </c>
      <c r="N228" s="2">
        <v>10.7</v>
      </c>
      <c r="O228" s="2">
        <v>-0.1</v>
      </c>
      <c r="P228" s="2">
        <v>0.05</v>
      </c>
      <c r="Q228" s="2">
        <v>0.496</v>
      </c>
      <c r="R228" s="2">
        <v>0.32</v>
      </c>
    </row>
    <row r="229" spans="1:18" x14ac:dyDescent="0.2">
      <c r="A229" t="s">
        <v>375</v>
      </c>
      <c r="B229" s="2">
        <v>24</v>
      </c>
      <c r="C229" t="s">
        <v>41</v>
      </c>
      <c r="D229" s="2" t="s">
        <v>42</v>
      </c>
      <c r="E229" s="2">
        <v>11</v>
      </c>
      <c r="F229" s="2">
        <v>192</v>
      </c>
      <c r="G229" s="2">
        <v>0.75900000000000001</v>
      </c>
      <c r="H229" s="2">
        <v>17.899999999999999</v>
      </c>
      <c r="I229" s="2">
        <v>12.4</v>
      </c>
      <c r="J229" s="18">
        <v>1.125</v>
      </c>
      <c r="K229" s="2">
        <v>-0.4</v>
      </c>
      <c r="L229" s="2">
        <v>0.1</v>
      </c>
      <c r="M229" s="2">
        <v>0</v>
      </c>
      <c r="N229" s="2">
        <v>17.100000000000001</v>
      </c>
      <c r="O229" s="2">
        <v>0</v>
      </c>
      <c r="P229" s="2">
        <v>0.17399999999999999</v>
      </c>
      <c r="Q229" s="2">
        <v>0.72199999999999998</v>
      </c>
      <c r="R229" s="2">
        <v>0.63900000000000001</v>
      </c>
    </row>
    <row r="230" spans="1:18" x14ac:dyDescent="0.2">
      <c r="A230" t="s">
        <v>203</v>
      </c>
      <c r="B230" s="2">
        <v>26</v>
      </c>
      <c r="C230" t="s">
        <v>80</v>
      </c>
      <c r="D230" s="2" t="s">
        <v>42</v>
      </c>
      <c r="E230" s="2">
        <v>25</v>
      </c>
      <c r="F230" s="2">
        <v>392</v>
      </c>
      <c r="G230" s="2">
        <v>0.67600000000000005</v>
      </c>
      <c r="H230" s="2">
        <v>27.9</v>
      </c>
      <c r="I230" s="2">
        <v>19.7</v>
      </c>
      <c r="J230" s="18">
        <v>1.3125</v>
      </c>
      <c r="K230" s="2">
        <v>1.2</v>
      </c>
      <c r="L230" s="2">
        <v>0.6</v>
      </c>
      <c r="M230" s="2">
        <v>9.1</v>
      </c>
      <c r="N230" s="2">
        <v>19.100000000000001</v>
      </c>
      <c r="O230" s="2">
        <v>0.6</v>
      </c>
      <c r="P230" s="2">
        <v>0.19400000000000001</v>
      </c>
      <c r="Q230" s="2">
        <v>0.65500000000000003</v>
      </c>
      <c r="R230" s="2">
        <v>0.25900000000000001</v>
      </c>
    </row>
    <row r="231" spans="1:18" x14ac:dyDescent="0.2">
      <c r="A231" t="s">
        <v>84</v>
      </c>
      <c r="B231" s="2">
        <v>28</v>
      </c>
      <c r="C231" t="s">
        <v>39</v>
      </c>
      <c r="D231" s="2" t="s">
        <v>49</v>
      </c>
      <c r="E231" s="2">
        <v>20</v>
      </c>
      <c r="F231" s="2">
        <v>716</v>
      </c>
      <c r="G231" s="2">
        <v>0.55700000000000005</v>
      </c>
      <c r="H231" s="2">
        <v>33.4</v>
      </c>
      <c r="I231" s="2">
        <v>29.7</v>
      </c>
      <c r="J231" s="18">
        <v>1.7547169811320755</v>
      </c>
      <c r="K231" s="2">
        <v>-1.1000000000000001</v>
      </c>
      <c r="L231" s="2">
        <v>0.8</v>
      </c>
      <c r="M231" s="2">
        <v>5.4</v>
      </c>
      <c r="N231" s="2">
        <v>18.399999999999999</v>
      </c>
      <c r="O231" s="2">
        <v>0.3</v>
      </c>
      <c r="P231" s="2">
        <v>0.123</v>
      </c>
      <c r="Q231" s="2">
        <v>0.51200000000000001</v>
      </c>
      <c r="R231" s="2">
        <v>0.33200000000000002</v>
      </c>
    </row>
    <row r="232" spans="1:18" x14ac:dyDescent="0.2">
      <c r="A232" t="s">
        <v>537</v>
      </c>
      <c r="B232" s="2">
        <v>21</v>
      </c>
      <c r="C232" t="s">
        <v>103</v>
      </c>
      <c r="D232" s="2" t="s">
        <v>49</v>
      </c>
      <c r="E232" s="2">
        <v>2</v>
      </c>
      <c r="F232" s="2">
        <v>3</v>
      </c>
      <c r="G232" s="2">
        <v>1.5</v>
      </c>
      <c r="H232" s="2">
        <v>49.7</v>
      </c>
      <c r="I232" s="2">
        <v>14.9</v>
      </c>
      <c r="J232" s="18" t="e">
        <v>#DIV/0!</v>
      </c>
      <c r="K232" s="2">
        <v>4.8</v>
      </c>
      <c r="L232" s="2">
        <v>0</v>
      </c>
      <c r="M232" s="2">
        <v>15.4</v>
      </c>
      <c r="N232" s="2">
        <v>34.700000000000003</v>
      </c>
      <c r="O232" s="2">
        <v>0</v>
      </c>
      <c r="P232" s="2">
        <v>0.2</v>
      </c>
      <c r="Q232" s="2">
        <v>1.5</v>
      </c>
      <c r="R232" s="2">
        <v>0</v>
      </c>
    </row>
    <row r="233" spans="1:18" x14ac:dyDescent="0.2">
      <c r="A233" t="s">
        <v>379</v>
      </c>
      <c r="B233" s="2">
        <v>25</v>
      </c>
      <c r="C233" t="s">
        <v>117</v>
      </c>
      <c r="D233" s="2" t="s">
        <v>52</v>
      </c>
      <c r="E233" s="2">
        <v>8</v>
      </c>
      <c r="F233" s="2">
        <v>168</v>
      </c>
      <c r="G233" s="2">
        <v>0.43</v>
      </c>
      <c r="H233" s="2">
        <v>19.5</v>
      </c>
      <c r="I233" s="2">
        <v>21.6</v>
      </c>
      <c r="J233" s="18">
        <v>2.25</v>
      </c>
      <c r="K233" s="2">
        <v>-2.8</v>
      </c>
      <c r="L233" s="2">
        <v>0</v>
      </c>
      <c r="M233" s="2">
        <v>5.7</v>
      </c>
      <c r="N233" s="2">
        <v>7.9</v>
      </c>
      <c r="O233" s="2">
        <v>-0.2</v>
      </c>
      <c r="P233" s="2">
        <v>-6.5000000000000002E-2</v>
      </c>
      <c r="Q233" s="2">
        <v>0.41099999999999998</v>
      </c>
      <c r="R233" s="2">
        <v>0.151</v>
      </c>
    </row>
    <row r="234" spans="1:18" x14ac:dyDescent="0.2">
      <c r="A234" t="s">
        <v>168</v>
      </c>
      <c r="B234" s="2">
        <v>21</v>
      </c>
      <c r="C234" t="s">
        <v>80</v>
      </c>
      <c r="D234" s="2" t="s">
        <v>52</v>
      </c>
      <c r="E234" s="2">
        <v>25</v>
      </c>
      <c r="F234" s="2">
        <v>621</v>
      </c>
      <c r="G234" s="2">
        <v>0.58099999999999996</v>
      </c>
      <c r="H234" s="2">
        <v>21.3</v>
      </c>
      <c r="I234" s="2">
        <v>18.100000000000001</v>
      </c>
      <c r="J234" s="18">
        <v>1.34375</v>
      </c>
      <c r="K234" s="2">
        <v>-1.2</v>
      </c>
      <c r="L234" s="2">
        <v>0.6</v>
      </c>
      <c r="M234" s="2">
        <v>15.4</v>
      </c>
      <c r="N234" s="2">
        <v>11.2</v>
      </c>
      <c r="O234" s="2">
        <v>0</v>
      </c>
      <c r="P234" s="2">
        <v>0.09</v>
      </c>
      <c r="Q234" s="2">
        <v>0.55300000000000005</v>
      </c>
      <c r="R234" s="2">
        <v>0.19700000000000001</v>
      </c>
    </row>
    <row r="235" spans="1:18" x14ac:dyDescent="0.2">
      <c r="A235" t="s">
        <v>443</v>
      </c>
      <c r="B235" s="2">
        <v>22</v>
      </c>
      <c r="C235" t="s">
        <v>57</v>
      </c>
      <c r="D235" s="2" t="s">
        <v>52</v>
      </c>
      <c r="E235" s="2">
        <v>14</v>
      </c>
      <c r="F235" s="2">
        <v>108</v>
      </c>
      <c r="G235" s="2">
        <v>0.50600000000000001</v>
      </c>
      <c r="H235" s="2">
        <v>13.3</v>
      </c>
      <c r="I235" s="2">
        <v>14.3</v>
      </c>
      <c r="J235" s="18">
        <v>1.8333333333333333</v>
      </c>
      <c r="K235" s="2">
        <v>-0.8</v>
      </c>
      <c r="L235" s="2">
        <v>0.1</v>
      </c>
      <c r="M235" s="2">
        <v>7.6</v>
      </c>
      <c r="N235" s="2">
        <v>9.3000000000000007</v>
      </c>
      <c r="O235" s="2">
        <v>-0.1</v>
      </c>
      <c r="P235" s="2">
        <v>8.1000000000000003E-2</v>
      </c>
      <c r="Q235" s="2">
        <v>0.5</v>
      </c>
      <c r="R235" s="2">
        <v>0.222</v>
      </c>
    </row>
    <row r="236" spans="1:18" x14ac:dyDescent="0.2">
      <c r="A236" t="s">
        <v>38</v>
      </c>
      <c r="B236" s="2">
        <v>26</v>
      </c>
      <c r="C236" t="s">
        <v>39</v>
      </c>
      <c r="D236" s="2" t="s">
        <v>27</v>
      </c>
      <c r="E236" s="2">
        <v>23</v>
      </c>
      <c r="F236" s="2">
        <v>839</v>
      </c>
      <c r="G236" s="2">
        <v>0.59899999999999998</v>
      </c>
      <c r="H236" s="2">
        <v>37.799999999999997</v>
      </c>
      <c r="I236" s="2">
        <v>31.2</v>
      </c>
      <c r="J236" s="18">
        <v>2.0625</v>
      </c>
      <c r="K236" s="2">
        <v>1</v>
      </c>
      <c r="L236" s="2">
        <v>1.3</v>
      </c>
      <c r="M236" s="2">
        <v>9.1</v>
      </c>
      <c r="N236" s="2">
        <v>23.2</v>
      </c>
      <c r="O236" s="2">
        <v>1.8</v>
      </c>
      <c r="P236" s="2">
        <v>0.19900000000000001</v>
      </c>
      <c r="Q236" s="2">
        <v>0.54700000000000004</v>
      </c>
      <c r="R236" s="2">
        <v>0.377</v>
      </c>
    </row>
    <row r="237" spans="1:18" x14ac:dyDescent="0.2">
      <c r="A237" t="s">
        <v>502</v>
      </c>
      <c r="B237" s="2">
        <v>21</v>
      </c>
      <c r="C237" t="s">
        <v>63</v>
      </c>
      <c r="D237" s="2" t="s">
        <v>33</v>
      </c>
      <c r="E237" s="2">
        <v>6</v>
      </c>
      <c r="F237" s="2">
        <v>14</v>
      </c>
      <c r="G237" s="2">
        <v>0.8</v>
      </c>
      <c r="H237" s="2">
        <v>27.5</v>
      </c>
      <c r="I237" s="2">
        <v>18.100000000000001</v>
      </c>
      <c r="J237" s="18">
        <v>0</v>
      </c>
      <c r="K237" s="2">
        <v>0.4</v>
      </c>
      <c r="L237" s="2">
        <v>0</v>
      </c>
      <c r="M237" s="2">
        <v>15.4</v>
      </c>
      <c r="N237" s="2">
        <v>16.399999999999999</v>
      </c>
      <c r="O237" s="2">
        <v>0</v>
      </c>
      <c r="P237" s="2">
        <v>0.12</v>
      </c>
      <c r="Q237" s="2">
        <v>0.8</v>
      </c>
      <c r="R237" s="2">
        <v>0</v>
      </c>
    </row>
    <row r="238" spans="1:18" x14ac:dyDescent="0.2">
      <c r="A238" t="s">
        <v>509</v>
      </c>
      <c r="B238" s="2">
        <v>22</v>
      </c>
      <c r="C238" t="s">
        <v>39</v>
      </c>
      <c r="D238" s="2" t="s">
        <v>33</v>
      </c>
      <c r="E238" s="2">
        <v>5</v>
      </c>
      <c r="F238" s="2">
        <v>24</v>
      </c>
      <c r="G238" s="2">
        <v>0.51</v>
      </c>
      <c r="H238" s="2">
        <v>12.2</v>
      </c>
      <c r="I238" s="2">
        <v>21.4</v>
      </c>
      <c r="J238" s="18">
        <v>0.16666666666666666</v>
      </c>
      <c r="K238" s="2">
        <v>-2.4</v>
      </c>
      <c r="L238" s="2">
        <v>0</v>
      </c>
      <c r="M238" s="2">
        <v>7.6</v>
      </c>
      <c r="N238" s="2">
        <v>-4.5</v>
      </c>
      <c r="O238" s="2">
        <v>-0.1</v>
      </c>
      <c r="P238" s="2">
        <v>-0.27400000000000002</v>
      </c>
      <c r="Q238" s="2">
        <v>0.5</v>
      </c>
      <c r="R238" s="2">
        <v>0.4</v>
      </c>
    </row>
    <row r="239" spans="1:18" x14ac:dyDescent="0.2">
      <c r="A239" t="s">
        <v>508</v>
      </c>
      <c r="B239" s="2">
        <v>25</v>
      </c>
      <c r="C239" t="s">
        <v>87</v>
      </c>
      <c r="D239" s="2" t="s">
        <v>52</v>
      </c>
      <c r="E239" s="2">
        <v>3</v>
      </c>
      <c r="F239" s="2">
        <v>10</v>
      </c>
      <c r="G239" s="2">
        <v>0.875</v>
      </c>
      <c r="H239" s="2">
        <v>33.9</v>
      </c>
      <c r="I239" s="2">
        <v>16.5</v>
      </c>
      <c r="J239" s="18" t="e">
        <v>#DIV/0!</v>
      </c>
      <c r="K239" s="2">
        <v>7.4</v>
      </c>
      <c r="L239" s="2">
        <v>0</v>
      </c>
      <c r="M239" s="2">
        <v>5.7</v>
      </c>
      <c r="N239" s="2">
        <v>31.6</v>
      </c>
      <c r="O239" s="2">
        <v>0</v>
      </c>
      <c r="P239" s="2">
        <v>0.35299999999999998</v>
      </c>
      <c r="Q239" s="2">
        <v>0.875</v>
      </c>
      <c r="R239" s="2">
        <v>0</v>
      </c>
    </row>
    <row r="240" spans="1:18" x14ac:dyDescent="0.2">
      <c r="A240" t="s">
        <v>481</v>
      </c>
      <c r="B240" s="2">
        <v>27</v>
      </c>
      <c r="C240" t="s">
        <v>122</v>
      </c>
      <c r="D240" s="2" t="s">
        <v>33</v>
      </c>
      <c r="E240" s="2">
        <v>8</v>
      </c>
      <c r="F240" s="2">
        <v>80</v>
      </c>
      <c r="G240" s="2">
        <v>0.38500000000000001</v>
      </c>
      <c r="H240" s="2">
        <v>10</v>
      </c>
      <c r="I240" s="2">
        <v>12</v>
      </c>
      <c r="J240" s="18">
        <v>9</v>
      </c>
      <c r="K240" s="2">
        <v>1</v>
      </c>
      <c r="L240" s="2">
        <v>0.1</v>
      </c>
      <c r="M240" s="2">
        <v>6</v>
      </c>
      <c r="N240" s="2">
        <v>7</v>
      </c>
      <c r="O240" s="2">
        <v>-0.1</v>
      </c>
      <c r="P240" s="2">
        <v>2.5000000000000001E-2</v>
      </c>
      <c r="Q240" s="2">
        <v>0.34200000000000003</v>
      </c>
      <c r="R240" s="2">
        <v>0.21099999999999999</v>
      </c>
    </row>
    <row r="241" spans="1:18" x14ac:dyDescent="0.2">
      <c r="A241" t="s">
        <v>480</v>
      </c>
      <c r="B241" s="2">
        <v>38</v>
      </c>
      <c r="C241" t="s">
        <v>87</v>
      </c>
      <c r="D241" s="2" t="s">
        <v>27</v>
      </c>
      <c r="E241" s="2">
        <v>7</v>
      </c>
      <c r="F241" s="2">
        <v>40</v>
      </c>
      <c r="G241" s="2">
        <v>0.65400000000000003</v>
      </c>
      <c r="H241" s="2">
        <v>20.6</v>
      </c>
      <c r="I241" s="2">
        <v>15.5</v>
      </c>
      <c r="J241" s="18">
        <v>0.5</v>
      </c>
      <c r="K241" s="2">
        <v>1.4</v>
      </c>
      <c r="L241" s="2">
        <v>0.1</v>
      </c>
      <c r="M241" s="2">
        <v>10.5</v>
      </c>
      <c r="N241" s="2">
        <v>12</v>
      </c>
      <c r="O241" s="2">
        <v>0</v>
      </c>
      <c r="P241" s="2">
        <v>0.11700000000000001</v>
      </c>
      <c r="Q241" s="2">
        <v>0.65400000000000003</v>
      </c>
      <c r="R241" s="2">
        <v>0</v>
      </c>
    </row>
    <row r="242" spans="1:18" x14ac:dyDescent="0.2">
      <c r="A242" t="s">
        <v>139</v>
      </c>
      <c r="B242" s="2">
        <v>30</v>
      </c>
      <c r="C242" t="s">
        <v>135</v>
      </c>
      <c r="D242" s="2" t="s">
        <v>27</v>
      </c>
      <c r="E242" s="2">
        <v>22</v>
      </c>
      <c r="F242" s="2">
        <v>714</v>
      </c>
      <c r="G242" s="2">
        <v>0.51900000000000002</v>
      </c>
      <c r="H242" s="2">
        <v>22.7</v>
      </c>
      <c r="I242" s="2">
        <v>20.6</v>
      </c>
      <c r="J242" s="18">
        <v>1.6451612903225807</v>
      </c>
      <c r="K242" s="2">
        <v>-0.7</v>
      </c>
      <c r="L242" s="2">
        <v>0.4</v>
      </c>
      <c r="M242" s="2">
        <v>7.9</v>
      </c>
      <c r="N242" s="2">
        <v>11.9</v>
      </c>
      <c r="O242" s="2">
        <v>0.1</v>
      </c>
      <c r="P242" s="2">
        <v>4.2999999999999997E-2</v>
      </c>
      <c r="Q242" s="2">
        <v>0.46500000000000002</v>
      </c>
      <c r="R242" s="2">
        <v>0.29599999999999999</v>
      </c>
    </row>
    <row r="243" spans="1:18" x14ac:dyDescent="0.2">
      <c r="A243" t="s">
        <v>250</v>
      </c>
      <c r="B243" s="2">
        <v>24</v>
      </c>
      <c r="C243" t="s">
        <v>117</v>
      </c>
      <c r="D243" s="2" t="s">
        <v>27</v>
      </c>
      <c r="E243" s="2">
        <v>25</v>
      </c>
      <c r="F243" s="2">
        <v>507</v>
      </c>
      <c r="G243" s="2">
        <v>0.54100000000000004</v>
      </c>
      <c r="H243" s="2">
        <v>17.2</v>
      </c>
      <c r="I243" s="2">
        <v>15.6</v>
      </c>
      <c r="J243" s="18">
        <v>1.3636363636363635</v>
      </c>
      <c r="K243" s="2">
        <v>-1.9</v>
      </c>
      <c r="L243" s="2">
        <v>0.2</v>
      </c>
      <c r="M243" s="2">
        <v>0</v>
      </c>
      <c r="N243" s="2">
        <v>13.3</v>
      </c>
      <c r="O243" s="2">
        <v>-0.1</v>
      </c>
      <c r="P243" s="2">
        <v>6.0999999999999999E-2</v>
      </c>
      <c r="Q243" s="2">
        <v>0.50700000000000001</v>
      </c>
      <c r="R243" s="2">
        <v>0.17</v>
      </c>
    </row>
    <row r="244" spans="1:18" x14ac:dyDescent="0.2">
      <c r="A244" t="s">
        <v>271</v>
      </c>
      <c r="B244" s="2">
        <v>21</v>
      </c>
      <c r="C244" t="s">
        <v>93</v>
      </c>
      <c r="D244" s="2" t="s">
        <v>27</v>
      </c>
      <c r="E244" s="2">
        <v>11</v>
      </c>
      <c r="F244" s="2">
        <v>304</v>
      </c>
      <c r="G244" s="2">
        <v>0.55000000000000004</v>
      </c>
      <c r="H244" s="2">
        <v>25.4</v>
      </c>
      <c r="I244" s="2">
        <v>23.1</v>
      </c>
      <c r="J244" s="18">
        <v>1.4</v>
      </c>
      <c r="K244" s="2">
        <v>0.1</v>
      </c>
      <c r="L244" s="2">
        <v>0.3</v>
      </c>
      <c r="M244" s="2">
        <v>15.4</v>
      </c>
      <c r="N244" s="2">
        <v>17.3</v>
      </c>
      <c r="O244" s="2">
        <v>0.2</v>
      </c>
      <c r="P244" s="2">
        <v>0.1</v>
      </c>
      <c r="Q244" s="2">
        <v>0.51600000000000001</v>
      </c>
      <c r="R244" s="2">
        <v>0.33300000000000002</v>
      </c>
    </row>
    <row r="245" spans="1:18" x14ac:dyDescent="0.2">
      <c r="A245" t="s">
        <v>418</v>
      </c>
      <c r="B245" s="2">
        <v>26</v>
      </c>
      <c r="C245" t="s">
        <v>44</v>
      </c>
      <c r="D245" s="2" t="s">
        <v>42</v>
      </c>
      <c r="E245" s="2">
        <v>24</v>
      </c>
      <c r="F245" s="2">
        <v>299</v>
      </c>
      <c r="G245" s="2">
        <v>0.69799999999999995</v>
      </c>
      <c r="H245" s="2">
        <v>7</v>
      </c>
      <c r="I245" s="2">
        <v>6.4</v>
      </c>
      <c r="J245" s="18">
        <v>1.1538461538461537</v>
      </c>
      <c r="K245" s="2">
        <v>0.1</v>
      </c>
      <c r="L245" s="2">
        <v>0.3</v>
      </c>
      <c r="M245" s="2">
        <v>9.1</v>
      </c>
      <c r="N245" s="2">
        <v>10.199999999999999</v>
      </c>
      <c r="O245" s="2">
        <v>0</v>
      </c>
      <c r="P245" s="2">
        <v>0.108</v>
      </c>
      <c r="Q245" s="2">
        <v>0.70399999999999996</v>
      </c>
      <c r="R245" s="2">
        <v>0.25900000000000001</v>
      </c>
    </row>
    <row r="246" spans="1:18" x14ac:dyDescent="0.2">
      <c r="A246" t="s">
        <v>333</v>
      </c>
      <c r="B246" s="2">
        <v>21</v>
      </c>
      <c r="C246" t="s">
        <v>48</v>
      </c>
      <c r="D246" s="2" t="s">
        <v>49</v>
      </c>
      <c r="E246" s="2">
        <v>25</v>
      </c>
      <c r="F246" s="2">
        <v>268</v>
      </c>
      <c r="G246" s="2">
        <v>0.51400000000000001</v>
      </c>
      <c r="H246" s="2">
        <v>19.2</v>
      </c>
      <c r="I246" s="2">
        <v>17.399999999999999</v>
      </c>
      <c r="J246" s="18">
        <v>1.7142857142857142</v>
      </c>
      <c r="K246" s="2">
        <v>-0.5</v>
      </c>
      <c r="L246" s="2">
        <v>0.3</v>
      </c>
      <c r="M246" s="2">
        <v>15.4</v>
      </c>
      <c r="N246" s="2">
        <v>9.5</v>
      </c>
      <c r="O246" s="2">
        <v>0</v>
      </c>
      <c r="P246" s="2">
        <v>7.3999999999999996E-2</v>
      </c>
      <c r="Q246" s="2">
        <v>0.5</v>
      </c>
      <c r="R246" s="2">
        <v>7.0999999999999994E-2</v>
      </c>
    </row>
    <row r="247" spans="1:18" x14ac:dyDescent="0.2">
      <c r="A247" t="s">
        <v>475</v>
      </c>
      <c r="B247" s="2">
        <v>29</v>
      </c>
      <c r="C247" t="s">
        <v>70</v>
      </c>
      <c r="D247" s="2" t="s">
        <v>33</v>
      </c>
      <c r="E247" s="2">
        <v>11</v>
      </c>
      <c r="F247" s="2">
        <v>53</v>
      </c>
      <c r="G247" s="2">
        <v>0.39100000000000001</v>
      </c>
      <c r="H247" s="2">
        <v>15.6</v>
      </c>
      <c r="I247" s="2">
        <v>21.3</v>
      </c>
      <c r="J247" s="18">
        <v>1.5</v>
      </c>
      <c r="K247" s="2">
        <v>-1.6</v>
      </c>
      <c r="L247" s="2">
        <v>0</v>
      </c>
      <c r="M247" s="2">
        <v>11</v>
      </c>
      <c r="N247" s="2">
        <v>5.8</v>
      </c>
      <c r="O247" s="2">
        <v>-0.1</v>
      </c>
      <c r="P247" s="2">
        <v>-0.112</v>
      </c>
      <c r="Q247" s="2">
        <v>0.39100000000000001</v>
      </c>
      <c r="R247" s="2">
        <v>0</v>
      </c>
    </row>
    <row r="248" spans="1:18" x14ac:dyDescent="0.2">
      <c r="A248" t="s">
        <v>144</v>
      </c>
      <c r="B248" s="2">
        <v>35</v>
      </c>
      <c r="C248" t="s">
        <v>61</v>
      </c>
      <c r="D248" s="2" t="s">
        <v>27</v>
      </c>
      <c r="E248" s="2">
        <v>18</v>
      </c>
      <c r="F248" s="2">
        <v>575</v>
      </c>
      <c r="G248" s="2">
        <v>0.64400000000000002</v>
      </c>
      <c r="H248" s="2">
        <v>28.8</v>
      </c>
      <c r="I248" s="2">
        <v>21.7</v>
      </c>
      <c r="J248" s="18">
        <v>3.2692307692307692</v>
      </c>
      <c r="K248" s="2">
        <v>0.6</v>
      </c>
      <c r="L248" s="2">
        <v>0.6</v>
      </c>
      <c r="M248" s="2">
        <v>6.3</v>
      </c>
      <c r="N248" s="2">
        <v>23.3</v>
      </c>
      <c r="O248" s="2">
        <v>1</v>
      </c>
      <c r="P248" s="2">
        <v>0.24199999999999999</v>
      </c>
      <c r="Q248" s="2">
        <v>0.57299999999999995</v>
      </c>
      <c r="R248" s="2">
        <v>0.67500000000000004</v>
      </c>
    </row>
    <row r="249" spans="1:18" x14ac:dyDescent="0.2">
      <c r="A249" t="s">
        <v>397</v>
      </c>
      <c r="B249" s="2">
        <v>29</v>
      </c>
      <c r="C249" t="s">
        <v>87</v>
      </c>
      <c r="D249" s="2" t="s">
        <v>42</v>
      </c>
      <c r="E249" s="2">
        <v>14</v>
      </c>
      <c r="F249" s="2">
        <v>156</v>
      </c>
      <c r="G249" s="2">
        <v>0.497</v>
      </c>
      <c r="H249" s="2">
        <v>17.100000000000001</v>
      </c>
      <c r="I249" s="2">
        <v>16.5</v>
      </c>
      <c r="J249" s="18">
        <v>2</v>
      </c>
      <c r="K249" s="2">
        <v>0.7</v>
      </c>
      <c r="L249" s="2">
        <v>0.3</v>
      </c>
      <c r="M249" s="2">
        <v>11</v>
      </c>
      <c r="N249" s="2">
        <v>14.5</v>
      </c>
      <c r="O249" s="2">
        <v>0.1</v>
      </c>
      <c r="P249" s="2">
        <v>0.13500000000000001</v>
      </c>
      <c r="Q249" s="2">
        <v>0.47899999999999998</v>
      </c>
      <c r="R249" s="2">
        <v>0.40400000000000003</v>
      </c>
    </row>
    <row r="250" spans="1:18" x14ac:dyDescent="0.2">
      <c r="A250" t="s">
        <v>558</v>
      </c>
      <c r="B250" s="2">
        <v>37</v>
      </c>
      <c r="C250" t="s">
        <v>51</v>
      </c>
      <c r="D250" s="2" t="s">
        <v>49</v>
      </c>
      <c r="E250" s="2">
        <v>7</v>
      </c>
      <c r="F250" s="2">
        <v>26</v>
      </c>
      <c r="G250" s="2">
        <v>0</v>
      </c>
      <c r="H250" s="2">
        <v>0</v>
      </c>
      <c r="I250" s="2">
        <v>5.0999999999999996</v>
      </c>
      <c r="J250" s="18">
        <v>9</v>
      </c>
      <c r="K250" s="2">
        <v>1.3</v>
      </c>
      <c r="L250" s="2">
        <v>0</v>
      </c>
      <c r="M250" s="2">
        <v>11.6</v>
      </c>
      <c r="N250" s="2">
        <v>5.6</v>
      </c>
      <c r="O250" s="2">
        <v>0</v>
      </c>
      <c r="P250" s="2">
        <v>9.4E-2</v>
      </c>
      <c r="Q250" s="2">
        <v>0</v>
      </c>
      <c r="R250" s="2">
        <v>0</v>
      </c>
    </row>
    <row r="251" spans="1:18" x14ac:dyDescent="0.2">
      <c r="A251" t="s">
        <v>324</v>
      </c>
      <c r="B251" s="2">
        <v>30</v>
      </c>
      <c r="C251" t="s">
        <v>122</v>
      </c>
      <c r="D251" s="2" t="s">
        <v>42</v>
      </c>
      <c r="E251" s="2">
        <v>5</v>
      </c>
      <c r="F251" s="2">
        <v>158</v>
      </c>
      <c r="G251" s="2">
        <v>0.53500000000000003</v>
      </c>
      <c r="H251" s="2">
        <v>34.700000000000003</v>
      </c>
      <c r="I251" s="2">
        <v>33.9</v>
      </c>
      <c r="J251" s="18">
        <v>0.94736842105263153</v>
      </c>
      <c r="K251" s="2">
        <v>0.3</v>
      </c>
      <c r="L251" s="2">
        <v>0.2</v>
      </c>
      <c r="M251" s="2">
        <v>7.9</v>
      </c>
      <c r="N251" s="2">
        <v>17.7</v>
      </c>
      <c r="O251" s="2">
        <v>0.1</v>
      </c>
      <c r="P251" s="2">
        <v>4.3999999999999997E-2</v>
      </c>
      <c r="Q251" s="2">
        <v>0.42399999999999999</v>
      </c>
      <c r="R251" s="2">
        <v>0.442</v>
      </c>
    </row>
    <row r="252" spans="1:18" x14ac:dyDescent="0.2">
      <c r="A252" t="s">
        <v>119</v>
      </c>
      <c r="B252" s="2">
        <v>27</v>
      </c>
      <c r="C252" t="s">
        <v>120</v>
      </c>
      <c r="D252" s="2" t="s">
        <v>27</v>
      </c>
      <c r="E252" s="2">
        <v>22</v>
      </c>
      <c r="F252" s="2">
        <v>634</v>
      </c>
      <c r="G252" s="2">
        <v>0.63900000000000001</v>
      </c>
      <c r="H252" s="2">
        <v>30.2</v>
      </c>
      <c r="I252" s="2">
        <v>24</v>
      </c>
      <c r="J252" s="18">
        <v>1.0377358490566038</v>
      </c>
      <c r="K252" s="2">
        <v>0</v>
      </c>
      <c r="L252" s="2">
        <v>0.4</v>
      </c>
      <c r="M252" s="2">
        <v>6</v>
      </c>
      <c r="N252" s="2">
        <v>21.2</v>
      </c>
      <c r="O252" s="2">
        <v>0.7</v>
      </c>
      <c r="P252" s="2">
        <v>0.13800000000000001</v>
      </c>
      <c r="Q252" s="2">
        <v>0.58899999999999997</v>
      </c>
      <c r="R252" s="2">
        <v>0.28000000000000003</v>
      </c>
    </row>
    <row r="253" spans="1:18" x14ac:dyDescent="0.2">
      <c r="A253" t="s">
        <v>435</v>
      </c>
      <c r="B253" s="2">
        <v>28</v>
      </c>
      <c r="C253" t="s">
        <v>80</v>
      </c>
      <c r="D253" s="2" t="s">
        <v>52</v>
      </c>
      <c r="E253" s="2">
        <v>12</v>
      </c>
      <c r="F253" s="2">
        <v>154</v>
      </c>
      <c r="G253" s="2">
        <v>0.67300000000000004</v>
      </c>
      <c r="H253" s="2">
        <v>9.5</v>
      </c>
      <c r="I253" s="2">
        <v>7.8</v>
      </c>
      <c r="J253" s="18">
        <v>1.8333333333333333</v>
      </c>
      <c r="K253" s="2">
        <v>2.2000000000000002</v>
      </c>
      <c r="L253" s="2">
        <v>0.3</v>
      </c>
      <c r="M253" s="2">
        <v>5.4</v>
      </c>
      <c r="N253" s="2">
        <v>12.2</v>
      </c>
      <c r="O253" s="2">
        <v>0.2</v>
      </c>
      <c r="P253" s="2">
        <v>0.14799999999999999</v>
      </c>
      <c r="Q253" s="2">
        <v>0.65900000000000003</v>
      </c>
      <c r="R253" s="2">
        <v>0.182</v>
      </c>
    </row>
    <row r="254" spans="1:18" x14ac:dyDescent="0.2">
      <c r="A254" t="s">
        <v>399</v>
      </c>
      <c r="B254" s="2">
        <v>22</v>
      </c>
      <c r="C254" t="s">
        <v>114</v>
      </c>
      <c r="D254" s="2" t="s">
        <v>52</v>
      </c>
      <c r="E254" s="2">
        <v>17</v>
      </c>
      <c r="F254" s="2">
        <v>142</v>
      </c>
      <c r="G254" s="2">
        <v>0.56299999999999994</v>
      </c>
      <c r="H254" s="2">
        <v>17.8</v>
      </c>
      <c r="I254" s="2">
        <v>15.1</v>
      </c>
      <c r="J254" s="18">
        <v>1.25</v>
      </c>
      <c r="K254" s="2">
        <v>0.3</v>
      </c>
      <c r="L254" s="2">
        <v>0.1</v>
      </c>
      <c r="M254" s="2">
        <v>7.6</v>
      </c>
      <c r="N254" s="2">
        <v>13</v>
      </c>
      <c r="O254" s="2">
        <v>0</v>
      </c>
      <c r="P254" s="2">
        <v>5.2999999999999999E-2</v>
      </c>
      <c r="Q254" s="2">
        <v>0.54500000000000004</v>
      </c>
      <c r="R254" s="2">
        <v>0.20499999999999999</v>
      </c>
    </row>
    <row r="255" spans="1:18" x14ac:dyDescent="0.2">
      <c r="A255" t="s">
        <v>403</v>
      </c>
      <c r="B255" s="2">
        <v>20</v>
      </c>
      <c r="C255" t="s">
        <v>82</v>
      </c>
      <c r="D255" s="2" t="s">
        <v>52</v>
      </c>
      <c r="E255" s="2">
        <v>15</v>
      </c>
      <c r="F255" s="2">
        <v>150</v>
      </c>
      <c r="G255" s="2">
        <v>0.56599999999999995</v>
      </c>
      <c r="H255" s="2">
        <v>16.3</v>
      </c>
      <c r="I255" s="2">
        <v>15.3</v>
      </c>
      <c r="J255" s="18">
        <v>0.75</v>
      </c>
      <c r="K255" s="2">
        <v>-1.6</v>
      </c>
      <c r="L255" s="2">
        <v>0.1</v>
      </c>
      <c r="M255" s="2">
        <v>10</v>
      </c>
      <c r="N255" s="2">
        <v>10.199999999999999</v>
      </c>
      <c r="O255" s="2">
        <v>0</v>
      </c>
      <c r="P255" s="2">
        <v>3.5000000000000003E-2</v>
      </c>
      <c r="Q255" s="2">
        <v>0.52400000000000002</v>
      </c>
      <c r="R255" s="2">
        <v>0.16700000000000001</v>
      </c>
    </row>
    <row r="256" spans="1:18" x14ac:dyDescent="0.2">
      <c r="A256" t="s">
        <v>305</v>
      </c>
      <c r="B256" s="2">
        <v>23</v>
      </c>
      <c r="C256" t="s">
        <v>120</v>
      </c>
      <c r="D256" s="2" t="s">
        <v>52</v>
      </c>
      <c r="E256" s="2">
        <v>19</v>
      </c>
      <c r="F256" s="2">
        <v>328</v>
      </c>
      <c r="G256" s="2">
        <v>0.54400000000000004</v>
      </c>
      <c r="H256" s="2">
        <v>18.899999999999999</v>
      </c>
      <c r="I256" s="2">
        <v>16.5</v>
      </c>
      <c r="J256" s="18">
        <v>1.9090909090909092</v>
      </c>
      <c r="K256" s="2">
        <v>-1.9</v>
      </c>
      <c r="L256" s="2">
        <v>0</v>
      </c>
      <c r="M256" s="2">
        <v>9.1</v>
      </c>
      <c r="N256" s="2">
        <v>9.5</v>
      </c>
      <c r="O256" s="2">
        <v>-0.2</v>
      </c>
      <c r="P256" s="2">
        <v>3.5000000000000003E-2</v>
      </c>
      <c r="Q256" s="2">
        <v>0.52200000000000002</v>
      </c>
      <c r="R256" s="2">
        <v>0.11600000000000001</v>
      </c>
    </row>
    <row r="257" spans="1:18" x14ac:dyDescent="0.2">
      <c r="A257" t="s">
        <v>175</v>
      </c>
      <c r="B257" s="2">
        <v>32</v>
      </c>
      <c r="C257" t="s">
        <v>114</v>
      </c>
      <c r="D257" s="2" t="s">
        <v>42</v>
      </c>
      <c r="E257" s="2">
        <v>22</v>
      </c>
      <c r="F257" s="2">
        <v>447</v>
      </c>
      <c r="G257" s="2">
        <v>0.626</v>
      </c>
      <c r="H257" s="2">
        <v>29</v>
      </c>
      <c r="I257" s="2">
        <v>24.2</v>
      </c>
      <c r="J257" s="18">
        <v>1.2</v>
      </c>
      <c r="K257" s="2">
        <v>-0.7</v>
      </c>
      <c r="L257" s="2">
        <v>0.3</v>
      </c>
      <c r="M257" s="2">
        <v>8.9</v>
      </c>
      <c r="N257" s="2">
        <v>23</v>
      </c>
      <c r="O257" s="2">
        <v>0.4</v>
      </c>
      <c r="P257" s="2">
        <v>0.127</v>
      </c>
      <c r="Q257" s="2">
        <v>0.57099999999999995</v>
      </c>
      <c r="R257" s="2">
        <v>0.30099999999999999</v>
      </c>
    </row>
    <row r="258" spans="1:18" x14ac:dyDescent="0.2">
      <c r="A258" t="s">
        <v>299</v>
      </c>
      <c r="B258" s="2">
        <v>27</v>
      </c>
      <c r="C258" t="s">
        <v>48</v>
      </c>
      <c r="D258" s="2" t="s">
        <v>27</v>
      </c>
      <c r="E258" s="2">
        <v>21</v>
      </c>
      <c r="F258" s="2">
        <v>355</v>
      </c>
      <c r="G258" s="2">
        <v>0.54300000000000004</v>
      </c>
      <c r="H258" s="2">
        <v>18.899999999999999</v>
      </c>
      <c r="I258" s="2">
        <v>16.399999999999999</v>
      </c>
      <c r="J258" s="18">
        <v>0.55555555555555558</v>
      </c>
      <c r="K258" s="2">
        <v>1.8</v>
      </c>
      <c r="L258" s="2">
        <v>0.9</v>
      </c>
      <c r="M258" s="2">
        <v>6</v>
      </c>
      <c r="N258" s="2">
        <v>17.3</v>
      </c>
      <c r="O258" s="2">
        <v>0.3</v>
      </c>
      <c r="P258" s="2">
        <v>0.17</v>
      </c>
      <c r="Q258" s="2">
        <v>0.51800000000000002</v>
      </c>
      <c r="R258" s="2">
        <v>0.248</v>
      </c>
    </row>
    <row r="259" spans="1:18" x14ac:dyDescent="0.2">
      <c r="A259" t="s">
        <v>141</v>
      </c>
      <c r="B259" s="2">
        <v>22</v>
      </c>
      <c r="C259" t="s">
        <v>100</v>
      </c>
      <c r="D259" s="2" t="s">
        <v>27</v>
      </c>
      <c r="E259" s="2">
        <v>22</v>
      </c>
      <c r="F259" s="2">
        <v>550</v>
      </c>
      <c r="G259" s="2">
        <v>0.51100000000000001</v>
      </c>
      <c r="H259" s="2">
        <v>29.2</v>
      </c>
      <c r="I259" s="2">
        <v>27.4</v>
      </c>
      <c r="J259" s="18">
        <v>1.1470588235294117</v>
      </c>
      <c r="K259" s="2">
        <v>-0.1</v>
      </c>
      <c r="L259" s="2">
        <v>0.9</v>
      </c>
      <c r="M259" s="2">
        <v>7.6</v>
      </c>
      <c r="N259" s="2">
        <v>14.3</v>
      </c>
      <c r="O259" s="2">
        <v>0.1</v>
      </c>
      <c r="P259" s="2">
        <v>6.2E-2</v>
      </c>
      <c r="Q259" s="2">
        <v>0.49</v>
      </c>
      <c r="R259" s="2">
        <v>0.316</v>
      </c>
    </row>
    <row r="260" spans="1:18" x14ac:dyDescent="0.2">
      <c r="A260" t="s">
        <v>287</v>
      </c>
      <c r="B260" s="2">
        <v>23</v>
      </c>
      <c r="C260" t="s">
        <v>66</v>
      </c>
      <c r="D260" s="2" t="s">
        <v>27</v>
      </c>
      <c r="E260" s="2">
        <v>26</v>
      </c>
      <c r="F260" s="2">
        <v>439</v>
      </c>
      <c r="G260" s="2">
        <v>0.54700000000000004</v>
      </c>
      <c r="H260" s="2">
        <v>16</v>
      </c>
      <c r="I260" s="2">
        <v>14.7</v>
      </c>
      <c r="J260" s="18">
        <v>2</v>
      </c>
      <c r="K260" s="2">
        <v>0.6</v>
      </c>
      <c r="L260" s="2">
        <v>0.4</v>
      </c>
      <c r="M260" s="2">
        <v>9.1</v>
      </c>
      <c r="N260" s="2">
        <v>15.4</v>
      </c>
      <c r="O260" s="2">
        <v>0.2</v>
      </c>
      <c r="P260" s="2">
        <v>0.112</v>
      </c>
      <c r="Q260" s="2">
        <v>0.504</v>
      </c>
      <c r="R260" s="2">
        <v>0.36799999999999999</v>
      </c>
    </row>
    <row r="261" spans="1:18" x14ac:dyDescent="0.2">
      <c r="A261" t="s">
        <v>236</v>
      </c>
      <c r="B261" s="2">
        <v>32</v>
      </c>
      <c r="C261" t="s">
        <v>120</v>
      </c>
      <c r="D261" s="2" t="s">
        <v>52</v>
      </c>
      <c r="E261" s="2">
        <v>13</v>
      </c>
      <c r="F261" s="2">
        <v>338</v>
      </c>
      <c r="G261" s="2">
        <v>0.502</v>
      </c>
      <c r="H261" s="2">
        <v>28</v>
      </c>
      <c r="I261" s="2">
        <v>27.4</v>
      </c>
      <c r="J261" s="18">
        <v>1.9230769230769231</v>
      </c>
      <c r="K261" s="2">
        <v>-1.9</v>
      </c>
      <c r="L261" s="2">
        <v>0</v>
      </c>
      <c r="M261" s="2">
        <v>8.9</v>
      </c>
      <c r="N261" s="2">
        <v>13.7</v>
      </c>
      <c r="O261" s="2">
        <v>-0.1</v>
      </c>
      <c r="P261" s="2">
        <v>1.2999999999999999E-2</v>
      </c>
      <c r="Q261" s="2">
        <v>0.45400000000000001</v>
      </c>
      <c r="R261" s="2">
        <v>0.26400000000000001</v>
      </c>
    </row>
    <row r="262" spans="1:18" x14ac:dyDescent="0.2">
      <c r="A262" t="s">
        <v>289</v>
      </c>
      <c r="B262" s="2">
        <v>22</v>
      </c>
      <c r="C262" t="s">
        <v>117</v>
      </c>
      <c r="D262" s="2" t="s">
        <v>52</v>
      </c>
      <c r="E262" s="2">
        <v>11</v>
      </c>
      <c r="F262" s="2">
        <v>302</v>
      </c>
      <c r="G262" s="2">
        <v>0.51600000000000001</v>
      </c>
      <c r="H262" s="2">
        <v>23.3</v>
      </c>
      <c r="I262" s="2">
        <v>21.5</v>
      </c>
      <c r="J262" s="18">
        <v>1</v>
      </c>
      <c r="K262" s="2">
        <v>-3.7</v>
      </c>
      <c r="L262" s="2">
        <v>0</v>
      </c>
      <c r="M262" s="2">
        <v>7.6</v>
      </c>
      <c r="N262" s="2">
        <v>10.1</v>
      </c>
      <c r="O262" s="2">
        <v>-0.3</v>
      </c>
      <c r="P262" s="2">
        <v>-7.0000000000000001E-3</v>
      </c>
      <c r="Q262" s="2">
        <v>0.46</v>
      </c>
      <c r="R262" s="2">
        <v>0.246</v>
      </c>
    </row>
    <row r="263" spans="1:18" x14ac:dyDescent="0.2">
      <c r="A263" t="s">
        <v>412</v>
      </c>
      <c r="B263" s="2">
        <v>28</v>
      </c>
      <c r="C263" t="s">
        <v>37</v>
      </c>
      <c r="D263" s="2" t="s">
        <v>33</v>
      </c>
      <c r="E263" s="2">
        <v>20</v>
      </c>
      <c r="F263" s="2">
        <v>158</v>
      </c>
      <c r="G263" s="2">
        <v>0.52100000000000002</v>
      </c>
      <c r="H263" s="2">
        <v>14.2</v>
      </c>
      <c r="I263" s="2">
        <v>14.3</v>
      </c>
      <c r="J263" s="18">
        <v>2.375</v>
      </c>
      <c r="K263" s="2">
        <v>0.2</v>
      </c>
      <c r="L263" s="2">
        <v>0.2</v>
      </c>
      <c r="M263" s="2">
        <v>5.4</v>
      </c>
      <c r="N263" s="2">
        <v>10</v>
      </c>
      <c r="O263" s="2">
        <v>-0.1</v>
      </c>
      <c r="P263" s="2">
        <v>6.4000000000000001E-2</v>
      </c>
      <c r="Q263" s="2">
        <v>0.47399999999999998</v>
      </c>
      <c r="R263" s="2">
        <v>0.36799999999999999</v>
      </c>
    </row>
    <row r="264" spans="1:18" x14ac:dyDescent="0.2">
      <c r="A264" t="s">
        <v>325</v>
      </c>
      <c r="B264" s="2">
        <v>25</v>
      </c>
      <c r="C264" t="s">
        <v>77</v>
      </c>
      <c r="D264" s="2" t="s">
        <v>49</v>
      </c>
      <c r="E264" s="2">
        <v>14</v>
      </c>
      <c r="F264" s="2">
        <v>228</v>
      </c>
      <c r="G264" s="2">
        <v>0.54100000000000004</v>
      </c>
      <c r="H264" s="2">
        <v>23.8</v>
      </c>
      <c r="I264" s="2">
        <v>21.9</v>
      </c>
      <c r="J264" s="18">
        <v>1.2857142857142858</v>
      </c>
      <c r="K264" s="2">
        <v>-1.6</v>
      </c>
      <c r="L264" s="2">
        <v>0.2</v>
      </c>
      <c r="M264" s="2">
        <v>5.7</v>
      </c>
      <c r="N264" s="2">
        <v>13.4</v>
      </c>
      <c r="O264" s="2">
        <v>0</v>
      </c>
      <c r="P264" s="2">
        <v>7.3999999999999996E-2</v>
      </c>
      <c r="Q264" s="2">
        <v>0.505</v>
      </c>
      <c r="R264" s="2">
        <v>0.23899999999999999</v>
      </c>
    </row>
    <row r="265" spans="1:18" x14ac:dyDescent="0.2">
      <c r="A265" t="s">
        <v>113</v>
      </c>
      <c r="B265" s="2">
        <v>25</v>
      </c>
      <c r="C265" t="s">
        <v>114</v>
      </c>
      <c r="D265" s="2" t="s">
        <v>52</v>
      </c>
      <c r="E265" s="2">
        <v>20</v>
      </c>
      <c r="F265" s="2">
        <v>606</v>
      </c>
      <c r="G265" s="2">
        <v>0.58899999999999997</v>
      </c>
      <c r="H265" s="2">
        <v>31.4</v>
      </c>
      <c r="I265" s="2">
        <v>28.2</v>
      </c>
      <c r="J265" s="18">
        <v>1.4705882352941178</v>
      </c>
      <c r="K265" s="2">
        <v>-1.8</v>
      </c>
      <c r="L265" s="2">
        <v>0.1</v>
      </c>
      <c r="M265" s="2">
        <v>5.7</v>
      </c>
      <c r="N265" s="2">
        <v>16.2</v>
      </c>
      <c r="O265" s="2">
        <v>0.2</v>
      </c>
      <c r="P265" s="2">
        <v>2.7E-2</v>
      </c>
      <c r="Q265" s="2">
        <v>0.54100000000000004</v>
      </c>
      <c r="R265" s="2">
        <v>0.28999999999999998</v>
      </c>
    </row>
    <row r="266" spans="1:18" x14ac:dyDescent="0.2">
      <c r="A266" t="s">
        <v>457</v>
      </c>
      <c r="B266" s="2">
        <v>20</v>
      </c>
      <c r="C266" t="s">
        <v>39</v>
      </c>
      <c r="D266" s="2" t="s">
        <v>27</v>
      </c>
      <c r="E266" s="2">
        <v>17</v>
      </c>
      <c r="F266" s="2">
        <v>154</v>
      </c>
      <c r="G266" s="2">
        <v>0.39100000000000001</v>
      </c>
      <c r="H266" s="2">
        <v>7.3</v>
      </c>
      <c r="I266" s="2">
        <v>9.4</v>
      </c>
      <c r="J266" s="18">
        <v>1</v>
      </c>
      <c r="K266" s="2">
        <v>0.7</v>
      </c>
      <c r="L266" s="2">
        <v>0.2</v>
      </c>
      <c r="M266" s="2">
        <v>10</v>
      </c>
      <c r="N266" s="2">
        <v>4.8</v>
      </c>
      <c r="O266" s="2">
        <v>-0.1</v>
      </c>
      <c r="P266" s="2">
        <v>1.7000000000000001E-2</v>
      </c>
      <c r="Q266" s="2">
        <v>0.39700000000000002</v>
      </c>
      <c r="R266" s="2">
        <v>3.4000000000000002E-2</v>
      </c>
    </row>
    <row r="267" spans="1:18" x14ac:dyDescent="0.2">
      <c r="A267" t="s">
        <v>317</v>
      </c>
      <c r="B267" s="2">
        <v>26</v>
      </c>
      <c r="C267" t="s">
        <v>117</v>
      </c>
      <c r="D267" s="2" t="s">
        <v>33</v>
      </c>
      <c r="E267" s="2">
        <v>11</v>
      </c>
      <c r="F267" s="2">
        <v>282</v>
      </c>
      <c r="G267" s="2">
        <v>0.54400000000000004</v>
      </c>
      <c r="H267" s="2">
        <v>20.399999999999999</v>
      </c>
      <c r="I267" s="2">
        <v>18.399999999999999</v>
      </c>
      <c r="J267" s="18">
        <v>3.5</v>
      </c>
      <c r="K267" s="2">
        <v>-0.5</v>
      </c>
      <c r="L267" s="2">
        <v>0.1</v>
      </c>
      <c r="M267" s="2">
        <v>9.1</v>
      </c>
      <c r="N267" s="2">
        <v>14.3</v>
      </c>
      <c r="O267" s="2">
        <v>0.1</v>
      </c>
      <c r="P267" s="2">
        <v>7.8E-2</v>
      </c>
      <c r="Q267" s="2">
        <v>0.51500000000000001</v>
      </c>
      <c r="R267" s="2">
        <v>0.16800000000000001</v>
      </c>
    </row>
    <row r="268" spans="1:18" x14ac:dyDescent="0.2">
      <c r="A268" t="s">
        <v>161</v>
      </c>
      <c r="B268" s="2">
        <v>22</v>
      </c>
      <c r="C268" t="s">
        <v>70</v>
      </c>
      <c r="D268" s="2" t="s">
        <v>33</v>
      </c>
      <c r="E268" s="2">
        <v>25</v>
      </c>
      <c r="F268" s="2">
        <v>679</v>
      </c>
      <c r="G268" s="2">
        <v>0.52600000000000002</v>
      </c>
      <c r="H268" s="2">
        <v>19.8</v>
      </c>
      <c r="I268" s="2">
        <v>21.1</v>
      </c>
      <c r="J268" s="18">
        <v>2.6461538461538461</v>
      </c>
      <c r="K268" s="2">
        <v>-0.3</v>
      </c>
      <c r="L268" s="2">
        <v>0.4</v>
      </c>
      <c r="M268" s="2">
        <v>7.6</v>
      </c>
      <c r="N268" s="2">
        <v>15</v>
      </c>
      <c r="O268" s="2">
        <v>0.3</v>
      </c>
      <c r="P268" s="2">
        <v>6.0999999999999999E-2</v>
      </c>
      <c r="Q268" s="2">
        <v>0.5</v>
      </c>
      <c r="R268" s="2">
        <v>0.22900000000000001</v>
      </c>
    </row>
    <row r="269" spans="1:18" x14ac:dyDescent="0.2">
      <c r="A269" t="s">
        <v>264</v>
      </c>
      <c r="B269" s="2">
        <v>24</v>
      </c>
      <c r="C269" t="s">
        <v>59</v>
      </c>
      <c r="D269" s="2" t="s">
        <v>52</v>
      </c>
      <c r="E269" s="2">
        <v>22</v>
      </c>
      <c r="F269" s="2">
        <v>608</v>
      </c>
      <c r="G269" s="2">
        <v>0.56599999999999995</v>
      </c>
      <c r="H269" s="2">
        <v>13.5</v>
      </c>
      <c r="I269" s="2">
        <v>11.6</v>
      </c>
      <c r="J269" s="18">
        <v>1.9473684210526316</v>
      </c>
      <c r="K269" s="2">
        <v>-0.3</v>
      </c>
      <c r="L269" s="2">
        <v>0.3</v>
      </c>
      <c r="M269" s="2">
        <v>0</v>
      </c>
      <c r="N269" s="2">
        <v>8.3000000000000007</v>
      </c>
      <c r="O269" s="2">
        <v>-0.3</v>
      </c>
      <c r="P269" s="2">
        <v>5.8999999999999997E-2</v>
      </c>
      <c r="Q269" s="2">
        <v>0.55800000000000005</v>
      </c>
      <c r="R269" s="2">
        <v>0.161</v>
      </c>
    </row>
    <row r="270" spans="1:18" x14ac:dyDescent="0.2">
      <c r="A270" t="s">
        <v>128</v>
      </c>
      <c r="B270" s="2">
        <v>29</v>
      </c>
      <c r="C270" t="s">
        <v>44</v>
      </c>
      <c r="D270" s="2" t="s">
        <v>52</v>
      </c>
      <c r="E270" s="2">
        <v>25</v>
      </c>
      <c r="F270" s="2">
        <v>924</v>
      </c>
      <c r="G270" s="2">
        <v>0.69899999999999995</v>
      </c>
      <c r="H270" s="2">
        <v>19</v>
      </c>
      <c r="I270" s="2">
        <v>14.1</v>
      </c>
      <c r="J270" s="18">
        <v>3.2857142857142856</v>
      </c>
      <c r="K270" s="2">
        <v>1.1000000000000001</v>
      </c>
      <c r="L270" s="2">
        <v>1</v>
      </c>
      <c r="M270" s="2">
        <v>11</v>
      </c>
      <c r="N270" s="2">
        <v>18</v>
      </c>
      <c r="O270" s="2">
        <v>1.3</v>
      </c>
      <c r="P270" s="2">
        <v>0.189</v>
      </c>
      <c r="Q270" s="2">
        <v>0.67200000000000004</v>
      </c>
      <c r="R270" s="2">
        <v>0.23</v>
      </c>
    </row>
    <row r="271" spans="1:18" x14ac:dyDescent="0.2">
      <c r="A271" t="s">
        <v>446</v>
      </c>
      <c r="B271" s="2">
        <v>22</v>
      </c>
      <c r="C271" t="s">
        <v>51</v>
      </c>
      <c r="D271" s="2" t="s">
        <v>49</v>
      </c>
      <c r="E271" s="2">
        <v>11</v>
      </c>
      <c r="F271" s="2">
        <v>82</v>
      </c>
      <c r="G271" s="2">
        <v>0.63700000000000001</v>
      </c>
      <c r="H271" s="2">
        <v>16.2</v>
      </c>
      <c r="I271" s="2">
        <v>14.1</v>
      </c>
      <c r="J271" s="18">
        <v>1</v>
      </c>
      <c r="K271" s="2">
        <v>3</v>
      </c>
      <c r="L271" s="2">
        <v>0.1</v>
      </c>
      <c r="M271" s="2">
        <v>7.6</v>
      </c>
      <c r="N271" s="2">
        <v>10.5</v>
      </c>
      <c r="O271" s="2">
        <v>0</v>
      </c>
      <c r="P271" s="2">
        <v>9.6000000000000002E-2</v>
      </c>
      <c r="Q271" s="2">
        <v>0.63200000000000001</v>
      </c>
      <c r="R271" s="2">
        <v>0.26300000000000001</v>
      </c>
    </row>
    <row r="272" spans="1:18" x14ac:dyDescent="0.2">
      <c r="A272" t="s">
        <v>342</v>
      </c>
      <c r="B272" s="2">
        <v>26</v>
      </c>
      <c r="C272" t="s">
        <v>54</v>
      </c>
      <c r="D272" s="2" t="s">
        <v>52</v>
      </c>
      <c r="E272" s="2">
        <v>13</v>
      </c>
      <c r="F272" s="2">
        <v>194</v>
      </c>
      <c r="G272" s="2">
        <v>0.61199999999999999</v>
      </c>
      <c r="H272" s="2">
        <v>24.9</v>
      </c>
      <c r="I272" s="2">
        <v>20.5</v>
      </c>
      <c r="J272" s="18">
        <v>0.8</v>
      </c>
      <c r="K272" s="2">
        <v>0.4</v>
      </c>
      <c r="L272" s="2">
        <v>0.2</v>
      </c>
      <c r="M272" s="2">
        <v>9.1</v>
      </c>
      <c r="N272" s="2">
        <v>18.100000000000001</v>
      </c>
      <c r="O272" s="2">
        <v>0.2</v>
      </c>
      <c r="P272" s="2">
        <v>0.124</v>
      </c>
      <c r="Q272" s="2">
        <v>0.58599999999999997</v>
      </c>
      <c r="R272" s="2">
        <v>0.32900000000000001</v>
      </c>
    </row>
    <row r="273" spans="1:18" x14ac:dyDescent="0.2">
      <c r="A273" t="s">
        <v>437</v>
      </c>
      <c r="B273" s="2">
        <v>31</v>
      </c>
      <c r="C273" t="s">
        <v>61</v>
      </c>
      <c r="D273" s="2" t="s">
        <v>52</v>
      </c>
      <c r="E273" s="2">
        <v>8</v>
      </c>
      <c r="F273" s="2">
        <v>150</v>
      </c>
      <c r="G273" s="2">
        <v>0.40200000000000002</v>
      </c>
      <c r="H273" s="2">
        <v>10.6</v>
      </c>
      <c r="I273" s="2">
        <v>13.9</v>
      </c>
      <c r="J273" s="18">
        <v>1.5</v>
      </c>
      <c r="K273" s="2">
        <v>0.2</v>
      </c>
      <c r="L273" s="2">
        <v>0.2</v>
      </c>
      <c r="M273" s="2">
        <v>14.4</v>
      </c>
      <c r="N273" s="2">
        <v>4.4000000000000004</v>
      </c>
      <c r="O273" s="2">
        <v>-0.2</v>
      </c>
      <c r="P273" s="2">
        <v>-1.7000000000000001E-2</v>
      </c>
      <c r="Q273" s="2">
        <v>0.36799999999999999</v>
      </c>
      <c r="R273" s="2">
        <v>0.105</v>
      </c>
    </row>
    <row r="274" spans="1:18" x14ac:dyDescent="0.2">
      <c r="A274" t="s">
        <v>176</v>
      </c>
      <c r="B274" s="2">
        <v>34</v>
      </c>
      <c r="C274" t="s">
        <v>39</v>
      </c>
      <c r="D274" s="2" t="s">
        <v>33</v>
      </c>
      <c r="E274" s="2">
        <v>22</v>
      </c>
      <c r="F274" s="2">
        <v>681</v>
      </c>
      <c r="G274" s="2">
        <v>0.56499999999999995</v>
      </c>
      <c r="H274" s="2">
        <v>19.899999999999999</v>
      </c>
      <c r="I274" s="2">
        <v>17.600000000000001</v>
      </c>
      <c r="J274" s="18">
        <v>2.8125</v>
      </c>
      <c r="K274" s="2">
        <v>-0.1</v>
      </c>
      <c r="L274" s="2">
        <v>0.7</v>
      </c>
      <c r="M274" s="2">
        <v>6.7</v>
      </c>
      <c r="N274" s="2">
        <v>13.7</v>
      </c>
      <c r="O274" s="2">
        <v>0.4</v>
      </c>
      <c r="P274" s="2">
        <v>0.122</v>
      </c>
      <c r="Q274" s="2">
        <v>0.52900000000000003</v>
      </c>
      <c r="R274" s="2">
        <v>0.18099999999999999</v>
      </c>
    </row>
    <row r="275" spans="1:18" x14ac:dyDescent="0.2">
      <c r="A275" t="s">
        <v>473</v>
      </c>
      <c r="B275" s="2">
        <v>22</v>
      </c>
      <c r="C275" t="s">
        <v>57</v>
      </c>
      <c r="D275" s="2" t="s">
        <v>27</v>
      </c>
      <c r="E275" s="2">
        <v>3</v>
      </c>
      <c r="F275" s="2">
        <v>16</v>
      </c>
      <c r="G275" s="2">
        <v>1.206</v>
      </c>
      <c r="H275" s="2">
        <v>56.9</v>
      </c>
      <c r="I275" s="2">
        <v>26.7</v>
      </c>
      <c r="J275" s="18">
        <v>0</v>
      </c>
      <c r="K275" s="2">
        <v>10.1</v>
      </c>
      <c r="L275" s="2">
        <v>0</v>
      </c>
      <c r="M275" s="2">
        <v>7.6</v>
      </c>
      <c r="N275" s="2">
        <v>49.1</v>
      </c>
      <c r="O275" s="2">
        <v>0.1</v>
      </c>
      <c r="P275" s="2">
        <v>0.35899999999999999</v>
      </c>
      <c r="Q275" s="2">
        <v>1.214</v>
      </c>
      <c r="R275" s="2">
        <v>0.28599999999999998</v>
      </c>
    </row>
    <row r="276" spans="1:18" x14ac:dyDescent="0.2">
      <c r="A276" t="s">
        <v>153</v>
      </c>
      <c r="B276" s="2">
        <v>23</v>
      </c>
      <c r="C276" t="s">
        <v>93</v>
      </c>
      <c r="D276" s="2" t="s">
        <v>49</v>
      </c>
      <c r="E276" s="2">
        <v>24</v>
      </c>
      <c r="F276" s="2">
        <v>711</v>
      </c>
      <c r="G276" s="2">
        <v>0.59199999999999997</v>
      </c>
      <c r="H276" s="2">
        <v>20.7</v>
      </c>
      <c r="I276" s="2">
        <v>16.899999999999999</v>
      </c>
      <c r="J276" s="18">
        <v>1.3846153846153846</v>
      </c>
      <c r="K276" s="2">
        <v>-0.8</v>
      </c>
      <c r="L276" s="2">
        <v>0.6</v>
      </c>
      <c r="M276" s="2">
        <v>9.1</v>
      </c>
      <c r="N276" s="2">
        <v>12.9</v>
      </c>
      <c r="O276" s="2">
        <v>0.2</v>
      </c>
      <c r="P276" s="2">
        <v>8.4000000000000005E-2</v>
      </c>
      <c r="Q276" s="2">
        <v>0.55900000000000005</v>
      </c>
      <c r="R276" s="2">
        <v>0.16400000000000001</v>
      </c>
    </row>
    <row r="277" spans="1:18" x14ac:dyDescent="0.2">
      <c r="A277" t="s">
        <v>328</v>
      </c>
      <c r="B277" s="2">
        <v>21</v>
      </c>
      <c r="C277" t="s">
        <v>70</v>
      </c>
      <c r="D277" s="2" t="s">
        <v>49</v>
      </c>
      <c r="E277" s="2">
        <v>24</v>
      </c>
      <c r="F277" s="2">
        <v>344</v>
      </c>
      <c r="G277" s="2">
        <v>0.52800000000000002</v>
      </c>
      <c r="H277" s="2">
        <v>14.3</v>
      </c>
      <c r="I277" s="2">
        <v>13.5</v>
      </c>
      <c r="J277" s="18">
        <v>1.1000000000000001</v>
      </c>
      <c r="K277" s="2">
        <v>-0.6</v>
      </c>
      <c r="L277" s="2">
        <v>0.2</v>
      </c>
      <c r="M277" s="2">
        <v>15.4</v>
      </c>
      <c r="N277" s="2">
        <v>9.1999999999999993</v>
      </c>
      <c r="O277" s="2">
        <v>-0.1</v>
      </c>
      <c r="P277" s="2">
        <v>3.5999999999999997E-2</v>
      </c>
      <c r="Q277" s="2">
        <v>0.51100000000000001</v>
      </c>
      <c r="R277" s="2">
        <v>0.22800000000000001</v>
      </c>
    </row>
    <row r="278" spans="1:18" x14ac:dyDescent="0.2">
      <c r="A278" t="s">
        <v>233</v>
      </c>
      <c r="B278" s="2">
        <v>22</v>
      </c>
      <c r="C278" t="s">
        <v>46</v>
      </c>
      <c r="D278" s="2" t="s">
        <v>52</v>
      </c>
      <c r="E278" s="2">
        <v>22</v>
      </c>
      <c r="F278" s="2">
        <v>458</v>
      </c>
      <c r="G278" s="2">
        <v>0.60099999999999998</v>
      </c>
      <c r="H278" s="2">
        <v>20.6</v>
      </c>
      <c r="I278" s="2">
        <v>17.100000000000001</v>
      </c>
      <c r="J278" s="18">
        <v>1.4761904761904763</v>
      </c>
      <c r="K278" s="2">
        <v>-0.4</v>
      </c>
      <c r="L278" s="2">
        <v>0.3</v>
      </c>
      <c r="M278" s="2">
        <v>7.6</v>
      </c>
      <c r="N278" s="2">
        <v>11.2</v>
      </c>
      <c r="O278" s="2">
        <v>-0.1</v>
      </c>
      <c r="P278" s="2">
        <v>7.3999999999999996E-2</v>
      </c>
      <c r="Q278" s="2">
        <v>0.56699999999999995</v>
      </c>
      <c r="R278" s="2">
        <v>0.24199999999999999</v>
      </c>
    </row>
    <row r="279" spans="1:18" x14ac:dyDescent="0.2">
      <c r="A279" t="s">
        <v>91</v>
      </c>
      <c r="B279" s="2">
        <v>30</v>
      </c>
      <c r="C279" t="s">
        <v>51</v>
      </c>
      <c r="D279" s="2" t="s">
        <v>27</v>
      </c>
      <c r="E279" s="2">
        <v>23</v>
      </c>
      <c r="F279" s="2">
        <v>763</v>
      </c>
      <c r="G279" s="2">
        <v>0.60799999999999998</v>
      </c>
      <c r="H279" s="2">
        <v>30.3</v>
      </c>
      <c r="I279" s="2">
        <v>25.9</v>
      </c>
      <c r="J279" s="18">
        <v>1.5</v>
      </c>
      <c r="K279" s="2">
        <v>0</v>
      </c>
      <c r="L279" s="2">
        <v>1</v>
      </c>
      <c r="M279" s="2">
        <v>7.9</v>
      </c>
      <c r="N279" s="2">
        <v>18.5</v>
      </c>
      <c r="O279" s="2">
        <v>0.7</v>
      </c>
      <c r="P279" s="2">
        <v>0.158</v>
      </c>
      <c r="Q279" s="2">
        <v>0.55000000000000004</v>
      </c>
      <c r="R279" s="2">
        <v>0.39800000000000002</v>
      </c>
    </row>
    <row r="280" spans="1:18" x14ac:dyDescent="0.2">
      <c r="A280" t="s">
        <v>410</v>
      </c>
      <c r="B280" s="2">
        <v>23</v>
      </c>
      <c r="C280" t="s">
        <v>114</v>
      </c>
      <c r="D280" s="2" t="s">
        <v>49</v>
      </c>
      <c r="E280" s="2">
        <v>5</v>
      </c>
      <c r="F280" s="2">
        <v>105</v>
      </c>
      <c r="G280" s="2">
        <v>0.63500000000000001</v>
      </c>
      <c r="H280" s="2">
        <v>20.5</v>
      </c>
      <c r="I280" s="2">
        <v>16.2</v>
      </c>
      <c r="J280" s="18">
        <v>1</v>
      </c>
      <c r="K280" s="2">
        <v>0.2</v>
      </c>
      <c r="L280" s="2">
        <v>0.1</v>
      </c>
      <c r="M280" s="2">
        <v>9.1</v>
      </c>
      <c r="N280" s="2">
        <v>16.600000000000001</v>
      </c>
      <c r="O280" s="2">
        <v>0.1</v>
      </c>
      <c r="P280" s="2">
        <v>9.4E-2</v>
      </c>
      <c r="Q280" s="2">
        <v>0.63200000000000001</v>
      </c>
      <c r="R280" s="2">
        <v>0.14699999999999999</v>
      </c>
    </row>
    <row r="281" spans="1:18" x14ac:dyDescent="0.2">
      <c r="A281" t="s">
        <v>524</v>
      </c>
      <c r="B281" s="2">
        <v>21</v>
      </c>
      <c r="C281" t="s">
        <v>122</v>
      </c>
      <c r="D281" s="2" t="s">
        <v>49</v>
      </c>
      <c r="E281" s="2">
        <v>2</v>
      </c>
      <c r="F281" s="2">
        <v>9</v>
      </c>
      <c r="G281" s="2">
        <v>0.58099999999999996</v>
      </c>
      <c r="H281" s="2">
        <v>22.2</v>
      </c>
      <c r="I281" s="2">
        <v>16.8</v>
      </c>
      <c r="J281" s="18" t="e">
        <v>#DIV/0!</v>
      </c>
      <c r="K281" s="2">
        <v>-0.3</v>
      </c>
      <c r="L281" s="2">
        <v>0</v>
      </c>
      <c r="M281" s="2">
        <v>15.4</v>
      </c>
      <c r="N281" s="2">
        <v>16.7</v>
      </c>
      <c r="O281" s="2">
        <v>0</v>
      </c>
      <c r="P281" s="2">
        <v>0.11899999999999999</v>
      </c>
      <c r="Q281" s="2">
        <v>0.66700000000000004</v>
      </c>
      <c r="R281" s="2">
        <v>0.33300000000000002</v>
      </c>
    </row>
    <row r="282" spans="1:18" x14ac:dyDescent="0.2">
      <c r="A282" t="s">
        <v>564</v>
      </c>
      <c r="B282" s="2">
        <v>25</v>
      </c>
      <c r="C282" t="s">
        <v>135</v>
      </c>
      <c r="D282" s="2" t="s">
        <v>49</v>
      </c>
      <c r="E282" s="2">
        <v>1</v>
      </c>
      <c r="F282" s="2">
        <v>6</v>
      </c>
      <c r="G282" s="2">
        <v>0</v>
      </c>
      <c r="H282" s="2">
        <v>0</v>
      </c>
      <c r="I282" s="2">
        <v>0</v>
      </c>
      <c r="J282" s="18" t="e">
        <v>#DIV/0!</v>
      </c>
      <c r="K282" s="2">
        <v>-2</v>
      </c>
      <c r="L282" s="2">
        <v>0</v>
      </c>
      <c r="M282" s="2">
        <v>5.7</v>
      </c>
      <c r="N282" s="2">
        <v>-0.4</v>
      </c>
      <c r="O282" s="2">
        <v>0</v>
      </c>
      <c r="P282" s="2">
        <v>1.0999999999999999E-2</v>
      </c>
      <c r="Q282" s="2">
        <v>0</v>
      </c>
      <c r="R282" s="2">
        <v>0</v>
      </c>
    </row>
    <row r="283" spans="1:18" x14ac:dyDescent="0.2">
      <c r="A283" t="s">
        <v>293</v>
      </c>
      <c r="B283" s="2">
        <v>30</v>
      </c>
      <c r="C283" t="s">
        <v>54</v>
      </c>
      <c r="D283" s="2" t="s">
        <v>42</v>
      </c>
      <c r="E283" s="2">
        <v>16</v>
      </c>
      <c r="F283" s="2">
        <v>385</v>
      </c>
      <c r="G283" s="2">
        <v>0.53</v>
      </c>
      <c r="H283" s="2">
        <v>18.3</v>
      </c>
      <c r="I283" s="2">
        <v>19.7</v>
      </c>
      <c r="J283" s="18">
        <v>0.56756756756756754</v>
      </c>
      <c r="K283" s="2">
        <v>0.1</v>
      </c>
      <c r="L283" s="2">
        <v>0.6</v>
      </c>
      <c r="M283" s="2">
        <v>7.9</v>
      </c>
      <c r="N283" s="2">
        <v>11.9</v>
      </c>
      <c r="O283" s="2">
        <v>-0.2</v>
      </c>
      <c r="P283" s="2">
        <v>0.03</v>
      </c>
      <c r="Q283" s="2">
        <v>0.48199999999999998</v>
      </c>
      <c r="R283" s="2">
        <v>0.46400000000000002</v>
      </c>
    </row>
    <row r="284" spans="1:18" x14ac:dyDescent="0.2">
      <c r="A284" t="s">
        <v>423</v>
      </c>
      <c r="B284" s="2">
        <v>24</v>
      </c>
      <c r="C284" t="s">
        <v>77</v>
      </c>
      <c r="D284" s="2" t="s">
        <v>42</v>
      </c>
      <c r="E284" s="2">
        <v>16</v>
      </c>
      <c r="F284" s="2">
        <v>139</v>
      </c>
      <c r="G284" s="2">
        <v>0.75800000000000001</v>
      </c>
      <c r="H284" s="2">
        <v>13.1</v>
      </c>
      <c r="I284" s="2">
        <v>9.6999999999999993</v>
      </c>
      <c r="J284" s="18">
        <v>0.8571428571428571</v>
      </c>
      <c r="K284" s="2">
        <v>2</v>
      </c>
      <c r="L284" s="2">
        <v>0.2</v>
      </c>
      <c r="M284" s="2">
        <v>0</v>
      </c>
      <c r="N284" s="2">
        <v>13.9</v>
      </c>
      <c r="O284" s="2">
        <v>0.1</v>
      </c>
      <c r="P284" s="2">
        <v>0.153</v>
      </c>
      <c r="Q284" s="2">
        <v>0.75</v>
      </c>
      <c r="R284" s="2">
        <v>0.5</v>
      </c>
    </row>
    <row r="285" spans="1:18" x14ac:dyDescent="0.2">
      <c r="A285" t="s">
        <v>55</v>
      </c>
      <c r="B285" s="2">
        <v>29</v>
      </c>
      <c r="C285" t="s">
        <v>44</v>
      </c>
      <c r="D285" s="2" t="s">
        <v>42</v>
      </c>
      <c r="E285" s="2">
        <v>23</v>
      </c>
      <c r="F285" s="2">
        <v>781</v>
      </c>
      <c r="G285" s="2">
        <v>0.64500000000000002</v>
      </c>
      <c r="H285" s="2">
        <v>36.299999999999997</v>
      </c>
      <c r="I285" s="2">
        <v>28.2</v>
      </c>
      <c r="J285" s="18">
        <v>1.3454545454545455</v>
      </c>
      <c r="K285" s="2">
        <v>0.1</v>
      </c>
      <c r="L285" s="2">
        <v>1.2</v>
      </c>
      <c r="M285" s="2">
        <v>11</v>
      </c>
      <c r="N285" s="2">
        <v>26.3</v>
      </c>
      <c r="O285" s="2">
        <v>1.4</v>
      </c>
      <c r="P285" s="2">
        <v>0.23499999999999999</v>
      </c>
      <c r="Q285" s="2">
        <v>0.59799999999999998</v>
      </c>
      <c r="R285" s="2">
        <v>0.35199999999999998</v>
      </c>
    </row>
    <row r="286" spans="1:18" x14ac:dyDescent="0.2">
      <c r="A286" t="s">
        <v>530</v>
      </c>
      <c r="B286" s="2">
        <v>23</v>
      </c>
      <c r="C286" t="s">
        <v>117</v>
      </c>
      <c r="D286" s="2" t="s">
        <v>27</v>
      </c>
      <c r="E286" s="2">
        <v>5</v>
      </c>
      <c r="F286" s="2">
        <v>39</v>
      </c>
      <c r="G286" s="2">
        <v>0.4</v>
      </c>
      <c r="H286" s="2">
        <v>5</v>
      </c>
      <c r="I286" s="2">
        <v>9.8000000000000007</v>
      </c>
      <c r="J286" s="18">
        <v>0</v>
      </c>
      <c r="K286" s="2">
        <v>-1</v>
      </c>
      <c r="L286" s="2">
        <v>0</v>
      </c>
      <c r="M286" s="2">
        <v>9.1</v>
      </c>
      <c r="N286" s="2">
        <v>8</v>
      </c>
      <c r="O286" s="2">
        <v>-0.1</v>
      </c>
      <c r="P286" s="2">
        <v>-4.2999999999999997E-2</v>
      </c>
      <c r="Q286" s="2">
        <v>0.4</v>
      </c>
      <c r="R286" s="2">
        <v>0</v>
      </c>
    </row>
    <row r="287" spans="1:18" x14ac:dyDescent="0.2">
      <c r="A287" t="s">
        <v>396</v>
      </c>
      <c r="B287" s="2">
        <v>25</v>
      </c>
      <c r="C287" t="s">
        <v>72</v>
      </c>
      <c r="D287" s="2" t="s">
        <v>33</v>
      </c>
      <c r="E287" s="2">
        <v>12</v>
      </c>
      <c r="F287" s="2">
        <v>194</v>
      </c>
      <c r="G287" s="2">
        <v>0.49299999999999999</v>
      </c>
      <c r="H287" s="2">
        <v>13.4</v>
      </c>
      <c r="I287" s="2">
        <v>14.3</v>
      </c>
      <c r="J287" s="18">
        <v>1.8333333333333333</v>
      </c>
      <c r="K287" s="2">
        <v>0.7</v>
      </c>
      <c r="L287" s="2">
        <v>0.2</v>
      </c>
      <c r="M287" s="2">
        <v>5.7</v>
      </c>
      <c r="N287" s="2">
        <v>8.4</v>
      </c>
      <c r="O287" s="2">
        <v>-0.1</v>
      </c>
      <c r="P287" s="2">
        <v>1.2E-2</v>
      </c>
      <c r="Q287" s="2">
        <v>0.47299999999999998</v>
      </c>
      <c r="R287" s="2">
        <v>7.2999999999999995E-2</v>
      </c>
    </row>
    <row r="288" spans="1:18" x14ac:dyDescent="0.2">
      <c r="A288" t="s">
        <v>147</v>
      </c>
      <c r="B288" s="2">
        <v>24</v>
      </c>
      <c r="C288" t="s">
        <v>37</v>
      </c>
      <c r="D288" s="2" t="s">
        <v>27</v>
      </c>
      <c r="E288" s="2">
        <v>26</v>
      </c>
      <c r="F288" s="2">
        <v>944</v>
      </c>
      <c r="G288" s="2">
        <v>0.52300000000000002</v>
      </c>
      <c r="H288" s="2">
        <v>16.600000000000001</v>
      </c>
      <c r="I288" s="2">
        <v>15.3</v>
      </c>
      <c r="J288" s="18">
        <v>1.4444444444444444</v>
      </c>
      <c r="K288" s="2">
        <v>-1.5</v>
      </c>
      <c r="L288" s="2">
        <v>0.8</v>
      </c>
      <c r="M288" s="2">
        <v>0</v>
      </c>
      <c r="N288" s="2">
        <v>10.9</v>
      </c>
      <c r="O288" s="2">
        <v>-0.3</v>
      </c>
      <c r="P288" s="2">
        <v>7.0999999999999994E-2</v>
      </c>
      <c r="Q288" s="2">
        <v>0.502</v>
      </c>
      <c r="R288" s="2">
        <v>0.109</v>
      </c>
    </row>
    <row r="289" spans="1:18" x14ac:dyDescent="0.2">
      <c r="A289" t="s">
        <v>455</v>
      </c>
      <c r="B289" s="2">
        <v>20</v>
      </c>
      <c r="C289" t="s">
        <v>61</v>
      </c>
      <c r="D289" s="2" t="s">
        <v>42</v>
      </c>
      <c r="E289" s="2">
        <v>10</v>
      </c>
      <c r="F289" s="2">
        <v>69</v>
      </c>
      <c r="G289" s="2">
        <v>0.46400000000000002</v>
      </c>
      <c r="H289" s="2">
        <v>17.2</v>
      </c>
      <c r="I289" s="2">
        <v>18.899999999999999</v>
      </c>
      <c r="J289" s="18">
        <v>0.25</v>
      </c>
      <c r="K289" s="2">
        <v>0.3</v>
      </c>
      <c r="L289" s="2">
        <v>0.1</v>
      </c>
      <c r="M289" s="2">
        <v>10</v>
      </c>
      <c r="N289" s="2">
        <v>9.6999999999999993</v>
      </c>
      <c r="O289" s="2">
        <v>-0.1</v>
      </c>
      <c r="P289" s="2">
        <v>0</v>
      </c>
      <c r="Q289" s="2">
        <v>0.44</v>
      </c>
      <c r="R289" s="2">
        <v>0.08</v>
      </c>
    </row>
    <row r="290" spans="1:18" x14ac:dyDescent="0.2">
      <c r="A290" t="s">
        <v>164</v>
      </c>
      <c r="B290" s="2">
        <v>25</v>
      </c>
      <c r="C290" t="s">
        <v>93</v>
      </c>
      <c r="D290" s="2" t="s">
        <v>49</v>
      </c>
      <c r="E290" s="2">
        <v>23</v>
      </c>
      <c r="F290" s="2">
        <v>583</v>
      </c>
      <c r="G290" s="2">
        <v>0.54200000000000004</v>
      </c>
      <c r="H290" s="2">
        <v>24.3</v>
      </c>
      <c r="I290" s="2">
        <v>21</v>
      </c>
      <c r="J290" s="18">
        <v>2.0555555555555554</v>
      </c>
      <c r="K290" s="2">
        <v>-1</v>
      </c>
      <c r="L290" s="2">
        <v>0.5</v>
      </c>
      <c r="M290" s="2">
        <v>5.7</v>
      </c>
      <c r="N290" s="2">
        <v>14.4</v>
      </c>
      <c r="O290" s="2">
        <v>0</v>
      </c>
      <c r="P290" s="2">
        <v>8.6999999999999994E-2</v>
      </c>
      <c r="Q290" s="2">
        <v>0.502</v>
      </c>
      <c r="R290" s="2">
        <v>0.28000000000000003</v>
      </c>
    </row>
    <row r="291" spans="1:18" x14ac:dyDescent="0.2">
      <c r="A291" t="s">
        <v>472</v>
      </c>
      <c r="B291" s="2">
        <v>33</v>
      </c>
      <c r="C291" t="s">
        <v>66</v>
      </c>
      <c r="D291" s="2" t="s">
        <v>42</v>
      </c>
      <c r="E291" s="2">
        <v>3</v>
      </c>
      <c r="F291" s="2">
        <v>41</v>
      </c>
      <c r="G291" s="2">
        <v>0.48399999999999999</v>
      </c>
      <c r="H291" s="2">
        <v>22.4</v>
      </c>
      <c r="I291" s="2">
        <v>22.9</v>
      </c>
      <c r="J291" s="18">
        <v>1.3333333333333333</v>
      </c>
      <c r="K291" s="2">
        <v>2.5</v>
      </c>
      <c r="L291" s="2">
        <v>0.1</v>
      </c>
      <c r="M291" s="2">
        <v>6.9</v>
      </c>
      <c r="N291" s="2">
        <v>17.7</v>
      </c>
      <c r="O291" s="2">
        <v>0</v>
      </c>
      <c r="P291" s="2">
        <v>8.8999999999999996E-2</v>
      </c>
      <c r="Q291" s="2">
        <v>0.441</v>
      </c>
      <c r="R291" s="2">
        <v>0.35299999999999998</v>
      </c>
    </row>
    <row r="292" spans="1:18" x14ac:dyDescent="0.2">
      <c r="A292" t="s">
        <v>170</v>
      </c>
      <c r="B292" s="2">
        <v>29</v>
      </c>
      <c r="C292" t="s">
        <v>122</v>
      </c>
      <c r="D292" s="2" t="s">
        <v>49</v>
      </c>
      <c r="E292" s="2">
        <v>22</v>
      </c>
      <c r="F292" s="2">
        <v>691</v>
      </c>
      <c r="G292" s="2">
        <v>0.53600000000000003</v>
      </c>
      <c r="H292" s="2">
        <v>20.399999999999999</v>
      </c>
      <c r="I292" s="2">
        <v>18.600000000000001</v>
      </c>
      <c r="J292" s="18">
        <v>1.0344827586206897</v>
      </c>
      <c r="K292" s="2">
        <v>-0.1</v>
      </c>
      <c r="L292" s="2">
        <v>0.8</v>
      </c>
      <c r="M292" s="2">
        <v>11</v>
      </c>
      <c r="N292" s="2">
        <v>12</v>
      </c>
      <c r="O292" s="2">
        <v>0</v>
      </c>
      <c r="P292" s="2">
        <v>6.4000000000000001E-2</v>
      </c>
      <c r="Q292" s="2">
        <v>0.50800000000000001</v>
      </c>
      <c r="R292" s="2">
        <v>0.19800000000000001</v>
      </c>
    </row>
    <row r="293" spans="1:18" x14ac:dyDescent="0.2">
      <c r="A293" t="s">
        <v>364</v>
      </c>
      <c r="B293" s="2">
        <v>30</v>
      </c>
      <c r="C293" t="s">
        <v>32</v>
      </c>
      <c r="D293" s="2" t="s">
        <v>27</v>
      </c>
      <c r="E293" s="2">
        <v>14</v>
      </c>
      <c r="F293" s="2">
        <v>185</v>
      </c>
      <c r="G293" s="2">
        <v>0.69099999999999995</v>
      </c>
      <c r="H293" s="2">
        <v>21</v>
      </c>
      <c r="I293" s="2">
        <v>13.9</v>
      </c>
      <c r="J293" s="18">
        <v>6.5</v>
      </c>
      <c r="K293" s="2">
        <v>2</v>
      </c>
      <c r="L293" s="2">
        <v>0.4</v>
      </c>
      <c r="M293" s="2">
        <v>7.9</v>
      </c>
      <c r="N293" s="2">
        <v>18.899999999999999</v>
      </c>
      <c r="O293" s="2">
        <v>0.3</v>
      </c>
      <c r="P293" s="2">
        <v>0.25800000000000001</v>
      </c>
      <c r="Q293" s="2">
        <v>0.67</v>
      </c>
      <c r="R293" s="2">
        <v>0.107</v>
      </c>
    </row>
    <row r="294" spans="1:18" x14ac:dyDescent="0.2">
      <c r="A294" t="s">
        <v>219</v>
      </c>
      <c r="B294" s="2">
        <v>31</v>
      </c>
      <c r="C294" t="s">
        <v>48</v>
      </c>
      <c r="D294" s="2" t="s">
        <v>52</v>
      </c>
      <c r="E294" s="2">
        <v>26</v>
      </c>
      <c r="F294" s="2">
        <v>786</v>
      </c>
      <c r="G294" s="2">
        <v>0.53600000000000003</v>
      </c>
      <c r="H294" s="2">
        <v>13.4</v>
      </c>
      <c r="I294" s="2">
        <v>12</v>
      </c>
      <c r="J294" s="18">
        <v>2.3684210526315788</v>
      </c>
      <c r="K294" s="2">
        <v>2.2999999999999998</v>
      </c>
      <c r="L294" s="2">
        <v>1.3</v>
      </c>
      <c r="M294" s="2">
        <v>14.4</v>
      </c>
      <c r="N294" s="2">
        <v>9.1999999999999993</v>
      </c>
      <c r="O294" s="2">
        <v>0.1</v>
      </c>
      <c r="P294" s="2">
        <v>9.9000000000000005E-2</v>
      </c>
      <c r="Q294" s="2">
        <v>0.5</v>
      </c>
      <c r="R294" s="2">
        <v>0.17799999999999999</v>
      </c>
    </row>
    <row r="295" spans="1:18" x14ac:dyDescent="0.2">
      <c r="A295" t="s">
        <v>277</v>
      </c>
      <c r="B295" s="2">
        <v>25</v>
      </c>
      <c r="C295" t="s">
        <v>37</v>
      </c>
      <c r="D295" s="2" t="s">
        <v>52</v>
      </c>
      <c r="E295" s="2">
        <v>24</v>
      </c>
      <c r="F295" s="2">
        <v>491</v>
      </c>
      <c r="G295" s="2">
        <v>0.65</v>
      </c>
      <c r="H295" s="2">
        <v>15.1</v>
      </c>
      <c r="I295" s="2">
        <v>12</v>
      </c>
      <c r="J295" s="18">
        <v>1.35</v>
      </c>
      <c r="K295" s="2">
        <v>1.6</v>
      </c>
      <c r="L295" s="2">
        <v>0.6</v>
      </c>
      <c r="M295" s="2">
        <v>5.7</v>
      </c>
      <c r="N295" s="2">
        <v>12.3</v>
      </c>
      <c r="O295" s="2">
        <v>0.4</v>
      </c>
      <c r="P295" s="2">
        <v>0.11600000000000001</v>
      </c>
      <c r="Q295" s="2">
        <v>0.61899999999999999</v>
      </c>
      <c r="R295" s="2">
        <v>0.25700000000000001</v>
      </c>
    </row>
    <row r="296" spans="1:18" x14ac:dyDescent="0.2">
      <c r="A296" t="s">
        <v>309</v>
      </c>
      <c r="B296" s="2">
        <v>22</v>
      </c>
      <c r="C296" t="s">
        <v>103</v>
      </c>
      <c r="D296" s="2" t="s">
        <v>52</v>
      </c>
      <c r="E296" s="2">
        <v>22</v>
      </c>
      <c r="F296" s="2">
        <v>373</v>
      </c>
      <c r="G296" s="2">
        <v>0.45700000000000002</v>
      </c>
      <c r="H296" s="2">
        <v>16.7</v>
      </c>
      <c r="I296" s="2">
        <v>19</v>
      </c>
      <c r="J296" s="18">
        <v>1.1428571428571428</v>
      </c>
      <c r="K296" s="2">
        <v>-0.9</v>
      </c>
      <c r="L296" s="2">
        <v>0.3</v>
      </c>
      <c r="M296" s="2">
        <v>7.6</v>
      </c>
      <c r="N296" s="2">
        <v>6.6</v>
      </c>
      <c r="O296" s="2">
        <v>-0.4</v>
      </c>
      <c r="P296" s="2">
        <v>-3.9E-2</v>
      </c>
      <c r="Q296" s="2">
        <v>0.443</v>
      </c>
      <c r="R296" s="2">
        <v>8.3000000000000004E-2</v>
      </c>
    </row>
    <row r="297" spans="1:18" x14ac:dyDescent="0.2">
      <c r="A297" t="s">
        <v>546</v>
      </c>
      <c r="B297" s="2">
        <v>23</v>
      </c>
      <c r="C297" t="s">
        <v>61</v>
      </c>
      <c r="D297" s="2" t="s">
        <v>49</v>
      </c>
      <c r="E297" s="2">
        <v>2</v>
      </c>
      <c r="F297" s="2">
        <v>12</v>
      </c>
      <c r="G297" s="2">
        <v>0.5</v>
      </c>
      <c r="H297" s="2">
        <v>8.3000000000000007</v>
      </c>
      <c r="I297" s="2">
        <v>7.3</v>
      </c>
      <c r="J297" s="18" t="e">
        <v>#DIV/0!</v>
      </c>
      <c r="K297" s="2">
        <v>-1.2</v>
      </c>
      <c r="L297" s="2">
        <v>0</v>
      </c>
      <c r="M297" s="2">
        <v>9.1</v>
      </c>
      <c r="N297" s="2">
        <v>5</v>
      </c>
      <c r="O297" s="2">
        <v>0</v>
      </c>
      <c r="P297" s="2">
        <v>2.8000000000000001E-2</v>
      </c>
      <c r="Q297" s="2">
        <v>0.5</v>
      </c>
      <c r="R297" s="2">
        <v>0</v>
      </c>
    </row>
    <row r="298" spans="1:18" x14ac:dyDescent="0.2">
      <c r="A298" t="s">
        <v>557</v>
      </c>
      <c r="B298" s="2">
        <v>24</v>
      </c>
      <c r="C298" t="s">
        <v>63</v>
      </c>
      <c r="D298" s="2" t="s">
        <v>49</v>
      </c>
      <c r="E298" s="2">
        <v>5</v>
      </c>
      <c r="F298" s="2">
        <v>10</v>
      </c>
      <c r="G298" s="2">
        <v>0</v>
      </c>
      <c r="H298" s="2">
        <v>0</v>
      </c>
      <c r="I298" s="2">
        <v>12.7</v>
      </c>
      <c r="J298" s="18">
        <v>0</v>
      </c>
      <c r="K298" s="2">
        <v>-5.8</v>
      </c>
      <c r="L298" s="2">
        <v>0</v>
      </c>
      <c r="M298" s="2">
        <v>0</v>
      </c>
      <c r="N298" s="2">
        <v>-15.3</v>
      </c>
      <c r="O298" s="2">
        <v>-0.1</v>
      </c>
      <c r="P298" s="2">
        <v>-0.32900000000000001</v>
      </c>
      <c r="Q298" s="2">
        <v>0</v>
      </c>
      <c r="R298" s="2">
        <v>0</v>
      </c>
    </row>
    <row r="299" spans="1:18" x14ac:dyDescent="0.2">
      <c r="A299" t="s">
        <v>140</v>
      </c>
      <c r="B299" s="2">
        <v>36</v>
      </c>
      <c r="C299" t="s">
        <v>54</v>
      </c>
      <c r="D299" s="2" t="s">
        <v>27</v>
      </c>
      <c r="E299" s="2">
        <v>13</v>
      </c>
      <c r="F299" s="2">
        <v>464</v>
      </c>
      <c r="G299" s="2">
        <v>0.65200000000000002</v>
      </c>
      <c r="H299" s="2">
        <v>35.5</v>
      </c>
      <c r="I299" s="2">
        <v>28.5</v>
      </c>
      <c r="J299" s="18">
        <v>0.93023255813953487</v>
      </c>
      <c r="K299" s="2">
        <v>-0.2</v>
      </c>
      <c r="L299" s="2">
        <v>0.4</v>
      </c>
      <c r="M299" s="2">
        <v>8.4</v>
      </c>
      <c r="N299" s="2">
        <v>20.399999999999999</v>
      </c>
      <c r="O299" s="2">
        <v>0.5</v>
      </c>
      <c r="P299" s="2">
        <v>9.9000000000000005E-2</v>
      </c>
      <c r="Q299" s="2">
        <v>0.61399999999999999</v>
      </c>
      <c r="R299" s="2">
        <v>0.33500000000000002</v>
      </c>
    </row>
    <row r="300" spans="1:18" x14ac:dyDescent="0.2">
      <c r="A300" t="s">
        <v>208</v>
      </c>
      <c r="B300" s="2">
        <v>26</v>
      </c>
      <c r="C300" t="s">
        <v>37</v>
      </c>
      <c r="D300" s="2" t="s">
        <v>52</v>
      </c>
      <c r="E300" s="2">
        <v>23</v>
      </c>
      <c r="F300" s="2">
        <v>589</v>
      </c>
      <c r="G300" s="2">
        <v>0.54400000000000004</v>
      </c>
      <c r="H300" s="2">
        <v>18.8</v>
      </c>
      <c r="I300" s="2">
        <v>17</v>
      </c>
      <c r="J300" s="18">
        <v>2.1363636363636362</v>
      </c>
      <c r="K300" s="2">
        <v>0</v>
      </c>
      <c r="L300" s="2">
        <v>0.6</v>
      </c>
      <c r="M300" s="2">
        <v>9.1</v>
      </c>
      <c r="N300" s="2">
        <v>11.6</v>
      </c>
      <c r="O300" s="2">
        <v>0</v>
      </c>
      <c r="P300" s="2">
        <v>7.0999999999999994E-2</v>
      </c>
      <c r="Q300" s="2">
        <v>0.53500000000000003</v>
      </c>
      <c r="R300" s="2">
        <v>8.4000000000000005E-2</v>
      </c>
    </row>
    <row r="301" spans="1:18" x14ac:dyDescent="0.2">
      <c r="A301" t="s">
        <v>358</v>
      </c>
      <c r="B301" s="2">
        <v>36</v>
      </c>
      <c r="C301" t="s">
        <v>61</v>
      </c>
      <c r="D301" s="2" t="s">
        <v>27</v>
      </c>
      <c r="E301" s="2">
        <v>13</v>
      </c>
      <c r="F301" s="2">
        <v>153</v>
      </c>
      <c r="G301" s="2">
        <v>0.502</v>
      </c>
      <c r="H301" s="2">
        <v>27.9</v>
      </c>
      <c r="I301" s="2">
        <v>27</v>
      </c>
      <c r="J301" s="18">
        <v>1.8888888888888888</v>
      </c>
      <c r="K301" s="2">
        <v>1.4</v>
      </c>
      <c r="L301" s="2">
        <v>0.4</v>
      </c>
      <c r="M301" s="2">
        <v>8.4</v>
      </c>
      <c r="N301" s="2">
        <v>20.399999999999999</v>
      </c>
      <c r="O301" s="2">
        <v>0.2</v>
      </c>
      <c r="P301" s="2">
        <v>0.13400000000000001</v>
      </c>
      <c r="Q301" s="2">
        <v>0.48099999999999998</v>
      </c>
      <c r="R301" s="2">
        <v>0.19</v>
      </c>
    </row>
    <row r="302" spans="1:18" x14ac:dyDescent="0.2">
      <c r="A302" t="s">
        <v>227</v>
      </c>
      <c r="B302" s="2">
        <v>24</v>
      </c>
      <c r="C302" t="s">
        <v>77</v>
      </c>
      <c r="D302" s="2" t="s">
        <v>52</v>
      </c>
      <c r="E302" s="2">
        <v>22</v>
      </c>
      <c r="F302" s="2">
        <v>429</v>
      </c>
      <c r="G302" s="2">
        <v>0.46300000000000002</v>
      </c>
      <c r="H302" s="2">
        <v>23.4</v>
      </c>
      <c r="I302" s="2">
        <v>27.2</v>
      </c>
      <c r="J302" s="18">
        <v>1.28</v>
      </c>
      <c r="K302" s="2">
        <v>-0.1</v>
      </c>
      <c r="L302" s="2">
        <v>0.7</v>
      </c>
      <c r="M302" s="2">
        <v>0</v>
      </c>
      <c r="N302" s="2">
        <v>10.5</v>
      </c>
      <c r="O302" s="2">
        <v>-0.2</v>
      </c>
      <c r="P302" s="2">
        <v>-3.4000000000000002E-2</v>
      </c>
      <c r="Q302" s="2">
        <v>0.44400000000000001</v>
      </c>
      <c r="R302" s="2">
        <v>0.18099999999999999</v>
      </c>
    </row>
    <row r="303" spans="1:18" x14ac:dyDescent="0.2">
      <c r="A303" t="s">
        <v>315</v>
      </c>
      <c r="B303" s="2">
        <v>28</v>
      </c>
      <c r="C303" t="s">
        <v>100</v>
      </c>
      <c r="D303" s="2" t="s">
        <v>42</v>
      </c>
      <c r="E303" s="2">
        <v>22</v>
      </c>
      <c r="F303" s="2">
        <v>360</v>
      </c>
      <c r="G303" s="2">
        <v>0.53</v>
      </c>
      <c r="H303" s="2">
        <v>15.9</v>
      </c>
      <c r="I303" s="2">
        <v>14.7</v>
      </c>
      <c r="J303" s="18">
        <v>2.4666666666666668</v>
      </c>
      <c r="K303" s="2">
        <v>0.8</v>
      </c>
      <c r="L303" s="2">
        <v>0.8</v>
      </c>
      <c r="M303" s="2">
        <v>5.4</v>
      </c>
      <c r="N303" s="2">
        <v>19.100000000000001</v>
      </c>
      <c r="O303" s="2">
        <v>0.3</v>
      </c>
      <c r="P303" s="2">
        <v>0.21099999999999999</v>
      </c>
      <c r="Q303" s="2">
        <v>0.53100000000000003</v>
      </c>
      <c r="R303" s="2">
        <v>0.38500000000000001</v>
      </c>
    </row>
    <row r="304" spans="1:18" x14ac:dyDescent="0.2">
      <c r="A304" t="s">
        <v>130</v>
      </c>
      <c r="B304" s="2">
        <v>21</v>
      </c>
      <c r="C304" t="s">
        <v>120</v>
      </c>
      <c r="D304" s="2" t="s">
        <v>33</v>
      </c>
      <c r="E304" s="2">
        <v>22</v>
      </c>
      <c r="F304" s="2">
        <v>694</v>
      </c>
      <c r="G304" s="2">
        <v>0.52800000000000002</v>
      </c>
      <c r="H304" s="2">
        <v>24.4</v>
      </c>
      <c r="I304" s="2">
        <v>24.4</v>
      </c>
      <c r="J304" s="18">
        <v>1.7222222222222223</v>
      </c>
      <c r="K304" s="2">
        <v>-3</v>
      </c>
      <c r="L304" s="2">
        <v>-0.1</v>
      </c>
      <c r="M304" s="2">
        <v>15.4</v>
      </c>
      <c r="N304" s="2">
        <v>11.5</v>
      </c>
      <c r="O304" s="2">
        <v>-0.4</v>
      </c>
      <c r="P304" s="2">
        <v>-8.0000000000000002E-3</v>
      </c>
      <c r="Q304" s="2">
        <v>0.48799999999999999</v>
      </c>
      <c r="R304" s="2">
        <v>0.222</v>
      </c>
    </row>
    <row r="305" spans="1:18" x14ac:dyDescent="0.2">
      <c r="A305" t="s">
        <v>459</v>
      </c>
      <c r="B305" s="2">
        <v>33</v>
      </c>
      <c r="C305" t="s">
        <v>35</v>
      </c>
      <c r="D305" s="2" t="s">
        <v>49</v>
      </c>
      <c r="E305" s="2">
        <v>3</v>
      </c>
      <c r="F305" s="2">
        <v>63</v>
      </c>
      <c r="G305" s="2">
        <v>0.45100000000000001</v>
      </c>
      <c r="H305" s="2">
        <v>17</v>
      </c>
      <c r="I305" s="2">
        <v>19.2</v>
      </c>
      <c r="J305" s="18">
        <v>6.333333333333333</v>
      </c>
      <c r="K305" s="2">
        <v>3.6</v>
      </c>
      <c r="L305" s="2">
        <v>0.1</v>
      </c>
      <c r="M305" s="2">
        <v>6.9</v>
      </c>
      <c r="N305" s="2">
        <v>16.2</v>
      </c>
      <c r="O305" s="2">
        <v>0.1</v>
      </c>
      <c r="P305" s="2">
        <v>0.13300000000000001</v>
      </c>
      <c r="Q305" s="2">
        <v>0.3</v>
      </c>
      <c r="R305" s="2">
        <v>0.5</v>
      </c>
    </row>
    <row r="306" spans="1:18" x14ac:dyDescent="0.2">
      <c r="A306" t="s">
        <v>306</v>
      </c>
      <c r="B306" s="2">
        <v>24</v>
      </c>
      <c r="C306" t="s">
        <v>122</v>
      </c>
      <c r="D306" s="2" t="s">
        <v>27</v>
      </c>
      <c r="E306" s="2">
        <v>19</v>
      </c>
      <c r="F306" s="2">
        <v>359</v>
      </c>
      <c r="G306" s="2">
        <v>0.71699999999999997</v>
      </c>
      <c r="H306" s="2">
        <v>17.5</v>
      </c>
      <c r="I306" s="2">
        <v>11.6</v>
      </c>
      <c r="J306" s="18">
        <v>2.4285714285714284</v>
      </c>
      <c r="K306" s="2">
        <v>0.7</v>
      </c>
      <c r="L306" s="2">
        <v>0.3</v>
      </c>
      <c r="M306" s="2">
        <v>0</v>
      </c>
      <c r="N306" s="2">
        <v>14.6</v>
      </c>
      <c r="O306" s="2">
        <v>0.2</v>
      </c>
      <c r="P306" s="2">
        <v>0.16400000000000001</v>
      </c>
      <c r="Q306" s="2">
        <v>0.67800000000000005</v>
      </c>
      <c r="R306" s="2">
        <v>0.35499999999999998</v>
      </c>
    </row>
    <row r="307" spans="1:18" x14ac:dyDescent="0.2">
      <c r="A307" t="s">
        <v>427</v>
      </c>
      <c r="B307" s="2">
        <v>22</v>
      </c>
      <c r="C307" t="s">
        <v>59</v>
      </c>
      <c r="D307" s="2" t="s">
        <v>33</v>
      </c>
      <c r="E307" s="2">
        <v>8</v>
      </c>
      <c r="F307" s="2">
        <v>116</v>
      </c>
      <c r="G307" s="2">
        <v>0.40300000000000002</v>
      </c>
      <c r="H307" s="2">
        <v>15</v>
      </c>
      <c r="I307" s="2">
        <v>19.2</v>
      </c>
      <c r="J307" s="18">
        <v>1.8888888888888888</v>
      </c>
      <c r="K307" s="2">
        <v>-1</v>
      </c>
      <c r="L307" s="2">
        <v>0.1</v>
      </c>
      <c r="M307" s="2">
        <v>7.6</v>
      </c>
      <c r="N307" s="2">
        <v>7.7</v>
      </c>
      <c r="O307" s="2">
        <v>-0.1</v>
      </c>
      <c r="P307" s="2">
        <v>-2.4E-2</v>
      </c>
      <c r="Q307" s="2">
        <v>0.34599999999999997</v>
      </c>
      <c r="R307" s="2">
        <v>0.25600000000000001</v>
      </c>
    </row>
    <row r="308" spans="1:18" x14ac:dyDescent="0.2">
      <c r="A308" t="s">
        <v>173</v>
      </c>
      <c r="B308" s="2">
        <v>34</v>
      </c>
      <c r="C308" t="s">
        <v>63</v>
      </c>
      <c r="D308" s="2" t="s">
        <v>49</v>
      </c>
      <c r="E308" s="2">
        <v>21</v>
      </c>
      <c r="F308" s="2">
        <v>579</v>
      </c>
      <c r="G308" s="2">
        <v>0.53300000000000003</v>
      </c>
      <c r="H308" s="2">
        <v>23.2</v>
      </c>
      <c r="I308" s="2">
        <v>20.7</v>
      </c>
      <c r="J308" s="18">
        <v>1.6363636363636365</v>
      </c>
      <c r="K308" s="2">
        <v>-1.5</v>
      </c>
      <c r="L308" s="2">
        <v>0.5</v>
      </c>
      <c r="M308" s="2">
        <v>6.7</v>
      </c>
      <c r="N308" s="2">
        <v>11.8</v>
      </c>
      <c r="O308" s="2">
        <v>0.2</v>
      </c>
      <c r="P308" s="2">
        <v>6.5000000000000002E-2</v>
      </c>
      <c r="Q308" s="2">
        <v>0.51600000000000001</v>
      </c>
      <c r="R308" s="2">
        <v>7.9000000000000001E-2</v>
      </c>
    </row>
    <row r="309" spans="1:18" x14ac:dyDescent="0.2">
      <c r="A309" t="s">
        <v>464</v>
      </c>
      <c r="B309" s="2">
        <v>25</v>
      </c>
      <c r="C309" t="s">
        <v>77</v>
      </c>
      <c r="D309" s="2" t="s">
        <v>27</v>
      </c>
      <c r="E309" s="2">
        <v>7</v>
      </c>
      <c r="F309" s="2">
        <v>47</v>
      </c>
      <c r="G309" s="2">
        <v>0.47899999999999998</v>
      </c>
      <c r="H309" s="2">
        <v>21</v>
      </c>
      <c r="I309" s="2">
        <v>19.2</v>
      </c>
      <c r="J309" s="18" t="e">
        <v>#DIV/0!</v>
      </c>
      <c r="K309" s="2">
        <v>-0.6</v>
      </c>
      <c r="L309" s="2">
        <v>0.1</v>
      </c>
      <c r="M309" s="2">
        <v>5.7</v>
      </c>
      <c r="N309" s="2">
        <v>15.8</v>
      </c>
      <c r="O309" s="2">
        <v>0</v>
      </c>
      <c r="P309" s="2">
        <v>0.13700000000000001</v>
      </c>
      <c r="Q309" s="2">
        <v>0.47499999999999998</v>
      </c>
      <c r="R309" s="2">
        <v>0.1</v>
      </c>
    </row>
    <row r="310" spans="1:18" x14ac:dyDescent="0.2">
      <c r="A310" t="s">
        <v>401</v>
      </c>
      <c r="B310" s="2">
        <v>21</v>
      </c>
      <c r="C310" t="s">
        <v>72</v>
      </c>
      <c r="D310" s="2" t="s">
        <v>52</v>
      </c>
      <c r="E310" s="2">
        <v>10</v>
      </c>
      <c r="F310" s="2">
        <v>124</v>
      </c>
      <c r="G310" s="2">
        <v>0.48299999999999998</v>
      </c>
      <c r="H310" s="2">
        <v>19.8</v>
      </c>
      <c r="I310" s="2">
        <v>20.399999999999999</v>
      </c>
      <c r="J310" s="18">
        <v>2.125</v>
      </c>
      <c r="K310" s="2">
        <v>-0.6</v>
      </c>
      <c r="L310" s="2">
        <v>0.1</v>
      </c>
      <c r="M310" s="2">
        <v>15.4</v>
      </c>
      <c r="N310" s="2">
        <v>10.6</v>
      </c>
      <c r="O310" s="2">
        <v>-0.1</v>
      </c>
      <c r="P310" s="2">
        <v>2.1000000000000001E-2</v>
      </c>
      <c r="Q310" s="2">
        <v>0.42599999999999999</v>
      </c>
      <c r="R310" s="2">
        <v>0.38300000000000001</v>
      </c>
    </row>
    <row r="311" spans="1:18" x14ac:dyDescent="0.2">
      <c r="A311" t="s">
        <v>266</v>
      </c>
      <c r="B311" s="2">
        <v>30</v>
      </c>
      <c r="C311" t="s">
        <v>77</v>
      </c>
      <c r="D311" s="2" t="s">
        <v>33</v>
      </c>
      <c r="E311" s="2">
        <v>25</v>
      </c>
      <c r="F311" s="2">
        <v>565</v>
      </c>
      <c r="G311" s="2">
        <v>0.51800000000000002</v>
      </c>
      <c r="H311" s="2">
        <v>14.4</v>
      </c>
      <c r="I311" s="2">
        <v>14.2</v>
      </c>
      <c r="J311" s="18">
        <v>2.4074074074074074</v>
      </c>
      <c r="K311" s="2">
        <v>3.1</v>
      </c>
      <c r="L311" s="2">
        <v>1</v>
      </c>
      <c r="M311" s="2">
        <v>7.9</v>
      </c>
      <c r="N311" s="2">
        <v>11.6</v>
      </c>
      <c r="O311" s="2">
        <v>0.3</v>
      </c>
      <c r="P311" s="2">
        <v>9.8000000000000004E-2</v>
      </c>
      <c r="Q311" s="2">
        <v>0.51600000000000001</v>
      </c>
      <c r="R311" s="2">
        <v>6.5000000000000002E-2</v>
      </c>
    </row>
    <row r="312" spans="1:18" x14ac:dyDescent="0.2">
      <c r="A312" t="s">
        <v>345</v>
      </c>
      <c r="B312" s="2">
        <v>24</v>
      </c>
      <c r="C312" t="s">
        <v>135</v>
      </c>
      <c r="D312" s="2" t="s">
        <v>49</v>
      </c>
      <c r="E312" s="2">
        <v>21</v>
      </c>
      <c r="F312" s="2">
        <v>267</v>
      </c>
      <c r="G312" s="2">
        <v>0.53500000000000003</v>
      </c>
      <c r="H312" s="2">
        <v>17.100000000000001</v>
      </c>
      <c r="I312" s="2">
        <v>15.6</v>
      </c>
      <c r="J312" s="18">
        <v>1.1666666666666667</v>
      </c>
      <c r="K312" s="2">
        <v>-0.9</v>
      </c>
      <c r="L312" s="2">
        <v>0.1</v>
      </c>
      <c r="M312" s="2">
        <v>0</v>
      </c>
      <c r="N312" s="2">
        <v>11.3</v>
      </c>
      <c r="O312" s="2">
        <v>0</v>
      </c>
      <c r="P312" s="2">
        <v>4.1000000000000002E-2</v>
      </c>
      <c r="Q312" s="2">
        <v>0.54400000000000004</v>
      </c>
      <c r="R312" s="2">
        <v>0.25</v>
      </c>
    </row>
    <row r="313" spans="1:18" x14ac:dyDescent="0.2">
      <c r="A313" t="s">
        <v>313</v>
      </c>
      <c r="B313" s="2">
        <v>29</v>
      </c>
      <c r="C313" t="s">
        <v>39</v>
      </c>
      <c r="D313" s="2" t="s">
        <v>42</v>
      </c>
      <c r="E313" s="2">
        <v>6</v>
      </c>
      <c r="F313" s="2">
        <v>173</v>
      </c>
      <c r="G313" s="2">
        <v>0.57699999999999996</v>
      </c>
      <c r="H313" s="2">
        <v>34.5</v>
      </c>
      <c r="I313" s="2">
        <v>27.6</v>
      </c>
      <c r="J313" s="18">
        <v>2.2000000000000002</v>
      </c>
      <c r="K313" s="2">
        <v>0.4</v>
      </c>
      <c r="L313" s="2">
        <v>0.3</v>
      </c>
      <c r="M313" s="2">
        <v>11</v>
      </c>
      <c r="N313" s="2">
        <v>23.3</v>
      </c>
      <c r="O313" s="2">
        <v>0.2</v>
      </c>
      <c r="P313" s="2">
        <v>0.20100000000000001</v>
      </c>
      <c r="Q313" s="2">
        <v>0.53300000000000003</v>
      </c>
      <c r="R313" s="2">
        <v>0.33700000000000002</v>
      </c>
    </row>
    <row r="314" spans="1:18" x14ac:dyDescent="0.2">
      <c r="A314" t="s">
        <v>322</v>
      </c>
      <c r="B314" s="2">
        <v>31</v>
      </c>
      <c r="C314" t="s">
        <v>100</v>
      </c>
      <c r="D314" s="2" t="s">
        <v>27</v>
      </c>
      <c r="E314" s="2">
        <v>23</v>
      </c>
      <c r="F314" s="2">
        <v>327</v>
      </c>
      <c r="G314" s="2">
        <v>0.47899999999999998</v>
      </c>
      <c r="H314" s="2">
        <v>16.3</v>
      </c>
      <c r="I314" s="2">
        <v>16.3</v>
      </c>
      <c r="J314" s="18">
        <v>4.333333333333333</v>
      </c>
      <c r="K314" s="2">
        <v>2.9</v>
      </c>
      <c r="L314" s="2">
        <v>0.7</v>
      </c>
      <c r="M314" s="2">
        <v>14.4</v>
      </c>
      <c r="N314" s="2">
        <v>13.8</v>
      </c>
      <c r="O314" s="2">
        <v>0.3</v>
      </c>
      <c r="P314" s="2">
        <v>0.126</v>
      </c>
      <c r="Q314" s="2">
        <v>0.45800000000000002</v>
      </c>
      <c r="R314" s="2">
        <v>0.187</v>
      </c>
    </row>
    <row r="315" spans="1:18" x14ac:dyDescent="0.2">
      <c r="A315" t="s">
        <v>331</v>
      </c>
      <c r="B315" s="2">
        <v>21</v>
      </c>
      <c r="C315" t="s">
        <v>120</v>
      </c>
      <c r="D315" s="2" t="s">
        <v>42</v>
      </c>
      <c r="E315" s="2">
        <v>15</v>
      </c>
      <c r="F315" s="2">
        <v>276</v>
      </c>
      <c r="G315" s="2">
        <v>0.56899999999999995</v>
      </c>
      <c r="H315" s="2">
        <v>18.399999999999999</v>
      </c>
      <c r="I315" s="2">
        <v>16.3</v>
      </c>
      <c r="J315" s="18">
        <v>2</v>
      </c>
      <c r="K315" s="2">
        <v>-0.5</v>
      </c>
      <c r="L315" s="2">
        <v>0.1</v>
      </c>
      <c r="M315" s="2">
        <v>15.4</v>
      </c>
      <c r="N315" s="2">
        <v>13.1</v>
      </c>
      <c r="O315" s="2">
        <v>0</v>
      </c>
      <c r="P315" s="2">
        <v>6.5000000000000002E-2</v>
      </c>
      <c r="Q315" s="2">
        <v>0.56299999999999994</v>
      </c>
      <c r="R315" s="2">
        <v>0.38</v>
      </c>
    </row>
    <row r="316" spans="1:18" x14ac:dyDescent="0.2">
      <c r="A316" t="s">
        <v>241</v>
      </c>
      <c r="B316" s="2">
        <v>29</v>
      </c>
      <c r="C316" t="s">
        <v>114</v>
      </c>
      <c r="D316" s="2" t="s">
        <v>27</v>
      </c>
      <c r="E316" s="2">
        <v>12</v>
      </c>
      <c r="F316" s="2">
        <v>330</v>
      </c>
      <c r="G316" s="2">
        <v>0.48699999999999999</v>
      </c>
      <c r="H316" s="2">
        <v>26.9</v>
      </c>
      <c r="I316" s="2">
        <v>28</v>
      </c>
      <c r="J316" s="18">
        <v>0.7931034482758621</v>
      </c>
      <c r="K316" s="2">
        <v>-3.1</v>
      </c>
      <c r="L316" s="2">
        <v>0</v>
      </c>
      <c r="M316" s="2">
        <v>11</v>
      </c>
      <c r="N316" s="2">
        <v>9.8000000000000007</v>
      </c>
      <c r="O316" s="2">
        <v>-0.4</v>
      </c>
      <c r="P316" s="2">
        <v>-0.10199999999999999</v>
      </c>
      <c r="Q316" s="2">
        <v>0.46400000000000002</v>
      </c>
      <c r="R316" s="2">
        <v>0.17699999999999999</v>
      </c>
    </row>
    <row r="317" spans="1:18" x14ac:dyDescent="0.2">
      <c r="A317" t="s">
        <v>362</v>
      </c>
      <c r="B317" s="2">
        <v>38</v>
      </c>
      <c r="C317" t="s">
        <v>122</v>
      </c>
      <c r="D317" s="2" t="s">
        <v>33</v>
      </c>
      <c r="E317" s="2">
        <v>16</v>
      </c>
      <c r="F317" s="2">
        <v>350</v>
      </c>
      <c r="G317" s="2">
        <v>0.55100000000000005</v>
      </c>
      <c r="H317" s="2">
        <v>11.8</v>
      </c>
      <c r="I317" s="2">
        <v>11.1</v>
      </c>
      <c r="J317" s="18">
        <v>3.6153846153846154</v>
      </c>
      <c r="K317" s="2">
        <v>1.7</v>
      </c>
      <c r="L317" s="2">
        <v>0.4</v>
      </c>
      <c r="M317" s="2">
        <v>10.5</v>
      </c>
      <c r="N317" s="2">
        <v>10.3</v>
      </c>
      <c r="O317" s="2">
        <v>0.1</v>
      </c>
      <c r="P317" s="2">
        <v>9.0999999999999998E-2</v>
      </c>
      <c r="Q317" s="2">
        <v>0.50700000000000001</v>
      </c>
      <c r="R317" s="2">
        <v>0.28399999999999997</v>
      </c>
    </row>
    <row r="318" spans="1:18" x14ac:dyDescent="0.2">
      <c r="A318" t="s">
        <v>62</v>
      </c>
      <c r="B318" s="2">
        <v>32</v>
      </c>
      <c r="C318" t="s">
        <v>63</v>
      </c>
      <c r="D318" s="2" t="s">
        <v>52</v>
      </c>
      <c r="E318" s="2">
        <v>23</v>
      </c>
      <c r="F318" s="2">
        <v>813</v>
      </c>
      <c r="G318" s="2">
        <v>0.625</v>
      </c>
      <c r="H318" s="2">
        <v>32.700000000000003</v>
      </c>
      <c r="I318" s="2">
        <v>25.6</v>
      </c>
      <c r="J318" s="18">
        <v>2.4</v>
      </c>
      <c r="K318" s="2">
        <v>0.1</v>
      </c>
      <c r="L318" s="2">
        <v>0.8</v>
      </c>
      <c r="M318" s="2">
        <v>8.9</v>
      </c>
      <c r="N318" s="2">
        <v>21.3</v>
      </c>
      <c r="O318" s="2">
        <v>1.5</v>
      </c>
      <c r="P318" s="2">
        <v>0.19</v>
      </c>
      <c r="Q318" s="2">
        <v>0.59299999999999997</v>
      </c>
      <c r="R318" s="2">
        <v>0.192</v>
      </c>
    </row>
    <row r="319" spans="1:18" x14ac:dyDescent="0.2">
      <c r="A319" t="s">
        <v>292</v>
      </c>
      <c r="B319" s="2">
        <v>21</v>
      </c>
      <c r="C319" t="s">
        <v>114</v>
      </c>
      <c r="D319" s="2" t="s">
        <v>52</v>
      </c>
      <c r="E319" s="2">
        <v>19</v>
      </c>
      <c r="F319" s="2">
        <v>497</v>
      </c>
      <c r="G319" s="2">
        <v>0.44600000000000001</v>
      </c>
      <c r="H319" s="2">
        <v>13.4</v>
      </c>
      <c r="I319" s="2">
        <v>14.9</v>
      </c>
      <c r="J319" s="18">
        <v>2.6315789473684212</v>
      </c>
      <c r="K319" s="2">
        <v>-1.3</v>
      </c>
      <c r="L319" s="2">
        <v>0.1</v>
      </c>
      <c r="M319" s="2">
        <v>15.4</v>
      </c>
      <c r="N319" s="2">
        <v>7.2</v>
      </c>
      <c r="O319" s="2">
        <v>-0.5</v>
      </c>
      <c r="P319" s="2">
        <v>-2.7E-2</v>
      </c>
      <c r="Q319" s="2">
        <v>0.41599999999999998</v>
      </c>
      <c r="R319" s="2">
        <v>0.17399999999999999</v>
      </c>
    </row>
    <row r="320" spans="1:18" x14ac:dyDescent="0.2">
      <c r="A320" t="s">
        <v>58</v>
      </c>
      <c r="B320" s="2">
        <v>23</v>
      </c>
      <c r="C320" t="s">
        <v>59</v>
      </c>
      <c r="D320" s="2" t="s">
        <v>33</v>
      </c>
      <c r="E320" s="2">
        <v>18</v>
      </c>
      <c r="F320" s="2">
        <v>614</v>
      </c>
      <c r="G320" s="2">
        <v>0.56399999999999995</v>
      </c>
      <c r="H320" s="2">
        <v>45.1</v>
      </c>
      <c r="I320" s="4">
        <v>39.9</v>
      </c>
      <c r="J320" s="18">
        <v>1.5432098765432098</v>
      </c>
      <c r="K320" s="2">
        <v>-0.6</v>
      </c>
      <c r="L320" s="2">
        <v>0.4</v>
      </c>
      <c r="M320" s="2">
        <v>9.1</v>
      </c>
      <c r="N320" s="2">
        <v>21.7</v>
      </c>
      <c r="O320" s="2">
        <v>1.1000000000000001</v>
      </c>
      <c r="P320" s="2">
        <v>0.105</v>
      </c>
      <c r="Q320" s="2">
        <v>0.52300000000000002</v>
      </c>
      <c r="R320" s="2">
        <v>0.23400000000000001</v>
      </c>
    </row>
    <row r="321" spans="1:18" x14ac:dyDescent="0.2">
      <c r="A321" t="s">
        <v>357</v>
      </c>
      <c r="B321" s="2">
        <v>32</v>
      </c>
      <c r="C321" t="s">
        <v>72</v>
      </c>
      <c r="D321" s="2" t="s">
        <v>27</v>
      </c>
      <c r="E321" s="2">
        <v>10</v>
      </c>
      <c r="F321" s="2">
        <v>165</v>
      </c>
      <c r="G321" s="2">
        <v>0.78</v>
      </c>
      <c r="H321" s="2">
        <v>24.5</v>
      </c>
      <c r="I321" s="2">
        <v>14.6</v>
      </c>
      <c r="J321" s="18">
        <v>3.5</v>
      </c>
      <c r="K321" s="2">
        <v>0.6</v>
      </c>
      <c r="L321" s="2">
        <v>0.1</v>
      </c>
      <c r="M321" s="2">
        <v>8.9</v>
      </c>
      <c r="N321" s="2">
        <v>21</v>
      </c>
      <c r="O321" s="2">
        <v>0.3</v>
      </c>
      <c r="P321" s="2">
        <v>0.20699999999999999</v>
      </c>
      <c r="Q321" s="2">
        <v>0.77800000000000002</v>
      </c>
      <c r="R321" s="2">
        <v>7.3999999999999996E-2</v>
      </c>
    </row>
    <row r="322" spans="1:18" x14ac:dyDescent="0.2">
      <c r="A322" t="s">
        <v>142</v>
      </c>
      <c r="B322" s="2">
        <v>27</v>
      </c>
      <c r="C322" t="s">
        <v>120</v>
      </c>
      <c r="D322" s="2" t="s">
        <v>27</v>
      </c>
      <c r="E322" s="2">
        <v>18</v>
      </c>
      <c r="F322" s="2">
        <v>572</v>
      </c>
      <c r="G322" s="2">
        <v>0.60299999999999998</v>
      </c>
      <c r="H322" s="2">
        <v>28.4</v>
      </c>
      <c r="I322" s="2">
        <v>22.3</v>
      </c>
      <c r="J322" s="18">
        <v>1.6153846153846154</v>
      </c>
      <c r="K322" s="2">
        <v>-1.9</v>
      </c>
      <c r="L322" s="2">
        <v>0</v>
      </c>
      <c r="M322" s="2">
        <v>6</v>
      </c>
      <c r="N322" s="2">
        <v>17.3</v>
      </c>
      <c r="O322" s="2">
        <v>0.4</v>
      </c>
      <c r="P322" s="2">
        <v>0.11700000000000001</v>
      </c>
      <c r="Q322" s="2">
        <v>0.53800000000000003</v>
      </c>
      <c r="R322" s="2">
        <v>0.39200000000000002</v>
      </c>
    </row>
    <row r="323" spans="1:18" x14ac:dyDescent="0.2">
      <c r="A323" t="s">
        <v>68</v>
      </c>
      <c r="B323" s="2">
        <v>40</v>
      </c>
      <c r="C323" t="s">
        <v>41</v>
      </c>
      <c r="D323" s="2" t="s">
        <v>49</v>
      </c>
      <c r="E323" s="2">
        <v>23</v>
      </c>
      <c r="F323" s="2">
        <v>806</v>
      </c>
      <c r="G323" s="2">
        <v>0.58499999999999996</v>
      </c>
      <c r="H323" s="2">
        <v>32.1</v>
      </c>
      <c r="I323" s="2">
        <v>29.8</v>
      </c>
      <c r="J323" s="18">
        <v>2.2340425531914891</v>
      </c>
      <c r="K323" s="2">
        <v>-0.6</v>
      </c>
      <c r="L323" s="2">
        <v>0.5</v>
      </c>
      <c r="M323" s="2">
        <v>13</v>
      </c>
      <c r="N323" s="2">
        <v>21.2</v>
      </c>
      <c r="O323" s="2">
        <v>1.2</v>
      </c>
      <c r="P323" s="2">
        <v>9.5000000000000001E-2</v>
      </c>
      <c r="Q323" s="2">
        <v>0.55300000000000005</v>
      </c>
      <c r="R323" s="2">
        <v>0.25900000000000001</v>
      </c>
    </row>
    <row r="324" spans="1:18" x14ac:dyDescent="0.2">
      <c r="A324" t="s">
        <v>500</v>
      </c>
      <c r="B324" s="2">
        <v>24</v>
      </c>
      <c r="C324" t="s">
        <v>122</v>
      </c>
      <c r="D324" s="2" t="s">
        <v>52</v>
      </c>
      <c r="E324" s="2">
        <v>4</v>
      </c>
      <c r="F324" s="2">
        <v>17</v>
      </c>
      <c r="G324" s="2">
        <v>0.53300000000000003</v>
      </c>
      <c r="H324" s="2">
        <v>26.4</v>
      </c>
      <c r="I324" s="2">
        <v>32.200000000000003</v>
      </c>
      <c r="J324" s="18">
        <v>0.25</v>
      </c>
      <c r="K324" s="2">
        <v>-6.6</v>
      </c>
      <c r="L324" s="2">
        <v>0</v>
      </c>
      <c r="M324" s="2">
        <v>0</v>
      </c>
      <c r="N324" s="2">
        <v>8.6999999999999993</v>
      </c>
      <c r="O324" s="2">
        <v>0</v>
      </c>
      <c r="P324" s="2">
        <v>-0.184</v>
      </c>
      <c r="Q324" s="2">
        <v>0.5</v>
      </c>
      <c r="R324" s="2">
        <v>0.125</v>
      </c>
    </row>
    <row r="325" spans="1:18" x14ac:dyDescent="0.2">
      <c r="A325" t="s">
        <v>520</v>
      </c>
      <c r="B325" s="2">
        <v>25</v>
      </c>
      <c r="C325" t="s">
        <v>35</v>
      </c>
      <c r="D325" s="2" t="s">
        <v>42</v>
      </c>
      <c r="E325" s="2">
        <v>5</v>
      </c>
      <c r="F325" s="2">
        <v>20</v>
      </c>
      <c r="G325" s="2">
        <v>0.52500000000000002</v>
      </c>
      <c r="H325" s="2">
        <v>12.2</v>
      </c>
      <c r="I325" s="2">
        <v>10.5</v>
      </c>
      <c r="J325" s="18" t="e">
        <v>#DIV/0!</v>
      </c>
      <c r="K325" s="2">
        <v>-3.1</v>
      </c>
      <c r="L325" s="2">
        <v>0</v>
      </c>
      <c r="M325" s="2">
        <v>5.7</v>
      </c>
      <c r="N325" s="2">
        <v>6.9</v>
      </c>
      <c r="O325" s="2">
        <v>0</v>
      </c>
      <c r="P325" s="2">
        <v>5.7000000000000002E-2</v>
      </c>
      <c r="Q325" s="2">
        <v>0.66700000000000004</v>
      </c>
      <c r="R325" s="2">
        <v>1.333</v>
      </c>
    </row>
    <row r="326" spans="1:18" x14ac:dyDescent="0.2">
      <c r="A326" t="s">
        <v>319</v>
      </c>
      <c r="B326" s="2">
        <v>27</v>
      </c>
      <c r="C326" t="s">
        <v>100</v>
      </c>
      <c r="D326" s="2" t="s">
        <v>52</v>
      </c>
      <c r="E326" s="2">
        <v>20</v>
      </c>
      <c r="F326" s="2">
        <v>356</v>
      </c>
      <c r="G326" s="2">
        <v>0.51700000000000002</v>
      </c>
      <c r="H326" s="2">
        <v>15.4</v>
      </c>
      <c r="I326" s="2">
        <v>13.8</v>
      </c>
      <c r="J326" s="18">
        <v>3.375</v>
      </c>
      <c r="K326" s="2">
        <v>0.6</v>
      </c>
      <c r="L326" s="2">
        <v>0.5</v>
      </c>
      <c r="M326" s="2">
        <v>6</v>
      </c>
      <c r="N326" s="2">
        <v>9.1</v>
      </c>
      <c r="O326" s="2">
        <v>0</v>
      </c>
      <c r="P326" s="2">
        <v>0.09</v>
      </c>
      <c r="Q326" s="2">
        <v>0.50900000000000001</v>
      </c>
      <c r="R326" s="2">
        <v>4.5999999999999999E-2</v>
      </c>
    </row>
    <row r="327" spans="1:18" x14ac:dyDescent="0.2">
      <c r="A327" t="s">
        <v>421</v>
      </c>
      <c r="B327" s="2">
        <v>27</v>
      </c>
      <c r="C327" t="s">
        <v>70</v>
      </c>
      <c r="D327" s="2" t="s">
        <v>33</v>
      </c>
      <c r="E327" s="2">
        <v>8</v>
      </c>
      <c r="F327" s="2">
        <v>134</v>
      </c>
      <c r="G327" s="2">
        <v>0.51300000000000001</v>
      </c>
      <c r="H327" s="2">
        <v>13.4</v>
      </c>
      <c r="I327" s="2">
        <v>13.4</v>
      </c>
      <c r="J327" s="18">
        <v>5.4</v>
      </c>
      <c r="K327" s="2">
        <v>2.6</v>
      </c>
      <c r="L327" s="2">
        <v>0.1</v>
      </c>
      <c r="M327" s="2">
        <v>6</v>
      </c>
      <c r="N327" s="2">
        <v>13.4</v>
      </c>
      <c r="O327" s="2">
        <v>0.1</v>
      </c>
      <c r="P327" s="2">
        <v>9.4E-2</v>
      </c>
      <c r="Q327" s="2">
        <v>0.51300000000000001</v>
      </c>
      <c r="R327" s="2">
        <v>0</v>
      </c>
    </row>
    <row r="328" spans="1:18" x14ac:dyDescent="0.2">
      <c r="A328" t="s">
        <v>204</v>
      </c>
      <c r="B328" s="2">
        <v>25</v>
      </c>
      <c r="C328" t="s">
        <v>32</v>
      </c>
      <c r="D328" s="2" t="s">
        <v>49</v>
      </c>
      <c r="E328" s="2">
        <v>24</v>
      </c>
      <c r="F328" s="2">
        <v>705</v>
      </c>
      <c r="G328" s="2">
        <v>0.56200000000000006</v>
      </c>
      <c r="H328" s="2">
        <v>16.2</v>
      </c>
      <c r="I328" s="2">
        <v>13.5</v>
      </c>
      <c r="J328" s="18">
        <v>3.1428571428571428</v>
      </c>
      <c r="K328" s="2">
        <v>1.1000000000000001</v>
      </c>
      <c r="L328" s="2">
        <v>1.3</v>
      </c>
      <c r="M328" s="2">
        <v>5.7</v>
      </c>
      <c r="N328" s="2">
        <v>12.2</v>
      </c>
      <c r="O328" s="2">
        <v>0.4</v>
      </c>
      <c r="P328" s="2">
        <v>0.15</v>
      </c>
      <c r="Q328" s="2">
        <v>0.53800000000000003</v>
      </c>
      <c r="R328" s="2">
        <v>0.14599999999999999</v>
      </c>
    </row>
    <row r="329" spans="1:18" x14ac:dyDescent="0.2">
      <c r="A329" t="s">
        <v>67</v>
      </c>
      <c r="B329" s="2">
        <v>25</v>
      </c>
      <c r="C329" t="s">
        <v>63</v>
      </c>
      <c r="D329" s="2" t="s">
        <v>33</v>
      </c>
      <c r="E329" s="2">
        <v>19</v>
      </c>
      <c r="F329" s="2">
        <v>701</v>
      </c>
      <c r="G329" s="2">
        <v>0.56499999999999995</v>
      </c>
      <c r="H329" s="2">
        <v>36.6</v>
      </c>
      <c r="I329" s="2">
        <v>32.4</v>
      </c>
      <c r="J329" s="18">
        <v>2.2727272727272729</v>
      </c>
      <c r="K329" s="2">
        <v>1</v>
      </c>
      <c r="L329" s="2">
        <v>1.1000000000000001</v>
      </c>
      <c r="M329" s="2">
        <v>5.7</v>
      </c>
      <c r="N329" s="2">
        <v>23</v>
      </c>
      <c r="O329" s="2">
        <v>1.4</v>
      </c>
      <c r="P329" s="2">
        <v>0.17399999999999999</v>
      </c>
      <c r="Q329" s="2">
        <v>0.52400000000000002</v>
      </c>
      <c r="R329" s="2">
        <v>0.308</v>
      </c>
    </row>
    <row r="330" spans="1:18" x14ac:dyDescent="0.2">
      <c r="A330" t="s">
        <v>448</v>
      </c>
      <c r="B330" s="2">
        <v>26</v>
      </c>
      <c r="C330" t="s">
        <v>51</v>
      </c>
      <c r="D330" s="2" t="s">
        <v>42</v>
      </c>
      <c r="E330" s="2">
        <v>7</v>
      </c>
      <c r="F330" s="2">
        <v>33</v>
      </c>
      <c r="G330" s="2">
        <v>0.57399999999999995</v>
      </c>
      <c r="H330" s="2">
        <v>38.799999999999997</v>
      </c>
      <c r="I330" s="2">
        <v>32.799999999999997</v>
      </c>
      <c r="J330" s="18">
        <v>0</v>
      </c>
      <c r="K330" s="2">
        <v>-2.5</v>
      </c>
      <c r="L330" s="2">
        <v>0</v>
      </c>
      <c r="M330" s="2">
        <v>9.1</v>
      </c>
      <c r="N330" s="2">
        <v>21.1</v>
      </c>
      <c r="O330" s="2">
        <v>0</v>
      </c>
      <c r="P330" s="2">
        <v>0.09</v>
      </c>
      <c r="Q330" s="2">
        <v>0.57499999999999996</v>
      </c>
      <c r="R330" s="2">
        <v>0.3</v>
      </c>
    </row>
    <row r="331" spans="1:18" x14ac:dyDescent="0.2">
      <c r="A331" t="s">
        <v>346</v>
      </c>
      <c r="B331" s="2">
        <v>28</v>
      </c>
      <c r="C331" t="s">
        <v>80</v>
      </c>
      <c r="D331" s="2" t="s">
        <v>52</v>
      </c>
      <c r="E331" s="2">
        <v>14</v>
      </c>
      <c r="F331" s="2">
        <v>276</v>
      </c>
      <c r="G331" s="2">
        <v>0.60099999999999998</v>
      </c>
      <c r="H331" s="2">
        <v>15.6</v>
      </c>
      <c r="I331" s="2">
        <v>12.8</v>
      </c>
      <c r="J331" s="18">
        <v>4.0999999999999996</v>
      </c>
      <c r="K331" s="2">
        <v>0.3</v>
      </c>
      <c r="L331" s="2">
        <v>0.3</v>
      </c>
      <c r="M331" s="2">
        <v>5.4</v>
      </c>
      <c r="N331" s="2">
        <v>12.5</v>
      </c>
      <c r="O331" s="2">
        <v>0.2</v>
      </c>
      <c r="P331" s="2">
        <v>0.14000000000000001</v>
      </c>
      <c r="Q331" s="2">
        <v>0.57599999999999996</v>
      </c>
      <c r="R331" s="2">
        <v>0.19400000000000001</v>
      </c>
    </row>
    <row r="332" spans="1:18" x14ac:dyDescent="0.2">
      <c r="A332" t="s">
        <v>350</v>
      </c>
      <c r="B332" s="2">
        <v>29</v>
      </c>
      <c r="C332" t="s">
        <v>39</v>
      </c>
      <c r="D332" s="2" t="s">
        <v>42</v>
      </c>
      <c r="E332" s="2">
        <v>19</v>
      </c>
      <c r="F332" s="2">
        <v>320</v>
      </c>
      <c r="G332" s="2">
        <v>0.71399999999999997</v>
      </c>
      <c r="H332" s="2">
        <v>14.1</v>
      </c>
      <c r="I332" s="2">
        <v>9.8000000000000007</v>
      </c>
      <c r="J332" s="18">
        <v>3.5</v>
      </c>
      <c r="K332" s="2">
        <v>2.6</v>
      </c>
      <c r="L332" s="2">
        <v>0.5</v>
      </c>
      <c r="M332" s="2">
        <v>11</v>
      </c>
      <c r="N332" s="2">
        <v>18.600000000000001</v>
      </c>
      <c r="O332" s="2">
        <v>0.5</v>
      </c>
      <c r="P332" s="2">
        <v>0.24099999999999999</v>
      </c>
      <c r="Q332" s="2">
        <v>0.66</v>
      </c>
      <c r="R332" s="2">
        <v>0.49099999999999999</v>
      </c>
    </row>
    <row r="333" spans="1:18" x14ac:dyDescent="0.2">
      <c r="A333" t="s">
        <v>504</v>
      </c>
      <c r="B333" s="2">
        <v>23</v>
      </c>
      <c r="C333" t="s">
        <v>57</v>
      </c>
      <c r="D333" s="2" t="s">
        <v>52</v>
      </c>
      <c r="E333" s="2">
        <v>6</v>
      </c>
      <c r="F333" s="2">
        <v>42</v>
      </c>
      <c r="G333" s="2">
        <v>0.50800000000000001</v>
      </c>
      <c r="H333" s="2">
        <v>9.1</v>
      </c>
      <c r="I333" s="2">
        <v>10.199999999999999</v>
      </c>
      <c r="J333" s="18">
        <v>2.5</v>
      </c>
      <c r="K333" s="2">
        <v>-0.5</v>
      </c>
      <c r="L333" s="2">
        <v>0</v>
      </c>
      <c r="M333" s="2">
        <v>9.1</v>
      </c>
      <c r="N333" s="2">
        <v>8</v>
      </c>
      <c r="O333" s="2">
        <v>0</v>
      </c>
      <c r="P333" s="2">
        <v>6.4000000000000001E-2</v>
      </c>
      <c r="Q333" s="2">
        <v>0.42899999999999999</v>
      </c>
      <c r="R333" s="2">
        <v>0.28599999999999998</v>
      </c>
    </row>
    <row r="334" spans="1:18" x14ac:dyDescent="0.2">
      <c r="A334" t="s">
        <v>563</v>
      </c>
      <c r="B334" s="2">
        <v>26</v>
      </c>
      <c r="C334" t="s">
        <v>48</v>
      </c>
      <c r="D334" s="2" t="s">
        <v>52</v>
      </c>
      <c r="E334" s="2">
        <v>1</v>
      </c>
      <c r="F334" s="2">
        <v>5</v>
      </c>
      <c r="G334" s="2">
        <v>0</v>
      </c>
      <c r="H334" s="2">
        <v>0</v>
      </c>
      <c r="I334" s="2">
        <v>0</v>
      </c>
      <c r="J334" s="18" t="e">
        <v>#DIV/0!</v>
      </c>
      <c r="K334" s="2">
        <v>3.9</v>
      </c>
      <c r="L334" s="2">
        <v>0</v>
      </c>
      <c r="M334" s="2">
        <v>9.1</v>
      </c>
      <c r="N334" s="2">
        <v>14.6</v>
      </c>
      <c r="O334" s="2">
        <v>0</v>
      </c>
      <c r="P334" s="2">
        <v>0.224</v>
      </c>
      <c r="Q334" s="2">
        <v>0</v>
      </c>
      <c r="R334" s="2">
        <v>0</v>
      </c>
    </row>
    <row r="335" spans="1:18" x14ac:dyDescent="0.2">
      <c r="A335" t="s">
        <v>314</v>
      </c>
      <c r="B335" s="2">
        <v>21</v>
      </c>
      <c r="C335" t="s">
        <v>93</v>
      </c>
      <c r="D335" s="2" t="s">
        <v>52</v>
      </c>
      <c r="E335" s="2">
        <v>18</v>
      </c>
      <c r="F335" s="2">
        <v>233</v>
      </c>
      <c r="G335" s="2">
        <v>0.57299999999999995</v>
      </c>
      <c r="H335" s="2">
        <v>25</v>
      </c>
      <c r="I335" s="2">
        <v>23.4</v>
      </c>
      <c r="J335" s="18">
        <v>0.91304347826086951</v>
      </c>
      <c r="K335" s="2">
        <v>-1.5</v>
      </c>
      <c r="L335" s="2">
        <v>0.1</v>
      </c>
      <c r="M335" s="2">
        <v>15.4</v>
      </c>
      <c r="N335" s="2">
        <v>11.1</v>
      </c>
      <c r="O335" s="2">
        <v>-0.1</v>
      </c>
      <c r="P335" s="2">
        <v>0</v>
      </c>
      <c r="Q335" s="2">
        <v>0.53600000000000003</v>
      </c>
      <c r="R335" s="2">
        <v>0.20799999999999999</v>
      </c>
    </row>
    <row r="336" spans="1:18" x14ac:dyDescent="0.2">
      <c r="A336" t="s">
        <v>310</v>
      </c>
      <c r="B336" s="2">
        <v>32</v>
      </c>
      <c r="C336" t="s">
        <v>114</v>
      </c>
      <c r="D336" s="2" t="s">
        <v>33</v>
      </c>
      <c r="E336" s="2">
        <v>9</v>
      </c>
      <c r="F336" s="2">
        <v>214</v>
      </c>
      <c r="G336" s="2">
        <v>0.59</v>
      </c>
      <c r="H336" s="2">
        <v>27.1</v>
      </c>
      <c r="I336" s="2">
        <v>23</v>
      </c>
      <c r="J336" s="18">
        <v>1.6428571428571428</v>
      </c>
      <c r="K336" s="2">
        <v>-1.3</v>
      </c>
      <c r="L336" s="2">
        <v>0</v>
      </c>
      <c r="M336" s="2">
        <v>8.9</v>
      </c>
      <c r="N336" s="2">
        <v>16.2</v>
      </c>
      <c r="O336" s="2">
        <v>0.1</v>
      </c>
      <c r="P336" s="2">
        <v>0.06</v>
      </c>
      <c r="Q336" s="2">
        <v>0.53300000000000003</v>
      </c>
      <c r="R336" s="2">
        <v>0.35199999999999998</v>
      </c>
    </row>
    <row r="337" spans="1:18" x14ac:dyDescent="0.2">
      <c r="A337" t="s">
        <v>547</v>
      </c>
      <c r="B337" s="2">
        <v>25</v>
      </c>
      <c r="C337" t="s">
        <v>32</v>
      </c>
      <c r="D337" s="2" t="s">
        <v>49</v>
      </c>
      <c r="E337" s="2">
        <v>6</v>
      </c>
      <c r="F337" s="2">
        <v>21</v>
      </c>
      <c r="G337" s="2">
        <v>0.26600000000000001</v>
      </c>
      <c r="H337" s="2">
        <v>4.5999999999999996</v>
      </c>
      <c r="I337" s="2">
        <v>9.6</v>
      </c>
      <c r="J337" s="18">
        <v>1</v>
      </c>
      <c r="K337" s="2">
        <v>-1.9</v>
      </c>
      <c r="L337" s="2">
        <v>0</v>
      </c>
      <c r="M337" s="2">
        <v>5.7</v>
      </c>
      <c r="N337" s="2">
        <v>-2.2999999999999998</v>
      </c>
      <c r="O337" s="2">
        <v>-0.1</v>
      </c>
      <c r="P337" s="2">
        <v>-4.4999999999999998E-2</v>
      </c>
      <c r="Q337" s="2">
        <v>0</v>
      </c>
      <c r="R337" s="2">
        <v>2</v>
      </c>
    </row>
    <row r="338" spans="1:18" x14ac:dyDescent="0.2">
      <c r="A338" t="s">
        <v>115</v>
      </c>
      <c r="B338" s="2">
        <v>28</v>
      </c>
      <c r="C338" t="s">
        <v>75</v>
      </c>
      <c r="D338" s="2" t="s">
        <v>52</v>
      </c>
      <c r="E338" s="2">
        <v>26</v>
      </c>
      <c r="F338" s="2">
        <v>727</v>
      </c>
      <c r="G338" s="2">
        <v>0.58399999999999996</v>
      </c>
      <c r="H338" s="2">
        <v>27.2</v>
      </c>
      <c r="I338" s="2">
        <v>22</v>
      </c>
      <c r="J338" s="18">
        <v>1.75</v>
      </c>
      <c r="K338" s="2">
        <v>-1.5</v>
      </c>
      <c r="L338" s="2">
        <v>0.4</v>
      </c>
      <c r="M338" s="2">
        <v>5.4</v>
      </c>
      <c r="N338" s="2">
        <v>14.4</v>
      </c>
      <c r="O338" s="2">
        <v>0.4</v>
      </c>
      <c r="P338" s="2">
        <v>8.8999999999999996E-2</v>
      </c>
      <c r="Q338" s="2">
        <v>0.57299999999999995</v>
      </c>
      <c r="R338" s="2">
        <v>0.109</v>
      </c>
    </row>
    <row r="339" spans="1:18" x14ac:dyDescent="0.2">
      <c r="A339" t="s">
        <v>156</v>
      </c>
      <c r="B339" s="2">
        <v>26</v>
      </c>
      <c r="C339" t="s">
        <v>37</v>
      </c>
      <c r="D339" s="2" t="s">
        <v>52</v>
      </c>
      <c r="E339" s="2">
        <v>19</v>
      </c>
      <c r="F339" s="2">
        <v>545</v>
      </c>
      <c r="G339" s="2">
        <v>0.58199999999999996</v>
      </c>
      <c r="H339" s="2">
        <v>26.6</v>
      </c>
      <c r="I339" s="2">
        <v>22.2</v>
      </c>
      <c r="J339" s="18">
        <v>3.75</v>
      </c>
      <c r="K339" s="2">
        <v>-0.6</v>
      </c>
      <c r="L339" s="2">
        <v>0.4</v>
      </c>
      <c r="M339" s="2">
        <v>9.1</v>
      </c>
      <c r="N339" s="2">
        <v>17.3</v>
      </c>
      <c r="O339" s="2">
        <v>0.5</v>
      </c>
      <c r="P339" s="2">
        <v>0.14000000000000001</v>
      </c>
      <c r="Q339" s="2">
        <v>0.54700000000000004</v>
      </c>
      <c r="R339" s="2">
        <v>0.214</v>
      </c>
    </row>
    <row r="340" spans="1:18" x14ac:dyDescent="0.2">
      <c r="A340" t="s">
        <v>326</v>
      </c>
      <c r="B340" s="2">
        <v>24</v>
      </c>
      <c r="C340" t="s">
        <v>75</v>
      </c>
      <c r="D340" s="2" t="s">
        <v>33</v>
      </c>
      <c r="E340" s="2">
        <v>17</v>
      </c>
      <c r="F340" s="2">
        <v>227</v>
      </c>
      <c r="G340" s="2">
        <v>0.64200000000000002</v>
      </c>
      <c r="H340" s="2">
        <v>23.7</v>
      </c>
      <c r="I340" s="2">
        <v>18.600000000000001</v>
      </c>
      <c r="J340" s="18">
        <v>2.1538461538461537</v>
      </c>
      <c r="K340" s="2">
        <v>1.1000000000000001</v>
      </c>
      <c r="L340" s="2">
        <v>0.2</v>
      </c>
      <c r="M340" s="2">
        <v>0</v>
      </c>
      <c r="N340" s="2">
        <v>17.600000000000001</v>
      </c>
      <c r="O340" s="2">
        <v>0.2</v>
      </c>
      <c r="P340" s="2">
        <v>0.14099999999999999</v>
      </c>
      <c r="Q340" s="2">
        <v>0.627</v>
      </c>
      <c r="R340" s="2">
        <v>7.1999999999999995E-2</v>
      </c>
    </row>
    <row r="341" spans="1:18" x14ac:dyDescent="0.2">
      <c r="A341" t="s">
        <v>291</v>
      </c>
      <c r="B341" s="2">
        <v>30</v>
      </c>
      <c r="C341" t="s">
        <v>80</v>
      </c>
      <c r="D341" s="2" t="s">
        <v>33</v>
      </c>
      <c r="E341" s="2">
        <v>15</v>
      </c>
      <c r="F341" s="2">
        <v>320</v>
      </c>
      <c r="G341" s="2">
        <v>0.52400000000000002</v>
      </c>
      <c r="H341" s="2">
        <v>20.7</v>
      </c>
      <c r="I341" s="2">
        <v>21.2</v>
      </c>
      <c r="J341" s="18">
        <v>1.90625</v>
      </c>
      <c r="K341" s="2">
        <v>0.9</v>
      </c>
      <c r="L341" s="2">
        <v>0.5</v>
      </c>
      <c r="M341" s="2">
        <v>7.9</v>
      </c>
      <c r="N341" s="2">
        <v>13.2</v>
      </c>
      <c r="O341" s="2">
        <v>0.2</v>
      </c>
      <c r="P341" s="2">
        <v>8.7999999999999995E-2</v>
      </c>
      <c r="Q341" s="2">
        <v>0.47099999999999997</v>
      </c>
      <c r="R341" s="2">
        <v>0.28699999999999998</v>
      </c>
    </row>
    <row r="342" spans="1:18" x14ac:dyDescent="0.2">
      <c r="A342" t="s">
        <v>474</v>
      </c>
      <c r="B342" s="2">
        <v>24</v>
      </c>
      <c r="C342" t="s">
        <v>35</v>
      </c>
      <c r="D342" s="2" t="s">
        <v>49</v>
      </c>
      <c r="E342" s="2">
        <v>11</v>
      </c>
      <c r="F342" s="2">
        <v>35</v>
      </c>
      <c r="G342" s="2">
        <v>0.50700000000000001</v>
      </c>
      <c r="H342" s="2">
        <v>25.1</v>
      </c>
      <c r="I342" s="2">
        <v>31.3</v>
      </c>
      <c r="J342" s="18">
        <v>0.14285714285714285</v>
      </c>
      <c r="K342" s="2">
        <v>-3.1</v>
      </c>
      <c r="L342" s="2">
        <v>0</v>
      </c>
      <c r="M342" s="2">
        <v>0</v>
      </c>
      <c r="N342" s="2">
        <v>4.9000000000000004</v>
      </c>
      <c r="O342" s="2">
        <v>-0.1</v>
      </c>
      <c r="P342" s="2">
        <v>-0.17899999999999999</v>
      </c>
      <c r="Q342" s="2">
        <v>0.438</v>
      </c>
      <c r="R342" s="2">
        <v>0.25</v>
      </c>
    </row>
    <row r="343" spans="1:18" x14ac:dyDescent="0.2">
      <c r="A343" t="s">
        <v>460</v>
      </c>
      <c r="B343" s="2">
        <v>23</v>
      </c>
      <c r="C343" t="s">
        <v>59</v>
      </c>
      <c r="D343" s="2" t="s">
        <v>42</v>
      </c>
      <c r="E343" s="2">
        <v>3</v>
      </c>
      <c r="F343" s="2">
        <v>30</v>
      </c>
      <c r="G343" s="2">
        <v>0.64</v>
      </c>
      <c r="H343" s="2">
        <v>36.299999999999997</v>
      </c>
      <c r="I343" s="2">
        <v>27.2</v>
      </c>
      <c r="J343" s="18">
        <v>1.5</v>
      </c>
      <c r="K343" s="2">
        <v>-0.1</v>
      </c>
      <c r="L343" s="2">
        <v>0</v>
      </c>
      <c r="M343" s="2">
        <v>9.1</v>
      </c>
      <c r="N343" s="2">
        <v>31.8</v>
      </c>
      <c r="O343" s="2">
        <v>0.1</v>
      </c>
      <c r="P343" s="2">
        <v>0.26300000000000001</v>
      </c>
      <c r="Q343" s="2">
        <v>0.6</v>
      </c>
      <c r="R343" s="2">
        <v>0.33300000000000002</v>
      </c>
    </row>
    <row r="344" spans="1:18" x14ac:dyDescent="0.2">
      <c r="A344" t="s">
        <v>518</v>
      </c>
      <c r="B344" s="2">
        <v>35</v>
      </c>
      <c r="C344" t="s">
        <v>63</v>
      </c>
      <c r="D344" s="2" t="s">
        <v>27</v>
      </c>
      <c r="E344" s="2">
        <v>3</v>
      </c>
      <c r="F344" s="2">
        <v>18</v>
      </c>
      <c r="G344" s="2">
        <v>0.27800000000000002</v>
      </c>
      <c r="H344" s="2">
        <v>13.4</v>
      </c>
      <c r="I344" s="2">
        <v>25.8</v>
      </c>
      <c r="J344" s="18">
        <v>1</v>
      </c>
      <c r="K344" s="2">
        <v>-2</v>
      </c>
      <c r="L344" s="2">
        <v>0</v>
      </c>
      <c r="M344" s="2">
        <v>6.3</v>
      </c>
      <c r="N344" s="2">
        <v>-0.5</v>
      </c>
      <c r="O344" s="2">
        <v>0</v>
      </c>
      <c r="P344" s="2">
        <v>-0.23400000000000001</v>
      </c>
      <c r="Q344" s="2">
        <v>0.27800000000000002</v>
      </c>
      <c r="R344" s="2">
        <v>0</v>
      </c>
    </row>
    <row r="345" spans="1:18" x14ac:dyDescent="0.2">
      <c r="A345" t="s">
        <v>366</v>
      </c>
      <c r="B345" s="2">
        <v>25</v>
      </c>
      <c r="C345" t="s">
        <v>114</v>
      </c>
      <c r="D345" s="2" t="s">
        <v>42</v>
      </c>
      <c r="E345" s="2">
        <v>16</v>
      </c>
      <c r="F345" s="2">
        <v>135</v>
      </c>
      <c r="G345" s="2">
        <v>0.57699999999999996</v>
      </c>
      <c r="H345" s="2">
        <v>27</v>
      </c>
      <c r="I345" s="2">
        <v>23.7</v>
      </c>
      <c r="J345" s="18">
        <v>0.6</v>
      </c>
      <c r="K345" s="2">
        <v>-2.4</v>
      </c>
      <c r="L345" s="2">
        <v>0.1</v>
      </c>
      <c r="M345" s="2">
        <v>5.7</v>
      </c>
      <c r="N345" s="2">
        <v>20</v>
      </c>
      <c r="O345" s="2">
        <v>0</v>
      </c>
      <c r="P345" s="2">
        <v>6.5000000000000002E-2</v>
      </c>
      <c r="Q345" s="2">
        <v>0.55700000000000005</v>
      </c>
      <c r="R345" s="2">
        <v>0.246</v>
      </c>
    </row>
    <row r="346" spans="1:18" x14ac:dyDescent="0.2">
      <c r="A346" t="s">
        <v>561</v>
      </c>
      <c r="B346" s="2">
        <v>26</v>
      </c>
      <c r="C346" t="s">
        <v>37</v>
      </c>
      <c r="D346" s="2" t="s">
        <v>52</v>
      </c>
      <c r="E346" s="2">
        <v>3</v>
      </c>
      <c r="F346" s="2">
        <v>13</v>
      </c>
      <c r="G346" s="2">
        <v>0</v>
      </c>
      <c r="H346" s="2">
        <v>0</v>
      </c>
      <c r="I346" s="2">
        <v>6.6</v>
      </c>
      <c r="J346" s="18" t="e">
        <v>#DIV/0!</v>
      </c>
      <c r="K346" s="2">
        <v>1.2</v>
      </c>
      <c r="L346" s="2">
        <v>0</v>
      </c>
      <c r="M346" s="2">
        <v>9.1</v>
      </c>
      <c r="N346" s="2">
        <v>14.9</v>
      </c>
      <c r="O346" s="2">
        <v>0</v>
      </c>
      <c r="P346" s="2">
        <v>0.14699999999999999</v>
      </c>
      <c r="Q346" s="2">
        <v>0</v>
      </c>
      <c r="R346" s="2">
        <v>0</v>
      </c>
    </row>
    <row r="347" spans="1:18" x14ac:dyDescent="0.2">
      <c r="A347" t="s">
        <v>335</v>
      </c>
      <c r="B347" s="2">
        <v>34</v>
      </c>
      <c r="C347" t="s">
        <v>54</v>
      </c>
      <c r="D347" s="2" t="s">
        <v>42</v>
      </c>
      <c r="E347" s="2">
        <v>22</v>
      </c>
      <c r="F347" s="2">
        <v>397</v>
      </c>
      <c r="G347" s="2">
        <v>0.57099999999999995</v>
      </c>
      <c r="H347" s="2">
        <v>12.5</v>
      </c>
      <c r="I347" s="2">
        <v>12.1</v>
      </c>
      <c r="J347" s="18">
        <v>1.85</v>
      </c>
      <c r="K347" s="2">
        <v>0.8</v>
      </c>
      <c r="L347" s="2">
        <v>0.5</v>
      </c>
      <c r="M347" s="2">
        <v>6.7</v>
      </c>
      <c r="N347" s="2">
        <v>13.3</v>
      </c>
      <c r="O347" s="2">
        <v>0</v>
      </c>
      <c r="P347" s="2">
        <v>0.107</v>
      </c>
      <c r="Q347" s="2">
        <v>0.55700000000000005</v>
      </c>
      <c r="R347" s="2">
        <v>0.6</v>
      </c>
    </row>
    <row r="348" spans="1:18" x14ac:dyDescent="0.2">
      <c r="A348" t="s">
        <v>304</v>
      </c>
      <c r="B348" s="2">
        <v>20</v>
      </c>
      <c r="C348" t="s">
        <v>70</v>
      </c>
      <c r="D348" s="2" t="s">
        <v>49</v>
      </c>
      <c r="E348" s="2">
        <v>24</v>
      </c>
      <c r="F348" s="2">
        <v>304</v>
      </c>
      <c r="G348" s="2">
        <v>0.53100000000000003</v>
      </c>
      <c r="H348" s="2">
        <v>19.399999999999999</v>
      </c>
      <c r="I348" s="2">
        <v>18.899999999999999</v>
      </c>
      <c r="J348" s="18">
        <v>0.52941176470588236</v>
      </c>
      <c r="K348" s="2">
        <v>-1.3</v>
      </c>
      <c r="L348" s="2">
        <v>0.2</v>
      </c>
      <c r="M348" s="2">
        <v>10</v>
      </c>
      <c r="N348" s="2">
        <v>10.199999999999999</v>
      </c>
      <c r="O348" s="2">
        <v>-0.3</v>
      </c>
      <c r="P348" s="2">
        <v>7.0000000000000001E-3</v>
      </c>
      <c r="Q348" s="2">
        <v>0.495</v>
      </c>
      <c r="R348" s="2">
        <v>0.218</v>
      </c>
    </row>
    <row r="349" spans="1:18" x14ac:dyDescent="0.2">
      <c r="A349" t="s">
        <v>495</v>
      </c>
      <c r="B349" s="2">
        <v>27</v>
      </c>
      <c r="C349" t="s">
        <v>44</v>
      </c>
      <c r="D349" s="2" t="s">
        <v>49</v>
      </c>
      <c r="E349" s="2">
        <v>8</v>
      </c>
      <c r="F349" s="2">
        <v>41</v>
      </c>
      <c r="G349" s="2">
        <v>0.34399999999999997</v>
      </c>
      <c r="H349" s="2">
        <v>13.3</v>
      </c>
      <c r="I349" s="2">
        <v>20.5</v>
      </c>
      <c r="J349" s="18">
        <v>0</v>
      </c>
      <c r="K349" s="2">
        <v>-5.8</v>
      </c>
      <c r="L349" s="2">
        <v>0</v>
      </c>
      <c r="M349" s="2">
        <v>6</v>
      </c>
      <c r="N349" s="2">
        <v>-4</v>
      </c>
      <c r="O349" s="2">
        <v>-0.1</v>
      </c>
      <c r="P349" s="2">
        <v>-0.23400000000000001</v>
      </c>
      <c r="Q349" s="2">
        <v>0.34399999999999997</v>
      </c>
      <c r="R349" s="2">
        <v>0</v>
      </c>
    </row>
    <row r="350" spans="1:18" x14ac:dyDescent="0.2">
      <c r="A350" t="s">
        <v>302</v>
      </c>
      <c r="B350" s="2">
        <v>21</v>
      </c>
      <c r="C350" t="s">
        <v>41</v>
      </c>
      <c r="D350" s="2" t="s">
        <v>52</v>
      </c>
      <c r="E350" s="2">
        <v>23</v>
      </c>
      <c r="F350" s="2">
        <v>442</v>
      </c>
      <c r="G350" s="2">
        <v>0.54500000000000004</v>
      </c>
      <c r="H350" s="2">
        <v>14.6</v>
      </c>
      <c r="I350" s="2">
        <v>13.5</v>
      </c>
      <c r="J350" s="18">
        <v>1.9333333333333333</v>
      </c>
      <c r="K350" s="2">
        <v>-0.4</v>
      </c>
      <c r="L350" s="2">
        <v>0.2</v>
      </c>
      <c r="M350" s="2">
        <v>15.4</v>
      </c>
      <c r="N350" s="2">
        <v>10.199999999999999</v>
      </c>
      <c r="O350" s="2">
        <v>-0.1</v>
      </c>
      <c r="P350" s="2">
        <v>4.9000000000000002E-2</v>
      </c>
      <c r="Q350" s="2">
        <v>0.47599999999999998</v>
      </c>
      <c r="R350" s="2">
        <v>0.39800000000000002</v>
      </c>
    </row>
    <row r="351" spans="1:18" x14ac:dyDescent="0.2">
      <c r="A351" t="s">
        <v>453</v>
      </c>
      <c r="B351" s="2">
        <v>33</v>
      </c>
      <c r="C351" t="s">
        <v>63</v>
      </c>
      <c r="D351" s="2" t="s">
        <v>27</v>
      </c>
      <c r="E351" s="2">
        <v>14</v>
      </c>
      <c r="F351" s="2">
        <v>238</v>
      </c>
      <c r="G351" s="2">
        <v>0.41899999999999998</v>
      </c>
      <c r="H351" s="2">
        <v>4.9000000000000004</v>
      </c>
      <c r="I351" s="2">
        <v>6.9</v>
      </c>
      <c r="J351" s="18">
        <v>0.8</v>
      </c>
      <c r="K351" s="2">
        <v>0</v>
      </c>
      <c r="L351" s="2">
        <v>0.2</v>
      </c>
      <c r="M351" s="2">
        <v>6.9</v>
      </c>
      <c r="N351" s="2">
        <v>2.4</v>
      </c>
      <c r="O351" s="2">
        <v>-0.3</v>
      </c>
      <c r="P351" s="2">
        <v>2E-3</v>
      </c>
      <c r="Q351" s="2">
        <v>0.38500000000000001</v>
      </c>
      <c r="R351" s="2">
        <v>0.23100000000000001</v>
      </c>
    </row>
    <row r="352" spans="1:18" x14ac:dyDescent="0.2">
      <c r="A352" t="s">
        <v>529</v>
      </c>
      <c r="B352" s="2">
        <v>22</v>
      </c>
      <c r="C352" t="s">
        <v>41</v>
      </c>
      <c r="D352" s="2" t="s">
        <v>49</v>
      </c>
      <c r="E352" s="2">
        <v>7</v>
      </c>
      <c r="F352" s="2">
        <v>29</v>
      </c>
      <c r="G352" s="2">
        <v>0.33300000000000002</v>
      </c>
      <c r="H352" s="2">
        <v>6.8</v>
      </c>
      <c r="I352" s="2">
        <v>12.1</v>
      </c>
      <c r="J352" s="18">
        <v>1</v>
      </c>
      <c r="K352" s="2">
        <v>-3.6</v>
      </c>
      <c r="L352" s="2">
        <v>0</v>
      </c>
      <c r="M352" s="2">
        <v>7.6</v>
      </c>
      <c r="N352" s="2">
        <v>2.2999999999999998</v>
      </c>
      <c r="O352" s="2">
        <v>-0.1</v>
      </c>
      <c r="P352" s="2">
        <v>-0.105</v>
      </c>
      <c r="Q352" s="2">
        <v>0.33300000000000002</v>
      </c>
      <c r="R352" s="2">
        <v>0</v>
      </c>
    </row>
    <row r="353" spans="1:18" x14ac:dyDescent="0.2">
      <c r="A353" t="s">
        <v>468</v>
      </c>
      <c r="B353" s="2">
        <v>26</v>
      </c>
      <c r="C353" t="s">
        <v>120</v>
      </c>
      <c r="D353" s="2" t="s">
        <v>42</v>
      </c>
      <c r="E353" s="2">
        <v>5</v>
      </c>
      <c r="F353" s="2">
        <v>101</v>
      </c>
      <c r="G353" s="2">
        <v>0.52600000000000002</v>
      </c>
      <c r="H353" s="2">
        <v>9.6</v>
      </c>
      <c r="I353" s="2">
        <v>10</v>
      </c>
      <c r="J353" s="18">
        <v>1</v>
      </c>
      <c r="K353" s="2">
        <v>-1.3</v>
      </c>
      <c r="L353" s="2">
        <v>0</v>
      </c>
      <c r="M353" s="2">
        <v>9.1</v>
      </c>
      <c r="N353" s="2">
        <v>9.4</v>
      </c>
      <c r="O353" s="2">
        <v>0</v>
      </c>
      <c r="P353" s="2">
        <v>3.1E-2</v>
      </c>
      <c r="Q353" s="2">
        <v>0.52600000000000002</v>
      </c>
      <c r="R353" s="2">
        <v>0</v>
      </c>
    </row>
    <row r="354" spans="1:18" x14ac:dyDescent="0.2">
      <c r="A354" t="s">
        <v>109</v>
      </c>
      <c r="B354" s="2">
        <v>26</v>
      </c>
      <c r="C354" t="s">
        <v>46</v>
      </c>
      <c r="D354" s="2" t="s">
        <v>49</v>
      </c>
      <c r="E354" s="2">
        <v>22</v>
      </c>
      <c r="F354" s="2">
        <v>784</v>
      </c>
      <c r="G354" s="2">
        <v>0.60499999999999998</v>
      </c>
      <c r="H354" s="2">
        <v>25.3</v>
      </c>
      <c r="I354" s="2">
        <v>20.100000000000001</v>
      </c>
      <c r="J354" s="18">
        <v>2.1724137931034484</v>
      </c>
      <c r="K354" s="2">
        <v>-1.3</v>
      </c>
      <c r="L354" s="2">
        <v>0.6</v>
      </c>
      <c r="M354" s="2">
        <v>9.1</v>
      </c>
      <c r="N354" s="2">
        <v>16.2</v>
      </c>
      <c r="O354" s="2">
        <v>0.4</v>
      </c>
      <c r="P354" s="2">
        <v>0.11600000000000001</v>
      </c>
      <c r="Q354" s="2">
        <v>0.59299999999999997</v>
      </c>
      <c r="R354" s="2">
        <v>0.161</v>
      </c>
    </row>
    <row r="355" spans="1:18" x14ac:dyDescent="0.2">
      <c r="A355" t="s">
        <v>105</v>
      </c>
      <c r="B355" s="2">
        <v>28</v>
      </c>
      <c r="C355" t="s">
        <v>44</v>
      </c>
      <c r="D355" s="2" t="s">
        <v>49</v>
      </c>
      <c r="E355" s="2">
        <v>25</v>
      </c>
      <c r="F355" s="2">
        <v>958</v>
      </c>
      <c r="G355" s="2">
        <v>0.56299999999999994</v>
      </c>
      <c r="H355" s="2">
        <v>22</v>
      </c>
      <c r="I355" s="2">
        <v>19.100000000000001</v>
      </c>
      <c r="J355" s="18">
        <v>2.1842105263157894</v>
      </c>
      <c r="K355" s="2">
        <v>-1.5</v>
      </c>
      <c r="L355" s="2">
        <v>0.5</v>
      </c>
      <c r="M355" s="2">
        <v>5.4</v>
      </c>
      <c r="N355" s="2">
        <v>13</v>
      </c>
      <c r="O355" s="2">
        <v>0.1</v>
      </c>
      <c r="P355" s="2">
        <v>6.5000000000000002E-2</v>
      </c>
      <c r="Q355" s="2">
        <v>0.56000000000000005</v>
      </c>
      <c r="R355" s="2">
        <v>5.7000000000000002E-2</v>
      </c>
    </row>
    <row r="356" spans="1:18" x14ac:dyDescent="0.2">
      <c r="A356" t="s">
        <v>258</v>
      </c>
      <c r="B356" s="2">
        <v>37</v>
      </c>
      <c r="C356" t="s">
        <v>51</v>
      </c>
      <c r="D356" s="2" t="s">
        <v>33</v>
      </c>
      <c r="E356" s="2">
        <v>19</v>
      </c>
      <c r="F356" s="2">
        <v>485</v>
      </c>
      <c r="G356" s="2">
        <v>0.53900000000000003</v>
      </c>
      <c r="H356" s="2">
        <v>17.5</v>
      </c>
      <c r="I356" s="2">
        <v>16.899999999999999</v>
      </c>
      <c r="J356" s="18">
        <v>3.1111111111111112</v>
      </c>
      <c r="K356" s="2">
        <v>2</v>
      </c>
      <c r="L356" s="2">
        <v>0.8</v>
      </c>
      <c r="M356" s="2">
        <v>11.6</v>
      </c>
      <c r="N356" s="2">
        <v>13.4</v>
      </c>
      <c r="O356" s="2">
        <v>0.3</v>
      </c>
      <c r="P356" s="2">
        <v>0.128</v>
      </c>
      <c r="Q356" s="2">
        <v>0.49299999999999999</v>
      </c>
      <c r="R356" s="2">
        <v>0.21199999999999999</v>
      </c>
    </row>
    <row r="357" spans="1:18" x14ac:dyDescent="0.2">
      <c r="A357" t="s">
        <v>252</v>
      </c>
      <c r="B357" s="2">
        <v>26</v>
      </c>
      <c r="C357" t="s">
        <v>59</v>
      </c>
      <c r="D357" s="2" t="s">
        <v>27</v>
      </c>
      <c r="E357" s="2">
        <v>11</v>
      </c>
      <c r="F357" s="2">
        <v>331</v>
      </c>
      <c r="G357" s="2">
        <v>0.54800000000000004</v>
      </c>
      <c r="H357" s="2">
        <v>26.4</v>
      </c>
      <c r="I357" s="2">
        <v>22.5</v>
      </c>
      <c r="J357" s="18">
        <v>2.2000000000000002</v>
      </c>
      <c r="K357" s="2">
        <v>-0.8</v>
      </c>
      <c r="L357" s="2">
        <v>0.3</v>
      </c>
      <c r="M357" s="2">
        <v>9.1</v>
      </c>
      <c r="N357" s="2">
        <v>15.9</v>
      </c>
      <c r="O357" s="2">
        <v>0.2</v>
      </c>
      <c r="P357" s="2">
        <v>0.10199999999999999</v>
      </c>
      <c r="Q357" s="2">
        <v>0.50700000000000001</v>
      </c>
      <c r="R357" s="2">
        <v>0.22600000000000001</v>
      </c>
    </row>
    <row r="358" spans="1:18" x14ac:dyDescent="0.2">
      <c r="A358" t="s">
        <v>220</v>
      </c>
      <c r="B358" s="2">
        <v>24</v>
      </c>
      <c r="C358" t="s">
        <v>44</v>
      </c>
      <c r="D358" s="2" t="s">
        <v>33</v>
      </c>
      <c r="E358" s="2">
        <v>20</v>
      </c>
      <c r="F358" s="2">
        <v>508</v>
      </c>
      <c r="G358" s="2">
        <v>0.6</v>
      </c>
      <c r="H358" s="2">
        <v>20.7</v>
      </c>
      <c r="I358" s="2">
        <v>17.2</v>
      </c>
      <c r="J358" s="18">
        <v>2.7142857142857144</v>
      </c>
      <c r="K358" s="2">
        <v>-0.3</v>
      </c>
      <c r="L358" s="2">
        <v>0.3</v>
      </c>
      <c r="M358" s="2">
        <v>0</v>
      </c>
      <c r="N358" s="2">
        <v>13.6</v>
      </c>
      <c r="O358" s="2">
        <v>0.3</v>
      </c>
      <c r="P358" s="2">
        <v>0.105</v>
      </c>
      <c r="Q358" s="2">
        <v>0.57499999999999996</v>
      </c>
      <c r="R358" s="2">
        <v>0.14499999999999999</v>
      </c>
    </row>
    <row r="359" spans="1:18" x14ac:dyDescent="0.2">
      <c r="A359" t="s">
        <v>405</v>
      </c>
      <c r="B359" s="2">
        <v>26</v>
      </c>
      <c r="C359" t="s">
        <v>77</v>
      </c>
      <c r="D359" s="2" t="s">
        <v>42</v>
      </c>
      <c r="E359" s="2">
        <v>10</v>
      </c>
      <c r="F359" s="2">
        <v>136</v>
      </c>
      <c r="G359" s="2">
        <v>0.52200000000000002</v>
      </c>
      <c r="H359" s="2">
        <v>17.7</v>
      </c>
      <c r="I359" s="2">
        <v>17.100000000000001</v>
      </c>
      <c r="J359" s="18">
        <v>1.1428571428571428</v>
      </c>
      <c r="K359" s="2">
        <v>3.2</v>
      </c>
      <c r="L359" s="2">
        <v>0.3</v>
      </c>
      <c r="M359" s="2">
        <v>9.1</v>
      </c>
      <c r="N359" s="2">
        <v>14.3</v>
      </c>
      <c r="O359" s="2">
        <v>0</v>
      </c>
      <c r="P359" s="2">
        <v>0.115</v>
      </c>
      <c r="Q359" s="2">
        <v>0.5</v>
      </c>
      <c r="R359" s="2">
        <v>0.20899999999999999</v>
      </c>
    </row>
    <row r="360" spans="1:18" x14ac:dyDescent="0.2">
      <c r="A360" t="s">
        <v>341</v>
      </c>
      <c r="B360" s="2">
        <v>29</v>
      </c>
      <c r="C360" t="s">
        <v>54</v>
      </c>
      <c r="D360" s="2" t="s">
        <v>33</v>
      </c>
      <c r="E360" s="2">
        <v>18</v>
      </c>
      <c r="F360" s="2">
        <v>214</v>
      </c>
      <c r="G360" s="2">
        <v>0.59699999999999998</v>
      </c>
      <c r="H360" s="2">
        <v>22.5</v>
      </c>
      <c r="I360" s="2">
        <v>18.600000000000001</v>
      </c>
      <c r="J360" s="18">
        <v>3.75</v>
      </c>
      <c r="K360" s="2">
        <v>-0.1</v>
      </c>
      <c r="L360" s="2">
        <v>0.1</v>
      </c>
      <c r="M360" s="2">
        <v>11</v>
      </c>
      <c r="N360" s="2">
        <v>16</v>
      </c>
      <c r="O360" s="2">
        <v>0.2</v>
      </c>
      <c r="P360" s="2">
        <v>0.122</v>
      </c>
      <c r="Q360" s="2">
        <v>0.56000000000000005</v>
      </c>
      <c r="R360" s="2">
        <v>0.21299999999999999</v>
      </c>
    </row>
    <row r="361" spans="1:18" x14ac:dyDescent="0.2">
      <c r="A361" t="s">
        <v>136</v>
      </c>
      <c r="B361" s="2">
        <v>27</v>
      </c>
      <c r="C361" t="s">
        <v>48</v>
      </c>
      <c r="D361" s="2" t="s">
        <v>42</v>
      </c>
      <c r="E361" s="4">
        <v>27</v>
      </c>
      <c r="F361" s="2">
        <v>518</v>
      </c>
      <c r="G361" s="2">
        <v>0.64</v>
      </c>
      <c r="H361" s="2">
        <v>32.799999999999997</v>
      </c>
      <c r="I361" s="2">
        <v>26.1</v>
      </c>
      <c r="J361" s="18">
        <v>0.88636363636363635</v>
      </c>
      <c r="K361" s="2">
        <v>1.2</v>
      </c>
      <c r="L361" s="2">
        <v>1</v>
      </c>
      <c r="M361" s="2">
        <v>6</v>
      </c>
      <c r="N361" s="2">
        <v>22.1</v>
      </c>
      <c r="O361" s="2">
        <v>0.7</v>
      </c>
      <c r="P361" s="2">
        <v>0.188</v>
      </c>
      <c r="Q361" s="2">
        <v>0.60599999999999998</v>
      </c>
      <c r="R361" s="2">
        <v>0.41899999999999998</v>
      </c>
    </row>
    <row r="362" spans="1:18" x14ac:dyDescent="0.2">
      <c r="A362" t="s">
        <v>444</v>
      </c>
      <c r="B362" s="2">
        <v>25</v>
      </c>
      <c r="C362" t="s">
        <v>82</v>
      </c>
      <c r="D362" s="2" t="s">
        <v>42</v>
      </c>
      <c r="E362" s="2">
        <v>9</v>
      </c>
      <c r="F362" s="2">
        <v>46</v>
      </c>
      <c r="G362" s="2">
        <v>0.65300000000000002</v>
      </c>
      <c r="H362" s="2">
        <v>30.2</v>
      </c>
      <c r="I362" s="2">
        <v>26.6</v>
      </c>
      <c r="J362" s="18">
        <v>0</v>
      </c>
      <c r="K362" s="2">
        <v>-2.2000000000000002</v>
      </c>
      <c r="L362" s="2">
        <v>0</v>
      </c>
      <c r="M362" s="2">
        <v>5.7</v>
      </c>
      <c r="N362" s="2">
        <v>16.600000000000001</v>
      </c>
      <c r="O362" s="2">
        <v>0</v>
      </c>
      <c r="P362" s="2">
        <v>8.0000000000000002E-3</v>
      </c>
      <c r="Q362" s="2">
        <v>0.65</v>
      </c>
      <c r="R362" s="2">
        <v>0.25</v>
      </c>
    </row>
    <row r="363" spans="1:18" x14ac:dyDescent="0.2">
      <c r="A363" t="s">
        <v>260</v>
      </c>
      <c r="B363" s="2">
        <v>22</v>
      </c>
      <c r="C363" t="s">
        <v>100</v>
      </c>
      <c r="D363" s="2" t="s">
        <v>52</v>
      </c>
      <c r="E363" s="2">
        <v>23</v>
      </c>
      <c r="F363" s="2">
        <v>358</v>
      </c>
      <c r="G363" s="2">
        <v>0.55700000000000005</v>
      </c>
      <c r="H363" s="2">
        <v>22.9</v>
      </c>
      <c r="I363" s="2">
        <v>19.899999999999999</v>
      </c>
      <c r="J363" s="18">
        <v>1.1111111111111112</v>
      </c>
      <c r="K363" s="2">
        <v>-1.1000000000000001</v>
      </c>
      <c r="L363" s="2">
        <v>0.4</v>
      </c>
      <c r="M363" s="2">
        <v>7.6</v>
      </c>
      <c r="N363" s="2">
        <v>10.7</v>
      </c>
      <c r="O363" s="2">
        <v>-0.1</v>
      </c>
      <c r="P363" s="2">
        <v>7.1999999999999995E-2</v>
      </c>
      <c r="Q363" s="2">
        <v>0.52900000000000003</v>
      </c>
      <c r="R363" s="2">
        <v>0.254</v>
      </c>
    </row>
    <row r="364" spans="1:18" x14ac:dyDescent="0.2">
      <c r="A364" t="s">
        <v>545</v>
      </c>
      <c r="B364" s="2">
        <v>22</v>
      </c>
      <c r="C364" t="s">
        <v>72</v>
      </c>
      <c r="D364" s="2" t="s">
        <v>27</v>
      </c>
      <c r="E364" s="2">
        <v>2</v>
      </c>
      <c r="F364" s="2">
        <v>11</v>
      </c>
      <c r="G364" s="2">
        <v>0.25</v>
      </c>
      <c r="H364" s="2">
        <v>8.4</v>
      </c>
      <c r="I364" s="2">
        <v>18.3</v>
      </c>
      <c r="J364" s="18">
        <v>0</v>
      </c>
      <c r="K364" s="2">
        <v>-4.5</v>
      </c>
      <c r="L364" s="2">
        <v>0</v>
      </c>
      <c r="M364" s="2">
        <v>7.6</v>
      </c>
      <c r="N364" s="2">
        <v>-5.7</v>
      </c>
      <c r="O364" s="2">
        <v>0</v>
      </c>
      <c r="P364" s="2">
        <v>-0.26500000000000001</v>
      </c>
      <c r="Q364" s="2">
        <v>0.25</v>
      </c>
      <c r="R364" s="2">
        <v>0</v>
      </c>
    </row>
    <row r="365" spans="1:18" x14ac:dyDescent="0.2">
      <c r="A365" t="s">
        <v>377</v>
      </c>
      <c r="B365" s="2">
        <v>23</v>
      </c>
      <c r="C365" t="s">
        <v>59</v>
      </c>
      <c r="D365" s="2" t="s">
        <v>42</v>
      </c>
      <c r="E365" s="2">
        <v>22</v>
      </c>
      <c r="F365" s="2">
        <v>439</v>
      </c>
      <c r="G365" s="2">
        <v>0.53400000000000003</v>
      </c>
      <c r="H365" s="2">
        <v>7.8</v>
      </c>
      <c r="I365" s="2">
        <v>8.3000000000000007</v>
      </c>
      <c r="J365" s="18">
        <v>0.76190476190476186</v>
      </c>
      <c r="K365" s="2">
        <v>0.1</v>
      </c>
      <c r="L365" s="2">
        <v>0.6</v>
      </c>
      <c r="M365" s="2">
        <v>9.1</v>
      </c>
      <c r="N365" s="2">
        <v>13.5</v>
      </c>
      <c r="O365" s="2">
        <v>-0.1</v>
      </c>
      <c r="P365" s="2">
        <v>0.10100000000000001</v>
      </c>
      <c r="Q365" s="2">
        <v>0.55200000000000005</v>
      </c>
      <c r="R365" s="2">
        <v>0.25900000000000001</v>
      </c>
    </row>
    <row r="366" spans="1:18" x14ac:dyDescent="0.2">
      <c r="A366" t="s">
        <v>129</v>
      </c>
      <c r="B366" s="2">
        <v>28</v>
      </c>
      <c r="C366" t="s">
        <v>82</v>
      </c>
      <c r="D366" s="2" t="s">
        <v>42</v>
      </c>
      <c r="E366" s="2">
        <v>23</v>
      </c>
      <c r="F366" s="2">
        <v>734</v>
      </c>
      <c r="G366" s="2">
        <v>0.59</v>
      </c>
      <c r="H366" s="2">
        <v>22.9</v>
      </c>
      <c r="I366" s="2">
        <v>21.1</v>
      </c>
      <c r="J366" s="18">
        <v>0.6166666666666667</v>
      </c>
      <c r="K366" s="2">
        <v>-0.5</v>
      </c>
      <c r="L366" s="2">
        <v>0.7</v>
      </c>
      <c r="M366" s="2">
        <v>5.4</v>
      </c>
      <c r="N366" s="2">
        <v>13.7</v>
      </c>
      <c r="O366" s="2">
        <v>-0.1</v>
      </c>
      <c r="P366" s="2">
        <v>3.4000000000000002E-2</v>
      </c>
      <c r="Q366" s="2">
        <v>0.56499999999999995</v>
      </c>
      <c r="R366" s="2">
        <v>0.25</v>
      </c>
    </row>
    <row r="367" spans="1:18" x14ac:dyDescent="0.2">
      <c r="A367" t="s">
        <v>189</v>
      </c>
      <c r="B367" s="2">
        <v>27</v>
      </c>
      <c r="C367" t="s">
        <v>63</v>
      </c>
      <c r="D367" s="2" t="s">
        <v>49</v>
      </c>
      <c r="E367" s="2">
        <v>21</v>
      </c>
      <c r="F367" s="2">
        <v>511</v>
      </c>
      <c r="G367" s="2">
        <v>0.629</v>
      </c>
      <c r="H367" s="2">
        <v>23.6</v>
      </c>
      <c r="I367" s="2">
        <v>19</v>
      </c>
      <c r="J367" s="18">
        <v>1.6129032258064515</v>
      </c>
      <c r="K367" s="2">
        <v>0</v>
      </c>
      <c r="L367" s="2">
        <v>0.5</v>
      </c>
      <c r="M367" s="2">
        <v>6</v>
      </c>
      <c r="N367" s="2">
        <v>16.100000000000001</v>
      </c>
      <c r="O367" s="2">
        <v>0.4</v>
      </c>
      <c r="P367" s="2">
        <v>0.13200000000000001</v>
      </c>
      <c r="Q367" s="2">
        <v>0.59599999999999997</v>
      </c>
      <c r="R367" s="2">
        <v>0.20899999999999999</v>
      </c>
    </row>
    <row r="368" spans="1:18" x14ac:dyDescent="0.2">
      <c r="A368" t="s">
        <v>162</v>
      </c>
      <c r="B368" s="2">
        <v>25</v>
      </c>
      <c r="C368" t="s">
        <v>51</v>
      </c>
      <c r="D368" s="2" t="s">
        <v>42</v>
      </c>
      <c r="E368" s="2">
        <v>23</v>
      </c>
      <c r="F368" s="2">
        <v>568</v>
      </c>
      <c r="G368" s="2">
        <v>0.59899999999999998</v>
      </c>
      <c r="H368" s="2">
        <v>25.3</v>
      </c>
      <c r="I368" s="2">
        <v>21</v>
      </c>
      <c r="J368" s="18">
        <v>1.3214285714285714</v>
      </c>
      <c r="K368" s="2">
        <v>1.5</v>
      </c>
      <c r="L368" s="2">
        <v>1</v>
      </c>
      <c r="M368" s="2">
        <v>5.7</v>
      </c>
      <c r="N368" s="2">
        <v>16.100000000000001</v>
      </c>
      <c r="O368" s="2">
        <v>0.5</v>
      </c>
      <c r="P368" s="2">
        <v>0.13900000000000001</v>
      </c>
      <c r="Q368" s="2">
        <v>0.56499999999999995</v>
      </c>
      <c r="R368" s="2">
        <v>0.20100000000000001</v>
      </c>
    </row>
    <row r="369" spans="1:18" x14ac:dyDescent="0.2">
      <c r="A369" t="s">
        <v>311</v>
      </c>
      <c r="B369" s="2">
        <v>25</v>
      </c>
      <c r="C369" t="s">
        <v>39</v>
      </c>
      <c r="D369" s="2" t="s">
        <v>42</v>
      </c>
      <c r="E369" s="2">
        <v>21</v>
      </c>
      <c r="F369" s="2">
        <v>375</v>
      </c>
      <c r="G369" s="2">
        <v>0.67</v>
      </c>
      <c r="H369" s="2">
        <v>16.2</v>
      </c>
      <c r="I369" s="2">
        <v>12.4</v>
      </c>
      <c r="J369" s="18">
        <v>1.0666666666666667</v>
      </c>
      <c r="K369" s="2">
        <v>0.9</v>
      </c>
      <c r="L369" s="2">
        <v>0.5</v>
      </c>
      <c r="M369" s="2">
        <v>5.7</v>
      </c>
      <c r="N369" s="2">
        <v>15.3</v>
      </c>
      <c r="O369" s="2">
        <v>0.1</v>
      </c>
      <c r="P369" s="2">
        <v>0.17100000000000001</v>
      </c>
      <c r="Q369" s="2">
        <v>0.64600000000000002</v>
      </c>
      <c r="R369" s="2">
        <v>0.29299999999999998</v>
      </c>
    </row>
    <row r="370" spans="1:18" x14ac:dyDescent="0.2">
      <c r="A370" t="s">
        <v>253</v>
      </c>
      <c r="B370" s="2">
        <v>25</v>
      </c>
      <c r="C370" t="s">
        <v>103</v>
      </c>
      <c r="D370" s="2" t="s">
        <v>42</v>
      </c>
      <c r="E370" s="2">
        <v>18</v>
      </c>
      <c r="F370" s="2">
        <v>455</v>
      </c>
      <c r="G370" s="2">
        <v>0.63700000000000001</v>
      </c>
      <c r="H370" s="2">
        <v>19.2</v>
      </c>
      <c r="I370" s="2">
        <v>15.8</v>
      </c>
      <c r="J370" s="18">
        <v>1.9090909090909092</v>
      </c>
      <c r="K370" s="2">
        <v>2</v>
      </c>
      <c r="L370" s="2">
        <v>0.5</v>
      </c>
      <c r="M370" s="2">
        <v>5.7</v>
      </c>
      <c r="N370" s="2">
        <v>18</v>
      </c>
      <c r="O370" s="2">
        <v>0.5</v>
      </c>
      <c r="P370" s="2">
        <v>0.14499999999999999</v>
      </c>
      <c r="Q370" s="2">
        <v>0.65400000000000003</v>
      </c>
      <c r="R370" s="2">
        <v>0.34200000000000003</v>
      </c>
    </row>
    <row r="371" spans="1:18" x14ac:dyDescent="0.2">
      <c r="A371" t="s">
        <v>334</v>
      </c>
      <c r="B371" s="2">
        <v>27</v>
      </c>
      <c r="C371" t="s">
        <v>59</v>
      </c>
      <c r="D371" s="2" t="s">
        <v>42</v>
      </c>
      <c r="E371" s="2">
        <v>9</v>
      </c>
      <c r="F371" s="2">
        <v>241</v>
      </c>
      <c r="G371" s="2">
        <v>0.66500000000000004</v>
      </c>
      <c r="H371" s="2">
        <v>21.4</v>
      </c>
      <c r="I371" s="2">
        <v>16.8</v>
      </c>
      <c r="J371" s="18">
        <v>0.94117647058823528</v>
      </c>
      <c r="K371" s="2">
        <v>0.7</v>
      </c>
      <c r="L371" s="2">
        <v>0.3</v>
      </c>
      <c r="M371" s="2">
        <v>6</v>
      </c>
      <c r="N371" s="2">
        <v>20</v>
      </c>
      <c r="O371" s="2">
        <v>0.1</v>
      </c>
      <c r="P371" s="2">
        <v>0.17100000000000001</v>
      </c>
      <c r="Q371" s="2">
        <v>0.621</v>
      </c>
      <c r="R371" s="2">
        <v>0.79300000000000004</v>
      </c>
    </row>
    <row r="372" spans="1:18" x14ac:dyDescent="0.2">
      <c r="A372" t="s">
        <v>420</v>
      </c>
      <c r="B372" s="2">
        <v>20</v>
      </c>
      <c r="C372" t="s">
        <v>59</v>
      </c>
      <c r="D372" s="2" t="s">
        <v>52</v>
      </c>
      <c r="E372" s="2">
        <v>13</v>
      </c>
      <c r="F372" s="2">
        <v>121</v>
      </c>
      <c r="G372" s="2">
        <v>0.41699999999999998</v>
      </c>
      <c r="H372" s="2">
        <v>16.399999999999999</v>
      </c>
      <c r="I372" s="2">
        <v>17.899999999999999</v>
      </c>
      <c r="J372" s="18">
        <v>3.3333333333333335</v>
      </c>
      <c r="K372" s="2">
        <v>-0.9</v>
      </c>
      <c r="L372" s="2">
        <v>0.1</v>
      </c>
      <c r="M372" s="2">
        <v>10</v>
      </c>
      <c r="N372" s="2">
        <v>6.5</v>
      </c>
      <c r="O372" s="2">
        <v>-0.1</v>
      </c>
      <c r="P372" s="2">
        <v>-1.6E-2</v>
      </c>
      <c r="Q372" s="2">
        <v>0.41699999999999998</v>
      </c>
      <c r="R372" s="2">
        <v>0</v>
      </c>
    </row>
    <row r="373" spans="1:18" x14ac:dyDescent="0.2">
      <c r="A373" t="s">
        <v>213</v>
      </c>
      <c r="B373" s="2">
        <v>26</v>
      </c>
      <c r="C373" t="s">
        <v>51</v>
      </c>
      <c r="D373" s="2" t="s">
        <v>52</v>
      </c>
      <c r="E373" s="2">
        <v>23</v>
      </c>
      <c r="F373" s="2">
        <v>553</v>
      </c>
      <c r="G373" s="2">
        <v>0.66</v>
      </c>
      <c r="H373" s="2">
        <v>19.8</v>
      </c>
      <c r="I373" s="2">
        <v>16.100000000000001</v>
      </c>
      <c r="J373" s="18">
        <v>1.7058823529411764</v>
      </c>
      <c r="K373" s="2">
        <v>1.2</v>
      </c>
      <c r="L373" s="2">
        <v>0.7</v>
      </c>
      <c r="M373" s="2">
        <v>9.1</v>
      </c>
      <c r="N373" s="2">
        <v>13.7</v>
      </c>
      <c r="O373" s="2">
        <v>0.5</v>
      </c>
      <c r="P373" s="2">
        <v>0.13100000000000001</v>
      </c>
      <c r="Q373" s="2">
        <v>0.64500000000000002</v>
      </c>
      <c r="R373" s="2">
        <v>0.19400000000000001</v>
      </c>
    </row>
    <row r="374" spans="1:18" x14ac:dyDescent="0.2">
      <c r="A374" t="s">
        <v>355</v>
      </c>
      <c r="B374" s="2">
        <v>36</v>
      </c>
      <c r="C374" t="s">
        <v>77</v>
      </c>
      <c r="D374" s="2" t="s">
        <v>27</v>
      </c>
      <c r="E374" s="2">
        <v>25</v>
      </c>
      <c r="F374" s="2">
        <v>449</v>
      </c>
      <c r="G374" s="2">
        <v>0.52</v>
      </c>
      <c r="H374" s="2">
        <v>9.8000000000000007</v>
      </c>
      <c r="I374" s="2">
        <v>9.1999999999999993</v>
      </c>
      <c r="J374" s="18">
        <v>3.8</v>
      </c>
      <c r="K374" s="2">
        <v>0.7</v>
      </c>
      <c r="L374" s="2">
        <v>0.5</v>
      </c>
      <c r="M374" s="2">
        <v>8.4</v>
      </c>
      <c r="N374" s="2">
        <v>8.5</v>
      </c>
      <c r="O374" s="2">
        <v>0.1</v>
      </c>
      <c r="P374" s="2">
        <v>9.0999999999999998E-2</v>
      </c>
      <c r="Q374" s="2">
        <v>0.50600000000000001</v>
      </c>
      <c r="R374" s="2">
        <v>9.8000000000000004E-2</v>
      </c>
    </row>
    <row r="375" spans="1:18" x14ac:dyDescent="0.2">
      <c r="A375" t="s">
        <v>45</v>
      </c>
      <c r="B375" s="2">
        <v>29</v>
      </c>
      <c r="C375" t="s">
        <v>46</v>
      </c>
      <c r="D375" s="2" t="s">
        <v>42</v>
      </c>
      <c r="E375" s="2">
        <v>19</v>
      </c>
      <c r="F375" s="2">
        <v>714</v>
      </c>
      <c r="G375" s="2">
        <v>0.64900000000000002</v>
      </c>
      <c r="H375" s="2">
        <v>40.799999999999997</v>
      </c>
      <c r="I375" s="2">
        <v>32</v>
      </c>
      <c r="J375" s="18">
        <v>2.7183098591549295</v>
      </c>
      <c r="K375" s="2">
        <v>2.9</v>
      </c>
      <c r="L375" s="2">
        <v>1</v>
      </c>
      <c r="M375" s="2">
        <v>11</v>
      </c>
      <c r="N375" s="4">
        <v>33.299999999999997</v>
      </c>
      <c r="O375" s="4">
        <v>2.8</v>
      </c>
      <c r="P375" s="4">
        <v>0.30299999999999999</v>
      </c>
      <c r="Q375" s="2">
        <v>0.61199999999999999</v>
      </c>
      <c r="R375" s="2">
        <v>0.313</v>
      </c>
    </row>
    <row r="376" spans="1:18" x14ac:dyDescent="0.2">
      <c r="A376" t="s">
        <v>312</v>
      </c>
      <c r="B376" s="2">
        <v>21</v>
      </c>
      <c r="C376" t="s">
        <v>61</v>
      </c>
      <c r="D376" s="2" t="s">
        <v>27</v>
      </c>
      <c r="E376" s="2">
        <v>15</v>
      </c>
      <c r="F376" s="2">
        <v>279</v>
      </c>
      <c r="G376" s="2">
        <v>0.58699999999999997</v>
      </c>
      <c r="H376" s="2">
        <v>21.7</v>
      </c>
      <c r="I376" s="2">
        <v>17.5</v>
      </c>
      <c r="J376" s="18">
        <v>2.375</v>
      </c>
      <c r="K376" s="2">
        <v>1.1000000000000001</v>
      </c>
      <c r="L376" s="2">
        <v>0.4</v>
      </c>
      <c r="M376" s="2">
        <v>15.4</v>
      </c>
      <c r="N376" s="2">
        <v>15.2</v>
      </c>
      <c r="O376" s="2">
        <v>0.2</v>
      </c>
      <c r="P376" s="2">
        <v>0.13700000000000001</v>
      </c>
      <c r="Q376" s="2">
        <v>0.55400000000000005</v>
      </c>
      <c r="R376" s="2">
        <v>0.29299999999999998</v>
      </c>
    </row>
    <row r="377" spans="1:18" x14ac:dyDescent="0.2">
      <c r="A377" t="s">
        <v>69</v>
      </c>
      <c r="B377" s="2">
        <v>34</v>
      </c>
      <c r="C377" t="s">
        <v>70</v>
      </c>
      <c r="D377" s="2" t="s">
        <v>42</v>
      </c>
      <c r="E377" s="2">
        <v>25</v>
      </c>
      <c r="F377" s="2">
        <v>793</v>
      </c>
      <c r="G377" s="2">
        <v>0.68600000000000005</v>
      </c>
      <c r="H377" s="2">
        <v>30.4</v>
      </c>
      <c r="I377" s="2">
        <v>22.5</v>
      </c>
      <c r="J377" s="18">
        <v>1.8</v>
      </c>
      <c r="K377" s="2">
        <v>-0.3</v>
      </c>
      <c r="L377" s="2">
        <v>0.6</v>
      </c>
      <c r="M377" s="2">
        <v>6.7</v>
      </c>
      <c r="N377" s="2">
        <v>22.8</v>
      </c>
      <c r="O377" s="2">
        <v>1.2</v>
      </c>
      <c r="P377" s="2">
        <v>0.17899999999999999</v>
      </c>
      <c r="Q377" s="2">
        <v>0.66400000000000003</v>
      </c>
      <c r="R377" s="2">
        <v>0.17100000000000001</v>
      </c>
    </row>
    <row r="378" spans="1:18" x14ac:dyDescent="0.2">
      <c r="A378" t="s">
        <v>320</v>
      </c>
      <c r="B378" s="2">
        <v>20</v>
      </c>
      <c r="C378" t="s">
        <v>103</v>
      </c>
      <c r="D378" s="2" t="s">
        <v>27</v>
      </c>
      <c r="E378" s="2">
        <v>15</v>
      </c>
      <c r="F378" s="2">
        <v>248</v>
      </c>
      <c r="G378" s="2">
        <v>0.54200000000000004</v>
      </c>
      <c r="H378" s="2">
        <v>22.5</v>
      </c>
      <c r="I378" s="2">
        <v>20.6</v>
      </c>
      <c r="J378" s="18">
        <v>0.90909090909090906</v>
      </c>
      <c r="K378" s="2">
        <v>-1.3</v>
      </c>
      <c r="L378" s="2">
        <v>0.2</v>
      </c>
      <c r="M378" s="2">
        <v>10</v>
      </c>
      <c r="N378" s="2">
        <v>11.5</v>
      </c>
      <c r="O378" s="2">
        <v>-0.1</v>
      </c>
      <c r="P378" s="2">
        <v>4.2000000000000003E-2</v>
      </c>
      <c r="Q378" s="2">
        <v>0.51600000000000001</v>
      </c>
      <c r="R378" s="2">
        <v>0.223</v>
      </c>
    </row>
    <row r="379" spans="1:18" x14ac:dyDescent="0.2">
      <c r="A379" t="s">
        <v>106</v>
      </c>
      <c r="B379" s="2">
        <v>31</v>
      </c>
      <c r="C379" t="s">
        <v>77</v>
      </c>
      <c r="D379" s="2" t="s">
        <v>52</v>
      </c>
      <c r="E379" s="2">
        <v>18</v>
      </c>
      <c r="F379" s="2">
        <v>586</v>
      </c>
      <c r="G379" s="2">
        <v>0.64200000000000002</v>
      </c>
      <c r="H379" s="2">
        <v>35.6</v>
      </c>
      <c r="I379" s="2">
        <v>27.1</v>
      </c>
      <c r="J379" s="18">
        <v>1.1842105263157894</v>
      </c>
      <c r="K379" s="2">
        <v>-0.6</v>
      </c>
      <c r="L379" s="2">
        <v>0.6</v>
      </c>
      <c r="M379" s="2">
        <v>14.4</v>
      </c>
      <c r="N379" s="2">
        <v>19.600000000000001</v>
      </c>
      <c r="O379" s="2">
        <v>0.9</v>
      </c>
      <c r="P379" s="2">
        <v>0.155</v>
      </c>
      <c r="Q379" s="2">
        <v>0.60799999999999998</v>
      </c>
      <c r="R379" s="2">
        <v>0.253</v>
      </c>
    </row>
    <row r="380" spans="1:18" x14ac:dyDescent="0.2">
      <c r="A380" t="s">
        <v>200</v>
      </c>
      <c r="B380" s="2">
        <v>26</v>
      </c>
      <c r="C380" t="s">
        <v>82</v>
      </c>
      <c r="D380" s="2" t="s">
        <v>27</v>
      </c>
      <c r="E380" s="2">
        <v>24</v>
      </c>
      <c r="F380" s="2">
        <v>483</v>
      </c>
      <c r="G380" s="2">
        <v>0.63400000000000001</v>
      </c>
      <c r="H380" s="2">
        <v>24</v>
      </c>
      <c r="I380" s="2">
        <v>18.7</v>
      </c>
      <c r="J380" s="18">
        <v>2.5294117647058822</v>
      </c>
      <c r="K380" s="2">
        <v>-0.8</v>
      </c>
      <c r="L380" s="2">
        <v>0.3</v>
      </c>
      <c r="M380" s="2">
        <v>9.1</v>
      </c>
      <c r="N380" s="2">
        <v>17.3</v>
      </c>
      <c r="O380" s="2">
        <v>0.4</v>
      </c>
      <c r="P380" s="2">
        <v>0.123</v>
      </c>
      <c r="Q380" s="2">
        <v>0.61099999999999999</v>
      </c>
      <c r="R380" s="2">
        <v>0.13900000000000001</v>
      </c>
    </row>
    <row r="381" spans="1:18" x14ac:dyDescent="0.2">
      <c r="A381" t="s">
        <v>159</v>
      </c>
      <c r="B381" s="2">
        <v>24</v>
      </c>
      <c r="C381" t="s">
        <v>66</v>
      </c>
      <c r="D381" s="2" t="s">
        <v>52</v>
      </c>
      <c r="E381" s="2">
        <v>26</v>
      </c>
      <c r="F381" s="2">
        <v>801</v>
      </c>
      <c r="G381" s="2">
        <v>0.63700000000000001</v>
      </c>
      <c r="H381" s="2">
        <v>17.7</v>
      </c>
      <c r="I381" s="2">
        <v>13.2</v>
      </c>
      <c r="J381" s="18">
        <v>2.2608695652173911</v>
      </c>
      <c r="K381" s="2">
        <v>0.2</v>
      </c>
      <c r="L381" s="2">
        <v>0.4</v>
      </c>
      <c r="M381" s="2">
        <v>0</v>
      </c>
      <c r="N381" s="2">
        <v>12.6</v>
      </c>
      <c r="O381" s="2">
        <v>0.4</v>
      </c>
      <c r="P381" s="2">
        <v>9.5000000000000001E-2</v>
      </c>
      <c r="Q381" s="2">
        <v>0.63100000000000001</v>
      </c>
      <c r="R381" s="2">
        <v>0.09</v>
      </c>
    </row>
    <row r="382" spans="1:18" x14ac:dyDescent="0.2">
      <c r="A382" t="s">
        <v>98</v>
      </c>
      <c r="B382" s="2">
        <v>27</v>
      </c>
      <c r="C382" t="s">
        <v>44</v>
      </c>
      <c r="D382" s="2" t="s">
        <v>27</v>
      </c>
      <c r="E382" s="2">
        <v>25</v>
      </c>
      <c r="F382" s="2">
        <v>920</v>
      </c>
      <c r="G382" s="2">
        <v>0.58599999999999997</v>
      </c>
      <c r="H382" s="2">
        <v>23.4</v>
      </c>
      <c r="I382" s="2">
        <v>19.399999999999999</v>
      </c>
      <c r="J382" s="18">
        <v>1.5151515151515151</v>
      </c>
      <c r="K382" s="2">
        <v>-0.2</v>
      </c>
      <c r="L382" s="2">
        <v>0.9</v>
      </c>
      <c r="M382" s="2">
        <v>6</v>
      </c>
      <c r="N382" s="2">
        <v>15.1</v>
      </c>
      <c r="O382" s="2">
        <v>0.4</v>
      </c>
      <c r="P382" s="2">
        <v>0.106</v>
      </c>
      <c r="Q382" s="2">
        <v>0.55900000000000005</v>
      </c>
      <c r="R382" s="2">
        <v>0.19400000000000001</v>
      </c>
    </row>
    <row r="383" spans="1:18" x14ac:dyDescent="0.2">
      <c r="A383" t="s">
        <v>442</v>
      </c>
      <c r="B383" s="2">
        <v>22</v>
      </c>
      <c r="C383" t="s">
        <v>63</v>
      </c>
      <c r="D383" s="2" t="s">
        <v>27</v>
      </c>
      <c r="E383" s="2">
        <v>15</v>
      </c>
      <c r="F383" s="2">
        <v>97</v>
      </c>
      <c r="G383" s="2">
        <v>0.45500000000000002</v>
      </c>
      <c r="H383" s="2">
        <v>14.9</v>
      </c>
      <c r="I383" s="2">
        <v>14.8</v>
      </c>
      <c r="J383" s="18">
        <v>4</v>
      </c>
      <c r="K383" s="2">
        <v>-1.1000000000000001</v>
      </c>
      <c r="L383" s="2">
        <v>0.1</v>
      </c>
      <c r="M383" s="2">
        <v>7.6</v>
      </c>
      <c r="N383" s="2">
        <v>12.1</v>
      </c>
      <c r="O383" s="2">
        <v>0</v>
      </c>
      <c r="P383" s="2">
        <v>0.1</v>
      </c>
      <c r="Q383" s="2">
        <v>0.43099999999999999</v>
      </c>
      <c r="R383" s="2">
        <v>0.31</v>
      </c>
    </row>
    <row r="384" spans="1:18" x14ac:dyDescent="0.2">
      <c r="A384" t="s">
        <v>179</v>
      </c>
      <c r="B384" s="2">
        <v>24</v>
      </c>
      <c r="C384" t="s">
        <v>72</v>
      </c>
      <c r="D384" s="2" t="s">
        <v>42</v>
      </c>
      <c r="E384" s="2">
        <v>24</v>
      </c>
      <c r="F384" s="2">
        <v>574</v>
      </c>
      <c r="G384" s="2">
        <v>0.60599999999999998</v>
      </c>
      <c r="H384" s="2">
        <v>22.2</v>
      </c>
      <c r="I384" s="2">
        <v>17.399999999999999</v>
      </c>
      <c r="J384" s="18">
        <v>1.6666666666666667</v>
      </c>
      <c r="K384" s="2">
        <v>-0.4</v>
      </c>
      <c r="L384" s="2">
        <v>0.5</v>
      </c>
      <c r="M384" s="2">
        <v>0</v>
      </c>
      <c r="N384" s="2">
        <v>17.7</v>
      </c>
      <c r="O384" s="2">
        <v>0.2</v>
      </c>
      <c r="P384" s="2">
        <v>0.14799999999999999</v>
      </c>
      <c r="Q384" s="2">
        <v>0.56599999999999995</v>
      </c>
      <c r="R384" s="2">
        <v>0.33300000000000002</v>
      </c>
    </row>
    <row r="385" spans="1:18" x14ac:dyDescent="0.2">
      <c r="A385" t="s">
        <v>491</v>
      </c>
      <c r="B385" s="2">
        <v>24</v>
      </c>
      <c r="C385" t="s">
        <v>37</v>
      </c>
      <c r="D385" s="2" t="s">
        <v>42</v>
      </c>
      <c r="E385" s="2">
        <v>6</v>
      </c>
      <c r="F385" s="2">
        <v>45</v>
      </c>
      <c r="G385" s="2">
        <v>0.51300000000000001</v>
      </c>
      <c r="H385" s="2">
        <v>15.1</v>
      </c>
      <c r="I385" s="2">
        <v>16</v>
      </c>
      <c r="J385" s="18">
        <v>2.3333333333333335</v>
      </c>
      <c r="K385" s="2">
        <v>1.1000000000000001</v>
      </c>
      <c r="L385" s="2">
        <v>0.1</v>
      </c>
      <c r="M385" s="2">
        <v>0</v>
      </c>
      <c r="N385" s="2">
        <v>12.1</v>
      </c>
      <c r="O385" s="2">
        <v>0</v>
      </c>
      <c r="P385" s="2">
        <v>0.08</v>
      </c>
      <c r="Q385" s="2">
        <v>0.5</v>
      </c>
      <c r="R385" s="2">
        <v>0.54500000000000004</v>
      </c>
    </row>
    <row r="386" spans="1:18" x14ac:dyDescent="0.2">
      <c r="A386" t="s">
        <v>541</v>
      </c>
      <c r="B386" s="2">
        <v>25</v>
      </c>
      <c r="C386" t="s">
        <v>120</v>
      </c>
      <c r="D386" s="2" t="s">
        <v>27</v>
      </c>
      <c r="E386" s="2">
        <v>1</v>
      </c>
      <c r="F386" s="2">
        <v>16</v>
      </c>
      <c r="G386" s="2">
        <v>0.85199999999999998</v>
      </c>
      <c r="H386" s="2">
        <v>9.1</v>
      </c>
      <c r="I386" s="2">
        <v>7.3</v>
      </c>
      <c r="J386" s="18">
        <v>0</v>
      </c>
      <c r="K386" s="2">
        <v>2.8</v>
      </c>
      <c r="L386" s="2">
        <v>0</v>
      </c>
      <c r="M386" s="2">
        <v>5.7</v>
      </c>
      <c r="N386" s="2">
        <v>18.100000000000001</v>
      </c>
      <c r="O386" s="2">
        <v>0</v>
      </c>
      <c r="P386" s="2">
        <v>0.20599999999999999</v>
      </c>
      <c r="Q386" s="2">
        <v>0</v>
      </c>
      <c r="R386" s="2">
        <v>0</v>
      </c>
    </row>
    <row r="387" spans="1:18" x14ac:dyDescent="0.2">
      <c r="A387" t="s">
        <v>365</v>
      </c>
      <c r="B387" s="2">
        <v>22</v>
      </c>
      <c r="C387" t="s">
        <v>54</v>
      </c>
      <c r="D387" s="2" t="s">
        <v>27</v>
      </c>
      <c r="E387" s="2">
        <v>18</v>
      </c>
      <c r="F387" s="2">
        <v>319</v>
      </c>
      <c r="G387" s="2">
        <v>0.63800000000000001</v>
      </c>
      <c r="H387" s="2">
        <v>12.3</v>
      </c>
      <c r="I387" s="2">
        <v>10.3</v>
      </c>
      <c r="J387" s="18">
        <v>1.5833333333333333</v>
      </c>
      <c r="K387" s="2">
        <v>0</v>
      </c>
      <c r="L387" s="2">
        <v>0.2</v>
      </c>
      <c r="M387" s="2">
        <v>7.6</v>
      </c>
      <c r="N387" s="2">
        <v>11.2</v>
      </c>
      <c r="O387" s="2">
        <v>0</v>
      </c>
      <c r="P387" s="2">
        <v>9.6000000000000002E-2</v>
      </c>
      <c r="Q387" s="2">
        <v>0.61399999999999999</v>
      </c>
      <c r="R387" s="2">
        <v>0.22800000000000001</v>
      </c>
    </row>
    <row r="388" spans="1:18" x14ac:dyDescent="0.2">
      <c r="A388" t="s">
        <v>395</v>
      </c>
      <c r="B388" s="2">
        <v>21</v>
      </c>
      <c r="C388" t="s">
        <v>32</v>
      </c>
      <c r="D388" s="2" t="s">
        <v>27</v>
      </c>
      <c r="E388" s="2">
        <v>16</v>
      </c>
      <c r="F388" s="2">
        <v>186</v>
      </c>
      <c r="G388" s="2">
        <v>0.439</v>
      </c>
      <c r="H388" s="2">
        <v>14.5</v>
      </c>
      <c r="I388" s="2">
        <v>15.5</v>
      </c>
      <c r="J388" s="18">
        <v>3.25</v>
      </c>
      <c r="K388" s="2">
        <v>1.8</v>
      </c>
      <c r="L388" s="2">
        <v>0.4</v>
      </c>
      <c r="M388" s="2">
        <v>15.4</v>
      </c>
      <c r="N388" s="2">
        <v>10.5</v>
      </c>
      <c r="O388" s="2">
        <v>0</v>
      </c>
      <c r="P388" s="2">
        <v>9.9000000000000005E-2</v>
      </c>
      <c r="Q388" s="2">
        <v>0.41499999999999998</v>
      </c>
      <c r="R388" s="2">
        <v>0.186</v>
      </c>
    </row>
    <row r="389" spans="1:18" x14ac:dyDescent="0.2">
      <c r="A389" t="s">
        <v>201</v>
      </c>
      <c r="B389" s="2">
        <v>26</v>
      </c>
      <c r="C389" t="s">
        <v>63</v>
      </c>
      <c r="D389" s="2" t="s">
        <v>27</v>
      </c>
      <c r="E389" s="2">
        <v>19</v>
      </c>
      <c r="F389" s="2">
        <v>619</v>
      </c>
      <c r="G389" s="2">
        <v>0.55500000000000005</v>
      </c>
      <c r="H389" s="2">
        <v>18.8</v>
      </c>
      <c r="I389" s="2">
        <v>16.899999999999999</v>
      </c>
      <c r="J389" s="18">
        <v>1.5161290322580645</v>
      </c>
      <c r="K389" s="2">
        <v>1.3</v>
      </c>
      <c r="L389" s="2">
        <v>1</v>
      </c>
      <c r="M389" s="2">
        <v>9.1</v>
      </c>
      <c r="N389" s="2">
        <v>14.6</v>
      </c>
      <c r="O389" s="2">
        <v>0.5</v>
      </c>
      <c r="P389" s="2">
        <v>0.115</v>
      </c>
      <c r="Q389" s="2">
        <v>0.52100000000000002</v>
      </c>
      <c r="R389" s="2">
        <v>0.25600000000000001</v>
      </c>
    </row>
    <row r="390" spans="1:18" x14ac:dyDescent="0.2">
      <c r="A390" t="s">
        <v>470</v>
      </c>
      <c r="B390" s="2">
        <v>19</v>
      </c>
      <c r="C390" t="s">
        <v>44</v>
      </c>
      <c r="D390" s="2" t="s">
        <v>52</v>
      </c>
      <c r="E390" s="2">
        <v>11</v>
      </c>
      <c r="F390" s="2">
        <v>77</v>
      </c>
      <c r="G390" s="2">
        <v>0.503</v>
      </c>
      <c r="H390" s="2">
        <v>12.2</v>
      </c>
      <c r="I390" s="2">
        <v>11.4</v>
      </c>
      <c r="J390" s="18">
        <v>5</v>
      </c>
      <c r="K390" s="2">
        <v>-0.8</v>
      </c>
      <c r="L390" s="2">
        <v>0.1</v>
      </c>
      <c r="M390" s="2">
        <v>12.4</v>
      </c>
      <c r="N390" s="2">
        <v>7.9</v>
      </c>
      <c r="O390" s="2">
        <v>0</v>
      </c>
      <c r="P390" s="2">
        <v>5.5E-2</v>
      </c>
      <c r="Q390" s="2">
        <v>0.47199999999999998</v>
      </c>
      <c r="R390" s="2">
        <v>0.111</v>
      </c>
    </row>
    <row r="391" spans="1:18" x14ac:dyDescent="0.2">
      <c r="A391" t="s">
        <v>286</v>
      </c>
      <c r="B391" s="2">
        <v>22</v>
      </c>
      <c r="C391" t="s">
        <v>48</v>
      </c>
      <c r="D391" s="2" t="s">
        <v>27</v>
      </c>
      <c r="E391" s="2">
        <v>5</v>
      </c>
      <c r="F391" s="2">
        <v>182</v>
      </c>
      <c r="G391" s="2">
        <v>0.59</v>
      </c>
      <c r="H391" s="2">
        <v>39.299999999999997</v>
      </c>
      <c r="I391" s="2">
        <v>31.8</v>
      </c>
      <c r="J391" s="18">
        <v>2.5454545454545454</v>
      </c>
      <c r="K391" s="2">
        <v>0.7</v>
      </c>
      <c r="L391" s="2">
        <v>0.3</v>
      </c>
      <c r="M391" s="2">
        <v>7.6</v>
      </c>
      <c r="N391" s="2">
        <v>25.3</v>
      </c>
      <c r="O391" s="2">
        <v>0.4</v>
      </c>
      <c r="P391" s="2">
        <v>0.22500000000000001</v>
      </c>
      <c r="Q391" s="2">
        <v>0.55200000000000005</v>
      </c>
      <c r="R391" s="2">
        <v>0.60799999999999998</v>
      </c>
    </row>
    <row r="392" spans="1:18" x14ac:dyDescent="0.2">
      <c r="A392" t="s">
        <v>81</v>
      </c>
      <c r="B392" s="2">
        <v>30</v>
      </c>
      <c r="C392" t="s">
        <v>82</v>
      </c>
      <c r="D392" s="2" t="s">
        <v>27</v>
      </c>
      <c r="E392" s="2">
        <v>25</v>
      </c>
      <c r="F392" s="2">
        <v>861</v>
      </c>
      <c r="G392" s="2">
        <v>0.61799999999999999</v>
      </c>
      <c r="H392" s="2">
        <v>27.5</v>
      </c>
      <c r="I392" s="2">
        <v>22</v>
      </c>
      <c r="J392" s="18">
        <v>2.3421052631578947</v>
      </c>
      <c r="K392" s="2">
        <v>-1.4</v>
      </c>
      <c r="L392" s="2">
        <v>0.4</v>
      </c>
      <c r="M392" s="2">
        <v>7.9</v>
      </c>
      <c r="N392" s="2">
        <v>18.3</v>
      </c>
      <c r="O392" s="2">
        <v>0.6</v>
      </c>
      <c r="P392" s="2">
        <v>0.13</v>
      </c>
      <c r="Q392" s="2">
        <v>0.58599999999999997</v>
      </c>
      <c r="R392" s="2">
        <v>0.247</v>
      </c>
    </row>
    <row r="393" spans="1:18" x14ac:dyDescent="0.2">
      <c r="A393" t="s">
        <v>373</v>
      </c>
      <c r="B393" s="2">
        <v>32</v>
      </c>
      <c r="C393" t="s">
        <v>35</v>
      </c>
      <c r="D393" s="2" t="s">
        <v>52</v>
      </c>
      <c r="E393" s="2">
        <v>15</v>
      </c>
      <c r="F393" s="2">
        <v>255</v>
      </c>
      <c r="G393" s="2">
        <v>0.49099999999999999</v>
      </c>
      <c r="H393" s="2">
        <v>14.2</v>
      </c>
      <c r="I393" s="2">
        <v>15</v>
      </c>
      <c r="J393" s="18">
        <v>2.3636363636363638</v>
      </c>
      <c r="K393" s="2">
        <v>-0.9</v>
      </c>
      <c r="L393" s="2">
        <v>0.2</v>
      </c>
      <c r="M393" s="2">
        <v>8.9</v>
      </c>
      <c r="N393" s="2">
        <v>8.6999999999999993</v>
      </c>
      <c r="O393" s="2">
        <v>-0.1</v>
      </c>
      <c r="P393" s="2">
        <v>3.3000000000000002E-2</v>
      </c>
      <c r="Q393" s="2">
        <v>0.46400000000000002</v>
      </c>
      <c r="R393" s="2">
        <v>0.17100000000000001</v>
      </c>
    </row>
    <row r="394" spans="1:18" x14ac:dyDescent="0.2">
      <c r="A394" t="s">
        <v>492</v>
      </c>
      <c r="B394" s="2">
        <v>28</v>
      </c>
      <c r="C394" t="s">
        <v>100</v>
      </c>
      <c r="D394" s="2" t="s">
        <v>33</v>
      </c>
      <c r="E394" s="2">
        <v>8</v>
      </c>
      <c r="F394" s="2">
        <v>44</v>
      </c>
      <c r="G394" s="2">
        <v>0.41499999999999998</v>
      </c>
      <c r="H394" s="2">
        <v>15.3</v>
      </c>
      <c r="I394" s="2">
        <v>19.7</v>
      </c>
      <c r="J394" s="18">
        <v>3</v>
      </c>
      <c r="K394" s="2">
        <v>4.9000000000000004</v>
      </c>
      <c r="L394" s="2">
        <v>0.1</v>
      </c>
      <c r="M394" s="2">
        <v>5.4</v>
      </c>
      <c r="N394" s="2">
        <v>15</v>
      </c>
      <c r="O394" s="2">
        <v>0.1</v>
      </c>
      <c r="P394" s="2">
        <v>9.6000000000000002E-2</v>
      </c>
      <c r="Q394" s="2">
        <v>0.375</v>
      </c>
      <c r="R394" s="2">
        <v>0.125</v>
      </c>
    </row>
    <row r="395" spans="1:18" x14ac:dyDescent="0.2">
      <c r="A395" t="s">
        <v>452</v>
      </c>
      <c r="B395" s="2">
        <v>22</v>
      </c>
      <c r="C395" t="s">
        <v>114</v>
      </c>
      <c r="D395" s="2" t="s">
        <v>49</v>
      </c>
      <c r="E395" s="2">
        <v>11</v>
      </c>
      <c r="F395" s="2">
        <v>56</v>
      </c>
      <c r="G395" s="2">
        <v>0.60199999999999998</v>
      </c>
      <c r="H395" s="2">
        <v>20.8</v>
      </c>
      <c r="I395" s="2">
        <v>16.8</v>
      </c>
      <c r="J395" s="18">
        <v>0.5</v>
      </c>
      <c r="K395" s="2">
        <v>-1.7</v>
      </c>
      <c r="L395" s="2">
        <v>0</v>
      </c>
      <c r="M395" s="2">
        <v>7.6</v>
      </c>
      <c r="N395" s="2">
        <v>14.1</v>
      </c>
      <c r="O395" s="2">
        <v>0</v>
      </c>
      <c r="P395" s="2">
        <v>5.2999999999999999E-2</v>
      </c>
      <c r="Q395" s="2">
        <v>0.60499999999999998</v>
      </c>
      <c r="R395" s="2">
        <v>0.21099999999999999</v>
      </c>
    </row>
    <row r="396" spans="1:18" x14ac:dyDescent="0.2">
      <c r="A396" t="s">
        <v>283</v>
      </c>
      <c r="B396" s="2">
        <v>23</v>
      </c>
      <c r="C396" t="s">
        <v>70</v>
      </c>
      <c r="D396" s="2" t="s">
        <v>27</v>
      </c>
      <c r="E396" s="2">
        <v>15</v>
      </c>
      <c r="F396" s="2">
        <v>433</v>
      </c>
      <c r="G396" s="2">
        <v>0.51700000000000002</v>
      </c>
      <c r="H396" s="2">
        <v>15.8</v>
      </c>
      <c r="I396" s="2">
        <v>16.7</v>
      </c>
      <c r="J396" s="18">
        <v>1.2068965517241379</v>
      </c>
      <c r="K396" s="2">
        <v>-0.9</v>
      </c>
      <c r="L396" s="2">
        <v>0.2</v>
      </c>
      <c r="M396" s="2">
        <v>9.1</v>
      </c>
      <c r="N396" s="2">
        <v>9.1</v>
      </c>
      <c r="O396" s="2">
        <v>-0.2</v>
      </c>
      <c r="P396" s="2">
        <v>-3.0000000000000001E-3</v>
      </c>
      <c r="Q396" s="2">
        <v>0.48099999999999998</v>
      </c>
      <c r="R396" s="2">
        <v>0.188</v>
      </c>
    </row>
    <row r="397" spans="1:18" x14ac:dyDescent="0.2">
      <c r="A397" t="s">
        <v>436</v>
      </c>
      <c r="B397" s="2">
        <v>36</v>
      </c>
      <c r="C397" t="s">
        <v>120</v>
      </c>
      <c r="D397" s="2" t="s">
        <v>33</v>
      </c>
      <c r="E397" s="2">
        <v>9</v>
      </c>
      <c r="F397" s="2">
        <v>138</v>
      </c>
      <c r="G397" s="2">
        <v>0.495</v>
      </c>
      <c r="H397" s="2">
        <v>11.2</v>
      </c>
      <c r="I397" s="2">
        <v>12.3</v>
      </c>
      <c r="J397" s="18">
        <v>1.625</v>
      </c>
      <c r="K397" s="2">
        <v>0.3</v>
      </c>
      <c r="L397" s="2">
        <v>0</v>
      </c>
      <c r="M397" s="2">
        <v>8.4</v>
      </c>
      <c r="N397" s="2">
        <v>6.2</v>
      </c>
      <c r="O397" s="2">
        <v>-0.1</v>
      </c>
      <c r="P397" s="2">
        <v>-2.1000000000000001E-2</v>
      </c>
      <c r="Q397" s="2">
        <v>0.46800000000000003</v>
      </c>
      <c r="R397" s="2">
        <v>9.7000000000000003E-2</v>
      </c>
    </row>
    <row r="398" spans="1:18" x14ac:dyDescent="0.2">
      <c r="A398" t="s">
        <v>239</v>
      </c>
      <c r="B398" s="2">
        <v>34</v>
      </c>
      <c r="C398" t="s">
        <v>122</v>
      </c>
      <c r="D398" s="2" t="s">
        <v>27</v>
      </c>
      <c r="E398" s="2">
        <v>12</v>
      </c>
      <c r="F398" s="2">
        <v>367</v>
      </c>
      <c r="G398" s="2">
        <v>0.52400000000000002</v>
      </c>
      <c r="H398" s="2">
        <v>26.1</v>
      </c>
      <c r="I398" s="2">
        <v>25.9</v>
      </c>
      <c r="J398" s="18">
        <v>1.8787878787878789</v>
      </c>
      <c r="K398" s="2">
        <v>1.3</v>
      </c>
      <c r="L398" s="2">
        <v>0.5</v>
      </c>
      <c r="M398" s="2">
        <v>6.7</v>
      </c>
      <c r="N398" s="2">
        <v>15.8</v>
      </c>
      <c r="O398" s="2">
        <v>0.4</v>
      </c>
      <c r="P398" s="2">
        <v>6.2E-2</v>
      </c>
      <c r="Q398" s="2">
        <v>0.48499999999999999</v>
      </c>
      <c r="R398" s="2">
        <v>0.222</v>
      </c>
    </row>
    <row r="399" spans="1:18" x14ac:dyDescent="0.2">
      <c r="A399" t="s">
        <v>392</v>
      </c>
      <c r="B399" s="2">
        <v>25</v>
      </c>
      <c r="C399" t="s">
        <v>75</v>
      </c>
      <c r="D399" s="2" t="s">
        <v>42</v>
      </c>
      <c r="E399" s="2">
        <v>12</v>
      </c>
      <c r="F399" s="2">
        <v>125</v>
      </c>
      <c r="G399" s="2">
        <v>0.63600000000000001</v>
      </c>
      <c r="H399" s="2">
        <v>22.7</v>
      </c>
      <c r="I399" s="2">
        <v>18.7</v>
      </c>
      <c r="J399" s="18">
        <v>0.88888888888888884</v>
      </c>
      <c r="K399" s="2">
        <v>2.9</v>
      </c>
      <c r="L399" s="2">
        <v>0.2</v>
      </c>
      <c r="M399" s="2">
        <v>5.7</v>
      </c>
      <c r="N399" s="2">
        <v>17.100000000000001</v>
      </c>
      <c r="O399" s="2">
        <v>0.1</v>
      </c>
      <c r="P399" s="2">
        <v>0.14399999999999999</v>
      </c>
      <c r="Q399" s="2">
        <v>0.59</v>
      </c>
      <c r="R399" s="2">
        <v>0.38500000000000001</v>
      </c>
    </row>
    <row r="400" spans="1:18" x14ac:dyDescent="0.2">
      <c r="A400" t="s">
        <v>111</v>
      </c>
      <c r="B400" s="2">
        <v>27</v>
      </c>
      <c r="C400" t="s">
        <v>39</v>
      </c>
      <c r="D400" s="2" t="s">
        <v>33</v>
      </c>
      <c r="E400" s="2">
        <v>25</v>
      </c>
      <c r="F400" s="2">
        <v>709</v>
      </c>
      <c r="G400" s="2">
        <v>0.67400000000000004</v>
      </c>
      <c r="H400" s="2">
        <v>28.5</v>
      </c>
      <c r="I400" s="2">
        <v>20.3</v>
      </c>
      <c r="J400" s="18">
        <v>3.0384615384615383</v>
      </c>
      <c r="K400" s="2">
        <v>0</v>
      </c>
      <c r="L400" s="2">
        <v>0.7</v>
      </c>
      <c r="M400" s="2">
        <v>6</v>
      </c>
      <c r="N400" s="2">
        <v>19.7</v>
      </c>
      <c r="O400" s="2">
        <v>1.2</v>
      </c>
      <c r="P400" s="2">
        <v>0.21</v>
      </c>
      <c r="Q400" s="2">
        <v>0.65500000000000003</v>
      </c>
      <c r="R400" s="2">
        <v>0.153</v>
      </c>
    </row>
    <row r="401" spans="1:18" x14ac:dyDescent="0.2">
      <c r="A401" t="s">
        <v>354</v>
      </c>
      <c r="B401" s="2">
        <v>23</v>
      </c>
      <c r="C401" t="s">
        <v>61</v>
      </c>
      <c r="D401" s="2" t="s">
        <v>52</v>
      </c>
      <c r="E401" s="2">
        <v>15</v>
      </c>
      <c r="F401" s="2">
        <v>245</v>
      </c>
      <c r="G401" s="2">
        <v>0.627</v>
      </c>
      <c r="H401" s="2">
        <v>18.2</v>
      </c>
      <c r="I401" s="2">
        <v>14.2</v>
      </c>
      <c r="J401" s="18">
        <v>2.75</v>
      </c>
      <c r="K401" s="2">
        <v>0.5</v>
      </c>
      <c r="L401" s="2">
        <v>0.2</v>
      </c>
      <c r="M401" s="2">
        <v>9.1</v>
      </c>
      <c r="N401" s="2">
        <v>12.4</v>
      </c>
      <c r="O401" s="2">
        <v>0</v>
      </c>
      <c r="P401" s="2">
        <v>0.126</v>
      </c>
      <c r="Q401" s="2">
        <v>0.627</v>
      </c>
      <c r="R401" s="2">
        <v>0.317</v>
      </c>
    </row>
    <row r="402" spans="1:18" x14ac:dyDescent="0.2">
      <c r="A402" t="s">
        <v>238</v>
      </c>
      <c r="B402" s="2">
        <v>22</v>
      </c>
      <c r="C402" t="s">
        <v>46</v>
      </c>
      <c r="D402" s="2" t="s">
        <v>49</v>
      </c>
      <c r="E402" s="2">
        <v>22</v>
      </c>
      <c r="F402" s="2">
        <v>547</v>
      </c>
      <c r="G402" s="2">
        <v>0.58099999999999996</v>
      </c>
      <c r="H402" s="2">
        <v>17</v>
      </c>
      <c r="I402" s="2">
        <v>14.3</v>
      </c>
      <c r="J402" s="18">
        <v>1.5555555555555556</v>
      </c>
      <c r="K402" s="2">
        <v>-0.2</v>
      </c>
      <c r="L402" s="2">
        <v>0.4</v>
      </c>
      <c r="M402" s="2">
        <v>7.6</v>
      </c>
      <c r="N402" s="2">
        <v>11.6</v>
      </c>
      <c r="O402" s="2">
        <v>0</v>
      </c>
      <c r="P402" s="2">
        <v>8.1000000000000003E-2</v>
      </c>
      <c r="Q402" s="2">
        <v>0.54400000000000004</v>
      </c>
      <c r="R402" s="2">
        <v>0.28899999999999998</v>
      </c>
    </row>
    <row r="403" spans="1:18" x14ac:dyDescent="0.2">
      <c r="A403" t="s">
        <v>506</v>
      </c>
      <c r="B403" s="2">
        <v>28</v>
      </c>
      <c r="C403" t="s">
        <v>51</v>
      </c>
      <c r="D403" s="2" t="s">
        <v>52</v>
      </c>
      <c r="E403" s="2">
        <v>7</v>
      </c>
      <c r="F403" s="2">
        <v>30</v>
      </c>
      <c r="G403" s="2">
        <v>0.621</v>
      </c>
      <c r="H403" s="2">
        <v>11.5</v>
      </c>
      <c r="I403" s="2">
        <v>9.6999999999999993</v>
      </c>
      <c r="J403" s="18">
        <v>5</v>
      </c>
      <c r="K403" s="2">
        <v>3.1</v>
      </c>
      <c r="L403" s="2">
        <v>0</v>
      </c>
      <c r="M403" s="2">
        <v>5.4</v>
      </c>
      <c r="N403" s="2">
        <v>11.3</v>
      </c>
      <c r="O403" s="2">
        <v>0</v>
      </c>
      <c r="P403" s="2">
        <v>0.13800000000000001</v>
      </c>
      <c r="Q403" s="2">
        <v>1</v>
      </c>
      <c r="R403" s="2">
        <v>2</v>
      </c>
    </row>
    <row r="404" spans="1:18" x14ac:dyDescent="0.2">
      <c r="A404" t="s">
        <v>525</v>
      </c>
      <c r="B404" s="2">
        <v>22</v>
      </c>
      <c r="C404" t="s">
        <v>46</v>
      </c>
      <c r="D404" s="2" t="s">
        <v>42</v>
      </c>
      <c r="E404" s="2">
        <v>5</v>
      </c>
      <c r="F404" s="2">
        <v>11</v>
      </c>
      <c r="G404" s="2">
        <v>0.4</v>
      </c>
      <c r="H404" s="2">
        <v>17.3</v>
      </c>
      <c r="I404" s="2">
        <v>19.100000000000001</v>
      </c>
      <c r="J404" s="18" t="e">
        <v>#DIV/0!</v>
      </c>
      <c r="K404" s="2">
        <v>-6.5</v>
      </c>
      <c r="L404" s="2">
        <v>0</v>
      </c>
      <c r="M404" s="2">
        <v>7.6</v>
      </c>
      <c r="N404" s="2">
        <v>2.4</v>
      </c>
      <c r="O404" s="2">
        <v>0</v>
      </c>
      <c r="P404" s="2">
        <v>-8.8999999999999996E-2</v>
      </c>
      <c r="Q404" s="2">
        <v>0.4</v>
      </c>
      <c r="R404" s="2">
        <v>0</v>
      </c>
    </row>
    <row r="405" spans="1:18" x14ac:dyDescent="0.2">
      <c r="A405" t="s">
        <v>479</v>
      </c>
      <c r="B405" s="2">
        <v>25</v>
      </c>
      <c r="C405" t="s">
        <v>44</v>
      </c>
      <c r="D405" s="2" t="s">
        <v>27</v>
      </c>
      <c r="E405" s="2">
        <v>4</v>
      </c>
      <c r="F405" s="2">
        <v>75</v>
      </c>
      <c r="G405" s="2">
        <v>0.435</v>
      </c>
      <c r="H405" s="2">
        <v>11.2</v>
      </c>
      <c r="I405" s="2">
        <v>13.9</v>
      </c>
      <c r="J405" s="18">
        <v>1.5</v>
      </c>
      <c r="K405" s="2">
        <v>0.4</v>
      </c>
      <c r="L405" s="2">
        <v>0.1</v>
      </c>
      <c r="M405" s="2">
        <v>5.7</v>
      </c>
      <c r="N405" s="2">
        <v>12.4</v>
      </c>
      <c r="O405" s="2">
        <v>0</v>
      </c>
      <c r="P405" s="2">
        <v>5.7000000000000002E-2</v>
      </c>
      <c r="Q405" s="2">
        <v>0.438</v>
      </c>
      <c r="R405" s="2">
        <v>0.5</v>
      </c>
    </row>
    <row r="406" spans="1:18" x14ac:dyDescent="0.2">
      <c r="A406" t="s">
        <v>237</v>
      </c>
      <c r="B406" s="2">
        <v>24</v>
      </c>
      <c r="C406" t="s">
        <v>63</v>
      </c>
      <c r="D406" s="2" t="s">
        <v>52</v>
      </c>
      <c r="E406" s="2">
        <v>23</v>
      </c>
      <c r="F406" s="2">
        <v>468</v>
      </c>
      <c r="G406" s="2">
        <v>0.61899999999999999</v>
      </c>
      <c r="H406" s="2">
        <v>20.100000000000001</v>
      </c>
      <c r="I406" s="2">
        <v>16.899999999999999</v>
      </c>
      <c r="J406" s="18">
        <v>1.1724137931034482</v>
      </c>
      <c r="K406" s="2">
        <v>0.1</v>
      </c>
      <c r="L406" s="2">
        <v>0.5</v>
      </c>
      <c r="M406" s="2">
        <v>0</v>
      </c>
      <c r="N406" s="2">
        <v>12.6</v>
      </c>
      <c r="O406" s="2">
        <v>0.2</v>
      </c>
      <c r="P406" s="2">
        <v>0.10100000000000001</v>
      </c>
      <c r="Q406" s="2">
        <v>0.59599999999999997</v>
      </c>
      <c r="R406" s="2">
        <v>0.28599999999999998</v>
      </c>
    </row>
    <row r="407" spans="1:18" x14ac:dyDescent="0.2">
      <c r="A407" t="s">
        <v>344</v>
      </c>
      <c r="B407" s="2">
        <v>26</v>
      </c>
      <c r="C407" t="s">
        <v>82</v>
      </c>
      <c r="D407" s="2" t="s">
        <v>33</v>
      </c>
      <c r="E407" s="2">
        <v>14</v>
      </c>
      <c r="F407" s="2">
        <v>240</v>
      </c>
      <c r="G407" s="2">
        <v>0.60299999999999998</v>
      </c>
      <c r="H407" s="2">
        <v>19.399999999999999</v>
      </c>
      <c r="I407" s="2">
        <v>16.5</v>
      </c>
      <c r="J407" s="18">
        <v>2.5454545454545454</v>
      </c>
      <c r="K407" s="2">
        <v>-0.9</v>
      </c>
      <c r="L407" s="2">
        <v>0.1</v>
      </c>
      <c r="M407" s="2">
        <v>9.1</v>
      </c>
      <c r="N407" s="2">
        <v>13.7</v>
      </c>
      <c r="O407" s="2">
        <v>0</v>
      </c>
      <c r="P407" s="2">
        <v>9.0999999999999998E-2</v>
      </c>
      <c r="Q407" s="2">
        <v>0.58199999999999996</v>
      </c>
      <c r="R407" s="2">
        <v>0.23300000000000001</v>
      </c>
    </row>
    <row r="408" spans="1:18" x14ac:dyDescent="0.2">
      <c r="A408" t="s">
        <v>539</v>
      </c>
      <c r="B408" s="2">
        <v>23</v>
      </c>
      <c r="C408" t="s">
        <v>41</v>
      </c>
      <c r="D408" s="2" t="s">
        <v>33</v>
      </c>
      <c r="E408" s="2">
        <v>1</v>
      </c>
      <c r="F408" s="2">
        <v>8</v>
      </c>
      <c r="G408" s="2">
        <v>0.5</v>
      </c>
      <c r="H408" s="2">
        <v>18.399999999999999</v>
      </c>
      <c r="I408" s="2">
        <v>22</v>
      </c>
      <c r="J408" s="18">
        <v>0</v>
      </c>
      <c r="K408" s="2">
        <v>-7.8</v>
      </c>
      <c r="L408" s="2">
        <v>0</v>
      </c>
      <c r="M408" s="2">
        <v>9.1</v>
      </c>
      <c r="N408" s="2">
        <v>-0.9</v>
      </c>
      <c r="O408" s="2">
        <v>0</v>
      </c>
      <c r="P408" s="2">
        <v>-0.22</v>
      </c>
      <c r="Q408" s="2">
        <v>0.5</v>
      </c>
      <c r="R408" s="2">
        <v>0</v>
      </c>
    </row>
    <row r="409" spans="1:18" x14ac:dyDescent="0.2">
      <c r="A409" t="s">
        <v>374</v>
      </c>
      <c r="B409" s="2">
        <v>20</v>
      </c>
      <c r="C409" t="s">
        <v>135</v>
      </c>
      <c r="D409" s="2" t="s">
        <v>52</v>
      </c>
      <c r="E409" s="2">
        <v>21</v>
      </c>
      <c r="F409" s="2">
        <v>223</v>
      </c>
      <c r="G409" s="2">
        <v>0.52700000000000002</v>
      </c>
      <c r="H409" s="2">
        <v>15.8</v>
      </c>
      <c r="I409" s="2">
        <v>15.1</v>
      </c>
      <c r="J409" s="18">
        <v>0.91666666666666663</v>
      </c>
      <c r="K409" s="2">
        <v>-1.8</v>
      </c>
      <c r="L409" s="2">
        <v>0.1</v>
      </c>
      <c r="M409" s="2">
        <v>10</v>
      </c>
      <c r="N409" s="2">
        <v>9.5</v>
      </c>
      <c r="O409" s="2">
        <v>-0.1</v>
      </c>
      <c r="P409" s="2">
        <v>1.9E-2</v>
      </c>
      <c r="Q409" s="2">
        <v>0.50800000000000001</v>
      </c>
      <c r="R409" s="2">
        <v>0.188</v>
      </c>
    </row>
    <row r="410" spans="1:18" x14ac:dyDescent="0.2">
      <c r="A410" t="s">
        <v>543</v>
      </c>
      <c r="B410" s="2">
        <v>23</v>
      </c>
      <c r="C410" t="s">
        <v>100</v>
      </c>
      <c r="D410" s="2" t="s">
        <v>33</v>
      </c>
      <c r="E410" s="2">
        <v>2</v>
      </c>
      <c r="F410" s="2">
        <v>4</v>
      </c>
      <c r="G410" s="2">
        <v>1</v>
      </c>
      <c r="H410" s="2">
        <v>24</v>
      </c>
      <c r="I410" s="2">
        <v>10.4</v>
      </c>
      <c r="J410" s="18" t="e">
        <v>#DIV/0!</v>
      </c>
      <c r="K410" s="2">
        <v>15.8</v>
      </c>
      <c r="L410" s="2">
        <v>0</v>
      </c>
      <c r="M410" s="2">
        <v>9.1</v>
      </c>
      <c r="N410" s="2">
        <v>42.6</v>
      </c>
      <c r="O410" s="2">
        <v>0</v>
      </c>
      <c r="P410" s="2">
        <v>0.60899999999999999</v>
      </c>
      <c r="Q410" s="2">
        <v>1</v>
      </c>
      <c r="R410" s="2">
        <v>0</v>
      </c>
    </row>
    <row r="411" spans="1:18" x14ac:dyDescent="0.2">
      <c r="A411" t="s">
        <v>352</v>
      </c>
      <c r="B411" s="2">
        <v>20</v>
      </c>
      <c r="C411" t="s">
        <v>87</v>
      </c>
      <c r="D411" s="2" t="s">
        <v>33</v>
      </c>
      <c r="E411" s="2">
        <v>24</v>
      </c>
      <c r="F411" s="2">
        <v>282</v>
      </c>
      <c r="G411" s="2">
        <v>0.45600000000000002</v>
      </c>
      <c r="H411" s="2">
        <v>15.6</v>
      </c>
      <c r="I411" s="2">
        <v>16.600000000000001</v>
      </c>
      <c r="J411" s="18">
        <v>2.2142857142857144</v>
      </c>
      <c r="K411" s="2">
        <v>1.5</v>
      </c>
      <c r="L411" s="2">
        <v>0.5</v>
      </c>
      <c r="M411" s="2">
        <v>10</v>
      </c>
      <c r="N411" s="2">
        <v>8.6999999999999993</v>
      </c>
      <c r="O411" s="2">
        <v>0</v>
      </c>
      <c r="P411" s="2">
        <v>6.0999999999999999E-2</v>
      </c>
      <c r="Q411" s="2">
        <v>0.44400000000000001</v>
      </c>
      <c r="R411" s="2">
        <v>4.1000000000000002E-2</v>
      </c>
    </row>
    <row r="412" spans="1:18" x14ac:dyDescent="0.2">
      <c r="A412" t="s">
        <v>416</v>
      </c>
      <c r="B412" s="2">
        <v>34</v>
      </c>
      <c r="C412" t="s">
        <v>122</v>
      </c>
      <c r="D412" s="2" t="s">
        <v>33</v>
      </c>
      <c r="E412" s="2">
        <v>10</v>
      </c>
      <c r="F412" s="2">
        <v>119</v>
      </c>
      <c r="G412" s="2">
        <v>0.55100000000000005</v>
      </c>
      <c r="H412" s="2">
        <v>18</v>
      </c>
      <c r="I412" s="2">
        <v>17</v>
      </c>
      <c r="J412" s="18">
        <v>3</v>
      </c>
      <c r="K412" s="2">
        <v>0.5</v>
      </c>
      <c r="L412" s="2">
        <v>0.1</v>
      </c>
      <c r="M412" s="2">
        <v>6.7</v>
      </c>
      <c r="N412" s="2">
        <v>13.2</v>
      </c>
      <c r="O412" s="2">
        <v>0.1</v>
      </c>
      <c r="P412" s="2">
        <v>8.5999999999999993E-2</v>
      </c>
      <c r="Q412" s="2">
        <v>0.55100000000000005</v>
      </c>
      <c r="R412" s="2">
        <v>0</v>
      </c>
    </row>
    <row r="413" spans="1:18" x14ac:dyDescent="0.2">
      <c r="A413" t="s">
        <v>493</v>
      </c>
      <c r="B413" s="2">
        <v>31</v>
      </c>
      <c r="C413" t="s">
        <v>114</v>
      </c>
      <c r="D413" s="2" t="s">
        <v>27</v>
      </c>
      <c r="E413" s="2">
        <v>3</v>
      </c>
      <c r="F413" s="2">
        <v>20</v>
      </c>
      <c r="G413" s="2">
        <v>0.55100000000000005</v>
      </c>
      <c r="H413" s="2">
        <v>28</v>
      </c>
      <c r="I413" s="2">
        <v>26.6</v>
      </c>
      <c r="J413" s="18">
        <v>0</v>
      </c>
      <c r="K413" s="2">
        <v>-1.2</v>
      </c>
      <c r="L413" s="2">
        <v>0</v>
      </c>
      <c r="M413" s="2">
        <v>14.4</v>
      </c>
      <c r="N413" s="2">
        <v>16</v>
      </c>
      <c r="O413" s="2">
        <v>0</v>
      </c>
      <c r="P413" s="2">
        <v>-3.3000000000000002E-2</v>
      </c>
      <c r="Q413" s="2">
        <v>0.5</v>
      </c>
      <c r="R413" s="2">
        <v>0.2</v>
      </c>
    </row>
    <row r="414" spans="1:18" x14ac:dyDescent="0.2">
      <c r="A414" t="s">
        <v>369</v>
      </c>
      <c r="B414" s="2">
        <v>23</v>
      </c>
      <c r="C414" t="s">
        <v>122</v>
      </c>
      <c r="D414" s="2" t="s">
        <v>49</v>
      </c>
      <c r="E414" s="2">
        <v>17</v>
      </c>
      <c r="F414" s="2">
        <v>200</v>
      </c>
      <c r="G414" s="2">
        <v>0.53400000000000003</v>
      </c>
      <c r="H414" s="2">
        <v>18.7</v>
      </c>
      <c r="I414" s="2">
        <v>16.3</v>
      </c>
      <c r="J414" s="18">
        <v>3.5</v>
      </c>
      <c r="K414" s="2">
        <v>-1.2</v>
      </c>
      <c r="L414" s="2">
        <v>0.1</v>
      </c>
      <c r="M414" s="2">
        <v>9.1</v>
      </c>
      <c r="N414" s="2">
        <v>11.5</v>
      </c>
      <c r="O414" s="2">
        <v>0</v>
      </c>
      <c r="P414" s="2">
        <v>8.3000000000000004E-2</v>
      </c>
      <c r="Q414" s="2">
        <v>0.46700000000000003</v>
      </c>
      <c r="R414" s="2">
        <v>0.34399999999999997</v>
      </c>
    </row>
    <row r="415" spans="1:18" x14ac:dyDescent="0.2">
      <c r="A415" t="s">
        <v>565</v>
      </c>
      <c r="B415" s="2">
        <v>24</v>
      </c>
      <c r="C415" t="s">
        <v>93</v>
      </c>
      <c r="D415" s="2" t="s">
        <v>49</v>
      </c>
      <c r="E415" s="2">
        <v>1</v>
      </c>
      <c r="F415" s="2">
        <v>7</v>
      </c>
      <c r="G415" s="2">
        <v>0</v>
      </c>
      <c r="H415" s="2">
        <v>0</v>
      </c>
      <c r="I415" s="2">
        <v>6.1</v>
      </c>
      <c r="J415" s="18" t="e">
        <v>#DIV/0!</v>
      </c>
      <c r="K415" s="2">
        <v>-3.6</v>
      </c>
      <c r="L415" s="2">
        <v>0</v>
      </c>
      <c r="M415" s="2">
        <v>0</v>
      </c>
      <c r="N415" s="2">
        <v>-1.8</v>
      </c>
      <c r="O415" s="2">
        <v>0</v>
      </c>
      <c r="P415" s="2">
        <v>-0.106</v>
      </c>
      <c r="Q415" s="2">
        <v>0</v>
      </c>
      <c r="R415" s="2">
        <v>0</v>
      </c>
    </row>
    <row r="416" spans="1:18" x14ac:dyDescent="0.2">
      <c r="A416" t="s">
        <v>65</v>
      </c>
      <c r="B416" s="2">
        <v>24</v>
      </c>
      <c r="C416" t="s">
        <v>66</v>
      </c>
      <c r="D416" s="2" t="s">
        <v>52</v>
      </c>
      <c r="E416" s="2">
        <v>23</v>
      </c>
      <c r="F416" s="2">
        <v>787</v>
      </c>
      <c r="G416" s="2">
        <v>0.54400000000000004</v>
      </c>
      <c r="H416" s="2">
        <v>32.700000000000003</v>
      </c>
      <c r="I416" s="2">
        <v>29.9</v>
      </c>
      <c r="J416" s="18">
        <v>1.7922077922077921</v>
      </c>
      <c r="K416" s="2">
        <v>-1</v>
      </c>
      <c r="L416" s="2">
        <v>0.5</v>
      </c>
      <c r="M416" s="2">
        <v>0</v>
      </c>
      <c r="N416" s="2">
        <v>16.899999999999999</v>
      </c>
      <c r="O416" s="2">
        <v>0.5</v>
      </c>
      <c r="P416" s="2">
        <v>5.8000000000000003E-2</v>
      </c>
      <c r="Q416" s="2">
        <v>0.50800000000000001</v>
      </c>
      <c r="R416" s="2">
        <v>0.309</v>
      </c>
    </row>
    <row r="417" spans="1:18" x14ac:dyDescent="0.2">
      <c r="A417" t="s">
        <v>417</v>
      </c>
      <c r="B417" s="2">
        <v>20</v>
      </c>
      <c r="C417" t="s">
        <v>51</v>
      </c>
      <c r="D417" s="2" t="s">
        <v>33</v>
      </c>
      <c r="E417" s="2">
        <v>11</v>
      </c>
      <c r="F417" s="2">
        <v>92</v>
      </c>
      <c r="G417" s="2">
        <v>0.58299999999999996</v>
      </c>
      <c r="H417" s="2">
        <v>22.5</v>
      </c>
      <c r="I417" s="2">
        <v>22.9</v>
      </c>
      <c r="J417" s="18">
        <v>1.3333333333333333</v>
      </c>
      <c r="K417" s="2">
        <v>-1.9</v>
      </c>
      <c r="L417" s="2">
        <v>0.1</v>
      </c>
      <c r="M417" s="2">
        <v>10</v>
      </c>
      <c r="N417" s="2">
        <v>9.5</v>
      </c>
      <c r="O417" s="2">
        <v>0</v>
      </c>
      <c r="P417" s="2">
        <v>-1E-3</v>
      </c>
      <c r="Q417" s="2">
        <v>0.58299999999999996</v>
      </c>
      <c r="R417" s="2">
        <v>0</v>
      </c>
    </row>
    <row r="418" spans="1:18" x14ac:dyDescent="0.2">
      <c r="A418" t="s">
        <v>381</v>
      </c>
      <c r="B418" s="2">
        <v>27</v>
      </c>
      <c r="C418" t="s">
        <v>135</v>
      </c>
      <c r="D418" s="2" t="s">
        <v>42</v>
      </c>
      <c r="E418" s="2">
        <v>7</v>
      </c>
      <c r="F418" s="2">
        <v>131</v>
      </c>
      <c r="G418" s="2">
        <v>0.76600000000000001</v>
      </c>
      <c r="H418" s="2">
        <v>24.6</v>
      </c>
      <c r="I418" s="2">
        <v>16</v>
      </c>
      <c r="J418" s="18">
        <v>1.4285714285714286</v>
      </c>
      <c r="K418" s="2">
        <v>3.5</v>
      </c>
      <c r="L418" s="2">
        <v>0.2</v>
      </c>
      <c r="M418" s="2">
        <v>6</v>
      </c>
      <c r="N418" s="2">
        <v>28.1</v>
      </c>
      <c r="O418" s="2">
        <v>0.3</v>
      </c>
      <c r="P418" s="2">
        <v>0.26100000000000001</v>
      </c>
      <c r="Q418" s="2">
        <v>0.72399999999999998</v>
      </c>
      <c r="R418" s="2">
        <v>0.34200000000000003</v>
      </c>
    </row>
    <row r="419" spans="1:18" x14ac:dyDescent="0.2">
      <c r="A419" t="s">
        <v>267</v>
      </c>
      <c r="B419" s="2">
        <v>19</v>
      </c>
      <c r="C419" t="s">
        <v>75</v>
      </c>
      <c r="D419" s="2" t="s">
        <v>49</v>
      </c>
      <c r="E419" s="2">
        <v>26</v>
      </c>
      <c r="F419" s="2">
        <v>418</v>
      </c>
      <c r="G419" s="2">
        <v>0.53500000000000003</v>
      </c>
      <c r="H419" s="2">
        <v>19.3</v>
      </c>
      <c r="I419" s="2">
        <v>18.600000000000001</v>
      </c>
      <c r="J419" s="18">
        <v>0.70370370370370372</v>
      </c>
      <c r="K419" s="2">
        <v>-0.6</v>
      </c>
      <c r="L419" s="2">
        <v>0.4</v>
      </c>
      <c r="M419" s="2">
        <v>12.4</v>
      </c>
      <c r="N419" s="2">
        <v>9.6</v>
      </c>
      <c r="O419" s="2">
        <v>-0.3</v>
      </c>
      <c r="P419" s="2">
        <v>2.3E-2</v>
      </c>
      <c r="Q419" s="2">
        <v>0.5</v>
      </c>
      <c r="R419" s="2">
        <v>0.21299999999999999</v>
      </c>
    </row>
    <row r="420" spans="1:18" x14ac:dyDescent="0.2">
      <c r="A420" t="s">
        <v>190</v>
      </c>
      <c r="B420" s="2">
        <v>31</v>
      </c>
      <c r="C420" t="s">
        <v>54</v>
      </c>
      <c r="D420" s="2" t="s">
        <v>49</v>
      </c>
      <c r="E420" s="2">
        <v>23</v>
      </c>
      <c r="F420" s="2">
        <v>595</v>
      </c>
      <c r="G420" s="2">
        <v>0.60699999999999998</v>
      </c>
      <c r="H420" s="2">
        <v>20.6</v>
      </c>
      <c r="I420" s="2">
        <v>17</v>
      </c>
      <c r="J420" s="18">
        <v>1.9583333333333333</v>
      </c>
      <c r="K420" s="2">
        <v>0.2</v>
      </c>
      <c r="L420" s="2">
        <v>0.6</v>
      </c>
      <c r="M420" s="2">
        <v>14.4</v>
      </c>
      <c r="N420" s="2">
        <v>15.1</v>
      </c>
      <c r="O420" s="2">
        <v>0.6</v>
      </c>
      <c r="P420" s="2">
        <v>0.112</v>
      </c>
      <c r="Q420" s="2">
        <v>0.59399999999999997</v>
      </c>
      <c r="R420" s="2">
        <v>0.107</v>
      </c>
    </row>
    <row r="421" spans="1:18" x14ac:dyDescent="0.2">
      <c r="A421" t="s">
        <v>197</v>
      </c>
      <c r="B421" s="2">
        <v>32</v>
      </c>
      <c r="C421" t="s">
        <v>51</v>
      </c>
      <c r="D421" s="2" t="s">
        <v>42</v>
      </c>
      <c r="E421" s="2">
        <v>23</v>
      </c>
      <c r="F421" s="2">
        <v>788</v>
      </c>
      <c r="G421" s="2">
        <v>0.69699999999999995</v>
      </c>
      <c r="H421" s="2">
        <v>15.2</v>
      </c>
      <c r="I421" s="2">
        <v>11.9</v>
      </c>
      <c r="J421" s="18">
        <v>1.1794871794871795</v>
      </c>
      <c r="K421" s="2">
        <v>1.6</v>
      </c>
      <c r="L421" s="2">
        <v>1.4</v>
      </c>
      <c r="M421" s="2">
        <v>8.9</v>
      </c>
      <c r="N421" s="2">
        <v>15.9</v>
      </c>
      <c r="O421" s="2">
        <v>0.5</v>
      </c>
      <c r="P421" s="2">
        <v>0.188</v>
      </c>
      <c r="Q421" s="2">
        <v>0.64700000000000002</v>
      </c>
      <c r="R421" s="2">
        <v>0.57599999999999996</v>
      </c>
    </row>
    <row r="422" spans="1:18" x14ac:dyDescent="0.2">
      <c r="A422" t="s">
        <v>202</v>
      </c>
      <c r="B422" s="2">
        <v>26</v>
      </c>
      <c r="C422" t="s">
        <v>41</v>
      </c>
      <c r="D422" s="2" t="s">
        <v>27</v>
      </c>
      <c r="E422" s="2">
        <v>19</v>
      </c>
      <c r="F422" s="2">
        <v>616</v>
      </c>
      <c r="G422" s="2">
        <v>0.61599999999999999</v>
      </c>
      <c r="H422" s="2">
        <v>19.100000000000001</v>
      </c>
      <c r="I422" s="2">
        <v>14.8</v>
      </c>
      <c r="J422" s="18">
        <v>2.6666666666666665</v>
      </c>
      <c r="K422" s="2">
        <v>-1.1000000000000001</v>
      </c>
      <c r="L422" s="2">
        <v>0.3</v>
      </c>
      <c r="M422" s="2">
        <v>9.1</v>
      </c>
      <c r="N422" s="2">
        <v>14.6</v>
      </c>
      <c r="O422" s="2">
        <v>0.2</v>
      </c>
      <c r="P422" s="2">
        <v>0.109</v>
      </c>
      <c r="Q422" s="2">
        <v>0.58599999999999997</v>
      </c>
      <c r="R422" s="2">
        <v>0.189</v>
      </c>
    </row>
    <row r="423" spans="1:18" x14ac:dyDescent="0.2">
      <c r="A423" t="s">
        <v>191</v>
      </c>
      <c r="B423" s="2">
        <v>36</v>
      </c>
      <c r="C423" t="s">
        <v>46</v>
      </c>
      <c r="D423" s="2" t="s">
        <v>33</v>
      </c>
      <c r="E423" s="2">
        <v>22</v>
      </c>
      <c r="F423" s="2">
        <v>545</v>
      </c>
      <c r="G423" s="2">
        <v>0.502</v>
      </c>
      <c r="H423" s="2">
        <v>21.7</v>
      </c>
      <c r="I423" s="2">
        <v>23.3</v>
      </c>
      <c r="J423" s="18">
        <v>2.641509433962264</v>
      </c>
      <c r="K423" s="2">
        <v>0.7</v>
      </c>
      <c r="L423" s="2">
        <v>0.7</v>
      </c>
      <c r="M423" s="2">
        <v>8.4</v>
      </c>
      <c r="N423" s="2">
        <v>15.1</v>
      </c>
      <c r="O423" s="2">
        <v>0.3</v>
      </c>
      <c r="P423" s="2">
        <v>6.7000000000000004E-2</v>
      </c>
      <c r="Q423" s="2">
        <v>0.46500000000000002</v>
      </c>
      <c r="R423" s="2">
        <v>0.376</v>
      </c>
    </row>
    <row r="424" spans="1:18" x14ac:dyDescent="0.2">
      <c r="A424" t="s">
        <v>318</v>
      </c>
      <c r="B424" s="2">
        <v>22</v>
      </c>
      <c r="C424" t="s">
        <v>54</v>
      </c>
      <c r="D424" s="2" t="s">
        <v>49</v>
      </c>
      <c r="E424" s="2">
        <v>19</v>
      </c>
      <c r="F424" s="2">
        <v>339</v>
      </c>
      <c r="G424" s="2">
        <v>0.502</v>
      </c>
      <c r="H424" s="2">
        <v>16.600000000000001</v>
      </c>
      <c r="I424" s="2">
        <v>16.100000000000001</v>
      </c>
      <c r="J424" s="18">
        <v>1.5</v>
      </c>
      <c r="K424" s="2">
        <v>-0.4</v>
      </c>
      <c r="L424" s="2">
        <v>0.2</v>
      </c>
      <c r="M424" s="2">
        <v>7.6</v>
      </c>
      <c r="N424" s="2">
        <v>8.4</v>
      </c>
      <c r="O424" s="2">
        <v>-0.2</v>
      </c>
      <c r="P424" s="2">
        <v>1.9E-2</v>
      </c>
      <c r="Q424" s="2">
        <v>0.50900000000000001</v>
      </c>
      <c r="R424" s="2">
        <v>7.2999999999999995E-2</v>
      </c>
    </row>
    <row r="425" spans="1:18" x14ac:dyDescent="0.2">
      <c r="A425" t="s">
        <v>439</v>
      </c>
      <c r="B425" s="2">
        <v>22</v>
      </c>
      <c r="C425" t="s">
        <v>35</v>
      </c>
      <c r="D425" s="2" t="s">
        <v>33</v>
      </c>
      <c r="E425" s="2">
        <v>11</v>
      </c>
      <c r="F425" s="2">
        <v>72</v>
      </c>
      <c r="G425" s="2">
        <v>0.56100000000000005</v>
      </c>
      <c r="H425" s="2">
        <v>21</v>
      </c>
      <c r="I425" s="2">
        <v>21.3</v>
      </c>
      <c r="J425" s="18">
        <v>1.2857142857142858</v>
      </c>
      <c r="K425" s="2">
        <v>4.7</v>
      </c>
      <c r="L425" s="2">
        <v>0.1</v>
      </c>
      <c r="M425" s="2">
        <v>7.6</v>
      </c>
      <c r="N425" s="2">
        <v>15.6</v>
      </c>
      <c r="O425" s="2">
        <v>0.1</v>
      </c>
      <c r="P425" s="2">
        <v>8.8999999999999996E-2</v>
      </c>
      <c r="Q425" s="2">
        <v>0.52</v>
      </c>
      <c r="R425" s="2">
        <v>0.24</v>
      </c>
    </row>
    <row r="426" spans="1:18" x14ac:dyDescent="0.2">
      <c r="A426" t="s">
        <v>262</v>
      </c>
      <c r="B426" s="2">
        <v>27</v>
      </c>
      <c r="C426" t="s">
        <v>39</v>
      </c>
      <c r="D426" s="2" t="s">
        <v>27</v>
      </c>
      <c r="E426" s="2">
        <v>20</v>
      </c>
      <c r="F426" s="2">
        <v>443</v>
      </c>
      <c r="G426" s="2">
        <v>0.59599999999999997</v>
      </c>
      <c r="H426" s="2">
        <v>18.7</v>
      </c>
      <c r="I426" s="2">
        <v>14.6</v>
      </c>
      <c r="J426" s="18">
        <v>2.625</v>
      </c>
      <c r="K426" s="2">
        <v>0</v>
      </c>
      <c r="L426" s="2">
        <v>0.5</v>
      </c>
      <c r="M426" s="2">
        <v>6</v>
      </c>
      <c r="N426" s="2">
        <v>12.8</v>
      </c>
      <c r="O426" s="2">
        <v>0.3</v>
      </c>
      <c r="P426" s="2">
        <v>0.123</v>
      </c>
      <c r="Q426" s="2">
        <v>0.59199999999999997</v>
      </c>
      <c r="R426" s="2">
        <v>1.4E-2</v>
      </c>
    </row>
    <row r="427" spans="1:18" x14ac:dyDescent="0.2">
      <c r="A427" t="s">
        <v>281</v>
      </c>
      <c r="B427" s="2">
        <v>28</v>
      </c>
      <c r="C427" t="s">
        <v>57</v>
      </c>
      <c r="D427" s="2" t="s">
        <v>52</v>
      </c>
      <c r="E427" s="2">
        <v>21</v>
      </c>
      <c r="F427" s="2">
        <v>417</v>
      </c>
      <c r="G427" s="2">
        <v>0.56699999999999995</v>
      </c>
      <c r="H427" s="2">
        <v>17.100000000000001</v>
      </c>
      <c r="I427" s="2">
        <v>14.7</v>
      </c>
      <c r="J427" s="18">
        <v>3.6</v>
      </c>
      <c r="K427" s="2">
        <v>0</v>
      </c>
      <c r="L427" s="2">
        <v>0.4</v>
      </c>
      <c r="M427" s="2">
        <v>5.4</v>
      </c>
      <c r="N427" s="2">
        <v>10.1</v>
      </c>
      <c r="O427" s="2">
        <v>0.1</v>
      </c>
      <c r="P427" s="2">
        <v>9.4E-2</v>
      </c>
      <c r="Q427" s="2">
        <v>0.54800000000000004</v>
      </c>
      <c r="R427" s="2">
        <v>9.5000000000000001E-2</v>
      </c>
    </row>
    <row r="428" spans="1:18" x14ac:dyDescent="0.2">
      <c r="A428" t="s">
        <v>360</v>
      </c>
      <c r="B428" s="2">
        <v>25</v>
      </c>
      <c r="C428" t="s">
        <v>93</v>
      </c>
      <c r="D428" s="2" t="s">
        <v>27</v>
      </c>
      <c r="E428" s="2">
        <v>17</v>
      </c>
      <c r="F428" s="2">
        <v>160</v>
      </c>
      <c r="G428" s="2">
        <v>0.73799999999999999</v>
      </c>
      <c r="H428" s="2">
        <v>25.8</v>
      </c>
      <c r="I428" s="2">
        <v>17.8</v>
      </c>
      <c r="J428" s="18">
        <v>0.66666666666666663</v>
      </c>
      <c r="K428" s="2">
        <v>-0.2</v>
      </c>
      <c r="L428" s="2">
        <v>0.2</v>
      </c>
      <c r="M428" s="2">
        <v>5.7</v>
      </c>
      <c r="N428" s="2">
        <v>19.100000000000001</v>
      </c>
      <c r="O428" s="2">
        <v>0.2</v>
      </c>
      <c r="P428" s="2">
        <v>0.156</v>
      </c>
      <c r="Q428" s="2">
        <v>0.72499999999999998</v>
      </c>
      <c r="R428" s="2">
        <v>0.29399999999999998</v>
      </c>
    </row>
    <row r="429" spans="1:18" x14ac:dyDescent="0.2">
      <c r="A429" t="s">
        <v>145</v>
      </c>
      <c r="B429" s="2">
        <v>24</v>
      </c>
      <c r="C429" t="s">
        <v>80</v>
      </c>
      <c r="D429" s="2" t="s">
        <v>27</v>
      </c>
      <c r="E429" s="2">
        <v>25</v>
      </c>
      <c r="F429" s="2">
        <v>672</v>
      </c>
      <c r="G429" s="2">
        <v>0.61599999999999999</v>
      </c>
      <c r="H429" s="2">
        <v>22.6</v>
      </c>
      <c r="I429" s="2">
        <v>18</v>
      </c>
      <c r="J429" s="18">
        <v>2.53125</v>
      </c>
      <c r="K429" s="2">
        <v>1.2</v>
      </c>
      <c r="L429" s="2">
        <v>1.1000000000000001</v>
      </c>
      <c r="M429" s="2">
        <v>0</v>
      </c>
      <c r="N429" s="2">
        <v>18.3</v>
      </c>
      <c r="O429" s="2">
        <v>1</v>
      </c>
      <c r="P429" s="2">
        <v>0.18099999999999999</v>
      </c>
      <c r="Q429" s="2">
        <v>0.60199999999999998</v>
      </c>
      <c r="R429" s="2">
        <v>0.122</v>
      </c>
    </row>
    <row r="430" spans="1:18" x14ac:dyDescent="0.2">
      <c r="A430" t="s">
        <v>231</v>
      </c>
      <c r="B430" s="2">
        <v>20</v>
      </c>
      <c r="C430" t="s">
        <v>135</v>
      </c>
      <c r="D430" s="2" t="s">
        <v>33</v>
      </c>
      <c r="E430" s="2">
        <v>17</v>
      </c>
      <c r="F430" s="2">
        <v>445</v>
      </c>
      <c r="G430" s="2">
        <v>0.51500000000000001</v>
      </c>
      <c r="H430" s="2">
        <v>21.6</v>
      </c>
      <c r="I430" s="2">
        <v>22.9</v>
      </c>
      <c r="J430" s="18">
        <v>1.6730769230769231</v>
      </c>
      <c r="K430" s="2">
        <v>-1.9</v>
      </c>
      <c r="L430" s="2">
        <v>0.2</v>
      </c>
      <c r="M430" s="2">
        <v>10</v>
      </c>
      <c r="N430" s="2">
        <v>10.9</v>
      </c>
      <c r="O430" s="2">
        <v>-0.3</v>
      </c>
      <c r="P430" s="2">
        <v>-1.2E-2</v>
      </c>
      <c r="Q430" s="2">
        <v>0.46800000000000003</v>
      </c>
      <c r="R430" s="2">
        <v>0.29099999999999998</v>
      </c>
    </row>
    <row r="431" spans="1:18" x14ac:dyDescent="0.2">
      <c r="A431" t="s">
        <v>167</v>
      </c>
      <c r="B431" s="2">
        <v>23</v>
      </c>
      <c r="C431" t="s">
        <v>66</v>
      </c>
      <c r="D431" s="2" t="s">
        <v>27</v>
      </c>
      <c r="E431" s="2">
        <v>14</v>
      </c>
      <c r="F431" s="2">
        <v>465</v>
      </c>
      <c r="G431" s="2">
        <v>0.55300000000000005</v>
      </c>
      <c r="H431" s="2">
        <v>29.9</v>
      </c>
      <c r="I431" s="2">
        <v>27.7</v>
      </c>
      <c r="J431" s="18">
        <v>2.08</v>
      </c>
      <c r="K431" s="2">
        <v>0.8</v>
      </c>
      <c r="L431" s="2">
        <v>0.4</v>
      </c>
      <c r="M431" s="2">
        <v>9.1</v>
      </c>
      <c r="N431" s="2">
        <v>20.100000000000001</v>
      </c>
      <c r="O431" s="2">
        <v>0.8</v>
      </c>
      <c r="P431" s="2">
        <v>9.9000000000000005E-2</v>
      </c>
      <c r="Q431" s="2">
        <v>0.51700000000000002</v>
      </c>
      <c r="R431" s="2">
        <v>0.3</v>
      </c>
    </row>
    <row r="432" spans="1:18" x14ac:dyDescent="0.2">
      <c r="A432" t="s">
        <v>181</v>
      </c>
      <c r="B432" s="2">
        <v>24</v>
      </c>
      <c r="C432" t="s">
        <v>80</v>
      </c>
      <c r="D432" s="2" t="s">
        <v>33</v>
      </c>
      <c r="E432" s="2">
        <v>25</v>
      </c>
      <c r="F432" s="2">
        <v>583</v>
      </c>
      <c r="G432" s="2">
        <v>0.55500000000000005</v>
      </c>
      <c r="H432" s="2">
        <v>21.1</v>
      </c>
      <c r="I432" s="2">
        <v>20.100000000000001</v>
      </c>
      <c r="J432" s="18">
        <v>2.6666666666666665</v>
      </c>
      <c r="K432" s="2">
        <v>1.1000000000000001</v>
      </c>
      <c r="L432" s="2">
        <v>0.9</v>
      </c>
      <c r="M432" s="2">
        <v>0</v>
      </c>
      <c r="N432" s="2">
        <v>14.8</v>
      </c>
      <c r="O432" s="2">
        <v>0.3</v>
      </c>
      <c r="P432" s="2">
        <v>0.126</v>
      </c>
      <c r="Q432" s="2">
        <v>0.52800000000000002</v>
      </c>
      <c r="R432" s="2">
        <v>0.24299999999999999</v>
      </c>
    </row>
    <row r="433" spans="1:18" x14ac:dyDescent="0.2">
      <c r="A433" t="s">
        <v>323</v>
      </c>
      <c r="B433" s="2">
        <v>34</v>
      </c>
      <c r="C433" t="s">
        <v>59</v>
      </c>
      <c r="D433" s="2" t="s">
        <v>52</v>
      </c>
      <c r="E433" s="2">
        <v>23</v>
      </c>
      <c r="F433" s="2">
        <v>285</v>
      </c>
      <c r="G433" s="2">
        <v>0.61099999999999999</v>
      </c>
      <c r="H433" s="2">
        <v>19.3</v>
      </c>
      <c r="I433" s="2">
        <v>14.4</v>
      </c>
      <c r="J433" s="18">
        <v>1.3333333333333333</v>
      </c>
      <c r="K433" s="2">
        <v>-0.1</v>
      </c>
      <c r="L433" s="2">
        <v>0.2</v>
      </c>
      <c r="M433" s="2">
        <v>6.7</v>
      </c>
      <c r="N433" s="2">
        <v>12.2</v>
      </c>
      <c r="O433" s="2">
        <v>0.1</v>
      </c>
      <c r="P433" s="2">
        <v>9.9000000000000005E-2</v>
      </c>
      <c r="Q433" s="2">
        <v>0.59299999999999997</v>
      </c>
      <c r="R433" s="2">
        <v>0.128</v>
      </c>
    </row>
    <row r="434" spans="1:18" x14ac:dyDescent="0.2">
      <c r="A434" t="s">
        <v>174</v>
      </c>
      <c r="B434" s="2">
        <v>21</v>
      </c>
      <c r="C434" t="s">
        <v>135</v>
      </c>
      <c r="D434" s="2" t="s">
        <v>52</v>
      </c>
      <c r="E434" s="2">
        <v>16</v>
      </c>
      <c r="F434" s="2">
        <v>489</v>
      </c>
      <c r="G434" s="2">
        <v>0.54</v>
      </c>
      <c r="H434" s="2">
        <v>27.4</v>
      </c>
      <c r="I434" s="2">
        <v>24.5</v>
      </c>
      <c r="J434" s="18">
        <v>1.1875</v>
      </c>
      <c r="K434" s="2">
        <v>-2.2999999999999998</v>
      </c>
      <c r="L434" s="2">
        <v>0.1</v>
      </c>
      <c r="M434" s="2">
        <v>15.4</v>
      </c>
      <c r="N434" s="2">
        <v>13.1</v>
      </c>
      <c r="O434" s="2">
        <v>-0.1</v>
      </c>
      <c r="P434" s="2">
        <v>2.9000000000000001E-2</v>
      </c>
      <c r="Q434" s="2">
        <v>0.49299999999999999</v>
      </c>
      <c r="R434" s="2">
        <v>0.28399999999999997</v>
      </c>
    </row>
    <row r="435" spans="1:18" x14ac:dyDescent="0.2">
      <c r="A435" t="s">
        <v>31</v>
      </c>
      <c r="B435" s="2">
        <v>26</v>
      </c>
      <c r="C435" t="s">
        <v>32</v>
      </c>
      <c r="D435" s="2" t="s">
        <v>33</v>
      </c>
      <c r="E435" s="2">
        <v>24</v>
      </c>
      <c r="F435" s="2">
        <v>823</v>
      </c>
      <c r="G435" s="2">
        <v>0.626</v>
      </c>
      <c r="H435" s="2">
        <v>42.3</v>
      </c>
      <c r="I435" s="2">
        <v>33.200000000000003</v>
      </c>
      <c r="J435" s="18">
        <v>2.359375</v>
      </c>
      <c r="K435" s="2">
        <v>2.6</v>
      </c>
      <c r="L435" s="2">
        <v>1.7</v>
      </c>
      <c r="M435" s="2">
        <v>9.1</v>
      </c>
      <c r="N435" s="2">
        <v>28.6</v>
      </c>
      <c r="O435" s="2">
        <v>2.6</v>
      </c>
      <c r="P435" s="2">
        <v>0.28100000000000003</v>
      </c>
      <c r="Q435" s="2">
        <v>0.56699999999999995</v>
      </c>
      <c r="R435" s="2">
        <v>0.38600000000000001</v>
      </c>
    </row>
    <row r="436" spans="1:18" x14ac:dyDescent="0.2">
      <c r="A436" t="s">
        <v>316</v>
      </c>
      <c r="B436" s="2">
        <v>28</v>
      </c>
      <c r="C436" t="s">
        <v>103</v>
      </c>
      <c r="D436" s="2" t="s">
        <v>52</v>
      </c>
      <c r="E436" s="2">
        <v>20</v>
      </c>
      <c r="F436" s="2">
        <v>327</v>
      </c>
      <c r="G436" s="2">
        <v>0.59199999999999997</v>
      </c>
      <c r="H436" s="2">
        <v>18.100000000000001</v>
      </c>
      <c r="I436" s="2">
        <v>15.6</v>
      </c>
      <c r="J436" s="18">
        <v>3.1538461538461537</v>
      </c>
      <c r="K436" s="2">
        <v>-1.1000000000000001</v>
      </c>
      <c r="L436" s="2">
        <v>0.1</v>
      </c>
      <c r="M436" s="2">
        <v>5.4</v>
      </c>
      <c r="N436" s="2">
        <v>12</v>
      </c>
      <c r="O436" s="2">
        <v>0</v>
      </c>
      <c r="P436" s="2">
        <v>0.08</v>
      </c>
      <c r="Q436" s="2">
        <v>0.57499999999999996</v>
      </c>
      <c r="R436" s="2">
        <v>0.183</v>
      </c>
    </row>
    <row r="437" spans="1:18" x14ac:dyDescent="0.2">
      <c r="A437" t="s">
        <v>517</v>
      </c>
      <c r="B437" s="2">
        <v>20</v>
      </c>
      <c r="C437" t="s">
        <v>93</v>
      </c>
      <c r="D437" s="2" t="s">
        <v>49</v>
      </c>
      <c r="E437" s="2">
        <v>10</v>
      </c>
      <c r="F437" s="2">
        <v>30</v>
      </c>
      <c r="G437" s="2">
        <v>0.28499999999999998</v>
      </c>
      <c r="H437" s="2">
        <v>8.1</v>
      </c>
      <c r="I437" s="2">
        <v>13.9</v>
      </c>
      <c r="J437" s="18">
        <v>5</v>
      </c>
      <c r="K437" s="2">
        <v>-1.5</v>
      </c>
      <c r="L437" s="2">
        <v>0</v>
      </c>
      <c r="M437" s="2">
        <v>10</v>
      </c>
      <c r="N437" s="2">
        <v>3.8</v>
      </c>
      <c r="O437" s="2">
        <v>0</v>
      </c>
      <c r="P437" s="2">
        <v>-0.05</v>
      </c>
      <c r="Q437" s="2">
        <v>0.35699999999999998</v>
      </c>
      <c r="R437" s="2">
        <v>0.57099999999999995</v>
      </c>
    </row>
    <row r="438" spans="1:18" x14ac:dyDescent="0.2">
      <c r="A438" t="s">
        <v>278</v>
      </c>
      <c r="B438" s="2">
        <v>29</v>
      </c>
      <c r="C438" t="s">
        <v>75</v>
      </c>
      <c r="D438" s="2" t="s">
        <v>49</v>
      </c>
      <c r="E438" s="2">
        <v>24</v>
      </c>
      <c r="F438" s="2">
        <v>432</v>
      </c>
      <c r="G438" s="2">
        <v>0.55000000000000004</v>
      </c>
      <c r="H438" s="2">
        <v>17.2</v>
      </c>
      <c r="I438" s="2">
        <v>15.4</v>
      </c>
      <c r="J438" s="18">
        <v>1.2352941176470589</v>
      </c>
      <c r="K438" s="2">
        <v>-1</v>
      </c>
      <c r="L438" s="2">
        <v>0.3</v>
      </c>
      <c r="M438" s="2">
        <v>11</v>
      </c>
      <c r="N438" s="2">
        <v>9.1</v>
      </c>
      <c r="O438" s="2">
        <v>-0.1</v>
      </c>
      <c r="P438" s="2">
        <v>5.1999999999999998E-2</v>
      </c>
      <c r="Q438" s="2">
        <v>0.51200000000000001</v>
      </c>
      <c r="R438" s="2">
        <v>0.25800000000000001</v>
      </c>
    </row>
    <row r="439" spans="1:18" x14ac:dyDescent="0.2">
      <c r="A439" t="s">
        <v>243</v>
      </c>
      <c r="B439" s="2">
        <v>31</v>
      </c>
      <c r="C439" t="s">
        <v>63</v>
      </c>
      <c r="D439" s="2" t="s">
        <v>33</v>
      </c>
      <c r="E439" s="2">
        <v>23</v>
      </c>
      <c r="F439" s="2">
        <v>492</v>
      </c>
      <c r="G439" s="2">
        <v>0.58599999999999997</v>
      </c>
      <c r="H439" s="2">
        <v>18.399999999999999</v>
      </c>
      <c r="I439" s="2">
        <v>15.3</v>
      </c>
      <c r="J439" s="18">
        <v>3.8888888888888888</v>
      </c>
      <c r="K439" s="2">
        <v>0.2</v>
      </c>
      <c r="L439" s="2">
        <v>0.4</v>
      </c>
      <c r="M439" s="2">
        <v>14.4</v>
      </c>
      <c r="N439" s="2">
        <v>13</v>
      </c>
      <c r="O439" s="2">
        <v>0.3</v>
      </c>
      <c r="P439" s="2">
        <v>0.13300000000000001</v>
      </c>
      <c r="Q439" s="2">
        <v>0.51800000000000002</v>
      </c>
      <c r="R439" s="2">
        <v>0.38700000000000001</v>
      </c>
    </row>
    <row r="440" spans="1:18" x14ac:dyDescent="0.2">
      <c r="A440" t="s">
        <v>562</v>
      </c>
      <c r="B440" s="2">
        <v>23</v>
      </c>
      <c r="C440" t="s">
        <v>46</v>
      </c>
      <c r="D440" s="2" t="s">
        <v>49</v>
      </c>
      <c r="E440" s="2">
        <v>2</v>
      </c>
      <c r="F440" s="2">
        <v>4</v>
      </c>
      <c r="G440" s="2">
        <v>0</v>
      </c>
      <c r="H440" s="2">
        <v>0</v>
      </c>
      <c r="I440" s="2">
        <v>10.5</v>
      </c>
      <c r="J440" s="18" t="e">
        <v>#DIV/0!</v>
      </c>
      <c r="K440" s="2">
        <v>18.7</v>
      </c>
      <c r="L440" s="2">
        <v>0</v>
      </c>
      <c r="M440" s="2">
        <v>9.1</v>
      </c>
      <c r="N440" s="2">
        <v>18.100000000000001</v>
      </c>
      <c r="O440" s="2">
        <v>0</v>
      </c>
      <c r="P440" s="2">
        <v>8.2000000000000003E-2</v>
      </c>
      <c r="Q440" s="2">
        <v>0</v>
      </c>
      <c r="R440" s="2">
        <v>0</v>
      </c>
    </row>
    <row r="441" spans="1:18" x14ac:dyDescent="0.2">
      <c r="A441" t="s">
        <v>542</v>
      </c>
      <c r="B441" s="2">
        <v>25</v>
      </c>
      <c r="C441" t="s">
        <v>35</v>
      </c>
      <c r="D441" s="2" t="s">
        <v>52</v>
      </c>
      <c r="E441" s="2">
        <v>6</v>
      </c>
      <c r="F441" s="2">
        <v>17</v>
      </c>
      <c r="G441" s="2">
        <v>0.38700000000000001</v>
      </c>
      <c r="H441" s="2">
        <v>8.6</v>
      </c>
      <c r="I441" s="2">
        <v>10.1</v>
      </c>
      <c r="J441" s="18" t="e">
        <v>#DIV/0!</v>
      </c>
      <c r="K441" s="2">
        <v>0.3</v>
      </c>
      <c r="L441" s="2">
        <v>0</v>
      </c>
      <c r="M441" s="2">
        <v>5.7</v>
      </c>
      <c r="N441" s="2">
        <v>6.6</v>
      </c>
      <c r="O441" s="2">
        <v>0</v>
      </c>
      <c r="P441" s="2">
        <v>1E-3</v>
      </c>
      <c r="Q441" s="2">
        <v>0.5</v>
      </c>
      <c r="R441" s="2">
        <v>0.66700000000000004</v>
      </c>
    </row>
    <row r="442" spans="1:18" x14ac:dyDescent="0.2">
      <c r="A442" t="s">
        <v>99</v>
      </c>
      <c r="B442" s="2">
        <v>36</v>
      </c>
      <c r="C442" t="s">
        <v>100</v>
      </c>
      <c r="D442" s="2" t="s">
        <v>33</v>
      </c>
      <c r="E442" s="2">
        <v>19</v>
      </c>
      <c r="F442" s="2">
        <v>583</v>
      </c>
      <c r="G442" s="2">
        <v>0.621</v>
      </c>
      <c r="H442" s="2">
        <v>35.6</v>
      </c>
      <c r="I442" s="2">
        <v>29.3</v>
      </c>
      <c r="J442" s="18">
        <v>1.9838709677419355</v>
      </c>
      <c r="K442" s="2">
        <v>1.1000000000000001</v>
      </c>
      <c r="L442" s="2">
        <v>1</v>
      </c>
      <c r="M442" s="2">
        <v>8.4</v>
      </c>
      <c r="N442" s="2">
        <v>22.3</v>
      </c>
      <c r="O442" s="2">
        <v>1.4</v>
      </c>
      <c r="P442" s="2">
        <v>0.187</v>
      </c>
      <c r="Q442" s="2">
        <v>0.57499999999999996</v>
      </c>
      <c r="R442" s="2">
        <v>0.24399999999999999</v>
      </c>
    </row>
    <row r="443" spans="1:18" x14ac:dyDescent="0.2">
      <c r="A443" t="s">
        <v>163</v>
      </c>
      <c r="B443" s="2">
        <v>20</v>
      </c>
      <c r="C443" t="s">
        <v>93</v>
      </c>
      <c r="D443" s="2" t="s">
        <v>33</v>
      </c>
      <c r="E443" s="2">
        <v>24</v>
      </c>
      <c r="F443" s="2">
        <v>658</v>
      </c>
      <c r="G443" s="2">
        <v>0.49199999999999999</v>
      </c>
      <c r="H443" s="2">
        <v>21.5</v>
      </c>
      <c r="I443" s="2">
        <v>22.2</v>
      </c>
      <c r="J443" s="18">
        <v>2.0444444444444443</v>
      </c>
      <c r="K443" s="2">
        <v>-1.4</v>
      </c>
      <c r="L443" s="2">
        <v>0.4</v>
      </c>
      <c r="M443" s="2">
        <v>10</v>
      </c>
      <c r="N443" s="2">
        <v>10.8</v>
      </c>
      <c r="O443" s="2">
        <v>-0.4</v>
      </c>
      <c r="P443" s="2">
        <v>1.4999999999999999E-2</v>
      </c>
      <c r="Q443" s="2">
        <v>0.442</v>
      </c>
      <c r="R443" s="2">
        <v>0.32400000000000001</v>
      </c>
    </row>
    <row r="444" spans="1:18" x14ac:dyDescent="0.2">
      <c r="A444" t="s">
        <v>428</v>
      </c>
      <c r="B444" s="2">
        <v>31</v>
      </c>
      <c r="C444" t="s">
        <v>87</v>
      </c>
      <c r="D444" s="2" t="s">
        <v>42</v>
      </c>
      <c r="E444" s="2">
        <v>13</v>
      </c>
      <c r="F444" s="2">
        <v>144</v>
      </c>
      <c r="G444" s="2">
        <v>0.55200000000000005</v>
      </c>
      <c r="H444" s="2">
        <v>11.4</v>
      </c>
      <c r="I444" s="2">
        <v>13.7</v>
      </c>
      <c r="J444" s="18">
        <v>0.82352941176470584</v>
      </c>
      <c r="K444" s="2">
        <v>1</v>
      </c>
      <c r="L444" s="2">
        <v>0.2</v>
      </c>
      <c r="M444" s="2">
        <v>14.4</v>
      </c>
      <c r="N444" s="2">
        <v>8.9</v>
      </c>
      <c r="O444" s="2">
        <v>0</v>
      </c>
      <c r="P444" s="2">
        <v>4.1000000000000002E-2</v>
      </c>
      <c r="Q444" s="2">
        <v>0.59099999999999997</v>
      </c>
      <c r="R444" s="2">
        <v>0.90900000000000003</v>
      </c>
    </row>
    <row r="445" spans="1:18" x14ac:dyDescent="0.2">
      <c r="A445" t="s">
        <v>441</v>
      </c>
      <c r="B445" s="2">
        <v>27</v>
      </c>
      <c r="C445" t="s">
        <v>120</v>
      </c>
      <c r="D445" s="2" t="s">
        <v>49</v>
      </c>
      <c r="E445" s="2">
        <v>6</v>
      </c>
      <c r="F445" s="2">
        <v>81</v>
      </c>
      <c r="G445" s="2">
        <v>0.52200000000000002</v>
      </c>
      <c r="H445" s="2">
        <v>17.899999999999999</v>
      </c>
      <c r="I445" s="2">
        <v>20.100000000000001</v>
      </c>
      <c r="J445" s="18">
        <v>0.8</v>
      </c>
      <c r="K445" s="2">
        <v>-0.7</v>
      </c>
      <c r="L445" s="2">
        <v>0</v>
      </c>
      <c r="M445" s="2">
        <v>6</v>
      </c>
      <c r="N445" s="2">
        <v>6.9</v>
      </c>
      <c r="O445" s="2">
        <v>-0.1</v>
      </c>
      <c r="P445" s="2">
        <v>-6.6000000000000003E-2</v>
      </c>
      <c r="Q445" s="2">
        <v>0.5</v>
      </c>
      <c r="R445" s="2">
        <v>0.14799999999999999</v>
      </c>
    </row>
    <row r="446" spans="1:18" x14ac:dyDescent="0.2">
      <c r="A446" t="s">
        <v>178</v>
      </c>
      <c r="B446" s="2">
        <v>32</v>
      </c>
      <c r="C446" t="s">
        <v>82</v>
      </c>
      <c r="D446" s="2" t="s">
        <v>33</v>
      </c>
      <c r="E446" s="2">
        <v>24</v>
      </c>
      <c r="F446" s="2">
        <v>480</v>
      </c>
      <c r="G446" s="2">
        <v>0.59599999999999997</v>
      </c>
      <c r="H446" s="2">
        <v>27.6</v>
      </c>
      <c r="I446" s="2">
        <v>24.4</v>
      </c>
      <c r="J446" s="18">
        <v>2.4871794871794872</v>
      </c>
      <c r="K446" s="2">
        <v>0.3</v>
      </c>
      <c r="L446" s="2">
        <v>0.4</v>
      </c>
      <c r="M446" s="2">
        <v>8.9</v>
      </c>
      <c r="N446" s="2">
        <v>20.7</v>
      </c>
      <c r="O446" s="2">
        <v>0.4</v>
      </c>
      <c r="P446" s="2">
        <v>0.112</v>
      </c>
      <c r="Q446" s="2">
        <v>0.58399999999999996</v>
      </c>
      <c r="R446" s="2">
        <v>0.11799999999999999</v>
      </c>
    </row>
    <row r="447" spans="1:18" x14ac:dyDescent="0.2">
      <c r="A447" t="s">
        <v>422</v>
      </c>
      <c r="B447" s="2">
        <v>39</v>
      </c>
      <c r="C447" t="s">
        <v>59</v>
      </c>
      <c r="D447" s="2" t="s">
        <v>42</v>
      </c>
      <c r="E447" s="2">
        <v>13</v>
      </c>
      <c r="F447" s="2">
        <v>150</v>
      </c>
      <c r="G447" s="2">
        <v>0.505</v>
      </c>
      <c r="H447" s="2">
        <v>12.2</v>
      </c>
      <c r="I447" s="2">
        <v>12.9</v>
      </c>
      <c r="J447" s="18">
        <v>0.77777777777777779</v>
      </c>
      <c r="K447" s="2">
        <v>-0.4</v>
      </c>
      <c r="L447" s="2">
        <v>0.1</v>
      </c>
      <c r="M447" s="2">
        <v>7.5</v>
      </c>
      <c r="N447" s="2">
        <v>10.9</v>
      </c>
      <c r="O447" s="2">
        <v>-0.1</v>
      </c>
      <c r="P447" s="2">
        <v>5.2999999999999999E-2</v>
      </c>
      <c r="Q447" s="2">
        <v>0.48499999999999999</v>
      </c>
      <c r="R447" s="2">
        <v>0.17599999999999999</v>
      </c>
    </row>
    <row r="448" spans="1:18" x14ac:dyDescent="0.2">
      <c r="A448" t="s">
        <v>298</v>
      </c>
      <c r="B448" s="2">
        <v>24</v>
      </c>
      <c r="C448" t="s">
        <v>70</v>
      </c>
      <c r="D448" s="2" t="s">
        <v>52</v>
      </c>
      <c r="E448" s="2">
        <v>19</v>
      </c>
      <c r="F448" s="2">
        <v>208</v>
      </c>
      <c r="G448" s="2">
        <v>0.68200000000000005</v>
      </c>
      <c r="H448" s="2">
        <v>30.1</v>
      </c>
      <c r="I448" s="2">
        <v>22.2</v>
      </c>
      <c r="J448" s="18">
        <v>2.5454545454545454</v>
      </c>
      <c r="K448" s="2">
        <v>-1.5</v>
      </c>
      <c r="L448" s="2">
        <v>0.1</v>
      </c>
      <c r="M448" s="2">
        <v>0</v>
      </c>
      <c r="N448" s="2">
        <v>20.7</v>
      </c>
      <c r="O448" s="2">
        <v>0.3</v>
      </c>
      <c r="P448" s="2">
        <v>0.16700000000000001</v>
      </c>
      <c r="Q448" s="2">
        <v>0.66100000000000003</v>
      </c>
      <c r="R448" s="2">
        <v>0.33300000000000002</v>
      </c>
    </row>
    <row r="449" spans="1:18" x14ac:dyDescent="0.2">
      <c r="A449" t="s">
        <v>187</v>
      </c>
      <c r="B449" s="2">
        <v>23</v>
      </c>
      <c r="C449" t="s">
        <v>87</v>
      </c>
      <c r="D449" s="2" t="s">
        <v>27</v>
      </c>
      <c r="E449" s="2">
        <v>23</v>
      </c>
      <c r="F449" s="2">
        <v>529</v>
      </c>
      <c r="G449" s="2">
        <v>0.55600000000000005</v>
      </c>
      <c r="H449" s="2">
        <v>23.6</v>
      </c>
      <c r="I449" s="2">
        <v>19.7</v>
      </c>
      <c r="J449" s="18">
        <v>1.25</v>
      </c>
      <c r="K449" s="4">
        <v>4</v>
      </c>
      <c r="L449" s="2">
        <v>1.5</v>
      </c>
      <c r="M449" s="2">
        <v>9.1</v>
      </c>
      <c r="N449" s="2">
        <v>20.2</v>
      </c>
      <c r="O449" s="2">
        <v>1</v>
      </c>
      <c r="P449" s="2">
        <v>0.21</v>
      </c>
      <c r="Q449" s="2">
        <v>0.52800000000000002</v>
      </c>
      <c r="R449" s="2">
        <v>0.20200000000000001</v>
      </c>
    </row>
    <row r="450" spans="1:18" x14ac:dyDescent="0.2">
      <c r="A450" t="s">
        <v>242</v>
      </c>
      <c r="B450" s="2">
        <v>30</v>
      </c>
      <c r="C450" t="s">
        <v>35</v>
      </c>
      <c r="D450" s="2" t="s">
        <v>49</v>
      </c>
      <c r="E450" s="2">
        <v>24</v>
      </c>
      <c r="F450" s="2">
        <v>644</v>
      </c>
      <c r="G450" s="2">
        <v>0.67</v>
      </c>
      <c r="H450" s="2">
        <v>14.4</v>
      </c>
      <c r="I450" s="2">
        <v>11.5</v>
      </c>
      <c r="J450" s="18">
        <v>1.6923076923076923</v>
      </c>
      <c r="K450" s="2">
        <v>-0.1</v>
      </c>
      <c r="L450" s="2">
        <v>0.5</v>
      </c>
      <c r="M450" s="2">
        <v>7.9</v>
      </c>
      <c r="N450" s="2">
        <v>10.8</v>
      </c>
      <c r="O450" s="2">
        <v>0.1</v>
      </c>
      <c r="P450" s="2">
        <v>9.2999999999999999E-2</v>
      </c>
      <c r="Q450" s="2">
        <v>0.65800000000000003</v>
      </c>
      <c r="R450" s="2">
        <v>9.6000000000000002E-2</v>
      </c>
    </row>
    <row r="451" spans="1:18" x14ac:dyDescent="0.2">
      <c r="A451" t="s">
        <v>489</v>
      </c>
      <c r="B451" s="2">
        <v>21</v>
      </c>
      <c r="C451" t="s">
        <v>120</v>
      </c>
      <c r="D451" s="2" t="s">
        <v>27</v>
      </c>
      <c r="E451" s="2">
        <v>3</v>
      </c>
      <c r="F451" s="2">
        <v>75</v>
      </c>
      <c r="G451" s="2">
        <v>0.35399999999999998</v>
      </c>
      <c r="H451" s="2">
        <v>9</v>
      </c>
      <c r="I451" s="2">
        <v>12.2</v>
      </c>
      <c r="J451" s="18">
        <v>1</v>
      </c>
      <c r="K451" s="2">
        <v>1.2</v>
      </c>
      <c r="L451" s="2">
        <v>0.1</v>
      </c>
      <c r="M451" s="2">
        <v>15.4</v>
      </c>
      <c r="N451" s="2">
        <v>7.3</v>
      </c>
      <c r="O451" s="2">
        <v>0</v>
      </c>
      <c r="P451" s="2">
        <v>-6.0000000000000001E-3</v>
      </c>
      <c r="Q451" s="2">
        <v>0.30599999999999999</v>
      </c>
      <c r="R451" s="2">
        <v>0.222</v>
      </c>
    </row>
    <row r="452" spans="1:18" x14ac:dyDescent="0.2">
      <c r="A452" t="s">
        <v>510</v>
      </c>
      <c r="B452" s="2">
        <v>26</v>
      </c>
      <c r="C452" t="s">
        <v>135</v>
      </c>
      <c r="D452" s="2" t="s">
        <v>52</v>
      </c>
      <c r="E452" s="2">
        <v>2</v>
      </c>
      <c r="F452" s="2">
        <v>20</v>
      </c>
      <c r="G452" s="2">
        <v>0.27600000000000002</v>
      </c>
      <c r="H452" s="2">
        <v>14.4</v>
      </c>
      <c r="I452" s="2">
        <v>26.6</v>
      </c>
      <c r="J452" s="18">
        <v>0.5</v>
      </c>
      <c r="K452" s="2">
        <v>-1.1000000000000001</v>
      </c>
      <c r="L452" s="2">
        <v>0</v>
      </c>
      <c r="M452" s="2">
        <v>9.1</v>
      </c>
      <c r="N452" s="2">
        <v>7.2</v>
      </c>
      <c r="O452" s="2">
        <v>0</v>
      </c>
      <c r="P452" s="2">
        <v>-0.16900000000000001</v>
      </c>
      <c r="Q452" s="2">
        <v>0.25</v>
      </c>
      <c r="R452" s="2">
        <v>0.2</v>
      </c>
    </row>
    <row r="453" spans="1:18" x14ac:dyDescent="0.2">
      <c r="A453" t="s">
        <v>290</v>
      </c>
      <c r="B453" s="2">
        <v>28</v>
      </c>
      <c r="C453" t="s">
        <v>77</v>
      </c>
      <c r="D453" s="2" t="s">
        <v>52</v>
      </c>
      <c r="E453" s="2">
        <v>23</v>
      </c>
      <c r="F453" s="2">
        <v>484</v>
      </c>
      <c r="G453" s="2">
        <v>0.52</v>
      </c>
      <c r="H453" s="2">
        <v>14.7</v>
      </c>
      <c r="I453" s="2">
        <v>13.5</v>
      </c>
      <c r="J453" s="18">
        <v>3.0769230769230771</v>
      </c>
      <c r="K453" s="2">
        <v>1.2</v>
      </c>
      <c r="L453" s="2">
        <v>0.6</v>
      </c>
      <c r="M453" s="2">
        <v>5.4</v>
      </c>
      <c r="N453" s="2">
        <v>10.9</v>
      </c>
      <c r="O453" s="2">
        <v>0.1</v>
      </c>
      <c r="P453" s="2">
        <v>0.10199999999999999</v>
      </c>
      <c r="Q453" s="2">
        <v>0.5</v>
      </c>
      <c r="R453" s="2">
        <v>0.188</v>
      </c>
    </row>
    <row r="454" spans="1:18" x14ac:dyDescent="0.2">
      <c r="A454" t="s">
        <v>501</v>
      </c>
      <c r="B454" s="2">
        <v>24</v>
      </c>
      <c r="C454" t="s">
        <v>51</v>
      </c>
      <c r="D454" s="2" t="s">
        <v>52</v>
      </c>
      <c r="E454" s="2">
        <v>7</v>
      </c>
      <c r="F454" s="2">
        <v>30</v>
      </c>
      <c r="G454" s="2">
        <v>0.5</v>
      </c>
      <c r="H454" s="2">
        <v>14.8</v>
      </c>
      <c r="I454" s="2">
        <v>17.600000000000001</v>
      </c>
      <c r="J454" s="18">
        <v>1.3333333333333333</v>
      </c>
      <c r="K454" s="2">
        <v>2.1</v>
      </c>
      <c r="L454" s="2">
        <v>0</v>
      </c>
      <c r="M454" s="2">
        <v>0</v>
      </c>
      <c r="N454" s="2">
        <v>9.1</v>
      </c>
      <c r="O454" s="2">
        <v>0</v>
      </c>
      <c r="P454" s="2">
        <v>-1E-3</v>
      </c>
      <c r="Q454" s="2">
        <v>0.5</v>
      </c>
      <c r="R454" s="2">
        <v>0</v>
      </c>
    </row>
    <row r="455" spans="1:18" x14ac:dyDescent="0.2">
      <c r="A455" t="s">
        <v>193</v>
      </c>
      <c r="B455" s="2">
        <v>30</v>
      </c>
      <c r="C455" t="s">
        <v>61</v>
      </c>
      <c r="D455" s="2" t="s">
        <v>33</v>
      </c>
      <c r="E455" s="2">
        <v>21</v>
      </c>
      <c r="F455" s="2">
        <v>597</v>
      </c>
      <c r="G455" s="2">
        <v>0.52700000000000002</v>
      </c>
      <c r="H455" s="2">
        <v>20.5</v>
      </c>
      <c r="I455" s="2">
        <v>19.5</v>
      </c>
      <c r="J455" s="18">
        <v>1.9375</v>
      </c>
      <c r="K455" s="2">
        <v>-1.1000000000000001</v>
      </c>
      <c r="L455" s="2">
        <v>0.5</v>
      </c>
      <c r="M455" s="2">
        <v>7.9</v>
      </c>
      <c r="N455" s="2">
        <v>11.2</v>
      </c>
      <c r="O455" s="2">
        <v>-0.2</v>
      </c>
      <c r="P455" s="2">
        <v>5.0999999999999997E-2</v>
      </c>
      <c r="Q455" s="2">
        <v>0.49099999999999999</v>
      </c>
      <c r="R455" s="2">
        <v>0.17</v>
      </c>
    </row>
    <row r="456" spans="1:18" x14ac:dyDescent="0.2">
      <c r="A456" t="s">
        <v>419</v>
      </c>
      <c r="B456" s="2">
        <v>27</v>
      </c>
      <c r="C456" t="s">
        <v>61</v>
      </c>
      <c r="D456" s="2" t="s">
        <v>42</v>
      </c>
      <c r="E456" s="2">
        <v>10</v>
      </c>
      <c r="F456" s="2">
        <v>115</v>
      </c>
      <c r="G456" s="2">
        <v>0.624</v>
      </c>
      <c r="H456" s="2">
        <v>17.7</v>
      </c>
      <c r="I456" s="2">
        <v>13.2</v>
      </c>
      <c r="J456" s="18">
        <v>2</v>
      </c>
      <c r="K456" s="2">
        <v>0.9</v>
      </c>
      <c r="L456" s="2">
        <v>0.2</v>
      </c>
      <c r="M456" s="2">
        <v>6</v>
      </c>
      <c r="N456" s="2">
        <v>15.9</v>
      </c>
      <c r="O456" s="2">
        <v>0.1</v>
      </c>
      <c r="P456" s="2">
        <v>0.17599999999999999</v>
      </c>
      <c r="Q456" s="2">
        <v>0.53600000000000003</v>
      </c>
      <c r="R456" s="2">
        <v>0.39300000000000002</v>
      </c>
    </row>
    <row r="457" spans="1:18" x14ac:dyDescent="0.2">
      <c r="A457" t="s">
        <v>337</v>
      </c>
      <c r="B457" s="2">
        <v>19</v>
      </c>
      <c r="C457" t="s">
        <v>59</v>
      </c>
      <c r="D457" s="2" t="s">
        <v>27</v>
      </c>
      <c r="E457" s="2">
        <v>20</v>
      </c>
      <c r="F457" s="2">
        <v>376</v>
      </c>
      <c r="G457" s="2">
        <v>0.45700000000000002</v>
      </c>
      <c r="H457" s="2">
        <v>13.2</v>
      </c>
      <c r="I457" s="2">
        <v>14.2</v>
      </c>
      <c r="J457" s="18">
        <v>1.1875</v>
      </c>
      <c r="K457" s="2">
        <v>-0.3</v>
      </c>
      <c r="L457" s="2">
        <v>0.3</v>
      </c>
      <c r="M457" s="2">
        <v>12.4</v>
      </c>
      <c r="N457" s="2">
        <v>7.5</v>
      </c>
      <c r="O457" s="2">
        <v>-0.2</v>
      </c>
      <c r="P457" s="2">
        <v>1.6E-2</v>
      </c>
      <c r="Q457" s="2">
        <v>0.42599999999999999</v>
      </c>
      <c r="R457" s="2">
        <v>0.188</v>
      </c>
    </row>
    <row r="458" spans="1:18" x14ac:dyDescent="0.2">
      <c r="A458" t="s">
        <v>214</v>
      </c>
      <c r="B458" s="2">
        <v>32</v>
      </c>
      <c r="C458" t="s">
        <v>75</v>
      </c>
      <c r="D458" s="2" t="s">
        <v>52</v>
      </c>
      <c r="E458" s="2">
        <v>23</v>
      </c>
      <c r="F458" s="2">
        <v>627</v>
      </c>
      <c r="G458" s="2">
        <v>0.56599999999999995</v>
      </c>
      <c r="H458" s="2">
        <v>17.2</v>
      </c>
      <c r="I458" s="2">
        <v>14.4</v>
      </c>
      <c r="J458" s="18">
        <v>2.3333333333333335</v>
      </c>
      <c r="K458" s="2">
        <v>-1.4</v>
      </c>
      <c r="L458" s="2">
        <v>0.2</v>
      </c>
      <c r="M458" s="2">
        <v>8.9</v>
      </c>
      <c r="N458" s="2">
        <v>8.8000000000000007</v>
      </c>
      <c r="O458" s="2">
        <v>-0.2</v>
      </c>
      <c r="P458" s="2">
        <v>0.06</v>
      </c>
      <c r="Q458" s="2">
        <v>0.52200000000000002</v>
      </c>
      <c r="R458" s="2">
        <v>0.219</v>
      </c>
    </row>
    <row r="459" spans="1:18" x14ac:dyDescent="0.2">
      <c r="A459" t="s">
        <v>132</v>
      </c>
      <c r="B459" s="2">
        <v>32</v>
      </c>
      <c r="C459" t="s">
        <v>75</v>
      </c>
      <c r="D459" s="2" t="s">
        <v>27</v>
      </c>
      <c r="E459" s="2">
        <v>25</v>
      </c>
      <c r="F459" s="2">
        <v>807</v>
      </c>
      <c r="G459" s="2">
        <v>0.54800000000000004</v>
      </c>
      <c r="H459" s="2">
        <v>21</v>
      </c>
      <c r="I459" s="2">
        <v>18.5</v>
      </c>
      <c r="J459" s="18">
        <v>1.935483870967742</v>
      </c>
      <c r="K459" s="2">
        <v>0.2</v>
      </c>
      <c r="L459" s="2">
        <v>0.9</v>
      </c>
      <c r="M459" s="2">
        <v>8.9</v>
      </c>
      <c r="N459" s="2">
        <v>13.8</v>
      </c>
      <c r="O459" s="2">
        <v>0.3</v>
      </c>
      <c r="P459" s="2">
        <v>9.0999999999999998E-2</v>
      </c>
      <c r="Q459" s="2">
        <v>0.51400000000000001</v>
      </c>
      <c r="R459" s="2">
        <v>0.192</v>
      </c>
    </row>
    <row r="460" spans="1:18" x14ac:dyDescent="0.2">
      <c r="A460" t="s">
        <v>438</v>
      </c>
      <c r="B460" s="2">
        <v>34</v>
      </c>
      <c r="C460" t="s">
        <v>70</v>
      </c>
      <c r="D460" s="2" t="s">
        <v>49</v>
      </c>
      <c r="E460" s="2">
        <v>6</v>
      </c>
      <c r="F460" s="2">
        <v>67</v>
      </c>
      <c r="G460" s="2">
        <v>0.67700000000000005</v>
      </c>
      <c r="H460" s="2">
        <v>21.3</v>
      </c>
      <c r="I460" s="2">
        <v>14.3</v>
      </c>
      <c r="J460" s="18" t="e">
        <v>#DIV/0!</v>
      </c>
      <c r="K460" s="2">
        <v>-1.2</v>
      </c>
      <c r="L460" s="2">
        <v>0</v>
      </c>
      <c r="M460" s="2">
        <v>6.7</v>
      </c>
      <c r="N460" s="2">
        <v>14.6</v>
      </c>
      <c r="O460" s="2">
        <v>0</v>
      </c>
      <c r="P460" s="2">
        <v>0.14299999999999999</v>
      </c>
      <c r="Q460" s="2">
        <v>0.65900000000000003</v>
      </c>
      <c r="R460" s="2">
        <v>9.0999999999999998E-2</v>
      </c>
    </row>
    <row r="461" spans="1:18" x14ac:dyDescent="0.2">
      <c r="A461" t="s">
        <v>217</v>
      </c>
      <c r="B461" s="2">
        <v>24</v>
      </c>
      <c r="C461" t="s">
        <v>135</v>
      </c>
      <c r="D461" s="2" t="s">
        <v>27</v>
      </c>
      <c r="E461" s="2">
        <v>24</v>
      </c>
      <c r="F461" s="2">
        <v>720</v>
      </c>
      <c r="G461" s="2">
        <v>0.53100000000000003</v>
      </c>
      <c r="H461" s="2">
        <v>14.4</v>
      </c>
      <c r="I461" s="2">
        <v>13.8</v>
      </c>
      <c r="J461" s="18">
        <v>1.3157894736842106</v>
      </c>
      <c r="K461" s="2">
        <v>-0.2</v>
      </c>
      <c r="L461" s="2">
        <v>0.4</v>
      </c>
      <c r="M461" s="2">
        <v>0</v>
      </c>
      <c r="N461" s="2">
        <v>10.1</v>
      </c>
      <c r="O461" s="2">
        <v>-0.1</v>
      </c>
      <c r="P461" s="2">
        <v>0.04</v>
      </c>
      <c r="Q461" s="2">
        <v>0.51600000000000001</v>
      </c>
      <c r="R461" s="2">
        <v>0.13600000000000001</v>
      </c>
    </row>
    <row r="462" spans="1:18" x14ac:dyDescent="0.2">
      <c r="A462" t="s">
        <v>71</v>
      </c>
      <c r="B462" s="2">
        <v>26</v>
      </c>
      <c r="C462" t="s">
        <v>72</v>
      </c>
      <c r="D462" s="2" t="s">
        <v>33</v>
      </c>
      <c r="E462" s="2">
        <v>25</v>
      </c>
      <c r="F462" s="2">
        <v>899</v>
      </c>
      <c r="G462" s="2">
        <v>0.53600000000000003</v>
      </c>
      <c r="H462" s="2">
        <v>27</v>
      </c>
      <c r="I462" s="2">
        <v>27</v>
      </c>
      <c r="J462" s="18">
        <v>2.6666666666666665</v>
      </c>
      <c r="K462" s="2">
        <v>-2.5</v>
      </c>
      <c r="L462" s="2">
        <v>0.5</v>
      </c>
      <c r="M462" s="2">
        <v>9.1</v>
      </c>
      <c r="N462" s="2">
        <v>16.7</v>
      </c>
      <c r="O462" s="2">
        <v>0.3</v>
      </c>
      <c r="P462" s="2">
        <v>0.08</v>
      </c>
      <c r="Q462" s="2">
        <v>0.46100000000000002</v>
      </c>
      <c r="R462" s="2">
        <v>0.35799999999999998</v>
      </c>
    </row>
    <row r="463" spans="1:18" x14ac:dyDescent="0.2">
      <c r="A463" t="s">
        <v>259</v>
      </c>
      <c r="B463" s="2">
        <v>24</v>
      </c>
      <c r="C463" t="s">
        <v>100</v>
      </c>
      <c r="D463" s="2" t="s">
        <v>42</v>
      </c>
      <c r="E463" s="2">
        <v>23</v>
      </c>
      <c r="F463" s="2">
        <v>388</v>
      </c>
      <c r="G463" s="2">
        <v>0.60599999999999998</v>
      </c>
      <c r="H463" s="2">
        <v>21.1</v>
      </c>
      <c r="I463" s="2">
        <v>17.100000000000001</v>
      </c>
      <c r="J463" s="18">
        <v>2.5</v>
      </c>
      <c r="K463" s="2">
        <v>1.4</v>
      </c>
      <c r="L463" s="2">
        <v>0.6</v>
      </c>
      <c r="M463" s="2">
        <v>0</v>
      </c>
      <c r="N463" s="2">
        <v>18.399999999999999</v>
      </c>
      <c r="O463" s="2">
        <v>0.4</v>
      </c>
      <c r="P463" s="2">
        <v>0.17799999999999999</v>
      </c>
      <c r="Q463" s="2">
        <v>0.59799999999999998</v>
      </c>
      <c r="R463" s="2">
        <v>0.252</v>
      </c>
    </row>
    <row r="464" spans="1:18" x14ac:dyDescent="0.2">
      <c r="A464" t="s">
        <v>432</v>
      </c>
      <c r="B464" s="2">
        <v>25</v>
      </c>
      <c r="C464" t="s">
        <v>93</v>
      </c>
      <c r="D464" s="2" t="s">
        <v>33</v>
      </c>
      <c r="E464" s="2">
        <v>8</v>
      </c>
      <c r="F464" s="2">
        <v>140</v>
      </c>
      <c r="G464" s="2">
        <v>0.45600000000000002</v>
      </c>
      <c r="H464" s="2">
        <v>11.5</v>
      </c>
      <c r="I464" s="2">
        <v>12.6</v>
      </c>
      <c r="J464" s="18">
        <v>5.2</v>
      </c>
      <c r="K464" s="2">
        <v>0.7</v>
      </c>
      <c r="L464" s="2">
        <v>0.1</v>
      </c>
      <c r="M464" s="2">
        <v>5.7</v>
      </c>
      <c r="N464" s="2">
        <v>10.3</v>
      </c>
      <c r="O464" s="2">
        <v>0</v>
      </c>
      <c r="P464" s="2">
        <v>7.3999999999999996E-2</v>
      </c>
      <c r="Q464" s="2">
        <v>0.38300000000000001</v>
      </c>
      <c r="R464" s="2">
        <v>0.46700000000000003</v>
      </c>
    </row>
    <row r="465" spans="1:18" x14ac:dyDescent="0.2">
      <c r="A465" t="s">
        <v>246</v>
      </c>
      <c r="B465" s="2">
        <v>23</v>
      </c>
      <c r="C465" t="s">
        <v>59</v>
      </c>
      <c r="D465" s="2" t="s">
        <v>33</v>
      </c>
      <c r="E465" s="2">
        <v>13</v>
      </c>
      <c r="F465" s="2">
        <v>319</v>
      </c>
      <c r="G465" s="2">
        <v>0.53700000000000003</v>
      </c>
      <c r="H465" s="2">
        <v>28.4</v>
      </c>
      <c r="I465" s="2">
        <v>26</v>
      </c>
      <c r="J465" s="18">
        <v>1.56</v>
      </c>
      <c r="K465" s="2">
        <v>-2.1</v>
      </c>
      <c r="L465" s="2">
        <v>0.1</v>
      </c>
      <c r="M465" s="2">
        <v>9.1</v>
      </c>
      <c r="N465" s="2">
        <v>14</v>
      </c>
      <c r="O465" s="2">
        <v>0</v>
      </c>
      <c r="P465" s="2">
        <v>4.3999999999999997E-2</v>
      </c>
      <c r="Q465" s="2">
        <v>0.50900000000000001</v>
      </c>
      <c r="R465" s="2">
        <v>0.13</v>
      </c>
    </row>
    <row r="466" spans="1:18" x14ac:dyDescent="0.2">
      <c r="A466" t="s">
        <v>338</v>
      </c>
      <c r="B466" s="2">
        <v>24</v>
      </c>
      <c r="C466" t="s">
        <v>103</v>
      </c>
      <c r="D466" s="2" t="s">
        <v>27</v>
      </c>
      <c r="E466" s="2">
        <v>11</v>
      </c>
      <c r="F466" s="2">
        <v>199</v>
      </c>
      <c r="G466" s="2">
        <v>0.55500000000000005</v>
      </c>
      <c r="H466" s="2">
        <v>25</v>
      </c>
      <c r="I466" s="2">
        <v>23.9</v>
      </c>
      <c r="J466" s="18">
        <v>0.9375</v>
      </c>
      <c r="K466" s="2">
        <v>-0.6</v>
      </c>
      <c r="L466" s="2">
        <v>0.1</v>
      </c>
      <c r="M466" s="2">
        <v>0</v>
      </c>
      <c r="N466" s="2">
        <v>11.4</v>
      </c>
      <c r="O466" s="2">
        <v>-0.2</v>
      </c>
      <c r="P466" s="2">
        <v>2.1999999999999999E-2</v>
      </c>
      <c r="Q466" s="2">
        <v>0.48</v>
      </c>
      <c r="R466" s="2">
        <v>0.42099999999999999</v>
      </c>
    </row>
    <row r="467" spans="1:18" x14ac:dyDescent="0.2">
      <c r="A467" t="s">
        <v>499</v>
      </c>
      <c r="B467" s="2">
        <v>19</v>
      </c>
      <c r="C467" t="s">
        <v>77</v>
      </c>
      <c r="D467" s="2" t="s">
        <v>49</v>
      </c>
      <c r="E467" s="2">
        <v>1</v>
      </c>
      <c r="F467" s="2">
        <v>14</v>
      </c>
      <c r="G467" s="2">
        <v>0.47699999999999998</v>
      </c>
      <c r="H467" s="2">
        <v>31.7</v>
      </c>
      <c r="I467" s="2">
        <v>32.200000000000003</v>
      </c>
      <c r="J467" s="18">
        <v>0</v>
      </c>
      <c r="K467" s="2">
        <v>-0.8</v>
      </c>
      <c r="L467" s="2">
        <v>0</v>
      </c>
      <c r="M467" s="2">
        <v>12.4</v>
      </c>
      <c r="N467" s="2">
        <v>9.1</v>
      </c>
      <c r="O467" s="2">
        <v>0</v>
      </c>
      <c r="P467" s="2">
        <v>-5.1999999999999998E-2</v>
      </c>
      <c r="Q467" s="2">
        <v>0.44400000000000001</v>
      </c>
      <c r="R467" s="2">
        <v>0.111</v>
      </c>
    </row>
    <row r="468" spans="1:18" x14ac:dyDescent="0.2">
      <c r="A468" t="s">
        <v>540</v>
      </c>
      <c r="B468" s="2">
        <v>27</v>
      </c>
      <c r="C468" t="s">
        <v>48</v>
      </c>
      <c r="D468" s="2" t="s">
        <v>52</v>
      </c>
      <c r="E468" s="2">
        <v>2</v>
      </c>
      <c r="F468" s="2">
        <v>5</v>
      </c>
      <c r="G468" s="2">
        <v>0.5</v>
      </c>
      <c r="H468" s="2">
        <v>29.6</v>
      </c>
      <c r="I468" s="2">
        <v>34.6</v>
      </c>
      <c r="J468" s="18">
        <v>0</v>
      </c>
      <c r="K468" s="2">
        <v>-5.9</v>
      </c>
      <c r="L468" s="2">
        <v>0</v>
      </c>
      <c r="M468" s="2">
        <v>6</v>
      </c>
      <c r="N468" s="2">
        <v>-4.3</v>
      </c>
      <c r="O468" s="2">
        <v>0</v>
      </c>
      <c r="P468" s="2">
        <v>-0.26800000000000002</v>
      </c>
      <c r="Q468" s="2">
        <v>0.5</v>
      </c>
      <c r="R468" s="2">
        <v>0</v>
      </c>
    </row>
    <row r="469" spans="1:18" x14ac:dyDescent="0.2">
      <c r="A469" t="s">
        <v>497</v>
      </c>
      <c r="B469" s="2">
        <v>21</v>
      </c>
      <c r="C469" t="s">
        <v>46</v>
      </c>
      <c r="D469" s="2" t="s">
        <v>52</v>
      </c>
      <c r="E469" s="2">
        <v>9</v>
      </c>
      <c r="F469" s="2">
        <v>44</v>
      </c>
      <c r="G469" s="2">
        <v>0.34899999999999998</v>
      </c>
      <c r="H469" s="2">
        <v>9.6999999999999993</v>
      </c>
      <c r="I469" s="2">
        <v>13.3</v>
      </c>
      <c r="J469" s="18">
        <v>2</v>
      </c>
      <c r="K469" s="2">
        <v>-3</v>
      </c>
      <c r="L469" s="2">
        <v>0</v>
      </c>
      <c r="M469" s="2">
        <v>15.4</v>
      </c>
      <c r="N469" s="2">
        <v>0.4</v>
      </c>
      <c r="O469" s="2">
        <v>-0.1</v>
      </c>
      <c r="P469" s="2">
        <v>-8.5999999999999993E-2</v>
      </c>
      <c r="Q469" s="2">
        <v>0.29199999999999998</v>
      </c>
      <c r="R469" s="2">
        <v>0.16700000000000001</v>
      </c>
    </row>
    <row r="470" spans="1:18" x14ac:dyDescent="0.2">
      <c r="A470" t="s">
        <v>426</v>
      </c>
      <c r="B470" s="2">
        <v>25</v>
      </c>
      <c r="C470" t="s">
        <v>117</v>
      </c>
      <c r="D470" s="2" t="s">
        <v>42</v>
      </c>
      <c r="E470" s="2">
        <v>15</v>
      </c>
      <c r="F470" s="2">
        <v>152</v>
      </c>
      <c r="G470" s="2">
        <v>0.48</v>
      </c>
      <c r="H470" s="2">
        <v>11.3</v>
      </c>
      <c r="I470" s="2">
        <v>12.9</v>
      </c>
      <c r="J470" s="18">
        <v>0.8</v>
      </c>
      <c r="K470" s="2">
        <v>-0.1</v>
      </c>
      <c r="L470" s="2">
        <v>0.1</v>
      </c>
      <c r="M470" s="2">
        <v>5.7</v>
      </c>
      <c r="N470" s="2">
        <v>9.3000000000000007</v>
      </c>
      <c r="O470" s="2">
        <v>-0.2</v>
      </c>
      <c r="P470" s="2">
        <v>3.0000000000000001E-3</v>
      </c>
      <c r="Q470" s="2">
        <v>0.48299999999999998</v>
      </c>
      <c r="R470" s="2">
        <v>0.58599999999999997</v>
      </c>
    </row>
    <row r="471" spans="1:18" x14ac:dyDescent="0.2">
      <c r="A471" t="s">
        <v>340</v>
      </c>
      <c r="B471" s="2">
        <v>29</v>
      </c>
      <c r="C471" t="s">
        <v>37</v>
      </c>
      <c r="D471" s="2" t="s">
        <v>27</v>
      </c>
      <c r="E471" s="2">
        <v>18</v>
      </c>
      <c r="F471" s="2">
        <v>353</v>
      </c>
      <c r="G471" s="2">
        <v>0.504</v>
      </c>
      <c r="H471" s="2">
        <v>13.5</v>
      </c>
      <c r="I471" s="2">
        <v>13.1</v>
      </c>
      <c r="J471" s="18">
        <v>1.7</v>
      </c>
      <c r="K471" s="2">
        <v>-0.6</v>
      </c>
      <c r="L471" s="2">
        <v>0.4</v>
      </c>
      <c r="M471" s="2">
        <v>11</v>
      </c>
      <c r="N471" s="2">
        <v>9.6</v>
      </c>
      <c r="O471" s="2">
        <v>0</v>
      </c>
      <c r="P471" s="2">
        <v>6.2E-2</v>
      </c>
      <c r="Q471" s="2">
        <v>0.48399999999999999</v>
      </c>
      <c r="R471" s="2">
        <v>0.154</v>
      </c>
    </row>
    <row r="472" spans="1:18" x14ac:dyDescent="0.2">
      <c r="A472" t="s">
        <v>205</v>
      </c>
      <c r="B472" s="2">
        <v>24</v>
      </c>
      <c r="C472" t="s">
        <v>117</v>
      </c>
      <c r="D472" s="2" t="s">
        <v>49</v>
      </c>
      <c r="E472" s="2">
        <v>13</v>
      </c>
      <c r="F472" s="2">
        <v>438</v>
      </c>
      <c r="G472" s="2">
        <v>0.56799999999999995</v>
      </c>
      <c r="H472" s="2">
        <v>26.4</v>
      </c>
      <c r="I472" s="2">
        <v>22.2</v>
      </c>
      <c r="J472" s="18">
        <v>1.4285714285714286</v>
      </c>
      <c r="K472" s="2">
        <v>-1.2</v>
      </c>
      <c r="L472" s="2">
        <v>0.1</v>
      </c>
      <c r="M472" s="2">
        <v>0</v>
      </c>
      <c r="N472" s="2">
        <v>14.7</v>
      </c>
      <c r="O472" s="2">
        <v>0.1</v>
      </c>
      <c r="P472" s="2">
        <v>6.0999999999999999E-2</v>
      </c>
      <c r="Q472" s="2">
        <v>0.52100000000000002</v>
      </c>
      <c r="R472" s="2">
        <v>0.25</v>
      </c>
    </row>
    <row r="473" spans="1:18" x14ac:dyDescent="0.2">
      <c r="A473" t="s">
        <v>268</v>
      </c>
      <c r="B473" s="2">
        <v>23</v>
      </c>
      <c r="C473" t="s">
        <v>48</v>
      </c>
      <c r="D473" s="2" t="s">
        <v>49</v>
      </c>
      <c r="E473" s="2">
        <v>23</v>
      </c>
      <c r="F473" s="2">
        <v>523</v>
      </c>
      <c r="G473" s="2">
        <v>0.51100000000000001</v>
      </c>
      <c r="H473" s="2">
        <v>15.5</v>
      </c>
      <c r="I473" s="2">
        <v>14.5</v>
      </c>
      <c r="J473" s="18">
        <v>2.2000000000000002</v>
      </c>
      <c r="K473" s="2">
        <v>-0.3</v>
      </c>
      <c r="L473" s="2">
        <v>0.7</v>
      </c>
      <c r="M473" s="2">
        <v>9.1</v>
      </c>
      <c r="N473" s="2">
        <v>9</v>
      </c>
      <c r="O473" s="2">
        <v>-0.1</v>
      </c>
      <c r="P473" s="2">
        <v>7.6999999999999999E-2</v>
      </c>
      <c r="Q473" s="2">
        <v>0.49</v>
      </c>
      <c r="R473" s="2">
        <v>0.16</v>
      </c>
    </row>
    <row r="474" spans="1:18" x14ac:dyDescent="0.2">
      <c r="A474" t="s">
        <v>451</v>
      </c>
      <c r="B474" s="2">
        <v>33</v>
      </c>
      <c r="C474" t="s">
        <v>57</v>
      </c>
      <c r="D474" s="2" t="s">
        <v>27</v>
      </c>
      <c r="E474" s="2">
        <v>8</v>
      </c>
      <c r="F474" s="2">
        <v>58</v>
      </c>
      <c r="G474" s="2">
        <v>0.60099999999999998</v>
      </c>
      <c r="H474" s="2">
        <v>21.5</v>
      </c>
      <c r="I474" s="2">
        <v>19.100000000000001</v>
      </c>
      <c r="J474" s="18">
        <v>1</v>
      </c>
      <c r="K474" s="2">
        <v>-1.1000000000000001</v>
      </c>
      <c r="L474" s="2">
        <v>0.1</v>
      </c>
      <c r="M474" s="2">
        <v>6.9</v>
      </c>
      <c r="N474" s="2">
        <v>13.7</v>
      </c>
      <c r="O474" s="2">
        <v>0</v>
      </c>
      <c r="P474" s="2">
        <v>6.3E-2</v>
      </c>
      <c r="Q474" s="2">
        <v>0.68400000000000005</v>
      </c>
      <c r="R474" s="2">
        <v>0.316</v>
      </c>
    </row>
    <row r="475" spans="1:18" x14ac:dyDescent="0.2">
      <c r="A475" t="s">
        <v>538</v>
      </c>
      <c r="B475" s="2">
        <v>23</v>
      </c>
      <c r="C475" t="s">
        <v>82</v>
      </c>
      <c r="D475" s="2" t="s">
        <v>52</v>
      </c>
      <c r="E475" s="2">
        <v>5</v>
      </c>
      <c r="F475" s="2">
        <v>8</v>
      </c>
      <c r="G475" s="2">
        <v>0.23300000000000001</v>
      </c>
      <c r="H475" s="2">
        <v>18</v>
      </c>
      <c r="I475" s="2">
        <v>40.299999999999997</v>
      </c>
      <c r="J475" s="18">
        <v>1</v>
      </c>
      <c r="K475" s="2">
        <v>-11.6</v>
      </c>
      <c r="L475" s="2">
        <v>0</v>
      </c>
      <c r="M475" s="2">
        <v>9.1</v>
      </c>
      <c r="N475" s="2">
        <v>-15.2</v>
      </c>
      <c r="O475" s="2">
        <v>-0.1</v>
      </c>
      <c r="P475" s="2">
        <v>-0.57299999999999995</v>
      </c>
      <c r="Q475" s="2">
        <v>0.16700000000000001</v>
      </c>
      <c r="R475" s="2">
        <v>0.16700000000000001</v>
      </c>
    </row>
    <row r="476" spans="1:18" x14ac:dyDescent="0.2">
      <c r="A476" t="s">
        <v>180</v>
      </c>
      <c r="B476" s="2">
        <v>27</v>
      </c>
      <c r="C476" t="s">
        <v>57</v>
      </c>
      <c r="D476" s="2" t="s">
        <v>52</v>
      </c>
      <c r="E476" s="2">
        <v>24</v>
      </c>
      <c r="F476" s="2">
        <v>441</v>
      </c>
      <c r="G476" s="2">
        <v>0.68300000000000005</v>
      </c>
      <c r="H476" s="2">
        <v>29.3</v>
      </c>
      <c r="I476" s="2">
        <v>22.3</v>
      </c>
      <c r="J476" s="18">
        <v>2.8620689655172415</v>
      </c>
      <c r="K476" s="2">
        <v>1.2</v>
      </c>
      <c r="L476" s="2">
        <v>0.6</v>
      </c>
      <c r="M476" s="2">
        <v>6</v>
      </c>
      <c r="N476" s="2">
        <v>22.7</v>
      </c>
      <c r="O476" s="2">
        <v>0.8</v>
      </c>
      <c r="P476" s="2">
        <v>0.23899999999999999</v>
      </c>
      <c r="Q476" s="2">
        <v>0.64300000000000002</v>
      </c>
      <c r="R476" s="2">
        <v>0.253</v>
      </c>
    </row>
    <row r="477" spans="1:18" x14ac:dyDescent="0.2">
      <c r="A477" t="s">
        <v>60</v>
      </c>
      <c r="B477" s="2">
        <v>25</v>
      </c>
      <c r="C477" t="s">
        <v>61</v>
      </c>
      <c r="D477" s="2" t="s">
        <v>52</v>
      </c>
      <c r="E477" s="2">
        <v>23</v>
      </c>
      <c r="F477" s="2">
        <v>797</v>
      </c>
      <c r="G477" s="2">
        <v>0.63900000000000001</v>
      </c>
      <c r="H477" s="2">
        <v>34.6</v>
      </c>
      <c r="I477" s="2">
        <v>27</v>
      </c>
      <c r="J477" s="18">
        <v>2.0175438596491229</v>
      </c>
      <c r="K477" s="2">
        <v>-0.7</v>
      </c>
      <c r="L477" s="2">
        <v>0.8</v>
      </c>
      <c r="M477" s="2">
        <v>5.7</v>
      </c>
      <c r="N477" s="2">
        <v>20.399999999999999</v>
      </c>
      <c r="O477" s="2">
        <v>1.2</v>
      </c>
      <c r="P477" s="2">
        <v>0.16</v>
      </c>
      <c r="Q477" s="2">
        <v>0.60499999999999998</v>
      </c>
      <c r="R477" s="2">
        <v>0.219</v>
      </c>
    </row>
    <row r="478" spans="1:18" x14ac:dyDescent="0.2">
      <c r="A478" t="s">
        <v>411</v>
      </c>
      <c r="B478" s="2">
        <v>23</v>
      </c>
      <c r="C478" t="s">
        <v>44</v>
      </c>
      <c r="D478" s="2" t="s">
        <v>33</v>
      </c>
      <c r="E478" s="2">
        <v>16</v>
      </c>
      <c r="F478" s="2">
        <v>110</v>
      </c>
      <c r="G478" s="2">
        <v>0.59299999999999997</v>
      </c>
      <c r="H478" s="2">
        <v>20.7</v>
      </c>
      <c r="I478" s="2">
        <v>18.399999999999999</v>
      </c>
      <c r="J478" s="18">
        <v>1.5714285714285714</v>
      </c>
      <c r="K478" s="2">
        <v>0.2</v>
      </c>
      <c r="L478" s="2">
        <v>0.1</v>
      </c>
      <c r="M478" s="2">
        <v>9.1</v>
      </c>
      <c r="N478" s="2">
        <v>12.6</v>
      </c>
      <c r="O478" s="2">
        <v>0</v>
      </c>
      <c r="P478" s="2">
        <v>7.5999999999999998E-2</v>
      </c>
      <c r="Q478" s="2">
        <v>0.56799999999999995</v>
      </c>
      <c r="R478" s="2">
        <v>0.108</v>
      </c>
    </row>
    <row r="479" spans="1:18" x14ac:dyDescent="0.2">
      <c r="A479" t="s">
        <v>469</v>
      </c>
      <c r="B479" s="2">
        <v>20</v>
      </c>
      <c r="C479" t="s">
        <v>35</v>
      </c>
      <c r="D479" s="2" t="s">
        <v>27</v>
      </c>
      <c r="E479" s="2">
        <v>10</v>
      </c>
      <c r="F479" s="2">
        <v>34</v>
      </c>
      <c r="G479" s="2">
        <v>0.72</v>
      </c>
      <c r="H479" s="2">
        <v>28.7</v>
      </c>
      <c r="I479" s="2">
        <v>22</v>
      </c>
      <c r="J479" s="18">
        <v>0.33333333333333331</v>
      </c>
      <c r="K479" s="2">
        <v>1.3</v>
      </c>
      <c r="L479" s="2">
        <v>0</v>
      </c>
      <c r="M479" s="2">
        <v>10</v>
      </c>
      <c r="N479" s="2">
        <v>18.3</v>
      </c>
      <c r="O479" s="2">
        <v>0</v>
      </c>
      <c r="P479" s="2">
        <v>9.8000000000000004E-2</v>
      </c>
      <c r="Q479" s="2">
        <v>0.73099999999999998</v>
      </c>
      <c r="R479" s="2">
        <v>0.154</v>
      </c>
    </row>
    <row r="480" spans="1:18" x14ac:dyDescent="0.2">
      <c r="A480" t="s">
        <v>97</v>
      </c>
      <c r="B480" s="2">
        <v>24</v>
      </c>
      <c r="C480" t="s">
        <v>82</v>
      </c>
      <c r="D480" s="2" t="s">
        <v>33</v>
      </c>
      <c r="E480" s="2">
        <v>25</v>
      </c>
      <c r="F480" s="2">
        <v>884</v>
      </c>
      <c r="G480" s="2">
        <v>0.55800000000000005</v>
      </c>
      <c r="H480" s="2">
        <v>23.7</v>
      </c>
      <c r="I480" s="2">
        <v>21.6</v>
      </c>
      <c r="J480" s="18">
        <v>4.2857142857142856</v>
      </c>
      <c r="K480" s="2">
        <v>-1.6</v>
      </c>
      <c r="L480" s="2">
        <v>0.3</v>
      </c>
      <c r="M480" s="2">
        <v>0</v>
      </c>
      <c r="N480" s="2">
        <v>17.5</v>
      </c>
      <c r="O480" s="2">
        <v>0.8</v>
      </c>
      <c r="P480" s="2">
        <v>0.113</v>
      </c>
      <c r="Q480" s="2">
        <v>0.52</v>
      </c>
      <c r="R480" s="2">
        <v>0.218</v>
      </c>
    </row>
    <row r="481" spans="1:18" x14ac:dyDescent="0.2">
      <c r="A481" t="s">
        <v>383</v>
      </c>
      <c r="B481" s="2">
        <v>25</v>
      </c>
      <c r="C481" t="s">
        <v>103</v>
      </c>
      <c r="D481" s="2" t="s">
        <v>52</v>
      </c>
      <c r="E481" s="2">
        <v>9</v>
      </c>
      <c r="F481" s="2">
        <v>132</v>
      </c>
      <c r="G481" s="2">
        <v>0.70299999999999996</v>
      </c>
      <c r="H481" s="2">
        <v>24.5</v>
      </c>
      <c r="I481" s="2">
        <v>17</v>
      </c>
      <c r="J481" s="18">
        <v>2.5</v>
      </c>
      <c r="K481" s="2">
        <v>-1.2</v>
      </c>
      <c r="L481" s="2">
        <v>0.1</v>
      </c>
      <c r="M481" s="2">
        <v>5.7</v>
      </c>
      <c r="N481" s="2">
        <v>16.7</v>
      </c>
      <c r="O481" s="2">
        <v>0.1</v>
      </c>
      <c r="P481" s="2">
        <v>0.14499999999999999</v>
      </c>
      <c r="Q481" s="2">
        <v>0.69299999999999995</v>
      </c>
      <c r="R481" s="2">
        <v>0.114</v>
      </c>
    </row>
    <row r="482" spans="1:18" x14ac:dyDescent="0.2">
      <c r="A482" t="s">
        <v>121</v>
      </c>
      <c r="B482" s="2">
        <v>24</v>
      </c>
      <c r="C482" t="s">
        <v>122</v>
      </c>
      <c r="D482" s="2" t="s">
        <v>33</v>
      </c>
      <c r="E482" s="2">
        <v>16</v>
      </c>
      <c r="F482" s="2">
        <v>587</v>
      </c>
      <c r="G482" s="2">
        <v>0.51800000000000002</v>
      </c>
      <c r="H482" s="2">
        <v>33</v>
      </c>
      <c r="I482" s="2">
        <v>30.5</v>
      </c>
      <c r="J482" s="18">
        <v>2.6774193548387095</v>
      </c>
      <c r="K482" s="2">
        <v>0.1</v>
      </c>
      <c r="L482" s="2">
        <v>0.7</v>
      </c>
      <c r="M482" s="2">
        <v>0</v>
      </c>
      <c r="N482" s="2">
        <v>17.7</v>
      </c>
      <c r="O482" s="2">
        <v>0.6</v>
      </c>
      <c r="P482" s="2">
        <v>8.3000000000000004E-2</v>
      </c>
      <c r="Q482" s="2">
        <v>0.47099999999999997</v>
      </c>
      <c r="R482" s="2">
        <v>0.23799999999999999</v>
      </c>
    </row>
    <row r="483" spans="1:18" x14ac:dyDescent="0.2">
      <c r="A483" t="s">
        <v>505</v>
      </c>
      <c r="B483" s="2">
        <v>23</v>
      </c>
      <c r="C483" t="s">
        <v>54</v>
      </c>
      <c r="D483" s="2" t="s">
        <v>33</v>
      </c>
      <c r="E483" s="2">
        <v>3</v>
      </c>
      <c r="F483" s="2">
        <v>27</v>
      </c>
      <c r="G483" s="2">
        <v>0.66700000000000004</v>
      </c>
      <c r="H483" s="2">
        <v>14.6</v>
      </c>
      <c r="I483" s="2">
        <v>11.4</v>
      </c>
      <c r="J483" s="18">
        <v>4</v>
      </c>
      <c r="K483" s="2">
        <v>2</v>
      </c>
      <c r="L483" s="2">
        <v>0</v>
      </c>
      <c r="M483" s="2">
        <v>9.1</v>
      </c>
      <c r="N483" s="2">
        <v>14.1</v>
      </c>
      <c r="O483" s="2">
        <v>0</v>
      </c>
      <c r="P483" s="2">
        <v>0.11899999999999999</v>
      </c>
      <c r="Q483" s="2">
        <v>0.66700000000000004</v>
      </c>
      <c r="R483" s="2">
        <v>0</v>
      </c>
    </row>
    <row r="484" spans="1:18" x14ac:dyDescent="0.2">
      <c r="A484" t="s">
        <v>171</v>
      </c>
      <c r="B484" s="2">
        <v>28</v>
      </c>
      <c r="C484" t="s">
        <v>54</v>
      </c>
      <c r="D484" s="2" t="s">
        <v>33</v>
      </c>
      <c r="E484" s="2">
        <v>23</v>
      </c>
      <c r="F484" s="2">
        <v>742</v>
      </c>
      <c r="G484" s="2">
        <v>0.59799999999999998</v>
      </c>
      <c r="H484" s="2">
        <v>18.600000000000001</v>
      </c>
      <c r="I484" s="2">
        <v>15.4</v>
      </c>
      <c r="J484" s="18">
        <v>6.541666666666667</v>
      </c>
      <c r="K484" s="2">
        <v>-0.7</v>
      </c>
      <c r="L484" s="2">
        <v>0.3</v>
      </c>
      <c r="M484" s="2">
        <v>5.4</v>
      </c>
      <c r="N484" s="2">
        <v>16</v>
      </c>
      <c r="O484" s="2">
        <v>0.6</v>
      </c>
      <c r="P484" s="2">
        <v>0.14099999999999999</v>
      </c>
      <c r="Q484" s="2">
        <v>0.58599999999999997</v>
      </c>
      <c r="R484" s="2">
        <v>7.9000000000000001E-2</v>
      </c>
    </row>
    <row r="485" spans="1:18" x14ac:dyDescent="0.2">
      <c r="A485" t="s">
        <v>544</v>
      </c>
      <c r="B485" s="2">
        <v>19</v>
      </c>
      <c r="C485" t="s">
        <v>66</v>
      </c>
      <c r="D485" s="2" t="s">
        <v>27</v>
      </c>
      <c r="E485" s="2">
        <v>1</v>
      </c>
      <c r="F485" s="2">
        <v>5</v>
      </c>
      <c r="G485" s="2">
        <v>1</v>
      </c>
      <c r="H485" s="2">
        <v>19.3</v>
      </c>
      <c r="I485" s="2">
        <v>8.3000000000000007</v>
      </c>
      <c r="J485" s="18" t="e">
        <v>#DIV/0!</v>
      </c>
      <c r="K485" s="2">
        <v>-1.2</v>
      </c>
      <c r="L485" s="2">
        <v>0</v>
      </c>
      <c r="M485" s="2">
        <v>12.4</v>
      </c>
      <c r="N485" s="2">
        <v>16.600000000000001</v>
      </c>
      <c r="O485" s="2">
        <v>0</v>
      </c>
      <c r="P485" s="2">
        <v>0.14699999999999999</v>
      </c>
      <c r="Q485" s="2">
        <v>1</v>
      </c>
      <c r="R485" s="2">
        <v>0</v>
      </c>
    </row>
    <row r="486" spans="1:18" x14ac:dyDescent="0.2">
      <c r="A486" t="s">
        <v>336</v>
      </c>
      <c r="B486" s="2">
        <v>31</v>
      </c>
      <c r="C486" t="s">
        <v>59</v>
      </c>
      <c r="D486" s="2" t="s">
        <v>33</v>
      </c>
      <c r="E486" s="2">
        <v>13</v>
      </c>
      <c r="F486" s="2">
        <v>283</v>
      </c>
      <c r="G486" s="2">
        <v>0.46600000000000003</v>
      </c>
      <c r="H486" s="2">
        <v>17.5</v>
      </c>
      <c r="I486" s="2">
        <v>20</v>
      </c>
      <c r="J486" s="18">
        <v>1.9230769230769231</v>
      </c>
      <c r="K486" s="2">
        <v>-2.1</v>
      </c>
      <c r="L486" s="2">
        <v>0.1</v>
      </c>
      <c r="M486" s="2">
        <v>14.4</v>
      </c>
      <c r="N486" s="2">
        <v>8.5</v>
      </c>
      <c r="O486" s="2">
        <v>-0.3</v>
      </c>
      <c r="P486" s="2">
        <v>-1.7000000000000001E-2</v>
      </c>
      <c r="Q486" s="2">
        <v>0.45100000000000001</v>
      </c>
      <c r="R486" s="2">
        <v>9.7000000000000003E-2</v>
      </c>
    </row>
    <row r="487" spans="1:18" x14ac:dyDescent="0.2">
      <c r="A487" t="s">
        <v>92</v>
      </c>
      <c r="B487" s="2">
        <v>21</v>
      </c>
      <c r="C487" t="s">
        <v>93</v>
      </c>
      <c r="D487" s="2" t="s">
        <v>42</v>
      </c>
      <c r="E487" s="2">
        <v>19</v>
      </c>
      <c r="F487" s="2">
        <v>611</v>
      </c>
      <c r="G487" s="2">
        <v>0.59899999999999998</v>
      </c>
      <c r="H487" s="2">
        <v>35.6</v>
      </c>
      <c r="I487" s="2">
        <v>30.9</v>
      </c>
      <c r="J487" s="18">
        <v>1.0147058823529411</v>
      </c>
      <c r="K487" s="2">
        <v>2.6</v>
      </c>
      <c r="L487" s="2">
        <v>1.2</v>
      </c>
      <c r="M487" s="2">
        <v>15.4</v>
      </c>
      <c r="N487" s="2">
        <v>24.3</v>
      </c>
      <c r="O487" s="2">
        <v>1.3</v>
      </c>
      <c r="P487" s="2">
        <v>0.126</v>
      </c>
      <c r="Q487" s="2">
        <v>0.56499999999999995</v>
      </c>
      <c r="R487" s="2">
        <v>0.19800000000000001</v>
      </c>
    </row>
    <row r="488" spans="1:18" x14ac:dyDescent="0.2">
      <c r="A488" t="s">
        <v>483</v>
      </c>
      <c r="B488" s="2">
        <v>24</v>
      </c>
      <c r="C488" t="s">
        <v>80</v>
      </c>
      <c r="D488" s="2" t="s">
        <v>52</v>
      </c>
      <c r="E488" s="2">
        <v>3</v>
      </c>
      <c r="F488" s="2">
        <v>45</v>
      </c>
      <c r="G488" s="2">
        <v>0.38500000000000001</v>
      </c>
      <c r="H488" s="2">
        <v>16.3</v>
      </c>
      <c r="I488" s="2">
        <v>24.8</v>
      </c>
      <c r="J488" s="18">
        <v>1.2857142857142858</v>
      </c>
      <c r="K488" s="2">
        <v>-0.2</v>
      </c>
      <c r="L488" s="2">
        <v>0.1</v>
      </c>
      <c r="M488" s="2">
        <v>0</v>
      </c>
      <c r="N488" s="2">
        <v>3.7</v>
      </c>
      <c r="O488" s="2">
        <v>-0.1</v>
      </c>
      <c r="P488" s="2">
        <v>-0.106</v>
      </c>
      <c r="Q488" s="2">
        <v>0.39500000000000002</v>
      </c>
      <c r="R488" s="2">
        <v>0.21099999999999999</v>
      </c>
    </row>
    <row r="489" spans="1:18" x14ac:dyDescent="0.2">
      <c r="A489" t="s">
        <v>433</v>
      </c>
      <c r="B489" s="2">
        <v>24</v>
      </c>
      <c r="C489" t="s">
        <v>72</v>
      </c>
      <c r="D489" s="2" t="s">
        <v>33</v>
      </c>
      <c r="E489" s="2">
        <v>12</v>
      </c>
      <c r="F489" s="2">
        <v>140</v>
      </c>
      <c r="G489" s="2">
        <v>0.42399999999999999</v>
      </c>
      <c r="H489" s="2">
        <v>10.9</v>
      </c>
      <c r="I489" s="2">
        <v>13.2</v>
      </c>
      <c r="J489" s="18">
        <v>2.4285714285714284</v>
      </c>
      <c r="K489" s="2">
        <v>-0.2</v>
      </c>
      <c r="L489" s="2">
        <v>0.1</v>
      </c>
      <c r="M489" s="2">
        <v>0</v>
      </c>
      <c r="N489" s="2">
        <v>6.3</v>
      </c>
      <c r="O489" s="2">
        <v>-0.1</v>
      </c>
      <c r="P489" s="2">
        <v>4.0000000000000001E-3</v>
      </c>
      <c r="Q489" s="2">
        <v>0.4</v>
      </c>
      <c r="R489" s="2">
        <v>0.25700000000000001</v>
      </c>
    </row>
    <row r="490" spans="1:18" x14ac:dyDescent="0.2">
      <c r="A490" t="s">
        <v>498</v>
      </c>
      <c r="B490" s="2">
        <v>27</v>
      </c>
      <c r="C490" t="s">
        <v>46</v>
      </c>
      <c r="D490" s="2" t="s">
        <v>27</v>
      </c>
      <c r="E490" s="2">
        <v>4</v>
      </c>
      <c r="F490" s="2">
        <v>34</v>
      </c>
      <c r="G490" s="2">
        <v>0.64300000000000002</v>
      </c>
      <c r="H490" s="2">
        <v>12.6</v>
      </c>
      <c r="I490" s="2">
        <v>11.1</v>
      </c>
      <c r="J490" s="18">
        <v>0</v>
      </c>
      <c r="K490" s="2">
        <v>-2.1</v>
      </c>
      <c r="L490" s="2">
        <v>0</v>
      </c>
      <c r="M490" s="2">
        <v>6</v>
      </c>
      <c r="N490" s="2">
        <v>7.7</v>
      </c>
      <c r="O490" s="2">
        <v>0</v>
      </c>
      <c r="P490" s="2">
        <v>3.1E-2</v>
      </c>
      <c r="Q490" s="2">
        <v>0.64300000000000002</v>
      </c>
      <c r="R490" s="2">
        <v>0</v>
      </c>
    </row>
    <row r="491" spans="1:18" x14ac:dyDescent="0.2">
      <c r="A491" t="s">
        <v>245</v>
      </c>
      <c r="B491" s="2">
        <v>23</v>
      </c>
      <c r="C491" t="s">
        <v>120</v>
      </c>
      <c r="D491" s="2" t="s">
        <v>42</v>
      </c>
      <c r="E491" s="2">
        <v>17</v>
      </c>
      <c r="F491" s="2">
        <v>495</v>
      </c>
      <c r="G491" s="2">
        <v>0.72399999999999998</v>
      </c>
      <c r="H491" s="2">
        <v>18.100000000000001</v>
      </c>
      <c r="I491" s="2">
        <v>13</v>
      </c>
      <c r="J491" s="18">
        <v>0.96</v>
      </c>
      <c r="K491" s="2">
        <v>1.4</v>
      </c>
      <c r="L491" s="2">
        <v>0.5</v>
      </c>
      <c r="M491" s="2">
        <v>9.1</v>
      </c>
      <c r="N491" s="2">
        <v>21.4</v>
      </c>
      <c r="O491" s="2">
        <v>0.6</v>
      </c>
      <c r="P491" s="2">
        <v>0.16600000000000001</v>
      </c>
      <c r="Q491" s="2">
        <v>0.73099999999999998</v>
      </c>
      <c r="R491" s="2">
        <v>0.41699999999999998</v>
      </c>
    </row>
    <row r="492" spans="1:18" x14ac:dyDescent="0.2">
      <c r="A492" t="s">
        <v>329</v>
      </c>
      <c r="B492" s="2">
        <v>25</v>
      </c>
      <c r="C492" t="s">
        <v>48</v>
      </c>
      <c r="D492" s="2" t="s">
        <v>42</v>
      </c>
      <c r="E492" s="2">
        <v>14</v>
      </c>
      <c r="F492" s="2">
        <v>362</v>
      </c>
      <c r="G492" s="2">
        <v>0.59699999999999998</v>
      </c>
      <c r="H492" s="2">
        <v>14.5</v>
      </c>
      <c r="I492" s="2">
        <v>12.2</v>
      </c>
      <c r="J492" s="18">
        <v>2.5384615384615383</v>
      </c>
      <c r="K492" s="2">
        <v>2</v>
      </c>
      <c r="L492" s="2">
        <v>0.7</v>
      </c>
      <c r="M492" s="2">
        <v>5.7</v>
      </c>
      <c r="N492" s="2">
        <v>14.6</v>
      </c>
      <c r="O492" s="2">
        <v>0.2</v>
      </c>
      <c r="P492" s="2">
        <v>0.17699999999999999</v>
      </c>
      <c r="Q492" s="2">
        <v>0.53500000000000003</v>
      </c>
      <c r="R492" s="2">
        <v>0.52800000000000002</v>
      </c>
    </row>
    <row r="493" spans="1:18" x14ac:dyDescent="0.2">
      <c r="A493" t="s">
        <v>402</v>
      </c>
      <c r="B493" s="2">
        <v>23</v>
      </c>
      <c r="C493" t="s">
        <v>75</v>
      </c>
      <c r="D493" s="2" t="s">
        <v>52</v>
      </c>
      <c r="E493" s="2">
        <v>12</v>
      </c>
      <c r="F493" s="2">
        <v>171</v>
      </c>
      <c r="G493" s="2">
        <v>0.63</v>
      </c>
      <c r="H493" s="2">
        <v>14.9</v>
      </c>
      <c r="I493" s="2">
        <v>12.4</v>
      </c>
      <c r="J493" s="18">
        <v>1.75</v>
      </c>
      <c r="K493" s="2">
        <v>1.6</v>
      </c>
      <c r="L493" s="2">
        <v>0.2</v>
      </c>
      <c r="M493" s="2">
        <v>9.1</v>
      </c>
      <c r="N493" s="2">
        <v>13.7</v>
      </c>
      <c r="O493" s="2">
        <v>0.1</v>
      </c>
      <c r="P493" s="2">
        <v>0.125</v>
      </c>
      <c r="Q493" s="2">
        <v>0.56899999999999995</v>
      </c>
      <c r="R493" s="2">
        <v>0.33300000000000002</v>
      </c>
    </row>
    <row r="494" spans="1:18" x14ac:dyDescent="0.2">
      <c r="A494" t="s">
        <v>477</v>
      </c>
      <c r="B494" s="2">
        <v>26</v>
      </c>
      <c r="C494" t="s">
        <v>39</v>
      </c>
      <c r="D494" s="2" t="s">
        <v>42</v>
      </c>
      <c r="E494" s="2">
        <v>16</v>
      </c>
      <c r="F494" s="2">
        <v>144</v>
      </c>
      <c r="G494" s="2">
        <v>0.312</v>
      </c>
      <c r="H494" s="2">
        <v>6.1</v>
      </c>
      <c r="I494" s="2">
        <v>10.199999999999999</v>
      </c>
      <c r="J494" s="18">
        <v>1.2</v>
      </c>
      <c r="K494" s="2">
        <v>-0.3</v>
      </c>
      <c r="L494" s="2">
        <v>0.2</v>
      </c>
      <c r="M494" s="2">
        <v>9.1</v>
      </c>
      <c r="N494" s="2">
        <v>3.6</v>
      </c>
      <c r="O494" s="2">
        <v>-0.2</v>
      </c>
      <c r="P494" s="2">
        <v>-0.01</v>
      </c>
      <c r="Q494" s="2">
        <v>0.30399999999999999</v>
      </c>
      <c r="R494" s="2">
        <v>7.0999999999999994E-2</v>
      </c>
    </row>
    <row r="495" spans="1:18" x14ac:dyDescent="0.2">
      <c r="A495" t="s">
        <v>490</v>
      </c>
      <c r="B495" s="2">
        <v>23</v>
      </c>
      <c r="C495" t="s">
        <v>80</v>
      </c>
      <c r="D495" s="2" t="s">
        <v>33</v>
      </c>
      <c r="E495" s="2">
        <v>13</v>
      </c>
      <c r="F495" s="2">
        <v>40</v>
      </c>
      <c r="G495" s="2">
        <v>0.39700000000000002</v>
      </c>
      <c r="H495" s="2">
        <v>16.100000000000001</v>
      </c>
      <c r="I495" s="2">
        <v>21.7</v>
      </c>
      <c r="J495" s="18">
        <v>1.75</v>
      </c>
      <c r="K495" s="2">
        <v>-3</v>
      </c>
      <c r="L495" s="2">
        <v>0</v>
      </c>
      <c r="M495" s="2">
        <v>9.1</v>
      </c>
      <c r="N495" s="2">
        <v>2.7</v>
      </c>
      <c r="O495" s="2">
        <v>-0.1</v>
      </c>
      <c r="P495" s="2">
        <v>-7.2999999999999995E-2</v>
      </c>
      <c r="Q495" s="2">
        <v>0.33300000000000002</v>
      </c>
      <c r="R495" s="2">
        <v>0.4</v>
      </c>
    </row>
    <row r="496" spans="1:18" x14ac:dyDescent="0.2">
      <c r="A496" t="s">
        <v>206</v>
      </c>
      <c r="B496" s="2">
        <v>20</v>
      </c>
      <c r="C496" t="s">
        <v>117</v>
      </c>
      <c r="D496" s="2" t="s">
        <v>42</v>
      </c>
      <c r="E496" s="2">
        <v>25</v>
      </c>
      <c r="F496" s="2">
        <v>634</v>
      </c>
      <c r="G496" s="2">
        <v>0.57999999999999996</v>
      </c>
      <c r="H496" s="2">
        <v>17.8</v>
      </c>
      <c r="I496" s="2">
        <v>15.2</v>
      </c>
      <c r="J496" s="18">
        <v>1.0714285714285714</v>
      </c>
      <c r="K496" s="2">
        <v>-1.6</v>
      </c>
      <c r="L496" s="2">
        <v>0.4</v>
      </c>
      <c r="M496" s="2">
        <v>10</v>
      </c>
      <c r="N496" s="2">
        <v>17.399999999999999</v>
      </c>
      <c r="O496" s="2">
        <v>-0.1</v>
      </c>
      <c r="P496" s="2">
        <v>0.109</v>
      </c>
      <c r="Q496" s="2">
        <v>0.54800000000000004</v>
      </c>
      <c r="R496" s="2">
        <v>0.45200000000000001</v>
      </c>
    </row>
    <row r="497" spans="1:18" x14ac:dyDescent="0.2">
      <c r="A497" t="s">
        <v>165</v>
      </c>
      <c r="B497" s="2">
        <v>19</v>
      </c>
      <c r="C497" t="s">
        <v>72</v>
      </c>
      <c r="D497" s="2" t="s">
        <v>49</v>
      </c>
      <c r="E497" s="2">
        <v>26</v>
      </c>
      <c r="F497" s="2">
        <v>623</v>
      </c>
      <c r="G497" s="2">
        <v>0.49</v>
      </c>
      <c r="H497" s="2">
        <v>21.7</v>
      </c>
      <c r="I497" s="2">
        <v>21.1</v>
      </c>
      <c r="J497" s="18">
        <v>1.103448275862069</v>
      </c>
      <c r="K497" s="2">
        <v>-1.3</v>
      </c>
      <c r="L497" s="2">
        <v>0.4</v>
      </c>
      <c r="M497" s="2">
        <v>12.4</v>
      </c>
      <c r="N497" s="2">
        <v>10.4</v>
      </c>
      <c r="O497" s="2">
        <v>-0.4</v>
      </c>
      <c r="P497" s="2">
        <v>1.4999999999999999E-2</v>
      </c>
      <c r="Q497" s="2">
        <v>0.45900000000000002</v>
      </c>
      <c r="R497" s="2">
        <v>0.246</v>
      </c>
    </row>
    <row r="498" spans="1:18" x14ac:dyDescent="0.2">
      <c r="A498" t="s">
        <v>296</v>
      </c>
      <c r="B498" s="2">
        <v>27</v>
      </c>
      <c r="C498" t="s">
        <v>93</v>
      </c>
      <c r="D498" s="2" t="s">
        <v>42</v>
      </c>
      <c r="E498" s="2">
        <v>24</v>
      </c>
      <c r="F498" s="2">
        <v>341</v>
      </c>
      <c r="G498" s="2">
        <v>0.58799999999999997</v>
      </c>
      <c r="H498" s="2">
        <v>20</v>
      </c>
      <c r="I498" s="2">
        <v>17.600000000000001</v>
      </c>
      <c r="J498" s="18">
        <v>2</v>
      </c>
      <c r="K498" s="2">
        <v>1.2</v>
      </c>
      <c r="L498" s="2">
        <v>0.3</v>
      </c>
      <c r="M498" s="2">
        <v>6</v>
      </c>
      <c r="N498" s="2">
        <v>15.1</v>
      </c>
      <c r="O498" s="2">
        <v>0.2</v>
      </c>
      <c r="P498" s="2">
        <v>0.125</v>
      </c>
      <c r="Q498" s="2">
        <v>0.53300000000000003</v>
      </c>
      <c r="R498" s="2">
        <v>0.30499999999999999</v>
      </c>
    </row>
    <row r="499" spans="1:18" x14ac:dyDescent="0.2">
      <c r="A499" t="s">
        <v>274</v>
      </c>
      <c r="B499" s="2">
        <v>22</v>
      </c>
      <c r="C499" t="s">
        <v>80</v>
      </c>
      <c r="D499" s="2" t="s">
        <v>42</v>
      </c>
      <c r="E499" s="2">
        <v>14</v>
      </c>
      <c r="F499" s="2">
        <v>281</v>
      </c>
      <c r="G499" s="2">
        <v>0.65300000000000002</v>
      </c>
      <c r="H499" s="2">
        <v>25.5</v>
      </c>
      <c r="I499" s="2">
        <v>20.399999999999999</v>
      </c>
      <c r="J499" s="18">
        <v>0.47826086956521741</v>
      </c>
      <c r="K499" s="2">
        <v>0.6</v>
      </c>
      <c r="L499" s="2">
        <v>0.5</v>
      </c>
      <c r="M499" s="2">
        <v>7.6</v>
      </c>
      <c r="N499" s="2">
        <v>19.8</v>
      </c>
      <c r="O499" s="2">
        <v>0.2</v>
      </c>
      <c r="P499" s="2">
        <v>0.18099999999999999</v>
      </c>
      <c r="Q499" s="2">
        <v>0.63800000000000001</v>
      </c>
      <c r="R499" s="2">
        <v>0.314</v>
      </c>
    </row>
    <row r="500" spans="1:18" x14ac:dyDescent="0.2">
      <c r="A500" t="s">
        <v>85</v>
      </c>
      <c r="B500" s="2">
        <v>29</v>
      </c>
      <c r="C500" t="s">
        <v>70</v>
      </c>
      <c r="D500" s="2" t="s">
        <v>49</v>
      </c>
      <c r="E500" s="2">
        <v>22</v>
      </c>
      <c r="F500" s="2">
        <v>733</v>
      </c>
      <c r="G500" s="2">
        <v>0.63600000000000001</v>
      </c>
      <c r="H500" s="2">
        <v>30.6</v>
      </c>
      <c r="I500" s="2">
        <v>25.4</v>
      </c>
      <c r="J500" s="18">
        <v>1.5</v>
      </c>
      <c r="K500" s="2">
        <v>-1.9</v>
      </c>
      <c r="L500" s="2">
        <v>0.2</v>
      </c>
      <c r="M500" s="2">
        <v>11</v>
      </c>
      <c r="N500" s="2">
        <v>17</v>
      </c>
      <c r="O500" s="2">
        <v>0.4</v>
      </c>
      <c r="P500" s="2">
        <v>7.2999999999999995E-2</v>
      </c>
      <c r="Q500" s="2">
        <v>0.61</v>
      </c>
      <c r="R500" s="2">
        <v>0.214</v>
      </c>
    </row>
    <row r="501" spans="1:18" x14ac:dyDescent="0.2">
      <c r="A501" t="s">
        <v>471</v>
      </c>
      <c r="B501" s="2">
        <v>24</v>
      </c>
      <c r="C501" t="s">
        <v>46</v>
      </c>
      <c r="D501" s="2" t="s">
        <v>27</v>
      </c>
      <c r="E501" s="2">
        <v>15</v>
      </c>
      <c r="F501" s="2">
        <v>75</v>
      </c>
      <c r="G501" s="2">
        <v>0.39300000000000002</v>
      </c>
      <c r="H501" s="2">
        <v>12.1</v>
      </c>
      <c r="I501" s="2">
        <v>14.1</v>
      </c>
      <c r="J501" s="18">
        <v>3</v>
      </c>
      <c r="K501" s="2">
        <v>-2.2999999999999998</v>
      </c>
      <c r="L501" s="2">
        <v>0</v>
      </c>
      <c r="M501" s="2">
        <v>0</v>
      </c>
      <c r="N501" s="2">
        <v>4.3</v>
      </c>
      <c r="O501" s="2">
        <v>-0.1</v>
      </c>
      <c r="P501" s="2">
        <v>-4.2999999999999997E-2</v>
      </c>
      <c r="Q501" s="2">
        <v>0.40899999999999997</v>
      </c>
      <c r="R501" s="2">
        <v>0.22700000000000001</v>
      </c>
    </row>
    <row r="502" spans="1:18" x14ac:dyDescent="0.2">
      <c r="A502" t="s">
        <v>248</v>
      </c>
      <c r="B502" s="2">
        <v>23</v>
      </c>
      <c r="C502" t="s">
        <v>103</v>
      </c>
      <c r="D502" s="2" t="s">
        <v>49</v>
      </c>
      <c r="E502" s="2">
        <v>21</v>
      </c>
      <c r="F502" s="2">
        <v>459</v>
      </c>
      <c r="G502" s="2">
        <v>0.50700000000000001</v>
      </c>
      <c r="H502" s="2">
        <v>19.600000000000001</v>
      </c>
      <c r="I502" s="2">
        <v>19.3</v>
      </c>
      <c r="J502" s="18">
        <v>1.263157894736842</v>
      </c>
      <c r="K502" s="2">
        <v>-0.3</v>
      </c>
      <c r="L502" s="2">
        <v>0.4</v>
      </c>
      <c r="M502" s="2">
        <v>9.1</v>
      </c>
      <c r="N502" s="2">
        <v>11.1</v>
      </c>
      <c r="O502" s="2">
        <v>-0.2</v>
      </c>
      <c r="P502" s="2">
        <v>3.7999999999999999E-2</v>
      </c>
      <c r="Q502" s="2">
        <v>0.45900000000000002</v>
      </c>
      <c r="R502" s="2">
        <v>0.27700000000000002</v>
      </c>
    </row>
    <row r="503" spans="1:18" x14ac:dyDescent="0.2">
      <c r="A503" t="s">
        <v>300</v>
      </c>
      <c r="B503" s="2">
        <v>24</v>
      </c>
      <c r="C503" t="s">
        <v>117</v>
      </c>
      <c r="D503" s="2" t="s">
        <v>27</v>
      </c>
      <c r="E503" s="2">
        <v>6</v>
      </c>
      <c r="F503" s="2">
        <v>186</v>
      </c>
      <c r="G503" s="2">
        <v>0.52100000000000002</v>
      </c>
      <c r="H503" s="2">
        <v>35.700000000000003</v>
      </c>
      <c r="I503" s="2">
        <v>34.700000000000003</v>
      </c>
      <c r="J503" s="18">
        <v>1.4545454545454546</v>
      </c>
      <c r="K503" s="2">
        <v>-1.7</v>
      </c>
      <c r="L503" s="2">
        <v>0.1</v>
      </c>
      <c r="M503" s="2">
        <v>0</v>
      </c>
      <c r="N503" s="2">
        <v>19.899999999999999</v>
      </c>
      <c r="O503" s="2">
        <v>0</v>
      </c>
      <c r="P503" s="2">
        <v>2.8000000000000001E-2</v>
      </c>
      <c r="Q503" s="2" t="e">
        <v>#N/A</v>
      </c>
      <c r="R503" s="2">
        <v>0.57699999999999996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BF9F6-D5C7-4D4D-9C47-CE40A41B15AB}">
  <dimension ref="A1:AE503"/>
  <sheetViews>
    <sheetView topLeftCell="S1" workbookViewId="0">
      <selection sqref="A1:A1048576"/>
    </sheetView>
  </sheetViews>
  <sheetFormatPr baseColWidth="10" defaultRowHeight="16" x14ac:dyDescent="0.2"/>
  <cols>
    <col min="1" max="1" width="10.83203125" customWidth="1"/>
    <col min="31" max="31" width="10.83203125" style="18"/>
  </cols>
  <sheetData>
    <row r="1" spans="1:31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7" t="s">
        <v>685</v>
      </c>
    </row>
    <row r="2" spans="1:31" x14ac:dyDescent="0.2">
      <c r="A2" t="s">
        <v>244</v>
      </c>
      <c r="B2" s="2">
        <v>25</v>
      </c>
      <c r="C2" t="s">
        <v>35</v>
      </c>
      <c r="D2" s="2" t="s">
        <v>52</v>
      </c>
      <c r="E2" s="2">
        <v>23</v>
      </c>
      <c r="F2" s="2">
        <v>3</v>
      </c>
      <c r="G2" s="2">
        <v>488</v>
      </c>
      <c r="H2" s="2">
        <v>62</v>
      </c>
      <c r="I2" s="2">
        <v>130</v>
      </c>
      <c r="J2" s="2">
        <v>0.47699999999999998</v>
      </c>
      <c r="K2" s="2">
        <v>56</v>
      </c>
      <c r="L2" s="2">
        <v>118</v>
      </c>
      <c r="M2" s="2">
        <v>0.47499999999999998</v>
      </c>
      <c r="N2" s="2">
        <v>6</v>
      </c>
      <c r="O2" s="2">
        <v>12</v>
      </c>
      <c r="P2" s="2">
        <v>0.5</v>
      </c>
      <c r="Q2" s="2">
        <v>0.69199999999999995</v>
      </c>
      <c r="R2" s="2">
        <v>5</v>
      </c>
      <c r="S2" s="2">
        <v>6</v>
      </c>
      <c r="T2" s="2">
        <v>0.83299999999999996</v>
      </c>
      <c r="U2" s="2">
        <v>4</v>
      </c>
      <c r="V2" s="2">
        <v>46</v>
      </c>
      <c r="W2" s="2">
        <v>50</v>
      </c>
      <c r="X2" s="2">
        <v>22</v>
      </c>
      <c r="Y2" s="2">
        <v>12</v>
      </c>
      <c r="Z2" s="2">
        <v>2</v>
      </c>
      <c r="AA2" s="2">
        <v>15</v>
      </c>
      <c r="AB2" s="2">
        <v>45</v>
      </c>
      <c r="AC2" s="2">
        <v>185</v>
      </c>
      <c r="AD2" s="2">
        <v>0</v>
      </c>
      <c r="AE2" s="18">
        <f>X2/AA2</f>
        <v>1.4666666666666666</v>
      </c>
    </row>
    <row r="3" spans="1:31" x14ac:dyDescent="0.2">
      <c r="A3" t="s">
        <v>273</v>
      </c>
      <c r="B3" s="2">
        <v>29</v>
      </c>
      <c r="C3" t="s">
        <v>46</v>
      </c>
      <c r="D3" s="2" t="s">
        <v>27</v>
      </c>
      <c r="E3" s="2">
        <v>11</v>
      </c>
      <c r="F3" s="2">
        <v>10</v>
      </c>
      <c r="G3" s="2">
        <v>326</v>
      </c>
      <c r="H3" s="2">
        <v>54</v>
      </c>
      <c r="I3" s="2">
        <v>102</v>
      </c>
      <c r="J3" s="2">
        <v>0.52900000000000003</v>
      </c>
      <c r="K3" s="2">
        <v>16</v>
      </c>
      <c r="L3" s="2">
        <v>34</v>
      </c>
      <c r="M3" s="2">
        <v>0.47099999999999997</v>
      </c>
      <c r="N3" s="2">
        <v>38</v>
      </c>
      <c r="O3" s="2">
        <v>68</v>
      </c>
      <c r="P3" s="2">
        <v>0.55900000000000005</v>
      </c>
      <c r="Q3" s="2">
        <v>0.60799999999999998</v>
      </c>
      <c r="R3" s="2">
        <v>33</v>
      </c>
      <c r="S3" s="2">
        <v>42</v>
      </c>
      <c r="T3" s="2">
        <v>0.78600000000000003</v>
      </c>
      <c r="U3" s="2">
        <v>21</v>
      </c>
      <c r="V3" s="2">
        <v>45</v>
      </c>
      <c r="W3" s="2">
        <v>66</v>
      </c>
      <c r="X3" s="2">
        <v>39</v>
      </c>
      <c r="Y3" s="2">
        <v>6</v>
      </c>
      <c r="Z3" s="2">
        <v>3</v>
      </c>
      <c r="AA3" s="2">
        <v>17</v>
      </c>
      <c r="AB3" s="2">
        <v>17</v>
      </c>
      <c r="AC3" s="2">
        <v>157</v>
      </c>
      <c r="AD3" s="2">
        <v>0</v>
      </c>
      <c r="AE3" s="18">
        <f t="shared" ref="AE3:AE66" si="0">X3/AA3</f>
        <v>2.2941176470588234</v>
      </c>
    </row>
    <row r="4" spans="1:31" x14ac:dyDescent="0.2">
      <c r="A4" t="s">
        <v>384</v>
      </c>
      <c r="B4" s="2">
        <v>28</v>
      </c>
      <c r="C4" t="s">
        <v>87</v>
      </c>
      <c r="D4" s="2" t="s">
        <v>33</v>
      </c>
      <c r="E4" s="2">
        <v>15</v>
      </c>
      <c r="F4" s="2">
        <v>0</v>
      </c>
      <c r="G4" s="2">
        <v>145</v>
      </c>
      <c r="H4" s="2">
        <v>21</v>
      </c>
      <c r="I4" s="2">
        <v>45</v>
      </c>
      <c r="J4" s="2">
        <v>0.46700000000000003</v>
      </c>
      <c r="K4" s="2">
        <v>15</v>
      </c>
      <c r="L4" s="2">
        <v>34</v>
      </c>
      <c r="M4" s="2">
        <v>0.441</v>
      </c>
      <c r="N4" s="2">
        <v>6</v>
      </c>
      <c r="O4" s="2">
        <v>11</v>
      </c>
      <c r="P4" s="2">
        <v>0.54500000000000004</v>
      </c>
      <c r="Q4" s="2">
        <v>0.63300000000000001</v>
      </c>
      <c r="R4" s="2">
        <v>7</v>
      </c>
      <c r="S4" s="2">
        <v>9</v>
      </c>
      <c r="T4" s="2">
        <v>0.77800000000000002</v>
      </c>
      <c r="U4" s="2">
        <v>0</v>
      </c>
      <c r="V4" s="2">
        <v>15</v>
      </c>
      <c r="W4" s="2">
        <v>15</v>
      </c>
      <c r="X4" s="2">
        <v>20</v>
      </c>
      <c r="Y4" s="2">
        <v>2</v>
      </c>
      <c r="Z4" s="2">
        <v>1</v>
      </c>
      <c r="AA4" s="2">
        <v>5</v>
      </c>
      <c r="AB4" s="2">
        <v>7</v>
      </c>
      <c r="AC4" s="2">
        <v>64</v>
      </c>
      <c r="AD4" s="2">
        <v>0</v>
      </c>
      <c r="AE4" s="18">
        <f t="shared" si="0"/>
        <v>4</v>
      </c>
    </row>
    <row r="5" spans="1:31" x14ac:dyDescent="0.2">
      <c r="A5" t="s">
        <v>398</v>
      </c>
      <c r="B5" s="2">
        <v>25</v>
      </c>
      <c r="C5" t="s">
        <v>82</v>
      </c>
      <c r="D5" s="2" t="s">
        <v>49</v>
      </c>
      <c r="E5" s="2">
        <v>6</v>
      </c>
      <c r="F5" s="2">
        <v>6</v>
      </c>
      <c r="G5" s="2">
        <v>136</v>
      </c>
      <c r="H5" s="2">
        <v>19</v>
      </c>
      <c r="I5" s="2">
        <v>36</v>
      </c>
      <c r="J5" s="2">
        <v>0.52800000000000002</v>
      </c>
      <c r="K5" s="2">
        <v>6</v>
      </c>
      <c r="L5" s="2">
        <v>11</v>
      </c>
      <c r="M5" s="2">
        <v>0.54500000000000004</v>
      </c>
      <c r="N5" s="2">
        <v>13</v>
      </c>
      <c r="O5" s="2">
        <v>25</v>
      </c>
      <c r="P5" s="2">
        <v>0.52</v>
      </c>
      <c r="Q5" s="2">
        <v>0.61099999999999999</v>
      </c>
      <c r="R5" s="2">
        <v>11</v>
      </c>
      <c r="S5" s="2">
        <v>13</v>
      </c>
      <c r="T5" s="2">
        <v>0.84599999999999997</v>
      </c>
      <c r="U5" s="2">
        <v>4</v>
      </c>
      <c r="V5" s="2">
        <v>20</v>
      </c>
      <c r="W5" s="2">
        <v>24</v>
      </c>
      <c r="X5" s="2">
        <v>6</v>
      </c>
      <c r="Y5" s="2">
        <v>4</v>
      </c>
      <c r="Z5" s="2">
        <v>2</v>
      </c>
      <c r="AA5" s="2">
        <v>5</v>
      </c>
      <c r="AB5" s="2">
        <v>24</v>
      </c>
      <c r="AC5" s="2">
        <v>55</v>
      </c>
      <c r="AD5" s="2">
        <v>0</v>
      </c>
      <c r="AE5" s="18">
        <f t="shared" si="0"/>
        <v>1.2</v>
      </c>
    </row>
    <row r="6" spans="1:31" x14ac:dyDescent="0.2">
      <c r="A6" t="s">
        <v>215</v>
      </c>
      <c r="B6" s="2">
        <v>26</v>
      </c>
      <c r="C6" t="s">
        <v>32</v>
      </c>
      <c r="D6" s="2" t="s">
        <v>52</v>
      </c>
      <c r="E6" s="2">
        <v>24</v>
      </c>
      <c r="F6" s="2">
        <v>8</v>
      </c>
      <c r="G6" s="2">
        <v>489</v>
      </c>
      <c r="H6" s="2">
        <v>87</v>
      </c>
      <c r="I6" s="2">
        <v>193</v>
      </c>
      <c r="J6" s="2">
        <v>0.45100000000000001</v>
      </c>
      <c r="K6" s="2">
        <v>35</v>
      </c>
      <c r="L6" s="2">
        <v>89</v>
      </c>
      <c r="M6" s="2">
        <v>0.39300000000000002</v>
      </c>
      <c r="N6" s="2">
        <v>52</v>
      </c>
      <c r="O6" s="2">
        <v>104</v>
      </c>
      <c r="P6" s="2">
        <v>0.5</v>
      </c>
      <c r="Q6" s="2">
        <v>0.54100000000000004</v>
      </c>
      <c r="R6" s="2">
        <v>12</v>
      </c>
      <c r="S6" s="2">
        <v>15</v>
      </c>
      <c r="T6" s="2">
        <v>0.8</v>
      </c>
      <c r="U6" s="2">
        <v>24</v>
      </c>
      <c r="V6" s="2">
        <v>61</v>
      </c>
      <c r="W6" s="2">
        <v>85</v>
      </c>
      <c r="X6" s="2">
        <v>37</v>
      </c>
      <c r="Y6" s="2">
        <v>22</v>
      </c>
      <c r="Z6" s="2">
        <v>7</v>
      </c>
      <c r="AA6" s="2">
        <v>21</v>
      </c>
      <c r="AB6" s="2">
        <v>30</v>
      </c>
      <c r="AC6" s="2">
        <v>221</v>
      </c>
      <c r="AD6" s="2">
        <v>0</v>
      </c>
      <c r="AE6" s="18">
        <f t="shared" si="0"/>
        <v>1.7619047619047619</v>
      </c>
    </row>
    <row r="7" spans="1:31" x14ac:dyDescent="0.2">
      <c r="A7" t="s">
        <v>484</v>
      </c>
      <c r="B7" s="2">
        <v>25</v>
      </c>
      <c r="C7" t="s">
        <v>32</v>
      </c>
      <c r="D7" s="2" t="s">
        <v>52</v>
      </c>
      <c r="E7" s="2">
        <v>11</v>
      </c>
      <c r="F7" s="2">
        <v>0</v>
      </c>
      <c r="G7" s="2">
        <v>40</v>
      </c>
      <c r="H7" s="2">
        <v>5</v>
      </c>
      <c r="I7" s="2">
        <v>20</v>
      </c>
      <c r="J7" s="2">
        <v>0.25</v>
      </c>
      <c r="K7" s="2">
        <v>5</v>
      </c>
      <c r="L7" s="2">
        <v>19</v>
      </c>
      <c r="M7" s="2">
        <v>0.26300000000000001</v>
      </c>
      <c r="N7" s="2">
        <v>0</v>
      </c>
      <c r="O7" s="2">
        <v>1</v>
      </c>
      <c r="P7" s="2">
        <v>0</v>
      </c>
      <c r="Q7" s="2">
        <v>0.375</v>
      </c>
      <c r="R7" s="2">
        <v>0</v>
      </c>
      <c r="S7" s="2">
        <v>0</v>
      </c>
      <c r="T7" s="2"/>
      <c r="U7" s="2">
        <v>2</v>
      </c>
      <c r="V7" s="2">
        <v>4</v>
      </c>
      <c r="W7" s="2">
        <v>6</v>
      </c>
      <c r="X7" s="2">
        <v>0</v>
      </c>
      <c r="Y7" s="2">
        <v>2</v>
      </c>
      <c r="Z7" s="2">
        <v>0</v>
      </c>
      <c r="AA7" s="2">
        <v>0</v>
      </c>
      <c r="AB7" s="2">
        <v>4</v>
      </c>
      <c r="AC7" s="2">
        <v>15</v>
      </c>
      <c r="AD7" s="2">
        <v>0</v>
      </c>
      <c r="AE7" s="18" t="e">
        <f t="shared" si="0"/>
        <v>#DIV/0!</v>
      </c>
    </row>
    <row r="8" spans="1:31" x14ac:dyDescent="0.2">
      <c r="A8" t="s">
        <v>511</v>
      </c>
      <c r="B8" s="2">
        <v>22</v>
      </c>
      <c r="C8" t="s">
        <v>70</v>
      </c>
      <c r="D8" s="2" t="s">
        <v>42</v>
      </c>
      <c r="E8" s="2">
        <v>3</v>
      </c>
      <c r="F8" s="2">
        <v>0</v>
      </c>
      <c r="G8" s="2">
        <v>14</v>
      </c>
      <c r="H8" s="2">
        <v>3</v>
      </c>
      <c r="I8" s="2">
        <v>5</v>
      </c>
      <c r="J8" s="2">
        <v>0.6</v>
      </c>
      <c r="K8" s="2">
        <v>0</v>
      </c>
      <c r="L8" s="2">
        <v>0</v>
      </c>
      <c r="M8" s="2"/>
      <c r="N8" s="2">
        <v>3</v>
      </c>
      <c r="O8" s="2">
        <v>5</v>
      </c>
      <c r="P8" s="2">
        <v>0.6</v>
      </c>
      <c r="Q8" s="2">
        <v>0.6</v>
      </c>
      <c r="R8" s="2">
        <v>0</v>
      </c>
      <c r="S8" s="2">
        <v>0</v>
      </c>
      <c r="T8" s="2"/>
      <c r="U8" s="2">
        <v>2</v>
      </c>
      <c r="V8" s="2">
        <v>0</v>
      </c>
      <c r="W8" s="2">
        <v>2</v>
      </c>
      <c r="X8" s="2">
        <v>1</v>
      </c>
      <c r="Y8" s="2">
        <v>0</v>
      </c>
      <c r="Z8" s="2">
        <v>0</v>
      </c>
      <c r="AA8" s="2">
        <v>1</v>
      </c>
      <c r="AB8" s="2">
        <v>1</v>
      </c>
      <c r="AC8" s="2">
        <v>6</v>
      </c>
      <c r="AD8" s="2">
        <v>0</v>
      </c>
      <c r="AE8" s="18">
        <f t="shared" si="0"/>
        <v>1</v>
      </c>
    </row>
    <row r="9" spans="1:31" x14ac:dyDescent="0.2">
      <c r="A9" t="s">
        <v>461</v>
      </c>
      <c r="B9" s="2">
        <v>21</v>
      </c>
      <c r="C9" t="s">
        <v>122</v>
      </c>
      <c r="D9" s="2" t="s">
        <v>42</v>
      </c>
      <c r="E9" s="2">
        <v>14</v>
      </c>
      <c r="F9" s="2">
        <v>0</v>
      </c>
      <c r="G9" s="2">
        <v>90</v>
      </c>
      <c r="H9" s="2">
        <v>8</v>
      </c>
      <c r="I9" s="2">
        <v>13</v>
      </c>
      <c r="J9" s="2">
        <v>0.61499999999999999</v>
      </c>
      <c r="K9" s="2">
        <v>0</v>
      </c>
      <c r="L9" s="2">
        <v>0</v>
      </c>
      <c r="M9" s="2"/>
      <c r="N9" s="2">
        <v>8</v>
      </c>
      <c r="O9" s="2">
        <v>13</v>
      </c>
      <c r="P9" s="2">
        <v>0.61499999999999999</v>
      </c>
      <c r="Q9" s="2">
        <v>0.61499999999999999</v>
      </c>
      <c r="R9" s="2">
        <v>5</v>
      </c>
      <c r="S9" s="2">
        <v>6</v>
      </c>
      <c r="T9" s="2">
        <v>0.83299999999999996</v>
      </c>
      <c r="U9" s="2">
        <v>8</v>
      </c>
      <c r="V9" s="2">
        <v>16</v>
      </c>
      <c r="W9" s="2">
        <v>24</v>
      </c>
      <c r="X9" s="2">
        <v>0</v>
      </c>
      <c r="Y9" s="2">
        <v>0</v>
      </c>
      <c r="Z9" s="2">
        <v>6</v>
      </c>
      <c r="AA9" s="2">
        <v>6</v>
      </c>
      <c r="AB9" s="2">
        <v>15</v>
      </c>
      <c r="AC9" s="2">
        <v>21</v>
      </c>
      <c r="AD9" s="2">
        <v>0</v>
      </c>
      <c r="AE9" s="18">
        <f t="shared" si="0"/>
        <v>0</v>
      </c>
    </row>
    <row r="10" spans="1:31" x14ac:dyDescent="0.2">
      <c r="A10" t="s">
        <v>507</v>
      </c>
      <c r="B10" s="2">
        <v>20</v>
      </c>
      <c r="C10" t="s">
        <v>35</v>
      </c>
      <c r="D10" s="2" t="s">
        <v>52</v>
      </c>
      <c r="E10" s="2">
        <v>5</v>
      </c>
      <c r="F10" s="2">
        <v>0</v>
      </c>
      <c r="G10" s="2">
        <v>11</v>
      </c>
      <c r="H10" s="2">
        <v>3</v>
      </c>
      <c r="I10" s="2">
        <v>6</v>
      </c>
      <c r="J10" s="2">
        <v>0.5</v>
      </c>
      <c r="K10" s="2">
        <v>1</v>
      </c>
      <c r="L10" s="2">
        <v>1</v>
      </c>
      <c r="M10" s="2">
        <v>1</v>
      </c>
      <c r="N10" s="2">
        <v>2</v>
      </c>
      <c r="O10" s="2">
        <v>5</v>
      </c>
      <c r="P10" s="2">
        <v>0.4</v>
      </c>
      <c r="Q10" s="2">
        <v>0.58299999999999996</v>
      </c>
      <c r="R10" s="2">
        <v>0</v>
      </c>
      <c r="S10" s="2">
        <v>0</v>
      </c>
      <c r="T10" s="2"/>
      <c r="U10" s="2">
        <v>0</v>
      </c>
      <c r="V10" s="2">
        <v>2</v>
      </c>
      <c r="W10" s="2">
        <v>2</v>
      </c>
      <c r="X10" s="2">
        <v>1</v>
      </c>
      <c r="Y10" s="2">
        <v>0</v>
      </c>
      <c r="Z10" s="2">
        <v>0</v>
      </c>
      <c r="AA10" s="2">
        <v>2</v>
      </c>
      <c r="AB10" s="2">
        <v>0</v>
      </c>
      <c r="AC10" s="2">
        <v>7</v>
      </c>
      <c r="AD10" s="2">
        <v>0</v>
      </c>
      <c r="AE10" s="18">
        <f t="shared" si="0"/>
        <v>0.5</v>
      </c>
    </row>
    <row r="11" spans="1:31" x14ac:dyDescent="0.2">
      <c r="A11" t="s">
        <v>301</v>
      </c>
      <c r="B11" s="2">
        <v>22</v>
      </c>
      <c r="C11" t="s">
        <v>32</v>
      </c>
      <c r="D11" s="2" t="s">
        <v>52</v>
      </c>
      <c r="E11" s="2">
        <v>24</v>
      </c>
      <c r="F11" s="2">
        <v>0</v>
      </c>
      <c r="G11" s="2">
        <v>383</v>
      </c>
      <c r="H11" s="2">
        <v>55</v>
      </c>
      <c r="I11" s="2">
        <v>115</v>
      </c>
      <c r="J11" s="2">
        <v>0.47799999999999998</v>
      </c>
      <c r="K11" s="2">
        <v>13</v>
      </c>
      <c r="L11" s="2">
        <v>31</v>
      </c>
      <c r="M11" s="2">
        <v>0.41899999999999998</v>
      </c>
      <c r="N11" s="2">
        <v>42</v>
      </c>
      <c r="O11" s="2">
        <v>84</v>
      </c>
      <c r="P11" s="2">
        <v>0.5</v>
      </c>
      <c r="Q11" s="2">
        <v>0.53500000000000003</v>
      </c>
      <c r="R11" s="2">
        <v>12</v>
      </c>
      <c r="S11" s="2">
        <v>15</v>
      </c>
      <c r="T11" s="2">
        <v>0.8</v>
      </c>
      <c r="U11" s="2">
        <v>10</v>
      </c>
      <c r="V11" s="2">
        <v>26</v>
      </c>
      <c r="W11" s="2">
        <v>36</v>
      </c>
      <c r="X11" s="2">
        <v>41</v>
      </c>
      <c r="Y11" s="2">
        <v>21</v>
      </c>
      <c r="Z11" s="2">
        <v>2</v>
      </c>
      <c r="AA11" s="2">
        <v>19</v>
      </c>
      <c r="AB11" s="2">
        <v>43</v>
      </c>
      <c r="AC11" s="2">
        <v>135</v>
      </c>
      <c r="AD11" s="2">
        <v>0</v>
      </c>
      <c r="AE11" s="18">
        <f t="shared" si="0"/>
        <v>2.1578947368421053</v>
      </c>
    </row>
    <row r="12" spans="1:31" x14ac:dyDescent="0.2">
      <c r="A12" t="s">
        <v>255</v>
      </c>
      <c r="B12" s="2">
        <v>38</v>
      </c>
      <c r="C12" t="s">
        <v>39</v>
      </c>
      <c r="D12" s="2" t="s">
        <v>42</v>
      </c>
      <c r="E12" s="2">
        <v>19</v>
      </c>
      <c r="F12" s="2">
        <v>18</v>
      </c>
      <c r="G12" s="2">
        <v>532</v>
      </c>
      <c r="H12" s="2">
        <v>64</v>
      </c>
      <c r="I12" s="2">
        <v>137</v>
      </c>
      <c r="J12" s="2">
        <v>0.46700000000000003</v>
      </c>
      <c r="K12" s="2">
        <v>41</v>
      </c>
      <c r="L12" s="2">
        <v>101</v>
      </c>
      <c r="M12" s="2">
        <v>0.40600000000000003</v>
      </c>
      <c r="N12" s="2">
        <v>23</v>
      </c>
      <c r="O12" s="2">
        <v>36</v>
      </c>
      <c r="P12" s="2">
        <v>0.63900000000000001</v>
      </c>
      <c r="Q12" s="2">
        <v>0.61699999999999999</v>
      </c>
      <c r="R12" s="2">
        <v>6</v>
      </c>
      <c r="S12" s="2">
        <v>6</v>
      </c>
      <c r="T12" s="2">
        <v>1</v>
      </c>
      <c r="U12" s="2">
        <v>16</v>
      </c>
      <c r="V12" s="2">
        <v>85</v>
      </c>
      <c r="W12" s="2">
        <v>101</v>
      </c>
      <c r="X12" s="2">
        <v>44</v>
      </c>
      <c r="Y12" s="2">
        <v>14</v>
      </c>
      <c r="Z12" s="2">
        <v>17</v>
      </c>
      <c r="AA12" s="2">
        <v>19</v>
      </c>
      <c r="AB12" s="2">
        <v>31</v>
      </c>
      <c r="AC12" s="2">
        <v>175</v>
      </c>
      <c r="AD12" s="2">
        <v>0</v>
      </c>
      <c r="AE12" s="18">
        <f t="shared" si="0"/>
        <v>2.3157894736842106</v>
      </c>
    </row>
    <row r="13" spans="1:31" x14ac:dyDescent="0.2">
      <c r="A13" t="s">
        <v>388</v>
      </c>
      <c r="B13" s="2">
        <v>33</v>
      </c>
      <c r="C13" t="s">
        <v>61</v>
      </c>
      <c r="D13" s="2" t="s">
        <v>52</v>
      </c>
      <c r="E13" s="2">
        <v>12</v>
      </c>
      <c r="F13" s="2">
        <v>0</v>
      </c>
      <c r="G13" s="2">
        <v>181</v>
      </c>
      <c r="H13" s="2">
        <v>21</v>
      </c>
      <c r="I13" s="2">
        <v>46</v>
      </c>
      <c r="J13" s="2">
        <v>0.45700000000000002</v>
      </c>
      <c r="K13" s="2">
        <v>15</v>
      </c>
      <c r="L13" s="2">
        <v>32</v>
      </c>
      <c r="M13" s="2">
        <v>0.46899999999999997</v>
      </c>
      <c r="N13" s="2">
        <v>6</v>
      </c>
      <c r="O13" s="2">
        <v>14</v>
      </c>
      <c r="P13" s="2">
        <v>0.42899999999999999</v>
      </c>
      <c r="Q13" s="2">
        <v>0.62</v>
      </c>
      <c r="R13" s="2">
        <v>6</v>
      </c>
      <c r="S13" s="2">
        <v>8</v>
      </c>
      <c r="T13" s="2">
        <v>0.75</v>
      </c>
      <c r="U13" s="2">
        <v>4</v>
      </c>
      <c r="V13" s="2">
        <v>19</v>
      </c>
      <c r="W13" s="2">
        <v>23</v>
      </c>
      <c r="X13" s="2">
        <v>16</v>
      </c>
      <c r="Y13" s="2">
        <v>6</v>
      </c>
      <c r="Z13" s="2">
        <v>3</v>
      </c>
      <c r="AA13" s="2">
        <v>2</v>
      </c>
      <c r="AB13" s="2">
        <v>5</v>
      </c>
      <c r="AC13" s="2">
        <v>63</v>
      </c>
      <c r="AD13" s="2">
        <v>0</v>
      </c>
      <c r="AE13" s="18">
        <f t="shared" si="0"/>
        <v>8</v>
      </c>
    </row>
    <row r="14" spans="1:31" x14ac:dyDescent="0.2">
      <c r="A14" t="s">
        <v>349</v>
      </c>
      <c r="B14" s="2">
        <v>30</v>
      </c>
      <c r="C14" t="s">
        <v>32</v>
      </c>
      <c r="D14" s="2" t="s">
        <v>52</v>
      </c>
      <c r="E14" s="2">
        <v>16</v>
      </c>
      <c r="F14" s="2">
        <v>0</v>
      </c>
      <c r="G14" s="2">
        <v>320</v>
      </c>
      <c r="H14" s="2">
        <v>37</v>
      </c>
      <c r="I14" s="2">
        <v>94</v>
      </c>
      <c r="J14" s="2">
        <v>0.39400000000000002</v>
      </c>
      <c r="K14" s="2">
        <v>14</v>
      </c>
      <c r="L14" s="2">
        <v>51</v>
      </c>
      <c r="M14" s="2">
        <v>0.27500000000000002</v>
      </c>
      <c r="N14" s="2">
        <v>23</v>
      </c>
      <c r="O14" s="2">
        <v>43</v>
      </c>
      <c r="P14" s="2">
        <v>0.53500000000000003</v>
      </c>
      <c r="Q14" s="2">
        <v>0.46800000000000003</v>
      </c>
      <c r="R14" s="2">
        <v>5</v>
      </c>
      <c r="S14" s="2">
        <v>7</v>
      </c>
      <c r="T14" s="2">
        <v>0.71399999999999997</v>
      </c>
      <c r="U14" s="2">
        <v>10</v>
      </c>
      <c r="V14" s="2">
        <v>38</v>
      </c>
      <c r="W14" s="2">
        <v>48</v>
      </c>
      <c r="X14" s="2">
        <v>37</v>
      </c>
      <c r="Y14" s="2">
        <v>30</v>
      </c>
      <c r="Z14" s="2">
        <v>10</v>
      </c>
      <c r="AA14" s="2">
        <v>13</v>
      </c>
      <c r="AB14" s="2">
        <v>36</v>
      </c>
      <c r="AC14" s="2">
        <v>93</v>
      </c>
      <c r="AD14" s="2">
        <v>0</v>
      </c>
      <c r="AE14" s="18">
        <f t="shared" si="0"/>
        <v>2.8461538461538463</v>
      </c>
    </row>
    <row r="15" spans="1:31" x14ac:dyDescent="0.2">
      <c r="A15" t="s">
        <v>556</v>
      </c>
      <c r="B15" s="2">
        <v>24</v>
      </c>
      <c r="C15" t="s">
        <v>32</v>
      </c>
      <c r="D15" s="2" t="s">
        <v>52</v>
      </c>
      <c r="E15" s="2">
        <v>4</v>
      </c>
      <c r="F15" s="2">
        <v>0</v>
      </c>
      <c r="G15" s="2">
        <v>7</v>
      </c>
      <c r="H15" s="2">
        <v>0</v>
      </c>
      <c r="I15" s="2">
        <v>3</v>
      </c>
      <c r="J15" s="2">
        <v>0</v>
      </c>
      <c r="K15" s="2">
        <v>0</v>
      </c>
      <c r="L15" s="2">
        <v>2</v>
      </c>
      <c r="M15" s="2">
        <v>0</v>
      </c>
      <c r="N15" s="2">
        <v>0</v>
      </c>
      <c r="O15" s="2">
        <v>1</v>
      </c>
      <c r="P15" s="2">
        <v>0</v>
      </c>
      <c r="Q15" s="2">
        <v>0</v>
      </c>
      <c r="R15" s="2">
        <v>0</v>
      </c>
      <c r="S15" s="2">
        <v>0</v>
      </c>
      <c r="T15" s="2"/>
      <c r="U15" s="2">
        <v>0</v>
      </c>
      <c r="V15" s="2">
        <v>0</v>
      </c>
      <c r="W15" s="2">
        <v>0</v>
      </c>
      <c r="X15" s="2">
        <v>0</v>
      </c>
      <c r="Y15" s="2">
        <v>0</v>
      </c>
      <c r="Z15" s="2">
        <v>0</v>
      </c>
      <c r="AA15" s="2">
        <v>0</v>
      </c>
      <c r="AB15" s="2">
        <v>0</v>
      </c>
      <c r="AC15" s="2">
        <v>0</v>
      </c>
      <c r="AD15" s="2">
        <v>0</v>
      </c>
      <c r="AE15" s="18" t="e">
        <f t="shared" si="0"/>
        <v>#DIV/0!</v>
      </c>
    </row>
    <row r="16" spans="1:31" x14ac:dyDescent="0.2">
      <c r="A16" t="s">
        <v>450</v>
      </c>
      <c r="B16" s="2">
        <v>31</v>
      </c>
      <c r="C16" t="s">
        <v>37</v>
      </c>
      <c r="D16" s="2" t="s">
        <v>42</v>
      </c>
      <c r="E16" s="2">
        <v>19</v>
      </c>
      <c r="F16" s="2">
        <v>2</v>
      </c>
      <c r="G16" s="2">
        <v>135</v>
      </c>
      <c r="H16" s="2">
        <v>12</v>
      </c>
      <c r="I16" s="2">
        <v>22</v>
      </c>
      <c r="J16" s="2">
        <v>0.54500000000000004</v>
      </c>
      <c r="K16" s="2">
        <v>0</v>
      </c>
      <c r="L16" s="2">
        <v>4</v>
      </c>
      <c r="M16" s="2">
        <v>0</v>
      </c>
      <c r="N16" s="2">
        <v>12</v>
      </c>
      <c r="O16" s="2">
        <v>18</v>
      </c>
      <c r="P16" s="2">
        <v>0.66700000000000004</v>
      </c>
      <c r="Q16" s="2">
        <v>0.54500000000000004</v>
      </c>
      <c r="R16" s="2">
        <v>2</v>
      </c>
      <c r="S16" s="2">
        <v>4</v>
      </c>
      <c r="T16" s="2">
        <v>0.5</v>
      </c>
      <c r="U16" s="2">
        <v>9</v>
      </c>
      <c r="V16" s="2">
        <v>25</v>
      </c>
      <c r="W16" s="2">
        <v>34</v>
      </c>
      <c r="X16" s="2">
        <v>16</v>
      </c>
      <c r="Y16" s="2">
        <v>3</v>
      </c>
      <c r="Z16" s="2">
        <v>11</v>
      </c>
      <c r="AA16" s="2">
        <v>6</v>
      </c>
      <c r="AB16" s="2">
        <v>16</v>
      </c>
      <c r="AC16" s="2">
        <v>26</v>
      </c>
      <c r="AD16" s="2">
        <v>0</v>
      </c>
      <c r="AE16" s="18">
        <f t="shared" si="0"/>
        <v>2.6666666666666665</v>
      </c>
    </row>
    <row r="17" spans="1:31" x14ac:dyDescent="0.2">
      <c r="A17" t="s">
        <v>550</v>
      </c>
      <c r="B17" s="2">
        <v>25</v>
      </c>
      <c r="C17" t="s">
        <v>32</v>
      </c>
      <c r="D17" s="2" t="s">
        <v>27</v>
      </c>
      <c r="E17" s="2">
        <v>1</v>
      </c>
      <c r="F17" s="2">
        <v>0</v>
      </c>
      <c r="G17" s="2">
        <v>2</v>
      </c>
      <c r="H17" s="2">
        <v>1</v>
      </c>
      <c r="I17" s="2">
        <v>1</v>
      </c>
      <c r="J17" s="2">
        <v>1</v>
      </c>
      <c r="K17" s="2">
        <v>0</v>
      </c>
      <c r="L17" s="2">
        <v>0</v>
      </c>
      <c r="M17" s="2"/>
      <c r="N17" s="2">
        <v>1</v>
      </c>
      <c r="O17" s="2">
        <v>1</v>
      </c>
      <c r="P17" s="2">
        <v>1</v>
      </c>
      <c r="Q17" s="2">
        <v>1</v>
      </c>
      <c r="R17" s="2">
        <v>0</v>
      </c>
      <c r="S17" s="2">
        <v>0</v>
      </c>
      <c r="T17" s="2"/>
      <c r="U17" s="2">
        <v>1</v>
      </c>
      <c r="V17" s="2">
        <v>0</v>
      </c>
      <c r="W17" s="2">
        <v>1</v>
      </c>
      <c r="X17" s="2">
        <v>0</v>
      </c>
      <c r="Y17" s="2">
        <v>0</v>
      </c>
      <c r="Z17" s="2">
        <v>0</v>
      </c>
      <c r="AA17" s="2">
        <v>0</v>
      </c>
      <c r="AB17" s="2">
        <v>0</v>
      </c>
      <c r="AC17" s="2">
        <v>2</v>
      </c>
      <c r="AD17" s="2">
        <v>0</v>
      </c>
      <c r="AE17" s="18" t="e">
        <f t="shared" si="0"/>
        <v>#DIV/0!</v>
      </c>
    </row>
    <row r="18" spans="1:31" x14ac:dyDescent="0.2">
      <c r="A18" t="s">
        <v>222</v>
      </c>
      <c r="B18" s="2">
        <v>19</v>
      </c>
      <c r="C18" t="s">
        <v>114</v>
      </c>
      <c r="D18" s="2" t="s">
        <v>42</v>
      </c>
      <c r="E18" s="2">
        <v>20</v>
      </c>
      <c r="F18" s="2">
        <v>20</v>
      </c>
      <c r="G18" s="2">
        <v>536</v>
      </c>
      <c r="H18" s="2">
        <v>80</v>
      </c>
      <c r="I18" s="2">
        <v>209</v>
      </c>
      <c r="J18" s="2">
        <v>0.38300000000000001</v>
      </c>
      <c r="K18" s="2">
        <v>22</v>
      </c>
      <c r="L18" s="2">
        <v>88</v>
      </c>
      <c r="M18" s="2">
        <v>0.25</v>
      </c>
      <c r="N18" s="2">
        <v>58</v>
      </c>
      <c r="O18" s="2">
        <v>121</v>
      </c>
      <c r="P18" s="2">
        <v>0.47899999999999998</v>
      </c>
      <c r="Q18" s="2">
        <v>0.435</v>
      </c>
      <c r="R18" s="2">
        <v>29</v>
      </c>
      <c r="S18" s="2">
        <v>44</v>
      </c>
      <c r="T18" s="2">
        <v>0.65900000000000003</v>
      </c>
      <c r="U18" s="2">
        <v>42</v>
      </c>
      <c r="V18" s="2">
        <v>84</v>
      </c>
      <c r="W18" s="2">
        <v>126</v>
      </c>
      <c r="X18" s="2">
        <v>40</v>
      </c>
      <c r="Y18" s="2">
        <v>15</v>
      </c>
      <c r="Z18" s="2">
        <v>37</v>
      </c>
      <c r="AA18" s="2">
        <v>28</v>
      </c>
      <c r="AB18" s="2">
        <v>54</v>
      </c>
      <c r="AC18" s="2">
        <v>211</v>
      </c>
      <c r="AD18" s="2">
        <v>0</v>
      </c>
      <c r="AE18" s="18">
        <f t="shared" si="0"/>
        <v>1.4285714285714286</v>
      </c>
    </row>
    <row r="19" spans="1:31" x14ac:dyDescent="0.2">
      <c r="A19" t="s">
        <v>522</v>
      </c>
      <c r="B19" s="2">
        <v>25</v>
      </c>
      <c r="C19" t="s">
        <v>75</v>
      </c>
      <c r="D19" s="2" t="s">
        <v>52</v>
      </c>
      <c r="E19" s="2">
        <v>1</v>
      </c>
      <c r="F19" s="2">
        <v>0</v>
      </c>
      <c r="G19" s="2">
        <v>4</v>
      </c>
      <c r="H19" s="2">
        <v>2</v>
      </c>
      <c r="I19" s="2">
        <v>2</v>
      </c>
      <c r="J19" s="2">
        <v>1</v>
      </c>
      <c r="K19" s="2">
        <v>1</v>
      </c>
      <c r="L19" s="2">
        <v>1</v>
      </c>
      <c r="M19" s="2">
        <v>1</v>
      </c>
      <c r="N19" s="2">
        <v>1</v>
      </c>
      <c r="O19" s="2">
        <v>1</v>
      </c>
      <c r="P19" s="2">
        <v>1</v>
      </c>
      <c r="Q19" s="2">
        <v>1.25</v>
      </c>
      <c r="R19" s="2">
        <v>0</v>
      </c>
      <c r="S19" s="2">
        <v>0</v>
      </c>
      <c r="T19" s="2"/>
      <c r="U19" s="2">
        <v>0</v>
      </c>
      <c r="V19" s="2">
        <v>0</v>
      </c>
      <c r="W19" s="2">
        <v>0</v>
      </c>
      <c r="X19" s="2">
        <v>1</v>
      </c>
      <c r="Y19" s="2">
        <v>0</v>
      </c>
      <c r="Z19" s="2">
        <v>0</v>
      </c>
      <c r="AA19" s="2">
        <v>0</v>
      </c>
      <c r="AB19" s="2">
        <v>0</v>
      </c>
      <c r="AC19" s="2">
        <v>5</v>
      </c>
      <c r="AD19" s="2">
        <v>0</v>
      </c>
      <c r="AE19" s="18" t="e">
        <f t="shared" si="0"/>
        <v>#DIV/0!</v>
      </c>
    </row>
    <row r="20" spans="1:31" x14ac:dyDescent="0.2">
      <c r="A20" t="s">
        <v>90</v>
      </c>
      <c r="B20" s="2">
        <v>22</v>
      </c>
      <c r="C20" t="s">
        <v>87</v>
      </c>
      <c r="D20" s="2" t="s">
        <v>42</v>
      </c>
      <c r="E20" s="2">
        <v>25</v>
      </c>
      <c r="F20" s="2">
        <v>25</v>
      </c>
      <c r="G20" s="2">
        <v>776</v>
      </c>
      <c r="H20" s="2">
        <v>182</v>
      </c>
      <c r="I20" s="2">
        <v>382</v>
      </c>
      <c r="J20" s="2">
        <v>0.47599999999999998</v>
      </c>
      <c r="K20" s="2">
        <v>9</v>
      </c>
      <c r="L20" s="2">
        <v>37</v>
      </c>
      <c r="M20" s="2">
        <v>0.24299999999999999</v>
      </c>
      <c r="N20" s="2">
        <v>173</v>
      </c>
      <c r="O20" s="2">
        <v>345</v>
      </c>
      <c r="P20" s="2">
        <v>0.501</v>
      </c>
      <c r="Q20" s="2">
        <v>0.48799999999999999</v>
      </c>
      <c r="R20" s="2">
        <v>98</v>
      </c>
      <c r="S20" s="2">
        <v>127</v>
      </c>
      <c r="T20" s="2">
        <v>0.77200000000000002</v>
      </c>
      <c r="U20" s="2">
        <v>85</v>
      </c>
      <c r="V20" s="2">
        <v>180</v>
      </c>
      <c r="W20" s="2">
        <v>265</v>
      </c>
      <c r="X20" s="2">
        <v>133</v>
      </c>
      <c r="Y20" s="2">
        <v>30</v>
      </c>
      <c r="Z20" s="2">
        <v>26</v>
      </c>
      <c r="AA20" s="2">
        <v>56</v>
      </c>
      <c r="AB20" s="2">
        <v>66</v>
      </c>
      <c r="AC20" s="2">
        <v>471</v>
      </c>
      <c r="AD20" s="2">
        <v>3</v>
      </c>
      <c r="AE20" s="18">
        <f t="shared" si="0"/>
        <v>2.375</v>
      </c>
    </row>
    <row r="21" spans="1:31" x14ac:dyDescent="0.2">
      <c r="A21" t="s">
        <v>158</v>
      </c>
      <c r="B21" s="2">
        <v>22</v>
      </c>
      <c r="C21" t="s">
        <v>87</v>
      </c>
      <c r="D21" s="2" t="s">
        <v>49</v>
      </c>
      <c r="E21" s="2">
        <v>25</v>
      </c>
      <c r="F21" s="2">
        <v>2</v>
      </c>
      <c r="G21" s="2">
        <v>675</v>
      </c>
      <c r="H21" s="2">
        <v>111</v>
      </c>
      <c r="I21" s="2">
        <v>201</v>
      </c>
      <c r="J21" s="2">
        <v>0.55200000000000005</v>
      </c>
      <c r="K21" s="2">
        <v>9</v>
      </c>
      <c r="L21" s="2">
        <v>30</v>
      </c>
      <c r="M21" s="2">
        <v>0.3</v>
      </c>
      <c r="N21" s="2">
        <v>102</v>
      </c>
      <c r="O21" s="2">
        <v>171</v>
      </c>
      <c r="P21" s="2">
        <v>0.59599999999999997</v>
      </c>
      <c r="Q21" s="2">
        <v>0.57499999999999996</v>
      </c>
      <c r="R21" s="2">
        <v>65</v>
      </c>
      <c r="S21" s="2">
        <v>93</v>
      </c>
      <c r="T21" s="2">
        <v>0.69899999999999995</v>
      </c>
      <c r="U21" s="2">
        <v>56</v>
      </c>
      <c r="V21" s="2">
        <v>118</v>
      </c>
      <c r="W21" s="2">
        <v>174</v>
      </c>
      <c r="X21" s="2">
        <v>51</v>
      </c>
      <c r="Y21" s="2">
        <v>28</v>
      </c>
      <c r="Z21" s="2">
        <v>24</v>
      </c>
      <c r="AA21" s="2">
        <v>43</v>
      </c>
      <c r="AB21" s="2">
        <v>59</v>
      </c>
      <c r="AC21" s="2">
        <v>296</v>
      </c>
      <c r="AD21" s="2">
        <v>0</v>
      </c>
      <c r="AE21" s="18">
        <f t="shared" si="0"/>
        <v>1.1860465116279071</v>
      </c>
    </row>
    <row r="22" spans="1:31" x14ac:dyDescent="0.2">
      <c r="A22" t="s">
        <v>195</v>
      </c>
      <c r="B22" s="2">
        <v>27</v>
      </c>
      <c r="C22" t="s">
        <v>77</v>
      </c>
      <c r="D22" s="2" t="s">
        <v>52</v>
      </c>
      <c r="E22" s="2">
        <v>24</v>
      </c>
      <c r="F22" s="2">
        <v>7</v>
      </c>
      <c r="G22" s="2">
        <v>576</v>
      </c>
      <c r="H22" s="2">
        <v>86</v>
      </c>
      <c r="I22" s="2">
        <v>177</v>
      </c>
      <c r="J22" s="2">
        <v>0.48599999999999999</v>
      </c>
      <c r="K22" s="2">
        <v>40</v>
      </c>
      <c r="L22" s="2">
        <v>93</v>
      </c>
      <c r="M22" s="2">
        <v>0.43</v>
      </c>
      <c r="N22" s="2">
        <v>46</v>
      </c>
      <c r="O22" s="2">
        <v>84</v>
      </c>
      <c r="P22" s="2">
        <v>0.54800000000000004</v>
      </c>
      <c r="Q22" s="2">
        <v>0.59899999999999998</v>
      </c>
      <c r="R22" s="2">
        <v>33</v>
      </c>
      <c r="S22" s="2">
        <v>39</v>
      </c>
      <c r="T22" s="2">
        <v>0.84599999999999997</v>
      </c>
      <c r="U22" s="2">
        <v>15</v>
      </c>
      <c r="V22" s="2">
        <v>47</v>
      </c>
      <c r="W22" s="2">
        <v>62</v>
      </c>
      <c r="X22" s="2">
        <v>31</v>
      </c>
      <c r="Y22" s="2">
        <v>14</v>
      </c>
      <c r="Z22" s="2">
        <v>1</v>
      </c>
      <c r="AA22" s="2">
        <v>17</v>
      </c>
      <c r="AB22" s="2">
        <v>34</v>
      </c>
      <c r="AC22" s="2">
        <v>245</v>
      </c>
      <c r="AD22" s="2">
        <v>0</v>
      </c>
      <c r="AE22" s="18">
        <f t="shared" si="0"/>
        <v>1.8235294117647058</v>
      </c>
    </row>
    <row r="23" spans="1:31" x14ac:dyDescent="0.2">
      <c r="A23" t="s">
        <v>284</v>
      </c>
      <c r="B23" s="2">
        <v>31</v>
      </c>
      <c r="C23" t="s">
        <v>122</v>
      </c>
      <c r="D23" s="2" t="s">
        <v>42</v>
      </c>
      <c r="E23" s="2">
        <v>19</v>
      </c>
      <c r="F23" s="2">
        <v>12</v>
      </c>
      <c r="G23" s="2">
        <v>380</v>
      </c>
      <c r="H23" s="2">
        <v>59</v>
      </c>
      <c r="I23" s="2">
        <v>114</v>
      </c>
      <c r="J23" s="2">
        <v>0.51800000000000002</v>
      </c>
      <c r="K23" s="2">
        <v>1</v>
      </c>
      <c r="L23" s="2">
        <v>6</v>
      </c>
      <c r="M23" s="2">
        <v>0.16700000000000001</v>
      </c>
      <c r="N23" s="2">
        <v>58</v>
      </c>
      <c r="O23" s="2">
        <v>108</v>
      </c>
      <c r="P23" s="2">
        <v>0.53700000000000003</v>
      </c>
      <c r="Q23" s="2">
        <v>0.52200000000000002</v>
      </c>
      <c r="R23" s="2">
        <v>29</v>
      </c>
      <c r="S23" s="2">
        <v>51</v>
      </c>
      <c r="T23" s="2">
        <v>0.56899999999999995</v>
      </c>
      <c r="U23" s="2">
        <v>56</v>
      </c>
      <c r="V23" s="2">
        <v>101</v>
      </c>
      <c r="W23" s="2">
        <v>157</v>
      </c>
      <c r="X23" s="2">
        <v>10</v>
      </c>
      <c r="Y23" s="2">
        <v>26</v>
      </c>
      <c r="Z23" s="2">
        <v>8</v>
      </c>
      <c r="AA23" s="2">
        <v>33</v>
      </c>
      <c r="AB23" s="2">
        <v>47</v>
      </c>
      <c r="AC23" s="2">
        <v>148</v>
      </c>
      <c r="AD23" s="2">
        <v>0</v>
      </c>
      <c r="AE23" s="18">
        <f t="shared" si="0"/>
        <v>0.30303030303030304</v>
      </c>
    </row>
    <row r="24" spans="1:31" x14ac:dyDescent="0.2">
      <c r="A24" t="s">
        <v>361</v>
      </c>
      <c r="B24" s="2">
        <v>23</v>
      </c>
      <c r="C24" t="s">
        <v>35</v>
      </c>
      <c r="D24" s="2" t="s">
        <v>52</v>
      </c>
      <c r="E24" s="2">
        <v>23</v>
      </c>
      <c r="F24" s="2">
        <v>15</v>
      </c>
      <c r="G24" s="2">
        <v>407</v>
      </c>
      <c r="H24" s="2">
        <v>32</v>
      </c>
      <c r="I24" s="2">
        <v>79</v>
      </c>
      <c r="J24" s="2">
        <v>0.40500000000000003</v>
      </c>
      <c r="K24" s="2">
        <v>15</v>
      </c>
      <c r="L24" s="2">
        <v>41</v>
      </c>
      <c r="M24" s="2">
        <v>0.36599999999999999</v>
      </c>
      <c r="N24" s="2">
        <v>17</v>
      </c>
      <c r="O24" s="2">
        <v>38</v>
      </c>
      <c r="P24" s="2">
        <v>0.44700000000000001</v>
      </c>
      <c r="Q24" s="2">
        <v>0.5</v>
      </c>
      <c r="R24" s="2">
        <v>4</v>
      </c>
      <c r="S24" s="2">
        <v>8</v>
      </c>
      <c r="T24" s="2">
        <v>0.5</v>
      </c>
      <c r="U24" s="2">
        <v>16</v>
      </c>
      <c r="V24" s="2">
        <v>51</v>
      </c>
      <c r="W24" s="2">
        <v>67</v>
      </c>
      <c r="X24" s="2">
        <v>30</v>
      </c>
      <c r="Y24" s="2">
        <v>17</v>
      </c>
      <c r="Z24" s="2">
        <v>7</v>
      </c>
      <c r="AA24" s="2">
        <v>31</v>
      </c>
      <c r="AB24" s="2">
        <v>58</v>
      </c>
      <c r="AC24" s="2">
        <v>83</v>
      </c>
      <c r="AD24" s="2">
        <v>0</v>
      </c>
      <c r="AE24" s="18">
        <f t="shared" si="0"/>
        <v>0.967741935483871</v>
      </c>
    </row>
    <row r="25" spans="1:31" x14ac:dyDescent="0.2">
      <c r="A25" t="s">
        <v>356</v>
      </c>
      <c r="B25" s="2">
        <v>25</v>
      </c>
      <c r="C25" t="s">
        <v>82</v>
      </c>
      <c r="D25" s="2" t="s">
        <v>52</v>
      </c>
      <c r="E25" s="2">
        <v>11</v>
      </c>
      <c r="F25" s="2">
        <v>11</v>
      </c>
      <c r="G25" s="2">
        <v>272</v>
      </c>
      <c r="H25" s="2">
        <v>34</v>
      </c>
      <c r="I25" s="2">
        <v>78</v>
      </c>
      <c r="J25" s="2">
        <v>0.436</v>
      </c>
      <c r="K25" s="2">
        <v>7</v>
      </c>
      <c r="L25" s="2">
        <v>23</v>
      </c>
      <c r="M25" s="2">
        <v>0.30399999999999999</v>
      </c>
      <c r="N25" s="2">
        <v>27</v>
      </c>
      <c r="O25" s="2">
        <v>55</v>
      </c>
      <c r="P25" s="2">
        <v>0.49099999999999999</v>
      </c>
      <c r="Q25" s="2">
        <v>0.48099999999999998</v>
      </c>
      <c r="R25" s="2">
        <v>14</v>
      </c>
      <c r="S25" s="2">
        <v>16</v>
      </c>
      <c r="T25" s="2">
        <v>0.875</v>
      </c>
      <c r="U25" s="2">
        <v>2</v>
      </c>
      <c r="V25" s="2">
        <v>24</v>
      </c>
      <c r="W25" s="2">
        <v>26</v>
      </c>
      <c r="X25" s="2">
        <v>48</v>
      </c>
      <c r="Y25" s="2">
        <v>12</v>
      </c>
      <c r="Z25" s="2">
        <v>0</v>
      </c>
      <c r="AA25" s="2">
        <v>17</v>
      </c>
      <c r="AB25" s="2">
        <v>21</v>
      </c>
      <c r="AC25" s="2">
        <v>89</v>
      </c>
      <c r="AD25" s="2">
        <v>0</v>
      </c>
      <c r="AE25" s="18">
        <f t="shared" si="0"/>
        <v>2.8235294117647061</v>
      </c>
    </row>
    <row r="26" spans="1:31" x14ac:dyDescent="0.2">
      <c r="A26" t="s">
        <v>137</v>
      </c>
      <c r="B26" s="2">
        <v>29</v>
      </c>
      <c r="C26" t="s">
        <v>100</v>
      </c>
      <c r="D26" s="2" t="s">
        <v>49</v>
      </c>
      <c r="E26" s="2">
        <v>20</v>
      </c>
      <c r="F26" s="2">
        <v>20</v>
      </c>
      <c r="G26" s="2">
        <v>572</v>
      </c>
      <c r="H26" s="2">
        <v>116</v>
      </c>
      <c r="I26" s="2">
        <v>252</v>
      </c>
      <c r="J26" s="2">
        <v>0.46</v>
      </c>
      <c r="K26" s="2">
        <v>44</v>
      </c>
      <c r="L26" s="2">
        <v>103</v>
      </c>
      <c r="M26" s="2">
        <v>0.42699999999999999</v>
      </c>
      <c r="N26" s="2">
        <v>72</v>
      </c>
      <c r="O26" s="2">
        <v>149</v>
      </c>
      <c r="P26" s="2">
        <v>0.48299999999999998</v>
      </c>
      <c r="Q26" s="2">
        <v>0.54800000000000004</v>
      </c>
      <c r="R26" s="2">
        <v>67</v>
      </c>
      <c r="S26" s="2">
        <v>87</v>
      </c>
      <c r="T26" s="2">
        <v>0.77</v>
      </c>
      <c r="U26" s="2">
        <v>31</v>
      </c>
      <c r="V26" s="2">
        <v>57</v>
      </c>
      <c r="W26" s="2">
        <v>88</v>
      </c>
      <c r="X26" s="2">
        <v>46</v>
      </c>
      <c r="Y26" s="2">
        <v>19</v>
      </c>
      <c r="Z26" s="2">
        <v>14</v>
      </c>
      <c r="AA26" s="2">
        <v>23</v>
      </c>
      <c r="AB26" s="2">
        <v>36</v>
      </c>
      <c r="AC26" s="2">
        <v>343</v>
      </c>
      <c r="AD26" s="2">
        <v>0</v>
      </c>
      <c r="AE26" s="18">
        <f t="shared" si="0"/>
        <v>2</v>
      </c>
    </row>
    <row r="27" spans="1:31" x14ac:dyDescent="0.2">
      <c r="A27" t="s">
        <v>134</v>
      </c>
      <c r="B27" s="2">
        <v>25</v>
      </c>
      <c r="C27" t="s">
        <v>135</v>
      </c>
      <c r="D27" s="2" t="s">
        <v>52</v>
      </c>
      <c r="E27" s="2">
        <v>21</v>
      </c>
      <c r="F27" s="2">
        <v>21</v>
      </c>
      <c r="G27" s="2">
        <v>636</v>
      </c>
      <c r="H27" s="2">
        <v>122</v>
      </c>
      <c r="I27" s="2">
        <v>304</v>
      </c>
      <c r="J27" s="2">
        <v>0.40100000000000002</v>
      </c>
      <c r="K27" s="2">
        <v>50</v>
      </c>
      <c r="L27" s="2">
        <v>155</v>
      </c>
      <c r="M27" s="2">
        <v>0.32300000000000001</v>
      </c>
      <c r="N27" s="2">
        <v>72</v>
      </c>
      <c r="O27" s="2">
        <v>149</v>
      </c>
      <c r="P27" s="2">
        <v>0.48299999999999998</v>
      </c>
      <c r="Q27" s="2">
        <v>0.48399999999999999</v>
      </c>
      <c r="R27" s="2">
        <v>52</v>
      </c>
      <c r="S27" s="2">
        <v>58</v>
      </c>
      <c r="T27" s="2">
        <v>0.89700000000000002</v>
      </c>
      <c r="U27" s="2">
        <v>6</v>
      </c>
      <c r="V27" s="2">
        <v>48</v>
      </c>
      <c r="W27" s="2">
        <v>54</v>
      </c>
      <c r="X27" s="2">
        <v>93</v>
      </c>
      <c r="Y27" s="2">
        <v>17</v>
      </c>
      <c r="Z27" s="2">
        <v>2</v>
      </c>
      <c r="AA27" s="2">
        <v>51</v>
      </c>
      <c r="AB27" s="2">
        <v>40</v>
      </c>
      <c r="AC27" s="2">
        <v>346</v>
      </c>
      <c r="AD27" s="2">
        <v>0</v>
      </c>
      <c r="AE27" s="18">
        <f t="shared" si="0"/>
        <v>1.8235294117647058</v>
      </c>
    </row>
    <row r="28" spans="1:31" x14ac:dyDescent="0.2">
      <c r="A28" t="s">
        <v>212</v>
      </c>
      <c r="B28" s="2">
        <v>21</v>
      </c>
      <c r="C28" t="s">
        <v>48</v>
      </c>
      <c r="D28" s="2" t="s">
        <v>33</v>
      </c>
      <c r="E28" s="4">
        <v>27</v>
      </c>
      <c r="F28" s="2">
        <v>1</v>
      </c>
      <c r="G28" s="2">
        <v>655</v>
      </c>
      <c r="H28" s="2">
        <v>80</v>
      </c>
      <c r="I28" s="2">
        <v>190</v>
      </c>
      <c r="J28" s="2">
        <v>0.42099999999999999</v>
      </c>
      <c r="K28" s="2">
        <v>16</v>
      </c>
      <c r="L28" s="2">
        <v>65</v>
      </c>
      <c r="M28" s="2">
        <v>0.246</v>
      </c>
      <c r="N28" s="2">
        <v>64</v>
      </c>
      <c r="O28" s="2">
        <v>125</v>
      </c>
      <c r="P28" s="2">
        <v>0.51200000000000001</v>
      </c>
      <c r="Q28" s="2">
        <v>0.46300000000000002</v>
      </c>
      <c r="R28" s="2">
        <v>48</v>
      </c>
      <c r="S28" s="2">
        <v>68</v>
      </c>
      <c r="T28" s="2">
        <v>0.70599999999999996</v>
      </c>
      <c r="U28" s="2">
        <v>15</v>
      </c>
      <c r="V28" s="2">
        <v>62</v>
      </c>
      <c r="W28" s="2">
        <v>77</v>
      </c>
      <c r="X28" s="2">
        <v>103</v>
      </c>
      <c r="Y28" s="2">
        <v>26</v>
      </c>
      <c r="Z28" s="2">
        <v>22</v>
      </c>
      <c r="AA28" s="2">
        <v>63</v>
      </c>
      <c r="AB28" s="2">
        <v>57</v>
      </c>
      <c r="AC28" s="2">
        <v>224</v>
      </c>
      <c r="AD28" s="2">
        <v>0</v>
      </c>
      <c r="AE28" s="18">
        <f t="shared" si="0"/>
        <v>1.6349206349206349</v>
      </c>
    </row>
    <row r="29" spans="1:31" x14ac:dyDescent="0.2">
      <c r="A29" t="s">
        <v>40</v>
      </c>
      <c r="B29" s="2">
        <v>31</v>
      </c>
      <c r="C29" t="s">
        <v>41</v>
      </c>
      <c r="D29" s="2" t="s">
        <v>42</v>
      </c>
      <c r="E29" s="2">
        <v>23</v>
      </c>
      <c r="F29" s="2">
        <v>23</v>
      </c>
      <c r="G29" s="2">
        <v>813</v>
      </c>
      <c r="H29" s="2">
        <v>227</v>
      </c>
      <c r="I29" s="2">
        <v>429</v>
      </c>
      <c r="J29" s="2">
        <v>0.52900000000000003</v>
      </c>
      <c r="K29" s="2">
        <v>16</v>
      </c>
      <c r="L29" s="2">
        <v>50</v>
      </c>
      <c r="M29" s="2">
        <v>0.32</v>
      </c>
      <c r="N29" s="2">
        <v>211</v>
      </c>
      <c r="O29" s="2">
        <v>379</v>
      </c>
      <c r="P29" s="2">
        <v>0.55700000000000005</v>
      </c>
      <c r="Q29" s="2">
        <v>0.54800000000000004</v>
      </c>
      <c r="R29" s="2">
        <v>162</v>
      </c>
      <c r="S29" s="2">
        <v>203</v>
      </c>
      <c r="T29" s="2">
        <v>0.79800000000000004</v>
      </c>
      <c r="U29" s="2">
        <v>57</v>
      </c>
      <c r="V29" s="2">
        <v>201</v>
      </c>
      <c r="W29" s="2">
        <v>258</v>
      </c>
      <c r="X29" s="2">
        <v>80</v>
      </c>
      <c r="Y29" s="2">
        <v>29</v>
      </c>
      <c r="Z29" s="2">
        <v>46</v>
      </c>
      <c r="AA29" s="2">
        <v>46</v>
      </c>
      <c r="AB29" s="2">
        <v>47</v>
      </c>
      <c r="AC29" s="2">
        <v>632</v>
      </c>
      <c r="AD29" s="2">
        <v>0</v>
      </c>
      <c r="AE29" s="18">
        <f t="shared" si="0"/>
        <v>1.7391304347826086</v>
      </c>
    </row>
    <row r="30" spans="1:31" x14ac:dyDescent="0.2">
      <c r="A30" t="s">
        <v>50</v>
      </c>
      <c r="B30" s="2">
        <v>23</v>
      </c>
      <c r="C30" t="s">
        <v>51</v>
      </c>
      <c r="D30" s="2" t="s">
        <v>52</v>
      </c>
      <c r="E30" s="2">
        <v>23</v>
      </c>
      <c r="F30" s="2">
        <v>23</v>
      </c>
      <c r="G30" s="2">
        <v>836</v>
      </c>
      <c r="H30" s="2">
        <v>211</v>
      </c>
      <c r="I30" s="2">
        <v>466</v>
      </c>
      <c r="J30" s="2">
        <v>0.45300000000000001</v>
      </c>
      <c r="K30" s="4">
        <v>103</v>
      </c>
      <c r="L30" s="2">
        <v>241</v>
      </c>
      <c r="M30" s="2">
        <v>0.42699999999999999</v>
      </c>
      <c r="N30" s="2">
        <v>108</v>
      </c>
      <c r="O30" s="2">
        <v>225</v>
      </c>
      <c r="P30" s="2">
        <v>0.48</v>
      </c>
      <c r="Q30" s="2">
        <v>0.56299999999999994</v>
      </c>
      <c r="R30" s="2">
        <v>82</v>
      </c>
      <c r="S30" s="2">
        <v>101</v>
      </c>
      <c r="T30" s="2">
        <v>0.81200000000000006</v>
      </c>
      <c r="U30" s="2">
        <v>14</v>
      </c>
      <c r="V30" s="2">
        <v>110</v>
      </c>
      <c r="W30" s="2">
        <v>124</v>
      </c>
      <c r="X30" s="2">
        <v>93</v>
      </c>
      <c r="Y30" s="2">
        <v>32</v>
      </c>
      <c r="Z30" s="2">
        <v>14</v>
      </c>
      <c r="AA30" s="2">
        <v>72</v>
      </c>
      <c r="AB30" s="2">
        <v>46</v>
      </c>
      <c r="AC30" s="2">
        <v>607</v>
      </c>
      <c r="AD30" s="2">
        <v>0</v>
      </c>
      <c r="AE30" s="18">
        <f t="shared" si="0"/>
        <v>1.2916666666666667</v>
      </c>
    </row>
    <row r="31" spans="1:31" x14ac:dyDescent="0.2">
      <c r="A31" t="s">
        <v>414</v>
      </c>
      <c r="B31" s="2">
        <v>32</v>
      </c>
      <c r="C31" t="s">
        <v>114</v>
      </c>
      <c r="D31" s="2" t="s">
        <v>27</v>
      </c>
      <c r="E31" s="2">
        <v>17</v>
      </c>
      <c r="F31" s="2">
        <v>0</v>
      </c>
      <c r="G31" s="2">
        <v>131</v>
      </c>
      <c r="H31" s="2">
        <v>15</v>
      </c>
      <c r="I31" s="2">
        <v>28</v>
      </c>
      <c r="J31" s="2">
        <v>0.53600000000000003</v>
      </c>
      <c r="K31" s="2">
        <v>4</v>
      </c>
      <c r="L31" s="2">
        <v>9</v>
      </c>
      <c r="M31" s="2">
        <v>0.44400000000000001</v>
      </c>
      <c r="N31" s="2">
        <v>11</v>
      </c>
      <c r="O31" s="2">
        <v>19</v>
      </c>
      <c r="P31" s="2">
        <v>0.57899999999999996</v>
      </c>
      <c r="Q31" s="2">
        <v>0.60699999999999998</v>
      </c>
      <c r="R31" s="2">
        <v>10</v>
      </c>
      <c r="S31" s="2">
        <v>18</v>
      </c>
      <c r="T31" s="2">
        <v>0.55600000000000005</v>
      </c>
      <c r="U31" s="2">
        <v>5</v>
      </c>
      <c r="V31" s="2">
        <v>17</v>
      </c>
      <c r="W31" s="2">
        <v>22</v>
      </c>
      <c r="X31" s="2">
        <v>6</v>
      </c>
      <c r="Y31" s="2">
        <v>5</v>
      </c>
      <c r="Z31" s="2">
        <v>1</v>
      </c>
      <c r="AA31" s="2">
        <v>4</v>
      </c>
      <c r="AB31" s="2">
        <v>9</v>
      </c>
      <c r="AC31" s="2">
        <v>44</v>
      </c>
      <c r="AD31" s="2">
        <v>0</v>
      </c>
      <c r="AE31" s="18">
        <f t="shared" si="0"/>
        <v>1.5</v>
      </c>
    </row>
    <row r="32" spans="1:31" x14ac:dyDescent="0.2">
      <c r="A32" t="s">
        <v>386</v>
      </c>
      <c r="B32" s="2">
        <v>24</v>
      </c>
      <c r="C32" t="s">
        <v>117</v>
      </c>
      <c r="D32" s="2" t="s">
        <v>52</v>
      </c>
      <c r="E32" s="2">
        <v>14</v>
      </c>
      <c r="F32" s="2">
        <v>0</v>
      </c>
      <c r="G32" s="2">
        <v>138</v>
      </c>
      <c r="H32" s="2">
        <v>25</v>
      </c>
      <c r="I32" s="2">
        <v>63</v>
      </c>
      <c r="J32" s="2">
        <v>0.39700000000000002</v>
      </c>
      <c r="K32" s="2">
        <v>8</v>
      </c>
      <c r="L32" s="2">
        <v>31</v>
      </c>
      <c r="M32" s="2">
        <v>0.25800000000000001</v>
      </c>
      <c r="N32" s="2">
        <v>17</v>
      </c>
      <c r="O32" s="2">
        <v>32</v>
      </c>
      <c r="P32" s="2">
        <v>0.53100000000000003</v>
      </c>
      <c r="Q32" s="2">
        <v>0.46</v>
      </c>
      <c r="R32" s="2">
        <v>6</v>
      </c>
      <c r="S32" s="2">
        <v>7</v>
      </c>
      <c r="T32" s="2">
        <v>0.85699999999999998</v>
      </c>
      <c r="U32" s="2">
        <v>5</v>
      </c>
      <c r="V32" s="2">
        <v>12</v>
      </c>
      <c r="W32" s="2">
        <v>17</v>
      </c>
      <c r="X32" s="2">
        <v>7</v>
      </c>
      <c r="Y32" s="2">
        <v>5</v>
      </c>
      <c r="Z32" s="2">
        <v>0</v>
      </c>
      <c r="AA32" s="2">
        <v>4</v>
      </c>
      <c r="AB32" s="2">
        <v>7</v>
      </c>
      <c r="AC32" s="2">
        <v>64</v>
      </c>
      <c r="AD32" s="2">
        <v>0</v>
      </c>
      <c r="AE32" s="18">
        <f t="shared" si="0"/>
        <v>1.75</v>
      </c>
    </row>
    <row r="33" spans="1:31" x14ac:dyDescent="0.2">
      <c r="A33" t="s">
        <v>463</v>
      </c>
      <c r="B33" s="2">
        <v>22</v>
      </c>
      <c r="C33" t="s">
        <v>44</v>
      </c>
      <c r="D33" s="2" t="s">
        <v>42</v>
      </c>
      <c r="E33" s="2">
        <v>11</v>
      </c>
      <c r="F33" s="2">
        <v>0</v>
      </c>
      <c r="G33" s="2">
        <v>97</v>
      </c>
      <c r="H33" s="2">
        <v>9</v>
      </c>
      <c r="I33" s="2">
        <v>14</v>
      </c>
      <c r="J33" s="2">
        <v>0.64300000000000002</v>
      </c>
      <c r="K33" s="2">
        <v>0</v>
      </c>
      <c r="L33" s="2">
        <v>0</v>
      </c>
      <c r="M33" s="2"/>
      <c r="N33" s="2">
        <v>9</v>
      </c>
      <c r="O33" s="2">
        <v>14</v>
      </c>
      <c r="P33" s="2">
        <v>0.64300000000000002</v>
      </c>
      <c r="Q33" s="2">
        <v>0.64300000000000002</v>
      </c>
      <c r="R33" s="2">
        <v>3</v>
      </c>
      <c r="S33" s="2">
        <v>6</v>
      </c>
      <c r="T33" s="2">
        <v>0.5</v>
      </c>
      <c r="U33" s="2">
        <v>3</v>
      </c>
      <c r="V33" s="2">
        <v>17</v>
      </c>
      <c r="W33" s="2">
        <v>20</v>
      </c>
      <c r="X33" s="2">
        <v>6</v>
      </c>
      <c r="Y33" s="2">
        <v>0</v>
      </c>
      <c r="Z33" s="2">
        <v>8</v>
      </c>
      <c r="AA33" s="2">
        <v>9</v>
      </c>
      <c r="AB33" s="2">
        <v>14</v>
      </c>
      <c r="AC33" s="2">
        <v>21</v>
      </c>
      <c r="AD33" s="2">
        <v>0</v>
      </c>
      <c r="AE33" s="18">
        <f t="shared" si="0"/>
        <v>0.66666666666666663</v>
      </c>
    </row>
    <row r="34" spans="1:31" x14ac:dyDescent="0.2">
      <c r="A34" t="s">
        <v>494</v>
      </c>
      <c r="B34" s="2">
        <v>22</v>
      </c>
      <c r="C34" t="s">
        <v>41</v>
      </c>
      <c r="D34" s="2" t="s">
        <v>49</v>
      </c>
      <c r="E34" s="2">
        <v>8</v>
      </c>
      <c r="F34" s="2">
        <v>0</v>
      </c>
      <c r="G34" s="2">
        <v>61</v>
      </c>
      <c r="H34" s="2">
        <v>5</v>
      </c>
      <c r="I34" s="2">
        <v>18</v>
      </c>
      <c r="J34" s="2">
        <v>0.27800000000000002</v>
      </c>
      <c r="K34" s="2">
        <v>0</v>
      </c>
      <c r="L34" s="2">
        <v>7</v>
      </c>
      <c r="M34" s="2">
        <v>0</v>
      </c>
      <c r="N34" s="2">
        <v>5</v>
      </c>
      <c r="O34" s="2">
        <v>11</v>
      </c>
      <c r="P34" s="2">
        <v>0.45500000000000002</v>
      </c>
      <c r="Q34" s="2">
        <v>0.27800000000000002</v>
      </c>
      <c r="R34" s="2">
        <v>2</v>
      </c>
      <c r="S34" s="2">
        <v>7</v>
      </c>
      <c r="T34" s="2">
        <v>0.28599999999999998</v>
      </c>
      <c r="U34" s="2">
        <v>1</v>
      </c>
      <c r="V34" s="2">
        <v>13</v>
      </c>
      <c r="W34" s="2">
        <v>14</v>
      </c>
      <c r="X34" s="2">
        <v>1</v>
      </c>
      <c r="Y34" s="2">
        <v>4</v>
      </c>
      <c r="Z34" s="2">
        <v>2</v>
      </c>
      <c r="AA34" s="2">
        <v>2</v>
      </c>
      <c r="AB34" s="2">
        <v>6</v>
      </c>
      <c r="AC34" s="2">
        <v>12</v>
      </c>
      <c r="AD34" s="2">
        <v>0</v>
      </c>
      <c r="AE34" s="18">
        <f t="shared" si="0"/>
        <v>0.5</v>
      </c>
    </row>
    <row r="35" spans="1:31" x14ac:dyDescent="0.2">
      <c r="A35" t="s">
        <v>430</v>
      </c>
      <c r="B35" s="2">
        <v>22</v>
      </c>
      <c r="C35" t="s">
        <v>75</v>
      </c>
      <c r="D35" s="2" t="s">
        <v>49</v>
      </c>
      <c r="E35" s="2">
        <v>6</v>
      </c>
      <c r="F35" s="2">
        <v>1</v>
      </c>
      <c r="G35" s="2">
        <v>90</v>
      </c>
      <c r="H35" s="2">
        <v>14</v>
      </c>
      <c r="I35" s="2">
        <v>35</v>
      </c>
      <c r="J35" s="2">
        <v>0.4</v>
      </c>
      <c r="K35" s="2">
        <v>3</v>
      </c>
      <c r="L35" s="2">
        <v>10</v>
      </c>
      <c r="M35" s="2">
        <v>0.3</v>
      </c>
      <c r="N35" s="2">
        <v>11</v>
      </c>
      <c r="O35" s="2">
        <v>25</v>
      </c>
      <c r="P35" s="2">
        <v>0.44</v>
      </c>
      <c r="Q35" s="2">
        <v>0.443</v>
      </c>
      <c r="R35" s="2">
        <v>3</v>
      </c>
      <c r="S35" s="2">
        <v>7</v>
      </c>
      <c r="T35" s="2">
        <v>0.42899999999999999</v>
      </c>
      <c r="U35" s="2">
        <v>7</v>
      </c>
      <c r="V35" s="2">
        <v>11</v>
      </c>
      <c r="W35" s="2">
        <v>18</v>
      </c>
      <c r="X35" s="2">
        <v>14</v>
      </c>
      <c r="Y35" s="2">
        <v>2</v>
      </c>
      <c r="Z35" s="2">
        <v>3</v>
      </c>
      <c r="AA35" s="2">
        <v>9</v>
      </c>
      <c r="AB35" s="2">
        <v>13</v>
      </c>
      <c r="AC35" s="2">
        <v>34</v>
      </c>
      <c r="AD35" s="2">
        <v>0</v>
      </c>
      <c r="AE35" s="18">
        <f t="shared" si="0"/>
        <v>1.5555555555555556</v>
      </c>
    </row>
    <row r="36" spans="1:31" x14ac:dyDescent="0.2">
      <c r="A36" t="s">
        <v>148</v>
      </c>
      <c r="B36" s="2">
        <v>26</v>
      </c>
      <c r="C36" t="s">
        <v>41</v>
      </c>
      <c r="D36" s="2" t="s">
        <v>52</v>
      </c>
      <c r="E36" s="2">
        <v>19</v>
      </c>
      <c r="F36" s="2">
        <v>19</v>
      </c>
      <c r="G36" s="2">
        <v>641</v>
      </c>
      <c r="H36" s="2">
        <v>110</v>
      </c>
      <c r="I36" s="2">
        <v>250</v>
      </c>
      <c r="J36" s="2">
        <v>0.44</v>
      </c>
      <c r="K36" s="2">
        <v>50</v>
      </c>
      <c r="L36" s="2">
        <v>141</v>
      </c>
      <c r="M36" s="2">
        <v>0.35499999999999998</v>
      </c>
      <c r="N36" s="2">
        <v>60</v>
      </c>
      <c r="O36" s="2">
        <v>109</v>
      </c>
      <c r="P36" s="2">
        <v>0.55000000000000004</v>
      </c>
      <c r="Q36" s="2">
        <v>0.54</v>
      </c>
      <c r="R36" s="2">
        <v>48</v>
      </c>
      <c r="S36" s="2">
        <v>62</v>
      </c>
      <c r="T36" s="2">
        <v>0.77400000000000002</v>
      </c>
      <c r="U36" s="2">
        <v>15</v>
      </c>
      <c r="V36" s="2">
        <v>52</v>
      </c>
      <c r="W36" s="2">
        <v>67</v>
      </c>
      <c r="X36" s="2">
        <v>92</v>
      </c>
      <c r="Y36" s="2">
        <v>20</v>
      </c>
      <c r="Z36" s="2">
        <v>4</v>
      </c>
      <c r="AA36" s="2">
        <v>43</v>
      </c>
      <c r="AB36" s="2">
        <v>41</v>
      </c>
      <c r="AC36" s="2">
        <v>318</v>
      </c>
      <c r="AD36" s="2">
        <v>0</v>
      </c>
      <c r="AE36" s="18">
        <f t="shared" si="0"/>
        <v>2.13953488372093</v>
      </c>
    </row>
    <row r="37" spans="1:31" x14ac:dyDescent="0.2">
      <c r="A37" t="s">
        <v>149</v>
      </c>
      <c r="B37" s="2">
        <v>25</v>
      </c>
      <c r="C37" t="s">
        <v>70</v>
      </c>
      <c r="D37" s="2" t="s">
        <v>52</v>
      </c>
      <c r="E37" s="2">
        <v>25</v>
      </c>
      <c r="F37" s="2">
        <v>12</v>
      </c>
      <c r="G37" s="2">
        <v>748</v>
      </c>
      <c r="H37" s="2">
        <v>122</v>
      </c>
      <c r="I37" s="2">
        <v>243</v>
      </c>
      <c r="J37" s="2">
        <v>0.502</v>
      </c>
      <c r="K37" s="2">
        <v>32</v>
      </c>
      <c r="L37" s="2">
        <v>99</v>
      </c>
      <c r="M37" s="2">
        <v>0.32300000000000001</v>
      </c>
      <c r="N37" s="2">
        <v>90</v>
      </c>
      <c r="O37" s="2">
        <v>144</v>
      </c>
      <c r="P37" s="2">
        <v>0.625</v>
      </c>
      <c r="Q37" s="2">
        <v>0.56799999999999995</v>
      </c>
      <c r="R37" s="2">
        <v>41</v>
      </c>
      <c r="S37" s="2">
        <v>50</v>
      </c>
      <c r="T37" s="2">
        <v>0.82</v>
      </c>
      <c r="U37" s="2">
        <v>16</v>
      </c>
      <c r="V37" s="2">
        <v>78</v>
      </c>
      <c r="W37" s="2">
        <v>94</v>
      </c>
      <c r="X37" s="2">
        <v>114</v>
      </c>
      <c r="Y37" s="2">
        <v>17</v>
      </c>
      <c r="Z37" s="2">
        <v>12</v>
      </c>
      <c r="AA37" s="2">
        <v>33</v>
      </c>
      <c r="AB37" s="2">
        <v>58</v>
      </c>
      <c r="AC37" s="2">
        <v>317</v>
      </c>
      <c r="AD37" s="2">
        <v>1</v>
      </c>
      <c r="AE37" s="18">
        <f t="shared" si="0"/>
        <v>3.4545454545454546</v>
      </c>
    </row>
    <row r="38" spans="1:31" x14ac:dyDescent="0.2">
      <c r="A38" t="s">
        <v>125</v>
      </c>
      <c r="B38" s="2">
        <v>27</v>
      </c>
      <c r="C38" t="s">
        <v>61</v>
      </c>
      <c r="D38" s="2" t="s">
        <v>42</v>
      </c>
      <c r="E38" s="2">
        <v>23</v>
      </c>
      <c r="F38" s="2">
        <v>23</v>
      </c>
      <c r="G38" s="2">
        <v>799</v>
      </c>
      <c r="H38" s="2">
        <v>142</v>
      </c>
      <c r="I38" s="2">
        <v>322</v>
      </c>
      <c r="J38" s="2">
        <v>0.441</v>
      </c>
      <c r="K38" s="2">
        <v>22</v>
      </c>
      <c r="L38" s="2">
        <v>66</v>
      </c>
      <c r="M38" s="2">
        <v>0.33300000000000002</v>
      </c>
      <c r="N38" s="2">
        <v>120</v>
      </c>
      <c r="O38" s="2">
        <v>256</v>
      </c>
      <c r="P38" s="2">
        <v>0.46899999999999997</v>
      </c>
      <c r="Q38" s="2">
        <v>0.47499999999999998</v>
      </c>
      <c r="R38" s="2">
        <v>67</v>
      </c>
      <c r="S38" s="2">
        <v>93</v>
      </c>
      <c r="T38" s="2">
        <v>0.72</v>
      </c>
      <c r="U38" s="2">
        <v>60</v>
      </c>
      <c r="V38" s="2">
        <v>178</v>
      </c>
      <c r="W38" s="2">
        <v>238</v>
      </c>
      <c r="X38" s="2">
        <v>119</v>
      </c>
      <c r="Y38" s="2">
        <v>34</v>
      </c>
      <c r="Z38" s="2">
        <v>18</v>
      </c>
      <c r="AA38" s="2">
        <v>43</v>
      </c>
      <c r="AB38" s="2">
        <v>47</v>
      </c>
      <c r="AC38" s="2">
        <v>373</v>
      </c>
      <c r="AD38" s="2">
        <v>1</v>
      </c>
      <c r="AE38" s="18">
        <f t="shared" si="0"/>
        <v>2.7674418604651163</v>
      </c>
    </row>
    <row r="39" spans="1:31" x14ac:dyDescent="0.2">
      <c r="A39" t="s">
        <v>532</v>
      </c>
      <c r="B39" s="2">
        <v>24</v>
      </c>
      <c r="C39" t="s">
        <v>39</v>
      </c>
      <c r="D39" s="2" t="s">
        <v>52</v>
      </c>
      <c r="E39" s="2">
        <v>5</v>
      </c>
      <c r="F39" s="2">
        <v>0</v>
      </c>
      <c r="G39" s="2">
        <v>34</v>
      </c>
      <c r="H39" s="2">
        <v>1</v>
      </c>
      <c r="I39" s="2">
        <v>10</v>
      </c>
      <c r="J39" s="2">
        <v>0.1</v>
      </c>
      <c r="K39" s="2">
        <v>0</v>
      </c>
      <c r="L39" s="2">
        <v>6</v>
      </c>
      <c r="M39" s="2">
        <v>0</v>
      </c>
      <c r="N39" s="2">
        <v>1</v>
      </c>
      <c r="O39" s="2">
        <v>4</v>
      </c>
      <c r="P39" s="2">
        <v>0.25</v>
      </c>
      <c r="Q39" s="2">
        <v>0.1</v>
      </c>
      <c r="R39" s="2">
        <v>2</v>
      </c>
      <c r="S39" s="2">
        <v>2</v>
      </c>
      <c r="T39" s="2">
        <v>1</v>
      </c>
      <c r="U39" s="2">
        <v>2</v>
      </c>
      <c r="V39" s="2">
        <v>5</v>
      </c>
      <c r="W39" s="2">
        <v>7</v>
      </c>
      <c r="X39" s="2">
        <v>2</v>
      </c>
      <c r="Y39" s="2">
        <v>1</v>
      </c>
      <c r="Z39" s="2">
        <v>0</v>
      </c>
      <c r="AA39" s="2">
        <v>0</v>
      </c>
      <c r="AB39" s="2">
        <v>3</v>
      </c>
      <c r="AC39" s="2">
        <v>4</v>
      </c>
      <c r="AD39" s="2">
        <v>0</v>
      </c>
      <c r="AE39" s="18" t="e">
        <f t="shared" si="0"/>
        <v>#DIV/0!</v>
      </c>
    </row>
    <row r="40" spans="1:31" x14ac:dyDescent="0.2">
      <c r="A40" t="s">
        <v>371</v>
      </c>
      <c r="B40" s="2">
        <v>23</v>
      </c>
      <c r="C40" t="s">
        <v>82</v>
      </c>
      <c r="D40" s="2" t="s">
        <v>52</v>
      </c>
      <c r="E40" s="2">
        <v>13</v>
      </c>
      <c r="F40" s="2">
        <v>5</v>
      </c>
      <c r="G40" s="2">
        <v>272</v>
      </c>
      <c r="H40" s="2">
        <v>28</v>
      </c>
      <c r="I40" s="2">
        <v>66</v>
      </c>
      <c r="J40" s="2">
        <v>0.42399999999999999</v>
      </c>
      <c r="K40" s="2">
        <v>19</v>
      </c>
      <c r="L40" s="2">
        <v>47</v>
      </c>
      <c r="M40" s="2">
        <v>0.40400000000000003</v>
      </c>
      <c r="N40" s="2">
        <v>9</v>
      </c>
      <c r="O40" s="2">
        <v>19</v>
      </c>
      <c r="P40" s="2">
        <v>0.47399999999999998</v>
      </c>
      <c r="Q40" s="2">
        <v>0.56799999999999995</v>
      </c>
      <c r="R40" s="2">
        <v>0</v>
      </c>
      <c r="S40" s="2">
        <v>0</v>
      </c>
      <c r="T40" s="2"/>
      <c r="U40" s="2">
        <v>5</v>
      </c>
      <c r="V40" s="2">
        <v>24</v>
      </c>
      <c r="W40" s="2">
        <v>29</v>
      </c>
      <c r="X40" s="2">
        <v>17</v>
      </c>
      <c r="Y40" s="2">
        <v>5</v>
      </c>
      <c r="Z40" s="2">
        <v>4</v>
      </c>
      <c r="AA40" s="2">
        <v>5</v>
      </c>
      <c r="AB40" s="2">
        <v>33</v>
      </c>
      <c r="AC40" s="2">
        <v>75</v>
      </c>
      <c r="AD40" s="2">
        <v>0</v>
      </c>
      <c r="AE40" s="18">
        <f t="shared" si="0"/>
        <v>3.4</v>
      </c>
    </row>
    <row r="41" spans="1:31" x14ac:dyDescent="0.2">
      <c r="A41" t="s">
        <v>347</v>
      </c>
      <c r="B41" s="2">
        <v>28</v>
      </c>
      <c r="C41" t="s">
        <v>103</v>
      </c>
      <c r="D41" s="2" t="s">
        <v>33</v>
      </c>
      <c r="E41" s="2">
        <v>18</v>
      </c>
      <c r="F41" s="2">
        <v>13</v>
      </c>
      <c r="G41" s="2">
        <v>425</v>
      </c>
      <c r="H41" s="2">
        <v>45</v>
      </c>
      <c r="I41" s="2">
        <v>74</v>
      </c>
      <c r="J41" s="2">
        <v>0.60799999999999998</v>
      </c>
      <c r="K41" s="2">
        <v>0</v>
      </c>
      <c r="L41" s="2">
        <v>0</v>
      </c>
      <c r="M41" s="2"/>
      <c r="N41" s="2">
        <v>45</v>
      </c>
      <c r="O41" s="2">
        <v>74</v>
      </c>
      <c r="P41" s="2">
        <v>0.60799999999999998</v>
      </c>
      <c r="Q41" s="2">
        <v>0.60799999999999998</v>
      </c>
      <c r="R41" s="2">
        <v>4</v>
      </c>
      <c r="S41" s="2">
        <v>8</v>
      </c>
      <c r="T41" s="2">
        <v>0.5</v>
      </c>
      <c r="U41" s="2">
        <v>18</v>
      </c>
      <c r="V41" s="2">
        <v>84</v>
      </c>
      <c r="W41" s="2">
        <v>102</v>
      </c>
      <c r="X41" s="2">
        <v>115</v>
      </c>
      <c r="Y41" s="2">
        <v>15</v>
      </c>
      <c r="Z41" s="2">
        <v>11</v>
      </c>
      <c r="AA41" s="2">
        <v>44</v>
      </c>
      <c r="AB41" s="2">
        <v>48</v>
      </c>
      <c r="AC41" s="2">
        <v>94</v>
      </c>
      <c r="AD41" s="2">
        <v>0</v>
      </c>
      <c r="AE41" s="18">
        <f t="shared" si="0"/>
        <v>2.6136363636363638</v>
      </c>
    </row>
    <row r="42" spans="1:31" x14ac:dyDescent="0.2">
      <c r="A42" t="s">
        <v>94</v>
      </c>
      <c r="B42" s="2">
        <v>22</v>
      </c>
      <c r="C42" t="s">
        <v>82</v>
      </c>
      <c r="D42" s="2" t="s">
        <v>52</v>
      </c>
      <c r="E42" s="2">
        <v>25</v>
      </c>
      <c r="F42" s="2">
        <v>20</v>
      </c>
      <c r="G42" s="2">
        <v>818</v>
      </c>
      <c r="H42" s="2">
        <v>147</v>
      </c>
      <c r="I42" s="2">
        <v>312</v>
      </c>
      <c r="J42" s="2">
        <v>0.47099999999999997</v>
      </c>
      <c r="K42" s="2">
        <v>39</v>
      </c>
      <c r="L42" s="2">
        <v>100</v>
      </c>
      <c r="M42" s="2">
        <v>0.39</v>
      </c>
      <c r="N42" s="2">
        <v>108</v>
      </c>
      <c r="O42" s="2">
        <v>212</v>
      </c>
      <c r="P42" s="2">
        <v>0.50900000000000001</v>
      </c>
      <c r="Q42" s="2">
        <v>0.53400000000000003</v>
      </c>
      <c r="R42" s="2">
        <v>111</v>
      </c>
      <c r="S42" s="2">
        <v>131</v>
      </c>
      <c r="T42" s="2">
        <v>0.84699999999999998</v>
      </c>
      <c r="U42" s="2">
        <v>31</v>
      </c>
      <c r="V42" s="2">
        <v>127</v>
      </c>
      <c r="W42" s="2">
        <v>158</v>
      </c>
      <c r="X42" s="2">
        <v>43</v>
      </c>
      <c r="Y42" s="2">
        <v>17</v>
      </c>
      <c r="Z42" s="2">
        <v>8</v>
      </c>
      <c r="AA42" s="2">
        <v>53</v>
      </c>
      <c r="AB42" s="2">
        <v>62</v>
      </c>
      <c r="AC42" s="2">
        <v>444</v>
      </c>
      <c r="AD42" s="2">
        <v>0</v>
      </c>
      <c r="AE42" s="18">
        <f t="shared" si="0"/>
        <v>0.81132075471698117</v>
      </c>
    </row>
    <row r="43" spans="1:31" x14ac:dyDescent="0.2">
      <c r="A43" t="s">
        <v>192</v>
      </c>
      <c r="B43" s="2">
        <v>20</v>
      </c>
      <c r="C43" t="s">
        <v>114</v>
      </c>
      <c r="D43" s="2" t="s">
        <v>49</v>
      </c>
      <c r="E43" s="2">
        <v>21</v>
      </c>
      <c r="F43" s="2">
        <v>21</v>
      </c>
      <c r="G43" s="2">
        <v>726</v>
      </c>
      <c r="H43" s="2">
        <v>88</v>
      </c>
      <c r="I43" s="2">
        <v>203</v>
      </c>
      <c r="J43" s="2">
        <v>0.433</v>
      </c>
      <c r="K43" s="2">
        <v>18</v>
      </c>
      <c r="L43" s="2">
        <v>68</v>
      </c>
      <c r="M43" s="2">
        <v>0.26500000000000001</v>
      </c>
      <c r="N43" s="2">
        <v>70</v>
      </c>
      <c r="O43" s="2">
        <v>135</v>
      </c>
      <c r="P43" s="2">
        <v>0.51900000000000002</v>
      </c>
      <c r="Q43" s="2">
        <v>0.47799999999999998</v>
      </c>
      <c r="R43" s="2">
        <v>54</v>
      </c>
      <c r="S43" s="2">
        <v>69</v>
      </c>
      <c r="T43" s="2">
        <v>0.78300000000000003</v>
      </c>
      <c r="U43" s="2">
        <v>33</v>
      </c>
      <c r="V43" s="2">
        <v>80</v>
      </c>
      <c r="W43" s="2">
        <v>113</v>
      </c>
      <c r="X43" s="2">
        <v>65</v>
      </c>
      <c r="Y43" s="2">
        <v>32</v>
      </c>
      <c r="Z43" s="2">
        <v>15</v>
      </c>
      <c r="AA43" s="2">
        <v>40</v>
      </c>
      <c r="AB43" s="2">
        <v>54</v>
      </c>
      <c r="AC43" s="2">
        <v>248</v>
      </c>
      <c r="AD43" s="2">
        <v>0</v>
      </c>
      <c r="AE43" s="18">
        <f t="shared" si="0"/>
        <v>1.625</v>
      </c>
    </row>
    <row r="44" spans="1:31" x14ac:dyDescent="0.2">
      <c r="A44" t="s">
        <v>372</v>
      </c>
      <c r="B44" s="2">
        <v>21</v>
      </c>
      <c r="C44" t="s">
        <v>93</v>
      </c>
      <c r="D44" s="2" t="s">
        <v>52</v>
      </c>
      <c r="E44" s="2">
        <v>19</v>
      </c>
      <c r="F44" s="2">
        <v>0</v>
      </c>
      <c r="G44" s="2">
        <v>212</v>
      </c>
      <c r="H44" s="2">
        <v>29</v>
      </c>
      <c r="I44" s="2">
        <v>66</v>
      </c>
      <c r="J44" s="2">
        <v>0.439</v>
      </c>
      <c r="K44" s="2">
        <v>4</v>
      </c>
      <c r="L44" s="2">
        <v>20</v>
      </c>
      <c r="M44" s="2">
        <v>0.2</v>
      </c>
      <c r="N44" s="2">
        <v>25</v>
      </c>
      <c r="O44" s="2">
        <v>46</v>
      </c>
      <c r="P44" s="2">
        <v>0.54300000000000004</v>
      </c>
      <c r="Q44" s="2">
        <v>0.47</v>
      </c>
      <c r="R44" s="2">
        <v>13</v>
      </c>
      <c r="S44" s="2">
        <v>19</v>
      </c>
      <c r="T44" s="2">
        <v>0.68400000000000005</v>
      </c>
      <c r="U44" s="2">
        <v>5</v>
      </c>
      <c r="V44" s="2">
        <v>10</v>
      </c>
      <c r="W44" s="2">
        <v>15</v>
      </c>
      <c r="X44" s="2">
        <v>28</v>
      </c>
      <c r="Y44" s="2">
        <v>8</v>
      </c>
      <c r="Z44" s="2">
        <v>1</v>
      </c>
      <c r="AA44" s="2">
        <v>20</v>
      </c>
      <c r="AB44" s="2">
        <v>11</v>
      </c>
      <c r="AC44" s="2">
        <v>75</v>
      </c>
      <c r="AD44" s="2">
        <v>0</v>
      </c>
      <c r="AE44" s="18">
        <f t="shared" si="0"/>
        <v>1.4</v>
      </c>
    </row>
    <row r="45" spans="1:31" x14ac:dyDescent="0.2">
      <c r="A45" t="s">
        <v>152</v>
      </c>
      <c r="B45" s="2">
        <v>29</v>
      </c>
      <c r="C45" t="s">
        <v>35</v>
      </c>
      <c r="D45" s="2" t="s">
        <v>27</v>
      </c>
      <c r="E45" s="2">
        <v>23</v>
      </c>
      <c r="F45" s="2">
        <v>1</v>
      </c>
      <c r="G45" s="2">
        <v>555</v>
      </c>
      <c r="H45" s="2">
        <v>127</v>
      </c>
      <c r="I45" s="2">
        <v>266</v>
      </c>
      <c r="J45" s="2">
        <v>0.47699999999999998</v>
      </c>
      <c r="K45" s="2">
        <v>29</v>
      </c>
      <c r="L45" s="2">
        <v>76</v>
      </c>
      <c r="M45" s="2">
        <v>0.38200000000000001</v>
      </c>
      <c r="N45" s="2">
        <v>98</v>
      </c>
      <c r="O45" s="2">
        <v>190</v>
      </c>
      <c r="P45" s="2">
        <v>0.51600000000000001</v>
      </c>
      <c r="Q45" s="2">
        <v>0.53200000000000003</v>
      </c>
      <c r="R45" s="2">
        <v>21</v>
      </c>
      <c r="S45" s="2">
        <v>29</v>
      </c>
      <c r="T45" s="2">
        <v>0.72399999999999998</v>
      </c>
      <c r="U45" s="2">
        <v>42</v>
      </c>
      <c r="V45" s="2">
        <v>133</v>
      </c>
      <c r="W45" s="2">
        <v>175</v>
      </c>
      <c r="X45" s="2">
        <v>38</v>
      </c>
      <c r="Y45" s="2">
        <v>13</v>
      </c>
      <c r="Z45" s="2">
        <v>14</v>
      </c>
      <c r="AA45" s="2">
        <v>28</v>
      </c>
      <c r="AB45" s="2">
        <v>34</v>
      </c>
      <c r="AC45" s="2">
        <v>304</v>
      </c>
      <c r="AD45" s="2">
        <v>0</v>
      </c>
      <c r="AE45" s="18">
        <f t="shared" si="0"/>
        <v>1.3571428571428572</v>
      </c>
    </row>
    <row r="46" spans="1:31" x14ac:dyDescent="0.2">
      <c r="A46" t="s">
        <v>303</v>
      </c>
      <c r="B46" s="2">
        <v>32</v>
      </c>
      <c r="C46" t="s">
        <v>72</v>
      </c>
      <c r="D46" s="2" t="s">
        <v>52</v>
      </c>
      <c r="E46" s="2">
        <v>11</v>
      </c>
      <c r="F46" s="2">
        <v>0</v>
      </c>
      <c r="G46" s="2">
        <v>277</v>
      </c>
      <c r="H46" s="2">
        <v>45</v>
      </c>
      <c r="I46" s="2">
        <v>112</v>
      </c>
      <c r="J46" s="2">
        <v>0.40200000000000002</v>
      </c>
      <c r="K46" s="2">
        <v>25</v>
      </c>
      <c r="L46" s="2">
        <v>75</v>
      </c>
      <c r="M46" s="2">
        <v>0.33300000000000002</v>
      </c>
      <c r="N46" s="2">
        <v>20</v>
      </c>
      <c r="O46" s="2">
        <v>37</v>
      </c>
      <c r="P46" s="2">
        <v>0.54100000000000004</v>
      </c>
      <c r="Q46" s="2">
        <v>0.51300000000000001</v>
      </c>
      <c r="R46" s="2">
        <v>16</v>
      </c>
      <c r="S46" s="2">
        <v>17</v>
      </c>
      <c r="T46" s="2">
        <v>0.94099999999999995</v>
      </c>
      <c r="U46" s="2">
        <v>8</v>
      </c>
      <c r="V46" s="2">
        <v>31</v>
      </c>
      <c r="W46" s="2">
        <v>39</v>
      </c>
      <c r="X46" s="2">
        <v>23</v>
      </c>
      <c r="Y46" s="2">
        <v>11</v>
      </c>
      <c r="Z46" s="2">
        <v>4</v>
      </c>
      <c r="AA46" s="2">
        <v>19</v>
      </c>
      <c r="AB46" s="2">
        <v>30</v>
      </c>
      <c r="AC46" s="2">
        <v>131</v>
      </c>
      <c r="AD46" s="2">
        <v>0</v>
      </c>
      <c r="AE46" s="18">
        <f t="shared" si="0"/>
        <v>1.2105263157894737</v>
      </c>
    </row>
    <row r="47" spans="1:31" x14ac:dyDescent="0.2">
      <c r="A47" t="s">
        <v>456</v>
      </c>
      <c r="B47" s="2">
        <v>25</v>
      </c>
      <c r="C47" t="s">
        <v>54</v>
      </c>
      <c r="D47" s="2" t="s">
        <v>27</v>
      </c>
      <c r="E47" s="2">
        <v>7</v>
      </c>
      <c r="F47" s="2">
        <v>0</v>
      </c>
      <c r="G47" s="2">
        <v>37</v>
      </c>
      <c r="H47" s="2">
        <v>9</v>
      </c>
      <c r="I47" s="2">
        <v>15</v>
      </c>
      <c r="J47" s="2">
        <v>0.6</v>
      </c>
      <c r="K47" s="2">
        <v>1</v>
      </c>
      <c r="L47" s="2">
        <v>5</v>
      </c>
      <c r="M47" s="2">
        <v>0.2</v>
      </c>
      <c r="N47" s="2">
        <v>8</v>
      </c>
      <c r="O47" s="2">
        <v>10</v>
      </c>
      <c r="P47" s="2">
        <v>0.8</v>
      </c>
      <c r="Q47" s="2">
        <v>0.63300000000000001</v>
      </c>
      <c r="R47" s="2">
        <v>4</v>
      </c>
      <c r="S47" s="2">
        <v>6</v>
      </c>
      <c r="T47" s="2">
        <v>0.66700000000000004</v>
      </c>
      <c r="U47" s="2">
        <v>4</v>
      </c>
      <c r="V47" s="2">
        <v>7</v>
      </c>
      <c r="W47" s="2">
        <v>11</v>
      </c>
      <c r="X47" s="2">
        <v>1</v>
      </c>
      <c r="Y47" s="2">
        <v>0</v>
      </c>
      <c r="Z47" s="2">
        <v>0</v>
      </c>
      <c r="AA47" s="2">
        <v>3</v>
      </c>
      <c r="AB47" s="2">
        <v>1</v>
      </c>
      <c r="AC47" s="2">
        <v>23</v>
      </c>
      <c r="AD47" s="2">
        <v>0</v>
      </c>
      <c r="AE47" s="18">
        <f t="shared" si="0"/>
        <v>0.33333333333333331</v>
      </c>
    </row>
    <row r="48" spans="1:31" x14ac:dyDescent="0.2">
      <c r="A48" t="s">
        <v>368</v>
      </c>
      <c r="B48" s="2">
        <v>24</v>
      </c>
      <c r="C48" t="s">
        <v>77</v>
      </c>
      <c r="D48" s="2" t="s">
        <v>33</v>
      </c>
      <c r="E48" s="2">
        <v>10</v>
      </c>
      <c r="F48" s="2">
        <v>0</v>
      </c>
      <c r="G48" s="2">
        <v>104</v>
      </c>
      <c r="H48" s="2">
        <v>23</v>
      </c>
      <c r="I48" s="2">
        <v>59</v>
      </c>
      <c r="J48" s="2">
        <v>0.39</v>
      </c>
      <c r="K48" s="2">
        <v>18</v>
      </c>
      <c r="L48" s="2">
        <v>41</v>
      </c>
      <c r="M48" s="2">
        <v>0.439</v>
      </c>
      <c r="N48" s="2">
        <v>5</v>
      </c>
      <c r="O48" s="2">
        <v>18</v>
      </c>
      <c r="P48" s="2">
        <v>0.27800000000000002</v>
      </c>
      <c r="Q48" s="2">
        <v>0.54200000000000004</v>
      </c>
      <c r="R48" s="2">
        <v>13</v>
      </c>
      <c r="S48" s="2">
        <v>15</v>
      </c>
      <c r="T48" s="2">
        <v>0.86699999999999999</v>
      </c>
      <c r="U48" s="2">
        <v>3</v>
      </c>
      <c r="V48" s="2">
        <v>10</v>
      </c>
      <c r="W48" s="2">
        <v>13</v>
      </c>
      <c r="X48" s="2">
        <v>10</v>
      </c>
      <c r="Y48" s="2">
        <v>7</v>
      </c>
      <c r="Z48" s="2">
        <v>2</v>
      </c>
      <c r="AA48" s="2">
        <v>11</v>
      </c>
      <c r="AB48" s="2">
        <v>13</v>
      </c>
      <c r="AC48" s="2">
        <v>77</v>
      </c>
      <c r="AD48" s="2">
        <v>0</v>
      </c>
      <c r="AE48" s="18">
        <f t="shared" si="0"/>
        <v>0.90909090909090906</v>
      </c>
    </row>
    <row r="49" spans="1:31" x14ac:dyDescent="0.2">
      <c r="A49" t="s">
        <v>182</v>
      </c>
      <c r="B49" s="2">
        <v>31</v>
      </c>
      <c r="C49" t="s">
        <v>54</v>
      </c>
      <c r="D49" s="2" t="s">
        <v>52</v>
      </c>
      <c r="E49" s="2">
        <v>15</v>
      </c>
      <c r="F49" s="2">
        <v>15</v>
      </c>
      <c r="G49" s="2">
        <v>502</v>
      </c>
      <c r="H49" s="2">
        <v>102</v>
      </c>
      <c r="I49" s="2">
        <v>207</v>
      </c>
      <c r="J49" s="2">
        <v>0.49299999999999999</v>
      </c>
      <c r="K49" s="2">
        <v>31</v>
      </c>
      <c r="L49" s="2">
        <v>86</v>
      </c>
      <c r="M49" s="2">
        <v>0.36</v>
      </c>
      <c r="N49" s="2">
        <v>71</v>
      </c>
      <c r="O49" s="2">
        <v>121</v>
      </c>
      <c r="P49" s="2">
        <v>0.58699999999999997</v>
      </c>
      <c r="Q49" s="2">
        <v>0.56799999999999995</v>
      </c>
      <c r="R49" s="2">
        <v>32</v>
      </c>
      <c r="S49" s="2">
        <v>40</v>
      </c>
      <c r="T49" s="2">
        <v>0.8</v>
      </c>
      <c r="U49" s="2">
        <v>10</v>
      </c>
      <c r="V49" s="2">
        <v>53</v>
      </c>
      <c r="W49" s="2">
        <v>63</v>
      </c>
      <c r="X49" s="2">
        <v>49</v>
      </c>
      <c r="Y49" s="2">
        <v>17</v>
      </c>
      <c r="Z49" s="2">
        <v>11</v>
      </c>
      <c r="AA49" s="2">
        <v>34</v>
      </c>
      <c r="AB49" s="2">
        <v>44</v>
      </c>
      <c r="AC49" s="2">
        <v>267</v>
      </c>
      <c r="AD49" s="2">
        <v>0</v>
      </c>
      <c r="AE49" s="18">
        <f t="shared" si="0"/>
        <v>1.4411764705882353</v>
      </c>
    </row>
    <row r="50" spans="1:31" x14ac:dyDescent="0.2">
      <c r="A50" t="s">
        <v>523</v>
      </c>
      <c r="B50" s="2">
        <v>25</v>
      </c>
      <c r="C50" t="s">
        <v>32</v>
      </c>
      <c r="D50" s="2" t="s">
        <v>42</v>
      </c>
      <c r="E50" s="2">
        <v>5</v>
      </c>
      <c r="F50" s="2">
        <v>0</v>
      </c>
      <c r="G50" s="2">
        <v>18</v>
      </c>
      <c r="H50" s="2">
        <v>1</v>
      </c>
      <c r="I50" s="2">
        <v>7</v>
      </c>
      <c r="J50" s="2">
        <v>0.14299999999999999</v>
      </c>
      <c r="K50" s="2">
        <v>0</v>
      </c>
      <c r="L50" s="2">
        <v>5</v>
      </c>
      <c r="M50" s="2">
        <v>0</v>
      </c>
      <c r="N50" s="2">
        <v>1</v>
      </c>
      <c r="O50" s="2">
        <v>2</v>
      </c>
      <c r="P50" s="2">
        <v>0.5</v>
      </c>
      <c r="Q50" s="2">
        <v>0.14299999999999999</v>
      </c>
      <c r="R50" s="2">
        <v>2</v>
      </c>
      <c r="S50" s="2">
        <v>2</v>
      </c>
      <c r="T50" s="2">
        <v>1</v>
      </c>
      <c r="U50" s="2">
        <v>3</v>
      </c>
      <c r="V50" s="2">
        <v>5</v>
      </c>
      <c r="W50" s="2">
        <v>8</v>
      </c>
      <c r="X50" s="2">
        <v>2</v>
      </c>
      <c r="Y50" s="2">
        <v>1</v>
      </c>
      <c r="Z50" s="2">
        <v>1</v>
      </c>
      <c r="AA50" s="2">
        <v>0</v>
      </c>
      <c r="AB50" s="2">
        <v>1</v>
      </c>
      <c r="AC50" s="2">
        <v>4</v>
      </c>
      <c r="AD50" s="2">
        <v>0</v>
      </c>
      <c r="AE50" s="18" t="e">
        <f t="shared" si="0"/>
        <v>#DIV/0!</v>
      </c>
    </row>
    <row r="51" spans="1:31" x14ac:dyDescent="0.2">
      <c r="A51" t="s">
        <v>247</v>
      </c>
      <c r="B51" s="2">
        <v>21</v>
      </c>
      <c r="C51" t="s">
        <v>100</v>
      </c>
      <c r="D51" s="2" t="s">
        <v>52</v>
      </c>
      <c r="E51" s="2">
        <v>23</v>
      </c>
      <c r="F51" s="2">
        <v>8</v>
      </c>
      <c r="G51" s="2">
        <v>572</v>
      </c>
      <c r="H51" s="2">
        <v>70</v>
      </c>
      <c r="I51" s="2">
        <v>184</v>
      </c>
      <c r="J51" s="2">
        <v>0.38</v>
      </c>
      <c r="K51" s="2">
        <v>21</v>
      </c>
      <c r="L51" s="2">
        <v>85</v>
      </c>
      <c r="M51" s="2">
        <v>0.247</v>
      </c>
      <c r="N51" s="2">
        <v>49</v>
      </c>
      <c r="O51" s="2">
        <v>99</v>
      </c>
      <c r="P51" s="2">
        <v>0.495</v>
      </c>
      <c r="Q51" s="2">
        <v>0.438</v>
      </c>
      <c r="R51" s="2">
        <v>21</v>
      </c>
      <c r="S51" s="2">
        <v>28</v>
      </c>
      <c r="T51" s="2">
        <v>0.75</v>
      </c>
      <c r="U51" s="2">
        <v>24</v>
      </c>
      <c r="V51" s="2">
        <v>86</v>
      </c>
      <c r="W51" s="2">
        <v>110</v>
      </c>
      <c r="X51" s="2">
        <v>79</v>
      </c>
      <c r="Y51" s="2">
        <v>19</v>
      </c>
      <c r="Z51" s="2">
        <v>7</v>
      </c>
      <c r="AA51" s="2">
        <v>29</v>
      </c>
      <c r="AB51" s="2">
        <v>40</v>
      </c>
      <c r="AC51" s="2">
        <v>182</v>
      </c>
      <c r="AD51" s="2">
        <v>0</v>
      </c>
      <c r="AE51" s="18">
        <f t="shared" si="0"/>
        <v>2.7241379310344827</v>
      </c>
    </row>
    <row r="52" spans="1:31" x14ac:dyDescent="0.2">
      <c r="A52" t="s">
        <v>177</v>
      </c>
      <c r="B52" s="2">
        <v>23</v>
      </c>
      <c r="C52" t="s">
        <v>117</v>
      </c>
      <c r="D52" s="2" t="s">
        <v>52</v>
      </c>
      <c r="E52" s="2">
        <v>23</v>
      </c>
      <c r="F52" s="2">
        <v>10</v>
      </c>
      <c r="G52" s="2">
        <v>633</v>
      </c>
      <c r="H52" s="2">
        <v>103</v>
      </c>
      <c r="I52" s="2">
        <v>236</v>
      </c>
      <c r="J52" s="2">
        <v>0.436</v>
      </c>
      <c r="K52" s="2">
        <v>30</v>
      </c>
      <c r="L52" s="2">
        <v>93</v>
      </c>
      <c r="M52" s="2">
        <v>0.32300000000000001</v>
      </c>
      <c r="N52" s="2">
        <v>73</v>
      </c>
      <c r="O52" s="2">
        <v>143</v>
      </c>
      <c r="P52" s="2">
        <v>0.51</v>
      </c>
      <c r="Q52" s="2">
        <v>0.5</v>
      </c>
      <c r="R52" s="2">
        <v>40</v>
      </c>
      <c r="S52" s="2">
        <v>47</v>
      </c>
      <c r="T52" s="2">
        <v>0.85099999999999998</v>
      </c>
      <c r="U52" s="2">
        <v>16</v>
      </c>
      <c r="V52" s="2">
        <v>69</v>
      </c>
      <c r="W52" s="2">
        <v>85</v>
      </c>
      <c r="X52" s="2">
        <v>76</v>
      </c>
      <c r="Y52" s="2">
        <v>34</v>
      </c>
      <c r="Z52" s="2">
        <v>6</v>
      </c>
      <c r="AA52" s="2">
        <v>35</v>
      </c>
      <c r="AB52" s="2">
        <v>42</v>
      </c>
      <c r="AC52" s="2">
        <v>276</v>
      </c>
      <c r="AD52" s="2">
        <v>0</v>
      </c>
      <c r="AE52" s="18">
        <f t="shared" si="0"/>
        <v>2.1714285714285713</v>
      </c>
    </row>
    <row r="53" spans="1:31" x14ac:dyDescent="0.2">
      <c r="A53" t="s">
        <v>251</v>
      </c>
      <c r="B53" s="2">
        <v>28</v>
      </c>
      <c r="C53" t="s">
        <v>80</v>
      </c>
      <c r="D53" s="2" t="s">
        <v>27</v>
      </c>
      <c r="E53" s="2">
        <v>24</v>
      </c>
      <c r="F53" s="2">
        <v>15</v>
      </c>
      <c r="G53" s="2">
        <v>444</v>
      </c>
      <c r="H53" s="2">
        <v>82</v>
      </c>
      <c r="I53" s="2">
        <v>134</v>
      </c>
      <c r="J53" s="2">
        <v>0.61199999999999999</v>
      </c>
      <c r="K53" s="2">
        <v>1</v>
      </c>
      <c r="L53" s="2">
        <v>16</v>
      </c>
      <c r="M53" s="2">
        <v>6.3E-2</v>
      </c>
      <c r="N53" s="2">
        <v>81</v>
      </c>
      <c r="O53" s="2">
        <v>118</v>
      </c>
      <c r="P53" s="2">
        <v>0.68600000000000005</v>
      </c>
      <c r="Q53" s="2">
        <v>0.61599999999999999</v>
      </c>
      <c r="R53" s="2">
        <v>12</v>
      </c>
      <c r="S53" s="2">
        <v>19</v>
      </c>
      <c r="T53" s="2">
        <v>0.63200000000000001</v>
      </c>
      <c r="U53" s="2">
        <v>38</v>
      </c>
      <c r="V53" s="2">
        <v>79</v>
      </c>
      <c r="W53" s="2">
        <v>117</v>
      </c>
      <c r="X53" s="2">
        <v>24</v>
      </c>
      <c r="Y53" s="2">
        <v>20</v>
      </c>
      <c r="Z53" s="2">
        <v>10</v>
      </c>
      <c r="AA53" s="2">
        <v>10</v>
      </c>
      <c r="AB53" s="2">
        <v>48</v>
      </c>
      <c r="AC53" s="2">
        <v>177</v>
      </c>
      <c r="AD53" s="2">
        <v>0</v>
      </c>
      <c r="AE53" s="18">
        <f t="shared" si="0"/>
        <v>2.4</v>
      </c>
    </row>
    <row r="54" spans="1:31" x14ac:dyDescent="0.2">
      <c r="A54" t="s">
        <v>116</v>
      </c>
      <c r="B54" s="2">
        <v>27</v>
      </c>
      <c r="C54" t="s">
        <v>117</v>
      </c>
      <c r="D54" s="2" t="s">
        <v>49</v>
      </c>
      <c r="E54" s="2">
        <v>18</v>
      </c>
      <c r="F54" s="2">
        <v>18</v>
      </c>
      <c r="G54" s="2">
        <v>595</v>
      </c>
      <c r="H54" s="2">
        <v>155</v>
      </c>
      <c r="I54" s="2">
        <v>333</v>
      </c>
      <c r="J54" s="2">
        <v>0.46500000000000002</v>
      </c>
      <c r="K54" s="2">
        <v>43</v>
      </c>
      <c r="L54" s="2">
        <v>115</v>
      </c>
      <c r="M54" s="2">
        <v>0.374</v>
      </c>
      <c r="N54" s="2">
        <v>112</v>
      </c>
      <c r="O54" s="2">
        <v>218</v>
      </c>
      <c r="P54" s="2">
        <v>0.51400000000000001</v>
      </c>
      <c r="Q54" s="2">
        <v>0.53</v>
      </c>
      <c r="R54" s="2">
        <v>47</v>
      </c>
      <c r="S54" s="2">
        <v>55</v>
      </c>
      <c r="T54" s="2">
        <v>0.85499999999999998</v>
      </c>
      <c r="U54" s="2">
        <v>17</v>
      </c>
      <c r="V54" s="2">
        <v>83</v>
      </c>
      <c r="W54" s="2">
        <v>100</v>
      </c>
      <c r="X54" s="2">
        <v>93</v>
      </c>
      <c r="Y54" s="2">
        <v>16</v>
      </c>
      <c r="Z54" s="2">
        <v>11</v>
      </c>
      <c r="AA54" s="2">
        <v>69</v>
      </c>
      <c r="AB54" s="2">
        <v>45</v>
      </c>
      <c r="AC54" s="2">
        <v>400</v>
      </c>
      <c r="AD54" s="2">
        <v>0</v>
      </c>
      <c r="AE54" s="18">
        <f t="shared" si="0"/>
        <v>1.3478260869565217</v>
      </c>
    </row>
    <row r="55" spans="1:31" x14ac:dyDescent="0.2">
      <c r="A55" t="s">
        <v>95</v>
      </c>
      <c r="B55" s="2">
        <v>22</v>
      </c>
      <c r="C55" t="s">
        <v>59</v>
      </c>
      <c r="D55" s="2" t="s">
        <v>49</v>
      </c>
      <c r="E55" s="2">
        <v>20</v>
      </c>
      <c r="F55" s="2">
        <v>20</v>
      </c>
      <c r="G55" s="2">
        <v>688</v>
      </c>
      <c r="H55" s="2">
        <v>153</v>
      </c>
      <c r="I55" s="2">
        <v>376</v>
      </c>
      <c r="J55" s="2">
        <v>0.40699999999999997</v>
      </c>
      <c r="K55" s="2">
        <v>80</v>
      </c>
      <c r="L55" s="2">
        <v>219</v>
      </c>
      <c r="M55" s="2">
        <v>0.36499999999999999</v>
      </c>
      <c r="N55" s="2">
        <v>73</v>
      </c>
      <c r="O55" s="2">
        <v>157</v>
      </c>
      <c r="P55" s="2">
        <v>0.46500000000000002</v>
      </c>
      <c r="Q55" s="2">
        <v>0.51300000000000001</v>
      </c>
      <c r="R55" s="2">
        <v>55</v>
      </c>
      <c r="S55" s="2">
        <v>61</v>
      </c>
      <c r="T55" s="2">
        <v>0.90200000000000002</v>
      </c>
      <c r="U55" s="2">
        <v>21</v>
      </c>
      <c r="V55" s="2">
        <v>83</v>
      </c>
      <c r="W55" s="2">
        <v>104</v>
      </c>
      <c r="X55" s="2">
        <v>69</v>
      </c>
      <c r="Y55" s="2">
        <v>23</v>
      </c>
      <c r="Z55" s="2">
        <v>15</v>
      </c>
      <c r="AA55" s="2">
        <v>55</v>
      </c>
      <c r="AB55" s="2">
        <v>56</v>
      </c>
      <c r="AC55" s="2">
        <v>441</v>
      </c>
      <c r="AD55" s="2">
        <v>0</v>
      </c>
      <c r="AE55" s="18">
        <f t="shared" si="0"/>
        <v>1.2545454545454546</v>
      </c>
    </row>
    <row r="56" spans="1:31" x14ac:dyDescent="0.2">
      <c r="A56" t="s">
        <v>514</v>
      </c>
      <c r="B56" s="2">
        <v>25</v>
      </c>
      <c r="C56" t="s">
        <v>63</v>
      </c>
      <c r="D56" s="2" t="s">
        <v>33</v>
      </c>
      <c r="E56" s="2">
        <v>5</v>
      </c>
      <c r="F56" s="2">
        <v>0</v>
      </c>
      <c r="G56" s="2">
        <v>21</v>
      </c>
      <c r="H56" s="2">
        <v>2</v>
      </c>
      <c r="I56" s="2">
        <v>9</v>
      </c>
      <c r="J56" s="2">
        <v>0.222</v>
      </c>
      <c r="K56" s="2">
        <v>0</v>
      </c>
      <c r="L56" s="2">
        <v>2</v>
      </c>
      <c r="M56" s="2">
        <v>0</v>
      </c>
      <c r="N56" s="2">
        <v>2</v>
      </c>
      <c r="O56" s="2">
        <v>7</v>
      </c>
      <c r="P56" s="2">
        <v>0.28599999999999998</v>
      </c>
      <c r="Q56" s="2">
        <v>0.222</v>
      </c>
      <c r="R56" s="2">
        <v>2</v>
      </c>
      <c r="S56" s="2">
        <v>3</v>
      </c>
      <c r="T56" s="2">
        <v>0.66700000000000004</v>
      </c>
      <c r="U56" s="2">
        <v>1</v>
      </c>
      <c r="V56" s="2">
        <v>3</v>
      </c>
      <c r="W56" s="2">
        <v>4</v>
      </c>
      <c r="X56" s="2">
        <v>2</v>
      </c>
      <c r="Y56" s="2">
        <v>0</v>
      </c>
      <c r="Z56" s="2">
        <v>0</v>
      </c>
      <c r="AA56" s="2">
        <v>2</v>
      </c>
      <c r="AB56" s="2">
        <v>2</v>
      </c>
      <c r="AC56" s="2">
        <v>6</v>
      </c>
      <c r="AD56" s="2">
        <v>0</v>
      </c>
      <c r="AE56" s="18">
        <f t="shared" si="0"/>
        <v>1</v>
      </c>
    </row>
    <row r="57" spans="1:31" x14ac:dyDescent="0.2">
      <c r="A57" t="s">
        <v>297</v>
      </c>
      <c r="B57" s="2">
        <v>21</v>
      </c>
      <c r="C57" t="s">
        <v>120</v>
      </c>
      <c r="D57" s="2" t="s">
        <v>49</v>
      </c>
      <c r="E57" s="2">
        <v>17</v>
      </c>
      <c r="F57" s="2">
        <v>0</v>
      </c>
      <c r="G57" s="2">
        <v>283</v>
      </c>
      <c r="H57" s="2">
        <v>49</v>
      </c>
      <c r="I57" s="2">
        <v>106</v>
      </c>
      <c r="J57" s="2">
        <v>0.46200000000000002</v>
      </c>
      <c r="K57" s="2">
        <v>28</v>
      </c>
      <c r="L57" s="2">
        <v>67</v>
      </c>
      <c r="M57" s="2">
        <v>0.41799999999999998</v>
      </c>
      <c r="N57" s="2">
        <v>21</v>
      </c>
      <c r="O57" s="2">
        <v>39</v>
      </c>
      <c r="P57" s="2">
        <v>0.53800000000000003</v>
      </c>
      <c r="Q57" s="2">
        <v>0.59399999999999997</v>
      </c>
      <c r="R57" s="2">
        <v>12</v>
      </c>
      <c r="S57" s="2">
        <v>13</v>
      </c>
      <c r="T57" s="2">
        <v>0.92300000000000004</v>
      </c>
      <c r="U57" s="2">
        <v>11</v>
      </c>
      <c r="V57" s="2">
        <v>26</v>
      </c>
      <c r="W57" s="2">
        <v>37</v>
      </c>
      <c r="X57" s="2">
        <v>17</v>
      </c>
      <c r="Y57" s="2">
        <v>10</v>
      </c>
      <c r="Z57" s="2">
        <v>1</v>
      </c>
      <c r="AA57" s="2">
        <v>25</v>
      </c>
      <c r="AB57" s="2">
        <v>16</v>
      </c>
      <c r="AC57" s="2">
        <v>138</v>
      </c>
      <c r="AD57" s="2">
        <v>0</v>
      </c>
      <c r="AE57" s="18">
        <f t="shared" si="0"/>
        <v>0.68</v>
      </c>
    </row>
    <row r="58" spans="1:31" x14ac:dyDescent="0.2">
      <c r="A58" t="s">
        <v>527</v>
      </c>
      <c r="B58" s="2">
        <v>20</v>
      </c>
      <c r="C58" t="s">
        <v>41</v>
      </c>
      <c r="D58" s="2" t="s">
        <v>52</v>
      </c>
      <c r="E58" s="2">
        <v>7</v>
      </c>
      <c r="F58" s="2">
        <v>0</v>
      </c>
      <c r="G58" s="2">
        <v>18</v>
      </c>
      <c r="H58" s="2">
        <v>1</v>
      </c>
      <c r="I58" s="2">
        <v>8</v>
      </c>
      <c r="J58" s="2">
        <v>0.125</v>
      </c>
      <c r="K58" s="2">
        <v>0</v>
      </c>
      <c r="L58" s="2">
        <v>4</v>
      </c>
      <c r="M58" s="2">
        <v>0</v>
      </c>
      <c r="N58" s="2">
        <v>1</v>
      </c>
      <c r="O58" s="2">
        <v>4</v>
      </c>
      <c r="P58" s="2">
        <v>0.25</v>
      </c>
      <c r="Q58" s="2">
        <v>0.125</v>
      </c>
      <c r="R58" s="2">
        <v>2</v>
      </c>
      <c r="S58" s="2">
        <v>2</v>
      </c>
      <c r="T58" s="2">
        <v>1</v>
      </c>
      <c r="U58" s="2">
        <v>1</v>
      </c>
      <c r="V58" s="2">
        <v>0</v>
      </c>
      <c r="W58" s="2">
        <v>1</v>
      </c>
      <c r="X58" s="2">
        <v>2</v>
      </c>
      <c r="Y58" s="2">
        <v>1</v>
      </c>
      <c r="Z58" s="2">
        <v>1</v>
      </c>
      <c r="AA58" s="2">
        <v>0</v>
      </c>
      <c r="AB58" s="2">
        <v>2</v>
      </c>
      <c r="AC58" s="2">
        <v>4</v>
      </c>
      <c r="AD58" s="2">
        <v>0</v>
      </c>
      <c r="AE58" s="18" t="e">
        <f t="shared" si="0"/>
        <v>#DIV/0!</v>
      </c>
    </row>
    <row r="59" spans="1:31" x14ac:dyDescent="0.2">
      <c r="A59" t="s">
        <v>185</v>
      </c>
      <c r="B59" s="2">
        <v>36</v>
      </c>
      <c r="C59" t="s">
        <v>35</v>
      </c>
      <c r="D59" s="2" t="s">
        <v>42</v>
      </c>
      <c r="E59" s="2">
        <v>24</v>
      </c>
      <c r="F59" s="2">
        <v>24</v>
      </c>
      <c r="G59" s="2">
        <v>784</v>
      </c>
      <c r="H59" s="2">
        <v>99</v>
      </c>
      <c r="I59" s="2">
        <v>213</v>
      </c>
      <c r="J59" s="2">
        <v>0.46500000000000002</v>
      </c>
      <c r="K59" s="2">
        <v>43</v>
      </c>
      <c r="L59" s="2">
        <v>121</v>
      </c>
      <c r="M59" s="2">
        <v>0.35499999999999998</v>
      </c>
      <c r="N59" s="2">
        <v>56</v>
      </c>
      <c r="O59" s="2">
        <v>92</v>
      </c>
      <c r="P59" s="2">
        <v>0.60899999999999999</v>
      </c>
      <c r="Q59" s="2">
        <v>0.56599999999999995</v>
      </c>
      <c r="R59" s="2">
        <v>24</v>
      </c>
      <c r="S59" s="2">
        <v>34</v>
      </c>
      <c r="T59" s="2">
        <v>0.70599999999999996</v>
      </c>
      <c r="U59" s="2">
        <v>30</v>
      </c>
      <c r="V59" s="2">
        <v>90</v>
      </c>
      <c r="W59" s="2">
        <v>120</v>
      </c>
      <c r="X59" s="2">
        <v>38</v>
      </c>
      <c r="Y59" s="2">
        <v>26</v>
      </c>
      <c r="Z59" s="2">
        <v>51</v>
      </c>
      <c r="AA59" s="2">
        <v>28</v>
      </c>
      <c r="AB59" s="2">
        <v>60</v>
      </c>
      <c r="AC59" s="2">
        <v>265</v>
      </c>
      <c r="AD59" s="2">
        <v>0</v>
      </c>
      <c r="AE59" s="18">
        <f t="shared" si="0"/>
        <v>1.3571428571428572</v>
      </c>
    </row>
    <row r="60" spans="1:31" x14ac:dyDescent="0.2">
      <c r="A60" t="s">
        <v>391</v>
      </c>
      <c r="B60" s="2">
        <v>26</v>
      </c>
      <c r="C60" t="s">
        <v>66</v>
      </c>
      <c r="D60" s="2" t="s">
        <v>42</v>
      </c>
      <c r="E60" s="2">
        <v>16</v>
      </c>
      <c r="F60" s="2">
        <v>2</v>
      </c>
      <c r="G60" s="2">
        <v>143</v>
      </c>
      <c r="H60" s="2">
        <v>26</v>
      </c>
      <c r="I60" s="2">
        <v>48</v>
      </c>
      <c r="J60" s="2">
        <v>0.54200000000000004</v>
      </c>
      <c r="K60" s="2">
        <v>0</v>
      </c>
      <c r="L60" s="2">
        <v>0</v>
      </c>
      <c r="M60" s="2"/>
      <c r="N60" s="2">
        <v>26</v>
      </c>
      <c r="O60" s="2">
        <v>48</v>
      </c>
      <c r="P60" s="2">
        <v>0.54200000000000004</v>
      </c>
      <c r="Q60" s="2">
        <v>0.54200000000000004</v>
      </c>
      <c r="R60" s="2">
        <v>6</v>
      </c>
      <c r="S60" s="2">
        <v>8</v>
      </c>
      <c r="T60" s="2">
        <v>0.75</v>
      </c>
      <c r="U60" s="2">
        <v>21</v>
      </c>
      <c r="V60" s="2">
        <v>29</v>
      </c>
      <c r="W60" s="2">
        <v>50</v>
      </c>
      <c r="X60" s="2">
        <v>18</v>
      </c>
      <c r="Y60" s="2">
        <v>4</v>
      </c>
      <c r="Z60" s="2">
        <v>9</v>
      </c>
      <c r="AA60" s="2">
        <v>14</v>
      </c>
      <c r="AB60" s="2">
        <v>26</v>
      </c>
      <c r="AC60" s="2">
        <v>58</v>
      </c>
      <c r="AD60" s="2">
        <v>0</v>
      </c>
      <c r="AE60" s="18">
        <f t="shared" si="0"/>
        <v>1.2857142857142858</v>
      </c>
    </row>
    <row r="61" spans="1:31" x14ac:dyDescent="0.2">
      <c r="A61" t="s">
        <v>549</v>
      </c>
      <c r="B61" s="2">
        <v>22</v>
      </c>
      <c r="C61" t="s">
        <v>135</v>
      </c>
      <c r="D61" s="2" t="s">
        <v>52</v>
      </c>
      <c r="E61" s="2">
        <v>1</v>
      </c>
      <c r="F61" s="2">
        <v>0</v>
      </c>
      <c r="G61" s="2">
        <v>3</v>
      </c>
      <c r="H61" s="2">
        <v>1</v>
      </c>
      <c r="I61" s="2">
        <v>2</v>
      </c>
      <c r="J61" s="2">
        <v>0.5</v>
      </c>
      <c r="K61" s="2">
        <v>0</v>
      </c>
      <c r="L61" s="2">
        <v>1</v>
      </c>
      <c r="M61" s="2">
        <v>0</v>
      </c>
      <c r="N61" s="2">
        <v>1</v>
      </c>
      <c r="O61" s="2">
        <v>1</v>
      </c>
      <c r="P61" s="2">
        <v>1</v>
      </c>
      <c r="Q61" s="2">
        <v>0.5</v>
      </c>
      <c r="R61" s="2">
        <v>0</v>
      </c>
      <c r="S61" s="2">
        <v>0</v>
      </c>
      <c r="T61" s="2"/>
      <c r="U61" s="2">
        <v>0</v>
      </c>
      <c r="V61" s="2">
        <v>0</v>
      </c>
      <c r="W61" s="2">
        <v>0</v>
      </c>
      <c r="X61" s="2">
        <v>1</v>
      </c>
      <c r="Y61" s="2">
        <v>0</v>
      </c>
      <c r="Z61" s="2">
        <v>0</v>
      </c>
      <c r="AA61" s="2">
        <v>0</v>
      </c>
      <c r="AB61" s="2">
        <v>0</v>
      </c>
      <c r="AC61" s="2">
        <v>2</v>
      </c>
      <c r="AD61" s="2">
        <v>0</v>
      </c>
      <c r="AE61" s="18" t="e">
        <f t="shared" si="0"/>
        <v>#DIV/0!</v>
      </c>
    </row>
    <row r="62" spans="1:31" x14ac:dyDescent="0.2">
      <c r="A62" t="s">
        <v>131</v>
      </c>
      <c r="B62" s="2">
        <v>32</v>
      </c>
      <c r="C62" t="s">
        <v>100</v>
      </c>
      <c r="D62" s="2" t="s">
        <v>52</v>
      </c>
      <c r="E62" s="2">
        <v>24</v>
      </c>
      <c r="F62" s="2">
        <v>4</v>
      </c>
      <c r="G62" s="2">
        <v>574</v>
      </c>
      <c r="H62" s="2">
        <v>123</v>
      </c>
      <c r="I62" s="2">
        <v>270</v>
      </c>
      <c r="J62" s="2">
        <v>0.45600000000000002</v>
      </c>
      <c r="K62" s="2">
        <v>78</v>
      </c>
      <c r="L62" s="2">
        <v>183</v>
      </c>
      <c r="M62" s="2">
        <v>0.42599999999999999</v>
      </c>
      <c r="N62" s="2">
        <v>45</v>
      </c>
      <c r="O62" s="2">
        <v>87</v>
      </c>
      <c r="P62" s="2">
        <v>0.51700000000000002</v>
      </c>
      <c r="Q62" s="2">
        <v>0.6</v>
      </c>
      <c r="R62" s="2">
        <v>24</v>
      </c>
      <c r="S62" s="2">
        <v>26</v>
      </c>
      <c r="T62" s="2">
        <v>0.92300000000000004</v>
      </c>
      <c r="U62" s="2">
        <v>15</v>
      </c>
      <c r="V62" s="2">
        <v>70</v>
      </c>
      <c r="W62" s="2">
        <v>85</v>
      </c>
      <c r="X62" s="2">
        <v>34</v>
      </c>
      <c r="Y62" s="2">
        <v>21</v>
      </c>
      <c r="Z62" s="2">
        <v>8</v>
      </c>
      <c r="AA62" s="2">
        <v>29</v>
      </c>
      <c r="AB62" s="2">
        <v>49</v>
      </c>
      <c r="AC62" s="2">
        <v>348</v>
      </c>
      <c r="AD62" s="2">
        <v>0</v>
      </c>
      <c r="AE62" s="18">
        <f t="shared" si="0"/>
        <v>1.1724137931034482</v>
      </c>
    </row>
    <row r="63" spans="1:31" x14ac:dyDescent="0.2">
      <c r="A63" t="s">
        <v>74</v>
      </c>
      <c r="B63" s="2">
        <v>23</v>
      </c>
      <c r="C63" t="s">
        <v>75</v>
      </c>
      <c r="D63" s="2" t="s">
        <v>33</v>
      </c>
      <c r="E63" s="2">
        <v>22</v>
      </c>
      <c r="F63" s="2">
        <v>22</v>
      </c>
      <c r="G63" s="2">
        <v>789</v>
      </c>
      <c r="H63" s="2">
        <v>197</v>
      </c>
      <c r="I63" s="2">
        <v>435</v>
      </c>
      <c r="J63" s="2">
        <v>0.45300000000000001</v>
      </c>
      <c r="K63" s="2">
        <v>53</v>
      </c>
      <c r="L63" s="2">
        <v>139</v>
      </c>
      <c r="M63" s="2">
        <v>0.38100000000000001</v>
      </c>
      <c r="N63" s="2">
        <v>144</v>
      </c>
      <c r="O63" s="2">
        <v>296</v>
      </c>
      <c r="P63" s="2">
        <v>0.48599999999999999</v>
      </c>
      <c r="Q63" s="2">
        <v>0.51400000000000001</v>
      </c>
      <c r="R63" s="2">
        <v>73</v>
      </c>
      <c r="S63" s="2">
        <v>93</v>
      </c>
      <c r="T63" s="2">
        <v>0.78500000000000003</v>
      </c>
      <c r="U63" s="2">
        <v>25</v>
      </c>
      <c r="V63" s="2">
        <v>136</v>
      </c>
      <c r="W63" s="2">
        <v>161</v>
      </c>
      <c r="X63" s="2">
        <v>205</v>
      </c>
      <c r="Y63" s="2">
        <v>19</v>
      </c>
      <c r="Z63" s="2">
        <v>17</v>
      </c>
      <c r="AA63" s="2">
        <v>101</v>
      </c>
      <c r="AB63" s="2">
        <v>58</v>
      </c>
      <c r="AC63" s="2">
        <v>520</v>
      </c>
      <c r="AD63" s="2">
        <v>5</v>
      </c>
      <c r="AE63" s="18">
        <f t="shared" si="0"/>
        <v>2.0297029702970297</v>
      </c>
    </row>
    <row r="64" spans="1:31" x14ac:dyDescent="0.2">
      <c r="A64" t="s">
        <v>462</v>
      </c>
      <c r="B64" s="2">
        <v>22</v>
      </c>
      <c r="C64" t="s">
        <v>48</v>
      </c>
      <c r="D64" s="2" t="s">
        <v>49</v>
      </c>
      <c r="E64" s="2">
        <v>17</v>
      </c>
      <c r="F64" s="2">
        <v>0</v>
      </c>
      <c r="G64" s="2">
        <v>93</v>
      </c>
      <c r="H64" s="2">
        <v>7</v>
      </c>
      <c r="I64" s="2">
        <v>24</v>
      </c>
      <c r="J64" s="2">
        <v>0.29199999999999998</v>
      </c>
      <c r="K64" s="2">
        <v>5</v>
      </c>
      <c r="L64" s="2">
        <v>20</v>
      </c>
      <c r="M64" s="2">
        <v>0.25</v>
      </c>
      <c r="N64" s="2">
        <v>2</v>
      </c>
      <c r="O64" s="2">
        <v>4</v>
      </c>
      <c r="P64" s="2">
        <v>0.5</v>
      </c>
      <c r="Q64" s="2">
        <v>0.39600000000000002</v>
      </c>
      <c r="R64" s="2">
        <v>2</v>
      </c>
      <c r="S64" s="2">
        <v>2</v>
      </c>
      <c r="T64" s="2">
        <v>1</v>
      </c>
      <c r="U64" s="2">
        <v>2</v>
      </c>
      <c r="V64" s="2">
        <v>7</v>
      </c>
      <c r="W64" s="2">
        <v>9</v>
      </c>
      <c r="X64" s="2">
        <v>1</v>
      </c>
      <c r="Y64" s="2">
        <v>0</v>
      </c>
      <c r="Z64" s="2">
        <v>2</v>
      </c>
      <c r="AA64" s="2">
        <v>1</v>
      </c>
      <c r="AB64" s="2">
        <v>6</v>
      </c>
      <c r="AC64" s="2">
        <v>21</v>
      </c>
      <c r="AD64" s="2">
        <v>0</v>
      </c>
      <c r="AE64" s="18">
        <f t="shared" si="0"/>
        <v>1</v>
      </c>
    </row>
    <row r="65" spans="1:31" x14ac:dyDescent="0.2">
      <c r="A65" t="s">
        <v>257</v>
      </c>
      <c r="B65" s="2">
        <v>29</v>
      </c>
      <c r="C65" t="s">
        <v>122</v>
      </c>
      <c r="D65" s="2" t="s">
        <v>49</v>
      </c>
      <c r="E65" s="2">
        <v>20</v>
      </c>
      <c r="F65" s="2">
        <v>15</v>
      </c>
      <c r="G65" s="2">
        <v>582</v>
      </c>
      <c r="H65" s="2">
        <v>60</v>
      </c>
      <c r="I65" s="2">
        <v>148</v>
      </c>
      <c r="J65" s="2">
        <v>0.40500000000000003</v>
      </c>
      <c r="K65" s="2">
        <v>15</v>
      </c>
      <c r="L65" s="2">
        <v>51</v>
      </c>
      <c r="M65" s="2">
        <v>0.29399999999999998</v>
      </c>
      <c r="N65" s="2">
        <v>45</v>
      </c>
      <c r="O65" s="2">
        <v>97</v>
      </c>
      <c r="P65" s="2">
        <v>0.46400000000000002</v>
      </c>
      <c r="Q65" s="2">
        <v>0.45600000000000002</v>
      </c>
      <c r="R65" s="2">
        <v>39</v>
      </c>
      <c r="S65" s="2">
        <v>58</v>
      </c>
      <c r="T65" s="2">
        <v>0.67200000000000004</v>
      </c>
      <c r="U65" s="2">
        <v>27</v>
      </c>
      <c r="V65" s="2">
        <v>65</v>
      </c>
      <c r="W65" s="2">
        <v>92</v>
      </c>
      <c r="X65" s="2">
        <v>45</v>
      </c>
      <c r="Y65" s="2">
        <v>19</v>
      </c>
      <c r="Z65" s="2">
        <v>9</v>
      </c>
      <c r="AA65" s="2">
        <v>36</v>
      </c>
      <c r="AB65" s="2">
        <v>33</v>
      </c>
      <c r="AC65" s="2">
        <v>174</v>
      </c>
      <c r="AD65" s="2">
        <v>0</v>
      </c>
      <c r="AE65" s="18">
        <f t="shared" si="0"/>
        <v>1.25</v>
      </c>
    </row>
    <row r="66" spans="1:31" x14ac:dyDescent="0.2">
      <c r="A66" t="s">
        <v>516</v>
      </c>
      <c r="B66" s="2">
        <v>19</v>
      </c>
      <c r="C66" t="s">
        <v>77</v>
      </c>
      <c r="D66" s="2" t="s">
        <v>52</v>
      </c>
      <c r="E66" s="2">
        <v>1</v>
      </c>
      <c r="F66" s="2">
        <v>0</v>
      </c>
      <c r="G66" s="2">
        <v>18</v>
      </c>
      <c r="H66" s="2">
        <v>2</v>
      </c>
      <c r="I66" s="2">
        <v>7</v>
      </c>
      <c r="J66" s="2">
        <v>0.28599999999999998</v>
      </c>
      <c r="K66" s="2">
        <v>1</v>
      </c>
      <c r="L66" s="2">
        <v>4</v>
      </c>
      <c r="M66" s="2">
        <v>0.25</v>
      </c>
      <c r="N66" s="2">
        <v>1</v>
      </c>
      <c r="O66" s="2">
        <v>3</v>
      </c>
      <c r="P66" s="2">
        <v>0.33300000000000002</v>
      </c>
      <c r="Q66" s="2">
        <v>0.35699999999999998</v>
      </c>
      <c r="R66" s="2">
        <v>0</v>
      </c>
      <c r="S66" s="2">
        <v>0</v>
      </c>
      <c r="T66" s="2"/>
      <c r="U66" s="2">
        <v>1</v>
      </c>
      <c r="V66" s="2">
        <v>2</v>
      </c>
      <c r="W66" s="2">
        <v>3</v>
      </c>
      <c r="X66" s="2">
        <v>0</v>
      </c>
      <c r="Y66" s="2">
        <v>2</v>
      </c>
      <c r="Z66" s="2">
        <v>0</v>
      </c>
      <c r="AA66" s="2">
        <v>1</v>
      </c>
      <c r="AB66" s="2">
        <v>0</v>
      </c>
      <c r="AC66" s="2">
        <v>5</v>
      </c>
      <c r="AD66" s="2">
        <v>0</v>
      </c>
      <c r="AE66" s="18">
        <f t="shared" si="0"/>
        <v>0</v>
      </c>
    </row>
    <row r="67" spans="1:31" x14ac:dyDescent="0.2">
      <c r="A67" t="s">
        <v>390</v>
      </c>
      <c r="B67" s="2">
        <v>25</v>
      </c>
      <c r="C67" t="s">
        <v>41</v>
      </c>
      <c r="D67" s="2" t="s">
        <v>49</v>
      </c>
      <c r="E67" s="2">
        <v>17</v>
      </c>
      <c r="F67" s="2">
        <v>8</v>
      </c>
      <c r="G67" s="2">
        <v>339</v>
      </c>
      <c r="H67" s="2">
        <v>20</v>
      </c>
      <c r="I67" s="2">
        <v>41</v>
      </c>
      <c r="J67" s="2">
        <v>0.48799999999999999</v>
      </c>
      <c r="K67" s="2">
        <v>10</v>
      </c>
      <c r="L67" s="2">
        <v>23</v>
      </c>
      <c r="M67" s="2">
        <v>0.435</v>
      </c>
      <c r="N67" s="2">
        <v>10</v>
      </c>
      <c r="O67" s="2">
        <v>18</v>
      </c>
      <c r="P67" s="2">
        <v>0.55600000000000005</v>
      </c>
      <c r="Q67" s="2">
        <v>0.61</v>
      </c>
      <c r="R67" s="2">
        <v>9</v>
      </c>
      <c r="S67" s="2">
        <v>14</v>
      </c>
      <c r="T67" s="2">
        <v>0.64300000000000002</v>
      </c>
      <c r="U67" s="2">
        <v>6</v>
      </c>
      <c r="V67" s="2">
        <v>28</v>
      </c>
      <c r="W67" s="2">
        <v>34</v>
      </c>
      <c r="X67" s="2">
        <v>13</v>
      </c>
      <c r="Y67" s="2">
        <v>18</v>
      </c>
      <c r="Z67" s="2">
        <v>6</v>
      </c>
      <c r="AA67" s="2">
        <v>7</v>
      </c>
      <c r="AB67" s="2">
        <v>27</v>
      </c>
      <c r="AC67" s="2">
        <v>59</v>
      </c>
      <c r="AD67" s="2">
        <v>0</v>
      </c>
      <c r="AE67" s="18">
        <f t="shared" ref="AE67:AE130" si="1">X67/AA67</f>
        <v>1.8571428571428572</v>
      </c>
    </row>
    <row r="68" spans="1:31" x14ac:dyDescent="0.2">
      <c r="A68" t="s">
        <v>482</v>
      </c>
      <c r="B68" s="2">
        <v>24</v>
      </c>
      <c r="C68" t="s">
        <v>80</v>
      </c>
      <c r="D68" s="2" t="s">
        <v>52</v>
      </c>
      <c r="E68" s="2">
        <v>3</v>
      </c>
      <c r="F68" s="2">
        <v>0</v>
      </c>
      <c r="G68" s="2">
        <v>46</v>
      </c>
      <c r="H68" s="2">
        <v>5</v>
      </c>
      <c r="I68" s="2">
        <v>10</v>
      </c>
      <c r="J68" s="2">
        <v>0.5</v>
      </c>
      <c r="K68" s="2">
        <v>2</v>
      </c>
      <c r="L68" s="2">
        <v>5</v>
      </c>
      <c r="M68" s="2">
        <v>0.4</v>
      </c>
      <c r="N68" s="2">
        <v>3</v>
      </c>
      <c r="O68" s="2">
        <v>5</v>
      </c>
      <c r="P68" s="2">
        <v>0.6</v>
      </c>
      <c r="Q68" s="2">
        <v>0.6</v>
      </c>
      <c r="R68" s="2">
        <v>4</v>
      </c>
      <c r="S68" s="2">
        <v>4</v>
      </c>
      <c r="T68" s="2">
        <v>1</v>
      </c>
      <c r="U68" s="2">
        <v>1</v>
      </c>
      <c r="V68" s="2">
        <v>5</v>
      </c>
      <c r="W68" s="2">
        <v>6</v>
      </c>
      <c r="X68" s="2">
        <v>7</v>
      </c>
      <c r="Y68" s="2">
        <v>1</v>
      </c>
      <c r="Z68" s="2">
        <v>1</v>
      </c>
      <c r="AA68" s="2">
        <v>2</v>
      </c>
      <c r="AB68" s="2">
        <v>5</v>
      </c>
      <c r="AC68" s="2">
        <v>16</v>
      </c>
      <c r="AD68" s="2">
        <v>0</v>
      </c>
      <c r="AE68" s="18">
        <f t="shared" si="1"/>
        <v>3.5</v>
      </c>
    </row>
    <row r="69" spans="1:31" x14ac:dyDescent="0.2">
      <c r="A69" t="s">
        <v>107</v>
      </c>
      <c r="B69" s="2">
        <v>23</v>
      </c>
      <c r="C69" t="s">
        <v>103</v>
      </c>
      <c r="D69" s="2" t="s">
        <v>52</v>
      </c>
      <c r="E69" s="2">
        <v>17</v>
      </c>
      <c r="F69" s="2">
        <v>17</v>
      </c>
      <c r="G69" s="2">
        <v>568</v>
      </c>
      <c r="H69" s="2">
        <v>137</v>
      </c>
      <c r="I69" s="2">
        <v>297</v>
      </c>
      <c r="J69" s="2">
        <v>0.46100000000000002</v>
      </c>
      <c r="K69" s="2">
        <v>49</v>
      </c>
      <c r="L69" s="2">
        <v>126</v>
      </c>
      <c r="M69" s="2">
        <v>0.38900000000000001</v>
      </c>
      <c r="N69" s="2">
        <v>88</v>
      </c>
      <c r="O69" s="2">
        <v>171</v>
      </c>
      <c r="P69" s="2">
        <v>0.51500000000000001</v>
      </c>
      <c r="Q69" s="2">
        <v>0.54400000000000004</v>
      </c>
      <c r="R69" s="2">
        <v>97</v>
      </c>
      <c r="S69" s="2">
        <v>112</v>
      </c>
      <c r="T69" s="2">
        <v>0.86599999999999999</v>
      </c>
      <c r="U69" s="2">
        <v>6</v>
      </c>
      <c r="V69" s="2">
        <v>49</v>
      </c>
      <c r="W69" s="2">
        <v>55</v>
      </c>
      <c r="X69" s="2">
        <v>57</v>
      </c>
      <c r="Y69" s="2">
        <v>12</v>
      </c>
      <c r="Z69" s="2">
        <v>1</v>
      </c>
      <c r="AA69" s="2">
        <v>48</v>
      </c>
      <c r="AB69" s="2">
        <v>34</v>
      </c>
      <c r="AC69" s="2">
        <v>420</v>
      </c>
      <c r="AD69" s="2">
        <v>0</v>
      </c>
      <c r="AE69" s="18">
        <f t="shared" si="1"/>
        <v>1.1875</v>
      </c>
    </row>
    <row r="70" spans="1:31" x14ac:dyDescent="0.2">
      <c r="A70" t="s">
        <v>409</v>
      </c>
      <c r="B70" s="2">
        <v>20</v>
      </c>
      <c r="C70" t="s">
        <v>87</v>
      </c>
      <c r="D70" s="2" t="s">
        <v>49</v>
      </c>
      <c r="E70" s="2">
        <v>8</v>
      </c>
      <c r="F70" s="2">
        <v>0</v>
      </c>
      <c r="G70" s="2">
        <v>79</v>
      </c>
      <c r="H70" s="2">
        <v>18</v>
      </c>
      <c r="I70" s="2">
        <v>48</v>
      </c>
      <c r="J70" s="2">
        <v>0.375</v>
      </c>
      <c r="K70" s="2">
        <v>1</v>
      </c>
      <c r="L70" s="2">
        <v>21</v>
      </c>
      <c r="M70" s="2">
        <v>4.8000000000000001E-2</v>
      </c>
      <c r="N70" s="2">
        <v>17</v>
      </c>
      <c r="O70" s="2">
        <v>27</v>
      </c>
      <c r="P70" s="2">
        <v>0.63</v>
      </c>
      <c r="Q70" s="2">
        <v>0.38500000000000001</v>
      </c>
      <c r="R70" s="2">
        <v>10</v>
      </c>
      <c r="S70" s="2">
        <v>16</v>
      </c>
      <c r="T70" s="2">
        <v>0.625</v>
      </c>
      <c r="U70" s="2">
        <v>4</v>
      </c>
      <c r="V70" s="2">
        <v>7</v>
      </c>
      <c r="W70" s="2">
        <v>11</v>
      </c>
      <c r="X70" s="2">
        <v>4</v>
      </c>
      <c r="Y70" s="2">
        <v>1</v>
      </c>
      <c r="Z70" s="2">
        <v>1</v>
      </c>
      <c r="AA70" s="2">
        <v>3</v>
      </c>
      <c r="AB70" s="2">
        <v>9</v>
      </c>
      <c r="AC70" s="2">
        <v>47</v>
      </c>
      <c r="AD70" s="2">
        <v>0</v>
      </c>
      <c r="AE70" s="18">
        <f t="shared" si="1"/>
        <v>1.3333333333333333</v>
      </c>
    </row>
    <row r="71" spans="1:31" x14ac:dyDescent="0.2">
      <c r="A71" t="s">
        <v>102</v>
      </c>
      <c r="B71" s="2">
        <v>28</v>
      </c>
      <c r="C71" t="s">
        <v>103</v>
      </c>
      <c r="D71" s="2" t="s">
        <v>27</v>
      </c>
      <c r="E71" s="2">
        <v>23</v>
      </c>
      <c r="F71" s="2">
        <v>23</v>
      </c>
      <c r="G71" s="2">
        <v>755</v>
      </c>
      <c r="H71" s="2">
        <v>144</v>
      </c>
      <c r="I71" s="2">
        <v>295</v>
      </c>
      <c r="J71" s="2">
        <v>0.48799999999999999</v>
      </c>
      <c r="K71" s="2">
        <v>76</v>
      </c>
      <c r="L71" s="2">
        <v>175</v>
      </c>
      <c r="M71" s="2">
        <v>0.434</v>
      </c>
      <c r="N71" s="2">
        <v>68</v>
      </c>
      <c r="O71" s="2">
        <v>120</v>
      </c>
      <c r="P71" s="2">
        <v>0.56699999999999995</v>
      </c>
      <c r="Q71" s="2">
        <v>0.61699999999999999</v>
      </c>
      <c r="R71" s="2">
        <v>68</v>
      </c>
      <c r="S71" s="2">
        <v>75</v>
      </c>
      <c r="T71" s="2">
        <v>0.90700000000000003</v>
      </c>
      <c r="U71" s="2">
        <v>18</v>
      </c>
      <c r="V71" s="2">
        <v>80</v>
      </c>
      <c r="W71" s="2">
        <v>98</v>
      </c>
      <c r="X71" s="2">
        <v>66</v>
      </c>
      <c r="Y71" s="2">
        <v>20</v>
      </c>
      <c r="Z71" s="2">
        <v>11</v>
      </c>
      <c r="AA71" s="2">
        <v>23</v>
      </c>
      <c r="AB71" s="2">
        <v>44</v>
      </c>
      <c r="AC71" s="2">
        <v>432</v>
      </c>
      <c r="AD71" s="2">
        <v>0</v>
      </c>
      <c r="AE71" s="18">
        <f t="shared" si="1"/>
        <v>2.8695652173913042</v>
      </c>
    </row>
    <row r="72" spans="1:31" x14ac:dyDescent="0.2">
      <c r="A72" t="s">
        <v>276</v>
      </c>
      <c r="B72" s="2">
        <v>30</v>
      </c>
      <c r="C72" t="s">
        <v>44</v>
      </c>
      <c r="D72" s="2" t="s">
        <v>33</v>
      </c>
      <c r="E72" s="2">
        <v>19</v>
      </c>
      <c r="F72" s="2">
        <v>0</v>
      </c>
      <c r="G72" s="2">
        <v>332</v>
      </c>
      <c r="H72" s="2">
        <v>56</v>
      </c>
      <c r="I72" s="2">
        <v>128</v>
      </c>
      <c r="J72" s="2">
        <v>0.438</v>
      </c>
      <c r="K72" s="2">
        <v>32</v>
      </c>
      <c r="L72" s="2">
        <v>76</v>
      </c>
      <c r="M72" s="2">
        <v>0.42099999999999999</v>
      </c>
      <c r="N72" s="2">
        <v>24</v>
      </c>
      <c r="O72" s="2">
        <v>52</v>
      </c>
      <c r="P72" s="2">
        <v>0.46200000000000002</v>
      </c>
      <c r="Q72" s="2">
        <v>0.56299999999999994</v>
      </c>
      <c r="R72" s="2">
        <v>9</v>
      </c>
      <c r="S72" s="2">
        <v>11</v>
      </c>
      <c r="T72" s="2">
        <v>0.81799999999999995</v>
      </c>
      <c r="U72" s="2">
        <v>6</v>
      </c>
      <c r="V72" s="2">
        <v>29</v>
      </c>
      <c r="W72" s="2">
        <v>35</v>
      </c>
      <c r="X72" s="2">
        <v>59</v>
      </c>
      <c r="Y72" s="2">
        <v>12</v>
      </c>
      <c r="Z72" s="2">
        <v>7</v>
      </c>
      <c r="AA72" s="2">
        <v>10</v>
      </c>
      <c r="AB72" s="2">
        <v>41</v>
      </c>
      <c r="AC72" s="2">
        <v>153</v>
      </c>
      <c r="AD72" s="2">
        <v>0</v>
      </c>
      <c r="AE72" s="18">
        <f t="shared" si="1"/>
        <v>5.9</v>
      </c>
    </row>
    <row r="73" spans="1:31" x14ac:dyDescent="0.2">
      <c r="A73" t="s">
        <v>211</v>
      </c>
      <c r="B73" s="2">
        <v>30</v>
      </c>
      <c r="C73" t="s">
        <v>57</v>
      </c>
      <c r="D73" s="2" t="s">
        <v>49</v>
      </c>
      <c r="E73" s="2">
        <v>19</v>
      </c>
      <c r="F73" s="2">
        <v>0</v>
      </c>
      <c r="G73" s="2">
        <v>465</v>
      </c>
      <c r="H73" s="2">
        <v>80</v>
      </c>
      <c r="I73" s="2">
        <v>149</v>
      </c>
      <c r="J73" s="2">
        <v>0.53700000000000003</v>
      </c>
      <c r="K73" s="2">
        <v>33</v>
      </c>
      <c r="L73" s="2">
        <v>68</v>
      </c>
      <c r="M73" s="2">
        <v>0.48499999999999999</v>
      </c>
      <c r="N73" s="2">
        <v>47</v>
      </c>
      <c r="O73" s="2">
        <v>81</v>
      </c>
      <c r="P73" s="2">
        <v>0.57999999999999996</v>
      </c>
      <c r="Q73" s="2">
        <v>0.64800000000000002</v>
      </c>
      <c r="R73" s="2">
        <v>32</v>
      </c>
      <c r="S73" s="2">
        <v>46</v>
      </c>
      <c r="T73" s="2">
        <v>0.69599999999999995</v>
      </c>
      <c r="U73" s="2">
        <v>9</v>
      </c>
      <c r="V73" s="2">
        <v>46</v>
      </c>
      <c r="W73" s="2">
        <v>55</v>
      </c>
      <c r="X73" s="2">
        <v>78</v>
      </c>
      <c r="Y73" s="2">
        <v>17</v>
      </c>
      <c r="Z73" s="2">
        <v>8</v>
      </c>
      <c r="AA73" s="2">
        <v>25</v>
      </c>
      <c r="AB73" s="2">
        <v>26</v>
      </c>
      <c r="AC73" s="2">
        <v>225</v>
      </c>
      <c r="AD73" s="2">
        <v>0</v>
      </c>
      <c r="AE73" s="18">
        <f t="shared" si="1"/>
        <v>3.12</v>
      </c>
    </row>
    <row r="74" spans="1:31" x14ac:dyDescent="0.2">
      <c r="A74" t="s">
        <v>229</v>
      </c>
      <c r="B74" s="2">
        <v>19</v>
      </c>
      <c r="C74" t="s">
        <v>114</v>
      </c>
      <c r="D74" s="2" t="s">
        <v>33</v>
      </c>
      <c r="E74" s="2">
        <v>22</v>
      </c>
      <c r="F74" s="2">
        <v>14</v>
      </c>
      <c r="G74" s="2">
        <v>630</v>
      </c>
      <c r="H74" s="2">
        <v>75</v>
      </c>
      <c r="I74" s="2">
        <v>192</v>
      </c>
      <c r="J74" s="2">
        <v>0.39100000000000001</v>
      </c>
      <c r="K74" s="2">
        <v>33</v>
      </c>
      <c r="L74" s="2">
        <v>101</v>
      </c>
      <c r="M74" s="2">
        <v>0.32700000000000001</v>
      </c>
      <c r="N74" s="2">
        <v>42</v>
      </c>
      <c r="O74" s="2">
        <v>91</v>
      </c>
      <c r="P74" s="2">
        <v>0.46200000000000002</v>
      </c>
      <c r="Q74" s="2">
        <v>0.47699999999999998</v>
      </c>
      <c r="R74" s="2">
        <v>20</v>
      </c>
      <c r="S74" s="2">
        <v>25</v>
      </c>
      <c r="T74" s="2">
        <v>0.8</v>
      </c>
      <c r="U74" s="2">
        <v>5</v>
      </c>
      <c r="V74" s="2">
        <v>83</v>
      </c>
      <c r="W74" s="2">
        <v>88</v>
      </c>
      <c r="X74" s="2">
        <v>90</v>
      </c>
      <c r="Y74" s="2">
        <v>22</v>
      </c>
      <c r="Z74" s="2">
        <v>6</v>
      </c>
      <c r="AA74" s="2">
        <v>43</v>
      </c>
      <c r="AB74" s="2">
        <v>67</v>
      </c>
      <c r="AC74" s="2">
        <v>203</v>
      </c>
      <c r="AD74" s="2">
        <v>0</v>
      </c>
      <c r="AE74" s="18">
        <f t="shared" si="1"/>
        <v>2.0930232558139537</v>
      </c>
    </row>
    <row r="75" spans="1:31" x14ac:dyDescent="0.2">
      <c r="A75" t="s">
        <v>263</v>
      </c>
      <c r="B75" s="2">
        <v>21</v>
      </c>
      <c r="C75" t="s">
        <v>32</v>
      </c>
      <c r="D75" s="2" t="s">
        <v>52</v>
      </c>
      <c r="E75" s="2">
        <v>24</v>
      </c>
      <c r="F75" s="2">
        <v>13</v>
      </c>
      <c r="G75" s="2">
        <v>635</v>
      </c>
      <c r="H75" s="2">
        <v>69</v>
      </c>
      <c r="I75" s="2">
        <v>164</v>
      </c>
      <c r="J75" s="2">
        <v>0.42099999999999999</v>
      </c>
      <c r="K75" s="2">
        <v>24</v>
      </c>
      <c r="L75" s="2">
        <v>80</v>
      </c>
      <c r="M75" s="2">
        <v>0.3</v>
      </c>
      <c r="N75" s="2">
        <v>45</v>
      </c>
      <c r="O75" s="2">
        <v>84</v>
      </c>
      <c r="P75" s="2">
        <v>0.53600000000000003</v>
      </c>
      <c r="Q75" s="2">
        <v>0.49399999999999999</v>
      </c>
      <c r="R75" s="2">
        <v>6</v>
      </c>
      <c r="S75" s="2">
        <v>7</v>
      </c>
      <c r="T75" s="2">
        <v>0.85699999999999998</v>
      </c>
      <c r="U75" s="2">
        <v>32</v>
      </c>
      <c r="V75" s="2">
        <v>55</v>
      </c>
      <c r="W75" s="2">
        <v>87</v>
      </c>
      <c r="X75" s="2">
        <v>53</v>
      </c>
      <c r="Y75" s="2">
        <v>43</v>
      </c>
      <c r="Z75" s="2">
        <v>17</v>
      </c>
      <c r="AA75" s="2">
        <v>14</v>
      </c>
      <c r="AB75" s="2">
        <v>49</v>
      </c>
      <c r="AC75" s="2">
        <v>168</v>
      </c>
      <c r="AD75" s="2">
        <v>0</v>
      </c>
      <c r="AE75" s="18">
        <f t="shared" si="1"/>
        <v>3.7857142857142856</v>
      </c>
    </row>
    <row r="76" spans="1:31" x14ac:dyDescent="0.2">
      <c r="A76" t="s">
        <v>387</v>
      </c>
      <c r="B76" s="2">
        <v>24</v>
      </c>
      <c r="C76" t="s">
        <v>93</v>
      </c>
      <c r="D76" s="2" t="s">
        <v>42</v>
      </c>
      <c r="E76" s="2">
        <v>15</v>
      </c>
      <c r="F76" s="2">
        <v>0</v>
      </c>
      <c r="G76" s="2">
        <v>158</v>
      </c>
      <c r="H76" s="2">
        <v>26</v>
      </c>
      <c r="I76" s="2">
        <v>47</v>
      </c>
      <c r="J76" s="2">
        <v>0.55300000000000005</v>
      </c>
      <c r="K76" s="2">
        <v>0</v>
      </c>
      <c r="L76" s="2">
        <v>0</v>
      </c>
      <c r="M76" s="2"/>
      <c r="N76" s="2">
        <v>26</v>
      </c>
      <c r="O76" s="2">
        <v>47</v>
      </c>
      <c r="P76" s="2">
        <v>0.55300000000000005</v>
      </c>
      <c r="Q76" s="2">
        <v>0.55300000000000005</v>
      </c>
      <c r="R76" s="2">
        <v>11</v>
      </c>
      <c r="S76" s="2">
        <v>21</v>
      </c>
      <c r="T76" s="2">
        <v>0.52400000000000002</v>
      </c>
      <c r="U76" s="2">
        <v>22</v>
      </c>
      <c r="V76" s="2">
        <v>36</v>
      </c>
      <c r="W76" s="2">
        <v>58</v>
      </c>
      <c r="X76" s="2">
        <v>8</v>
      </c>
      <c r="Y76" s="2">
        <v>6</v>
      </c>
      <c r="Z76" s="2">
        <v>19</v>
      </c>
      <c r="AA76" s="2">
        <v>10</v>
      </c>
      <c r="AB76" s="2">
        <v>21</v>
      </c>
      <c r="AC76" s="2">
        <v>63</v>
      </c>
      <c r="AD76" s="2">
        <v>0</v>
      </c>
      <c r="AE76" s="18">
        <f t="shared" si="1"/>
        <v>0.8</v>
      </c>
    </row>
    <row r="77" spans="1:31" x14ac:dyDescent="0.2">
      <c r="A77" t="s">
        <v>269</v>
      </c>
      <c r="B77" s="2">
        <v>22</v>
      </c>
      <c r="C77" t="s">
        <v>32</v>
      </c>
      <c r="D77" s="2" t="s">
        <v>42</v>
      </c>
      <c r="E77" s="2">
        <v>10</v>
      </c>
      <c r="F77" s="2">
        <v>10</v>
      </c>
      <c r="G77" s="2">
        <v>265</v>
      </c>
      <c r="H77" s="2">
        <v>56</v>
      </c>
      <c r="I77" s="2">
        <v>111</v>
      </c>
      <c r="J77" s="2">
        <v>0.505</v>
      </c>
      <c r="K77" s="2">
        <v>14</v>
      </c>
      <c r="L77" s="2">
        <v>37</v>
      </c>
      <c r="M77" s="2">
        <v>0.378</v>
      </c>
      <c r="N77" s="2">
        <v>42</v>
      </c>
      <c r="O77" s="2">
        <v>74</v>
      </c>
      <c r="P77" s="2">
        <v>0.56799999999999995</v>
      </c>
      <c r="Q77" s="2">
        <v>0.56799999999999995</v>
      </c>
      <c r="R77" s="2">
        <v>38</v>
      </c>
      <c r="S77" s="2">
        <v>49</v>
      </c>
      <c r="T77" s="2">
        <v>0.77600000000000002</v>
      </c>
      <c r="U77" s="2">
        <v>16</v>
      </c>
      <c r="V77" s="2">
        <v>71</v>
      </c>
      <c r="W77" s="2">
        <v>87</v>
      </c>
      <c r="X77" s="2">
        <v>20</v>
      </c>
      <c r="Y77" s="2">
        <v>8</v>
      </c>
      <c r="Z77" s="2">
        <v>26</v>
      </c>
      <c r="AA77" s="2">
        <v>23</v>
      </c>
      <c r="AB77" s="2">
        <v>18</v>
      </c>
      <c r="AC77" s="2">
        <v>164</v>
      </c>
      <c r="AD77" s="2">
        <v>0</v>
      </c>
      <c r="AE77" s="18">
        <f t="shared" si="1"/>
        <v>0.86956521739130432</v>
      </c>
    </row>
    <row r="78" spans="1:31" x14ac:dyDescent="0.2">
      <c r="A78" t="s">
        <v>207</v>
      </c>
      <c r="B78" s="2">
        <v>32</v>
      </c>
      <c r="C78" t="s">
        <v>66</v>
      </c>
      <c r="D78" s="2" t="s">
        <v>27</v>
      </c>
      <c r="E78" s="2">
        <v>23</v>
      </c>
      <c r="F78" s="2">
        <v>0</v>
      </c>
      <c r="G78" s="2">
        <v>413</v>
      </c>
      <c r="H78" s="2">
        <v>83</v>
      </c>
      <c r="I78" s="2">
        <v>183</v>
      </c>
      <c r="J78" s="2">
        <v>0.45400000000000001</v>
      </c>
      <c r="K78" s="2">
        <v>24</v>
      </c>
      <c r="L78" s="2">
        <v>87</v>
      </c>
      <c r="M78" s="2">
        <v>0.27600000000000002</v>
      </c>
      <c r="N78" s="2">
        <v>59</v>
      </c>
      <c r="O78" s="2">
        <v>96</v>
      </c>
      <c r="P78" s="2">
        <v>0.61499999999999999</v>
      </c>
      <c r="Q78" s="2">
        <v>0.51900000000000002</v>
      </c>
      <c r="R78" s="2">
        <v>39</v>
      </c>
      <c r="S78" s="2">
        <v>51</v>
      </c>
      <c r="T78" s="2">
        <v>0.76500000000000001</v>
      </c>
      <c r="U78" s="2">
        <v>30</v>
      </c>
      <c r="V78" s="2">
        <v>73</v>
      </c>
      <c r="W78" s="2">
        <v>103</v>
      </c>
      <c r="X78" s="2">
        <v>14</v>
      </c>
      <c r="Y78" s="2">
        <v>12</v>
      </c>
      <c r="Z78" s="2">
        <v>17</v>
      </c>
      <c r="AA78" s="2">
        <v>16</v>
      </c>
      <c r="AB78" s="2">
        <v>28</v>
      </c>
      <c r="AC78" s="2">
        <v>229</v>
      </c>
      <c r="AD78" s="2">
        <v>0</v>
      </c>
      <c r="AE78" s="18">
        <f t="shared" si="1"/>
        <v>0.875</v>
      </c>
    </row>
    <row r="79" spans="1:31" x14ac:dyDescent="0.2">
      <c r="A79" t="s">
        <v>445</v>
      </c>
      <c r="B79" s="2">
        <v>27</v>
      </c>
      <c r="C79" t="s">
        <v>70</v>
      </c>
      <c r="D79" s="2" t="s">
        <v>52</v>
      </c>
      <c r="E79" s="2">
        <v>12</v>
      </c>
      <c r="F79" s="2">
        <v>0</v>
      </c>
      <c r="G79" s="2">
        <v>50</v>
      </c>
      <c r="H79" s="2">
        <v>9</v>
      </c>
      <c r="I79" s="2">
        <v>18</v>
      </c>
      <c r="J79" s="2">
        <v>0.5</v>
      </c>
      <c r="K79" s="2">
        <v>5</v>
      </c>
      <c r="L79" s="2">
        <v>12</v>
      </c>
      <c r="M79" s="2">
        <v>0.41699999999999998</v>
      </c>
      <c r="N79" s="2">
        <v>4</v>
      </c>
      <c r="O79" s="2">
        <v>6</v>
      </c>
      <c r="P79" s="2">
        <v>0.66700000000000004</v>
      </c>
      <c r="Q79" s="2">
        <v>0.63900000000000001</v>
      </c>
      <c r="R79" s="2">
        <v>6</v>
      </c>
      <c r="S79" s="2">
        <v>8</v>
      </c>
      <c r="T79" s="2">
        <v>0.75</v>
      </c>
      <c r="U79" s="2">
        <v>4</v>
      </c>
      <c r="V79" s="2">
        <v>10</v>
      </c>
      <c r="W79" s="2">
        <v>14</v>
      </c>
      <c r="X79" s="2">
        <v>4</v>
      </c>
      <c r="Y79" s="2">
        <v>0</v>
      </c>
      <c r="Z79" s="2">
        <v>0</v>
      </c>
      <c r="AA79" s="2">
        <v>1</v>
      </c>
      <c r="AB79" s="2">
        <v>5</v>
      </c>
      <c r="AC79" s="2">
        <v>29</v>
      </c>
      <c r="AD79" s="2">
        <v>0</v>
      </c>
      <c r="AE79" s="18">
        <f t="shared" si="1"/>
        <v>4</v>
      </c>
    </row>
    <row r="80" spans="1:31" x14ac:dyDescent="0.2">
      <c r="A80" t="s">
        <v>548</v>
      </c>
      <c r="B80" s="2">
        <v>21</v>
      </c>
      <c r="C80" t="s">
        <v>35</v>
      </c>
      <c r="D80" s="2" t="s">
        <v>49</v>
      </c>
      <c r="E80" s="2">
        <v>3</v>
      </c>
      <c r="F80" s="2">
        <v>0</v>
      </c>
      <c r="G80" s="2">
        <v>6</v>
      </c>
      <c r="H80" s="2">
        <v>1</v>
      </c>
      <c r="I80" s="2">
        <v>2</v>
      </c>
      <c r="J80" s="2">
        <v>0.5</v>
      </c>
      <c r="K80" s="2">
        <v>0</v>
      </c>
      <c r="L80" s="2">
        <v>0</v>
      </c>
      <c r="M80" s="2"/>
      <c r="N80" s="2">
        <v>1</v>
      </c>
      <c r="O80" s="2">
        <v>2</v>
      </c>
      <c r="P80" s="2">
        <v>0.5</v>
      </c>
      <c r="Q80" s="2">
        <v>0.5</v>
      </c>
      <c r="R80" s="2">
        <v>0</v>
      </c>
      <c r="S80" s="2">
        <v>0</v>
      </c>
      <c r="T80" s="2"/>
      <c r="U80" s="2">
        <v>1</v>
      </c>
      <c r="V80" s="2">
        <v>1</v>
      </c>
      <c r="W80" s="2">
        <v>2</v>
      </c>
      <c r="X80" s="2">
        <v>1</v>
      </c>
      <c r="Y80" s="2">
        <v>1</v>
      </c>
      <c r="Z80" s="2">
        <v>0</v>
      </c>
      <c r="AA80" s="2">
        <v>1</v>
      </c>
      <c r="AB80" s="2">
        <v>0</v>
      </c>
      <c r="AC80" s="2">
        <v>2</v>
      </c>
      <c r="AD80" s="2">
        <v>0</v>
      </c>
      <c r="AE80" s="18">
        <f t="shared" si="1"/>
        <v>1</v>
      </c>
    </row>
    <row r="81" spans="1:31" x14ac:dyDescent="0.2">
      <c r="A81" t="s">
        <v>196</v>
      </c>
      <c r="B81" s="2">
        <v>39</v>
      </c>
      <c r="C81" t="s">
        <v>93</v>
      </c>
      <c r="D81" s="2" t="s">
        <v>33</v>
      </c>
      <c r="E81" s="2">
        <v>24</v>
      </c>
      <c r="F81" s="2">
        <v>24</v>
      </c>
      <c r="G81" s="2">
        <v>693</v>
      </c>
      <c r="H81" s="2">
        <v>83</v>
      </c>
      <c r="I81" s="2">
        <v>194</v>
      </c>
      <c r="J81" s="2">
        <v>0.42799999999999999</v>
      </c>
      <c r="K81" s="2">
        <v>44</v>
      </c>
      <c r="L81" s="2">
        <v>125</v>
      </c>
      <c r="M81" s="2">
        <v>0.35199999999999998</v>
      </c>
      <c r="N81" s="2">
        <v>39</v>
      </c>
      <c r="O81" s="2">
        <v>69</v>
      </c>
      <c r="P81" s="2">
        <v>0.56499999999999995</v>
      </c>
      <c r="Q81" s="2">
        <v>0.54100000000000004</v>
      </c>
      <c r="R81" s="2">
        <v>35</v>
      </c>
      <c r="S81" s="2">
        <v>35</v>
      </c>
      <c r="T81" s="2">
        <v>1</v>
      </c>
      <c r="U81" s="2">
        <v>14</v>
      </c>
      <c r="V81" s="2">
        <v>83</v>
      </c>
      <c r="W81" s="2">
        <v>97</v>
      </c>
      <c r="X81" s="2">
        <v>205</v>
      </c>
      <c r="Y81" s="2">
        <v>34</v>
      </c>
      <c r="Z81" s="2">
        <v>5</v>
      </c>
      <c r="AA81" s="2">
        <v>43</v>
      </c>
      <c r="AB81" s="2">
        <v>45</v>
      </c>
      <c r="AC81" s="2">
        <v>245</v>
      </c>
      <c r="AD81" s="2">
        <v>0</v>
      </c>
      <c r="AE81" s="18">
        <f t="shared" si="1"/>
        <v>4.7674418604651159</v>
      </c>
    </row>
    <row r="82" spans="1:31" x14ac:dyDescent="0.2">
      <c r="A82" t="s">
        <v>138</v>
      </c>
      <c r="B82" s="2">
        <v>23</v>
      </c>
      <c r="C82" t="s">
        <v>46</v>
      </c>
      <c r="D82" s="2" t="s">
        <v>52</v>
      </c>
      <c r="E82" s="2">
        <v>22</v>
      </c>
      <c r="F82" s="2">
        <v>22</v>
      </c>
      <c r="G82" s="2">
        <v>774</v>
      </c>
      <c r="H82" s="2">
        <v>127</v>
      </c>
      <c r="I82" s="2">
        <v>223</v>
      </c>
      <c r="J82" s="2">
        <v>0.56999999999999995</v>
      </c>
      <c r="K82" s="2">
        <v>25</v>
      </c>
      <c r="L82" s="2">
        <v>58</v>
      </c>
      <c r="M82" s="2">
        <v>0.43099999999999999</v>
      </c>
      <c r="N82" s="2">
        <v>102</v>
      </c>
      <c r="O82" s="2">
        <v>165</v>
      </c>
      <c r="P82" s="2">
        <v>0.61799999999999999</v>
      </c>
      <c r="Q82" s="2">
        <v>0.626</v>
      </c>
      <c r="R82" s="2">
        <v>59</v>
      </c>
      <c r="S82" s="2">
        <v>76</v>
      </c>
      <c r="T82" s="2">
        <v>0.77600000000000002</v>
      </c>
      <c r="U82" s="2">
        <v>26</v>
      </c>
      <c r="V82" s="2">
        <v>85</v>
      </c>
      <c r="W82" s="2">
        <v>111</v>
      </c>
      <c r="X82" s="2">
        <v>41</v>
      </c>
      <c r="Y82" s="2">
        <v>28</v>
      </c>
      <c r="Z82" s="2">
        <v>16</v>
      </c>
      <c r="AA82" s="2">
        <v>32</v>
      </c>
      <c r="AB82" s="2">
        <v>51</v>
      </c>
      <c r="AC82" s="2">
        <v>338</v>
      </c>
      <c r="AD82" s="2">
        <v>0</v>
      </c>
      <c r="AE82" s="18">
        <f t="shared" si="1"/>
        <v>1.28125</v>
      </c>
    </row>
    <row r="83" spans="1:31" x14ac:dyDescent="0.2">
      <c r="A83" t="s">
        <v>440</v>
      </c>
      <c r="B83" s="2">
        <v>24</v>
      </c>
      <c r="C83" t="s">
        <v>41</v>
      </c>
      <c r="D83" s="2" t="s">
        <v>42</v>
      </c>
      <c r="E83" s="2">
        <v>14</v>
      </c>
      <c r="F83" s="2">
        <v>0</v>
      </c>
      <c r="G83" s="2">
        <v>138</v>
      </c>
      <c r="H83" s="2">
        <v>14</v>
      </c>
      <c r="I83" s="2">
        <v>22</v>
      </c>
      <c r="J83" s="2">
        <v>0.63600000000000001</v>
      </c>
      <c r="K83" s="2">
        <v>0</v>
      </c>
      <c r="L83" s="2">
        <v>2</v>
      </c>
      <c r="M83" s="2">
        <v>0</v>
      </c>
      <c r="N83" s="2">
        <v>14</v>
      </c>
      <c r="O83" s="2">
        <v>20</v>
      </c>
      <c r="P83" s="2">
        <v>0.7</v>
      </c>
      <c r="Q83" s="2">
        <v>0.63600000000000001</v>
      </c>
      <c r="R83" s="2">
        <v>2</v>
      </c>
      <c r="S83" s="2">
        <v>2</v>
      </c>
      <c r="T83" s="2">
        <v>1</v>
      </c>
      <c r="U83" s="2">
        <v>13</v>
      </c>
      <c r="V83" s="2">
        <v>18</v>
      </c>
      <c r="W83" s="2">
        <v>31</v>
      </c>
      <c r="X83" s="2">
        <v>4</v>
      </c>
      <c r="Y83" s="2">
        <v>4</v>
      </c>
      <c r="Z83" s="2">
        <v>4</v>
      </c>
      <c r="AA83" s="2">
        <v>5</v>
      </c>
      <c r="AB83" s="2">
        <v>17</v>
      </c>
      <c r="AC83" s="2">
        <v>30</v>
      </c>
      <c r="AD83" s="2">
        <v>0</v>
      </c>
      <c r="AE83" s="18">
        <f t="shared" si="1"/>
        <v>0.8</v>
      </c>
    </row>
    <row r="84" spans="1:31" x14ac:dyDescent="0.2">
      <c r="A84" t="s">
        <v>172</v>
      </c>
      <c r="B84" s="2">
        <v>33</v>
      </c>
      <c r="C84" t="s">
        <v>117</v>
      </c>
      <c r="D84" s="2" t="s">
        <v>33</v>
      </c>
      <c r="E84" s="2">
        <v>13</v>
      </c>
      <c r="F84" s="2">
        <v>13</v>
      </c>
      <c r="G84" s="2">
        <v>439</v>
      </c>
      <c r="H84" s="2">
        <v>110</v>
      </c>
      <c r="I84" s="2">
        <v>245</v>
      </c>
      <c r="J84" s="2">
        <v>0.44900000000000001</v>
      </c>
      <c r="K84" s="2">
        <v>38</v>
      </c>
      <c r="L84" s="2">
        <v>113</v>
      </c>
      <c r="M84" s="2">
        <v>0.33600000000000002</v>
      </c>
      <c r="N84" s="2">
        <v>72</v>
      </c>
      <c r="O84" s="2">
        <v>132</v>
      </c>
      <c r="P84" s="2">
        <v>0.54500000000000004</v>
      </c>
      <c r="Q84" s="2">
        <v>0.52700000000000002</v>
      </c>
      <c r="R84" s="2">
        <v>22</v>
      </c>
      <c r="S84" s="2">
        <v>34</v>
      </c>
      <c r="T84" s="2">
        <v>0.64700000000000002</v>
      </c>
      <c r="U84" s="2">
        <v>9</v>
      </c>
      <c r="V84" s="2">
        <v>40</v>
      </c>
      <c r="W84" s="2">
        <v>49</v>
      </c>
      <c r="X84" s="2">
        <v>50</v>
      </c>
      <c r="Y84" s="2">
        <v>16</v>
      </c>
      <c r="Z84" s="2">
        <v>6</v>
      </c>
      <c r="AA84" s="2">
        <v>20</v>
      </c>
      <c r="AB84" s="2">
        <v>29</v>
      </c>
      <c r="AC84" s="2">
        <v>280</v>
      </c>
      <c r="AD84" s="2">
        <v>0</v>
      </c>
      <c r="AE84" s="18">
        <f t="shared" si="1"/>
        <v>2.5</v>
      </c>
    </row>
    <row r="85" spans="1:31" x14ac:dyDescent="0.2">
      <c r="A85" t="s">
        <v>183</v>
      </c>
      <c r="B85" s="2">
        <v>30</v>
      </c>
      <c r="C85" t="s">
        <v>72</v>
      </c>
      <c r="D85" s="2" t="s">
        <v>42</v>
      </c>
      <c r="E85" s="2">
        <v>26</v>
      </c>
      <c r="F85" s="2">
        <v>26</v>
      </c>
      <c r="G85" s="2">
        <v>593</v>
      </c>
      <c r="H85" s="2">
        <v>118</v>
      </c>
      <c r="I85" s="2">
        <v>202</v>
      </c>
      <c r="J85" s="2">
        <v>0.58399999999999996</v>
      </c>
      <c r="K85" s="2">
        <v>0</v>
      </c>
      <c r="L85" s="2">
        <v>0</v>
      </c>
      <c r="M85" s="2"/>
      <c r="N85" s="2">
        <v>118</v>
      </c>
      <c r="O85" s="2">
        <v>202</v>
      </c>
      <c r="P85" s="2">
        <v>0.58399999999999996</v>
      </c>
      <c r="Q85" s="2">
        <v>0.58399999999999996</v>
      </c>
      <c r="R85" s="2">
        <v>29</v>
      </c>
      <c r="S85" s="2">
        <v>52</v>
      </c>
      <c r="T85" s="2">
        <v>0.55800000000000005</v>
      </c>
      <c r="U85" s="2">
        <v>97</v>
      </c>
      <c r="V85" s="2">
        <v>149</v>
      </c>
      <c r="W85" s="2">
        <v>246</v>
      </c>
      <c r="X85" s="2">
        <v>35</v>
      </c>
      <c r="Y85" s="2">
        <v>16</v>
      </c>
      <c r="Z85" s="2">
        <v>24</v>
      </c>
      <c r="AA85" s="2">
        <v>19</v>
      </c>
      <c r="AB85" s="2">
        <v>52</v>
      </c>
      <c r="AC85" s="2">
        <v>265</v>
      </c>
      <c r="AD85" s="2">
        <v>0</v>
      </c>
      <c r="AE85" s="18">
        <f t="shared" si="1"/>
        <v>1.8421052631578947</v>
      </c>
    </row>
    <row r="86" spans="1:31" x14ac:dyDescent="0.2">
      <c r="A86" t="s">
        <v>110</v>
      </c>
      <c r="B86" s="2">
        <v>24</v>
      </c>
      <c r="C86" t="s">
        <v>70</v>
      </c>
      <c r="D86" s="2" t="s">
        <v>52</v>
      </c>
      <c r="E86" s="2">
        <v>23</v>
      </c>
      <c r="F86" s="2">
        <v>23</v>
      </c>
      <c r="G86" s="2">
        <v>751</v>
      </c>
      <c r="H86" s="2">
        <v>139</v>
      </c>
      <c r="I86" s="2">
        <v>328</v>
      </c>
      <c r="J86" s="2">
        <v>0.42399999999999999</v>
      </c>
      <c r="K86" s="2">
        <v>76</v>
      </c>
      <c r="L86" s="2">
        <v>205</v>
      </c>
      <c r="M86" s="2">
        <v>0.371</v>
      </c>
      <c r="N86" s="2">
        <v>63</v>
      </c>
      <c r="O86" s="2">
        <v>123</v>
      </c>
      <c r="P86" s="2">
        <v>0.51200000000000001</v>
      </c>
      <c r="Q86" s="2">
        <v>0.54</v>
      </c>
      <c r="R86" s="2">
        <v>62</v>
      </c>
      <c r="S86" s="2">
        <v>71</v>
      </c>
      <c r="T86" s="2">
        <v>0.873</v>
      </c>
      <c r="U86" s="2">
        <v>8</v>
      </c>
      <c r="V86" s="2">
        <v>78</v>
      </c>
      <c r="W86" s="2">
        <v>86</v>
      </c>
      <c r="X86" s="2">
        <v>109</v>
      </c>
      <c r="Y86" s="2">
        <v>25</v>
      </c>
      <c r="Z86" s="2">
        <v>5</v>
      </c>
      <c r="AA86" s="2">
        <v>54</v>
      </c>
      <c r="AB86" s="2">
        <v>56</v>
      </c>
      <c r="AC86" s="2">
        <v>416</v>
      </c>
      <c r="AD86" s="2">
        <v>0</v>
      </c>
      <c r="AE86" s="18">
        <f t="shared" si="1"/>
        <v>2.0185185185185186</v>
      </c>
    </row>
    <row r="87" spans="1:31" x14ac:dyDescent="0.2">
      <c r="A87" t="s">
        <v>225</v>
      </c>
      <c r="B87" s="2">
        <v>29</v>
      </c>
      <c r="C87" t="s">
        <v>59</v>
      </c>
      <c r="D87" s="2" t="s">
        <v>49</v>
      </c>
      <c r="E87" s="2">
        <v>24</v>
      </c>
      <c r="F87" s="2">
        <v>5</v>
      </c>
      <c r="G87" s="2">
        <v>629</v>
      </c>
      <c r="H87" s="2">
        <v>78</v>
      </c>
      <c r="I87" s="2">
        <v>177</v>
      </c>
      <c r="J87" s="2">
        <v>0.441</v>
      </c>
      <c r="K87" s="2">
        <v>29</v>
      </c>
      <c r="L87" s="2">
        <v>86</v>
      </c>
      <c r="M87" s="2">
        <v>0.33700000000000002</v>
      </c>
      <c r="N87" s="2">
        <v>49</v>
      </c>
      <c r="O87" s="2">
        <v>91</v>
      </c>
      <c r="P87" s="2">
        <v>0.53800000000000003</v>
      </c>
      <c r="Q87" s="2">
        <v>0.52300000000000002</v>
      </c>
      <c r="R87" s="2">
        <v>21</v>
      </c>
      <c r="S87" s="2">
        <v>32</v>
      </c>
      <c r="T87" s="2">
        <v>0.65600000000000003</v>
      </c>
      <c r="U87" s="2">
        <v>26</v>
      </c>
      <c r="V87" s="2">
        <v>91</v>
      </c>
      <c r="W87" s="2">
        <v>117</v>
      </c>
      <c r="X87" s="2">
        <v>57</v>
      </c>
      <c r="Y87" s="2">
        <v>26</v>
      </c>
      <c r="Z87" s="2">
        <v>18</v>
      </c>
      <c r="AA87" s="2">
        <v>25</v>
      </c>
      <c r="AB87" s="2">
        <v>46</v>
      </c>
      <c r="AC87" s="2">
        <v>206</v>
      </c>
      <c r="AD87" s="2">
        <v>0</v>
      </c>
      <c r="AE87" s="18">
        <f t="shared" si="1"/>
        <v>2.2799999999999998</v>
      </c>
    </row>
    <row r="88" spans="1:31" x14ac:dyDescent="0.2">
      <c r="A88" t="s">
        <v>406</v>
      </c>
      <c r="B88" s="2">
        <v>20</v>
      </c>
      <c r="C88" t="s">
        <v>120</v>
      </c>
      <c r="D88" s="2" t="s">
        <v>52</v>
      </c>
      <c r="E88" s="2">
        <v>16</v>
      </c>
      <c r="F88" s="2">
        <v>7</v>
      </c>
      <c r="G88" s="2">
        <v>299</v>
      </c>
      <c r="H88" s="2">
        <v>18</v>
      </c>
      <c r="I88" s="2">
        <v>67</v>
      </c>
      <c r="J88" s="2">
        <v>0.26900000000000002</v>
      </c>
      <c r="K88" s="2">
        <v>7</v>
      </c>
      <c r="L88" s="2">
        <v>37</v>
      </c>
      <c r="M88" s="2">
        <v>0.189</v>
      </c>
      <c r="N88" s="2">
        <v>11</v>
      </c>
      <c r="O88" s="2">
        <v>30</v>
      </c>
      <c r="P88" s="2">
        <v>0.36699999999999999</v>
      </c>
      <c r="Q88" s="2">
        <v>0.32100000000000001</v>
      </c>
      <c r="R88" s="2">
        <v>6</v>
      </c>
      <c r="S88" s="2">
        <v>10</v>
      </c>
      <c r="T88" s="2">
        <v>0.6</v>
      </c>
      <c r="U88" s="2">
        <v>8</v>
      </c>
      <c r="V88" s="2">
        <v>29</v>
      </c>
      <c r="W88" s="2">
        <v>37</v>
      </c>
      <c r="X88" s="2">
        <v>19</v>
      </c>
      <c r="Y88" s="2">
        <v>7</v>
      </c>
      <c r="Z88" s="2">
        <v>5</v>
      </c>
      <c r="AA88" s="2">
        <v>11</v>
      </c>
      <c r="AB88" s="2">
        <v>20</v>
      </c>
      <c r="AC88" s="2">
        <v>49</v>
      </c>
      <c r="AD88" s="2">
        <v>0</v>
      </c>
      <c r="AE88" s="18">
        <f t="shared" si="1"/>
        <v>1.7272727272727273</v>
      </c>
    </row>
    <row r="89" spans="1:31" x14ac:dyDescent="0.2">
      <c r="A89" t="s">
        <v>466</v>
      </c>
      <c r="B89" s="2">
        <v>22</v>
      </c>
      <c r="C89" t="s">
        <v>37</v>
      </c>
      <c r="D89" s="2" t="s">
        <v>52</v>
      </c>
      <c r="E89" s="2">
        <v>16</v>
      </c>
      <c r="F89" s="2">
        <v>0</v>
      </c>
      <c r="G89" s="2">
        <v>82</v>
      </c>
      <c r="H89" s="2">
        <v>8</v>
      </c>
      <c r="I89" s="2">
        <v>19</v>
      </c>
      <c r="J89" s="2">
        <v>0.42099999999999999</v>
      </c>
      <c r="K89" s="2">
        <v>4</v>
      </c>
      <c r="L89" s="2">
        <v>7</v>
      </c>
      <c r="M89" s="2">
        <v>0.57099999999999995</v>
      </c>
      <c r="N89" s="2">
        <v>4</v>
      </c>
      <c r="O89" s="2">
        <v>12</v>
      </c>
      <c r="P89" s="2">
        <v>0.33300000000000002</v>
      </c>
      <c r="Q89" s="2">
        <v>0.52600000000000002</v>
      </c>
      <c r="R89" s="2">
        <v>0</v>
      </c>
      <c r="S89" s="2">
        <v>0</v>
      </c>
      <c r="T89" s="2"/>
      <c r="U89" s="2">
        <v>4</v>
      </c>
      <c r="V89" s="2">
        <v>10</v>
      </c>
      <c r="W89" s="2">
        <v>14</v>
      </c>
      <c r="X89" s="2">
        <v>4</v>
      </c>
      <c r="Y89" s="2">
        <v>4</v>
      </c>
      <c r="Z89" s="2">
        <v>4</v>
      </c>
      <c r="AA89" s="2">
        <v>6</v>
      </c>
      <c r="AB89" s="2">
        <v>8</v>
      </c>
      <c r="AC89" s="2">
        <v>20</v>
      </c>
      <c r="AD89" s="2">
        <v>0</v>
      </c>
      <c r="AE89" s="18">
        <f t="shared" si="1"/>
        <v>0.66666666666666663</v>
      </c>
    </row>
    <row r="90" spans="1:31" x14ac:dyDescent="0.2">
      <c r="A90" t="s">
        <v>308</v>
      </c>
      <c r="B90" s="2">
        <v>24</v>
      </c>
      <c r="C90" t="s">
        <v>48</v>
      </c>
      <c r="D90" s="2" t="s">
        <v>33</v>
      </c>
      <c r="E90" s="2">
        <v>24</v>
      </c>
      <c r="F90" s="2">
        <v>0</v>
      </c>
      <c r="G90" s="2">
        <v>265</v>
      </c>
      <c r="H90" s="2">
        <v>43</v>
      </c>
      <c r="I90" s="2">
        <v>114</v>
      </c>
      <c r="J90" s="2">
        <v>0.377</v>
      </c>
      <c r="K90" s="2">
        <v>16</v>
      </c>
      <c r="L90" s="2">
        <v>50</v>
      </c>
      <c r="M90" s="2">
        <v>0.32</v>
      </c>
      <c r="N90" s="2">
        <v>27</v>
      </c>
      <c r="O90" s="2">
        <v>64</v>
      </c>
      <c r="P90" s="2">
        <v>0.42199999999999999</v>
      </c>
      <c r="Q90" s="2">
        <v>0.44700000000000001</v>
      </c>
      <c r="R90" s="2">
        <v>23</v>
      </c>
      <c r="S90" s="2">
        <v>32</v>
      </c>
      <c r="T90" s="2">
        <v>0.71899999999999997</v>
      </c>
      <c r="U90" s="2">
        <v>8</v>
      </c>
      <c r="V90" s="2">
        <v>39</v>
      </c>
      <c r="W90" s="2">
        <v>47</v>
      </c>
      <c r="X90" s="2">
        <v>44</v>
      </c>
      <c r="Y90" s="2">
        <v>10</v>
      </c>
      <c r="Z90" s="2">
        <v>3</v>
      </c>
      <c r="AA90" s="2">
        <v>28</v>
      </c>
      <c r="AB90" s="2">
        <v>33</v>
      </c>
      <c r="AC90" s="2">
        <v>125</v>
      </c>
      <c r="AD90" s="2">
        <v>0</v>
      </c>
      <c r="AE90" s="18">
        <f t="shared" si="1"/>
        <v>1.5714285714285714</v>
      </c>
    </row>
    <row r="91" spans="1:31" x14ac:dyDescent="0.2">
      <c r="A91" t="s">
        <v>566</v>
      </c>
      <c r="B91" s="2">
        <v>25</v>
      </c>
      <c r="C91" t="s">
        <v>75</v>
      </c>
      <c r="D91" s="2" t="s">
        <v>49</v>
      </c>
      <c r="E91" s="2">
        <v>2</v>
      </c>
      <c r="F91" s="2">
        <v>0</v>
      </c>
      <c r="G91" s="2">
        <v>13</v>
      </c>
      <c r="H91" s="2">
        <v>0</v>
      </c>
      <c r="I91" s="2">
        <v>5</v>
      </c>
      <c r="J91" s="2">
        <v>0</v>
      </c>
      <c r="K91" s="2">
        <v>0</v>
      </c>
      <c r="L91" s="2">
        <v>5</v>
      </c>
      <c r="M91" s="2">
        <v>0</v>
      </c>
      <c r="N91" s="2">
        <v>0</v>
      </c>
      <c r="O91" s="2">
        <v>0</v>
      </c>
      <c r="P91" s="2"/>
      <c r="Q91" s="2">
        <v>0</v>
      </c>
      <c r="R91" s="2">
        <v>0</v>
      </c>
      <c r="S91" s="2">
        <v>0</v>
      </c>
      <c r="T91" s="2"/>
      <c r="U91" s="2">
        <v>0</v>
      </c>
      <c r="V91" s="2">
        <v>2</v>
      </c>
      <c r="W91" s="2">
        <v>2</v>
      </c>
      <c r="X91" s="2">
        <v>1</v>
      </c>
      <c r="Y91" s="2">
        <v>0</v>
      </c>
      <c r="Z91" s="2">
        <v>0</v>
      </c>
      <c r="AA91" s="2">
        <v>0</v>
      </c>
      <c r="AB91" s="2">
        <v>1</v>
      </c>
      <c r="AC91" s="2">
        <v>0</v>
      </c>
      <c r="AD91" s="2">
        <v>0</v>
      </c>
      <c r="AE91" s="18" t="e">
        <f t="shared" si="1"/>
        <v>#DIV/0!</v>
      </c>
    </row>
    <row r="92" spans="1:31" x14ac:dyDescent="0.2">
      <c r="A92" t="s">
        <v>496</v>
      </c>
      <c r="B92" s="2">
        <v>24</v>
      </c>
      <c r="C92" t="s">
        <v>80</v>
      </c>
      <c r="D92" s="2" t="s">
        <v>42</v>
      </c>
      <c r="E92" s="2">
        <v>7</v>
      </c>
      <c r="F92" s="2">
        <v>0</v>
      </c>
      <c r="G92" s="2">
        <v>21</v>
      </c>
      <c r="H92" s="2">
        <v>1</v>
      </c>
      <c r="I92" s="2">
        <v>4</v>
      </c>
      <c r="J92" s="2">
        <v>0.25</v>
      </c>
      <c r="K92" s="2">
        <v>0</v>
      </c>
      <c r="L92" s="2">
        <v>2</v>
      </c>
      <c r="M92" s="2">
        <v>0</v>
      </c>
      <c r="N92" s="2">
        <v>1</v>
      </c>
      <c r="O92" s="2">
        <v>2</v>
      </c>
      <c r="P92" s="2">
        <v>0.5</v>
      </c>
      <c r="Q92" s="2">
        <v>0.25</v>
      </c>
      <c r="R92" s="2">
        <v>8</v>
      </c>
      <c r="S92" s="2">
        <v>8</v>
      </c>
      <c r="T92" s="2">
        <v>1</v>
      </c>
      <c r="U92" s="2">
        <v>2</v>
      </c>
      <c r="V92" s="2">
        <v>5</v>
      </c>
      <c r="W92" s="2">
        <v>7</v>
      </c>
      <c r="X92" s="2">
        <v>0</v>
      </c>
      <c r="Y92" s="2">
        <v>0</v>
      </c>
      <c r="Z92" s="2">
        <v>1</v>
      </c>
      <c r="AA92" s="2">
        <v>0</v>
      </c>
      <c r="AB92" s="2">
        <v>3</v>
      </c>
      <c r="AC92" s="2">
        <v>10</v>
      </c>
      <c r="AD92" s="2">
        <v>0</v>
      </c>
      <c r="AE92" s="18" t="e">
        <f t="shared" si="1"/>
        <v>#DIV/0!</v>
      </c>
    </row>
    <row r="93" spans="1:31" x14ac:dyDescent="0.2">
      <c r="A93" t="s">
        <v>536</v>
      </c>
      <c r="B93" s="2">
        <v>25</v>
      </c>
      <c r="C93" t="s">
        <v>54</v>
      </c>
      <c r="D93" s="2" t="s">
        <v>33</v>
      </c>
      <c r="E93" s="2">
        <v>1</v>
      </c>
      <c r="F93" s="2">
        <v>0</v>
      </c>
      <c r="G93" s="2">
        <v>3</v>
      </c>
      <c r="H93" s="2">
        <v>1</v>
      </c>
      <c r="I93" s="2">
        <v>2</v>
      </c>
      <c r="J93" s="2">
        <v>0.5</v>
      </c>
      <c r="K93" s="2">
        <v>1</v>
      </c>
      <c r="L93" s="2">
        <v>1</v>
      </c>
      <c r="M93" s="2">
        <v>1</v>
      </c>
      <c r="N93" s="2">
        <v>0</v>
      </c>
      <c r="O93" s="2">
        <v>1</v>
      </c>
      <c r="P93" s="2">
        <v>0</v>
      </c>
      <c r="Q93" s="2">
        <v>0.75</v>
      </c>
      <c r="R93" s="2">
        <v>0</v>
      </c>
      <c r="S93" s="2">
        <v>0</v>
      </c>
      <c r="T93" s="2"/>
      <c r="U93" s="2">
        <v>0</v>
      </c>
      <c r="V93" s="2">
        <v>0</v>
      </c>
      <c r="W93" s="2">
        <v>0</v>
      </c>
      <c r="X93" s="2">
        <v>0</v>
      </c>
      <c r="Y93" s="2">
        <v>0</v>
      </c>
      <c r="Z93" s="2">
        <v>0</v>
      </c>
      <c r="AA93" s="2">
        <v>0</v>
      </c>
      <c r="AB93" s="2">
        <v>0</v>
      </c>
      <c r="AC93" s="2">
        <v>3</v>
      </c>
      <c r="AD93" s="2">
        <v>0</v>
      </c>
      <c r="AE93" s="18" t="e">
        <f t="shared" si="1"/>
        <v>#DIV/0!</v>
      </c>
    </row>
    <row r="94" spans="1:31" x14ac:dyDescent="0.2">
      <c r="A94" t="s">
        <v>123</v>
      </c>
      <c r="B94" s="2">
        <v>26</v>
      </c>
      <c r="C94" t="s">
        <v>120</v>
      </c>
      <c r="D94" s="2" t="s">
        <v>52</v>
      </c>
      <c r="E94" s="2">
        <v>23</v>
      </c>
      <c r="F94" s="2">
        <v>21</v>
      </c>
      <c r="G94" s="2">
        <v>641</v>
      </c>
      <c r="H94" s="2">
        <v>133</v>
      </c>
      <c r="I94" s="2">
        <v>277</v>
      </c>
      <c r="J94" s="2">
        <v>0.48</v>
      </c>
      <c r="K94" s="2">
        <v>41</v>
      </c>
      <c r="L94" s="2">
        <v>95</v>
      </c>
      <c r="M94" s="2">
        <v>0.432</v>
      </c>
      <c r="N94" s="2">
        <v>92</v>
      </c>
      <c r="O94" s="2">
        <v>182</v>
      </c>
      <c r="P94" s="2">
        <v>0.505</v>
      </c>
      <c r="Q94" s="2">
        <v>0.55400000000000005</v>
      </c>
      <c r="R94" s="2">
        <v>79</v>
      </c>
      <c r="S94" s="2">
        <v>88</v>
      </c>
      <c r="T94" s="2">
        <v>0.89800000000000002</v>
      </c>
      <c r="U94" s="2">
        <v>17</v>
      </c>
      <c r="V94" s="2">
        <v>41</v>
      </c>
      <c r="W94" s="2">
        <v>58</v>
      </c>
      <c r="X94" s="2">
        <v>74</v>
      </c>
      <c r="Y94" s="2">
        <v>15</v>
      </c>
      <c r="Z94" s="2">
        <v>3</v>
      </c>
      <c r="AA94" s="2">
        <v>55</v>
      </c>
      <c r="AB94" s="2">
        <v>51</v>
      </c>
      <c r="AC94" s="2">
        <v>386</v>
      </c>
      <c r="AD94" s="2">
        <v>0</v>
      </c>
      <c r="AE94" s="18">
        <f t="shared" si="1"/>
        <v>1.3454545454545455</v>
      </c>
    </row>
    <row r="95" spans="1:31" x14ac:dyDescent="0.2">
      <c r="A95" t="s">
        <v>224</v>
      </c>
      <c r="B95" s="2">
        <v>25</v>
      </c>
      <c r="C95" t="s">
        <v>114</v>
      </c>
      <c r="D95" s="2" t="s">
        <v>49</v>
      </c>
      <c r="E95" s="2">
        <v>19</v>
      </c>
      <c r="F95" s="2">
        <v>0</v>
      </c>
      <c r="G95" s="2">
        <v>525</v>
      </c>
      <c r="H95" s="2">
        <v>76</v>
      </c>
      <c r="I95" s="2">
        <v>184</v>
      </c>
      <c r="J95" s="2">
        <v>0.41299999999999998</v>
      </c>
      <c r="K95" s="2">
        <v>35</v>
      </c>
      <c r="L95" s="2">
        <v>112</v>
      </c>
      <c r="M95" s="2">
        <v>0.313</v>
      </c>
      <c r="N95" s="2">
        <v>41</v>
      </c>
      <c r="O95" s="2">
        <v>72</v>
      </c>
      <c r="P95" s="2">
        <v>0.56899999999999995</v>
      </c>
      <c r="Q95" s="2">
        <v>0.50800000000000001</v>
      </c>
      <c r="R95" s="2">
        <v>20</v>
      </c>
      <c r="S95" s="2">
        <v>24</v>
      </c>
      <c r="T95" s="2">
        <v>0.83299999999999996</v>
      </c>
      <c r="U95" s="2">
        <v>7</v>
      </c>
      <c r="V95" s="2">
        <v>58</v>
      </c>
      <c r="W95" s="2">
        <v>65</v>
      </c>
      <c r="X95" s="2">
        <v>28</v>
      </c>
      <c r="Y95" s="2">
        <v>12</v>
      </c>
      <c r="Z95" s="2">
        <v>3</v>
      </c>
      <c r="AA95" s="2">
        <v>21</v>
      </c>
      <c r="AB95" s="2">
        <v>32</v>
      </c>
      <c r="AC95" s="2">
        <v>207</v>
      </c>
      <c r="AD95" s="2">
        <v>0</v>
      </c>
      <c r="AE95" s="18">
        <f t="shared" si="1"/>
        <v>1.3333333333333333</v>
      </c>
    </row>
    <row r="96" spans="1:31" x14ac:dyDescent="0.2">
      <c r="A96" t="s">
        <v>485</v>
      </c>
      <c r="B96" s="2">
        <v>33</v>
      </c>
      <c r="C96" t="s">
        <v>48</v>
      </c>
      <c r="D96" s="2" t="s">
        <v>33</v>
      </c>
      <c r="E96" s="2">
        <v>13</v>
      </c>
      <c r="F96" s="2">
        <v>0</v>
      </c>
      <c r="G96" s="2">
        <v>46</v>
      </c>
      <c r="H96" s="2">
        <v>5</v>
      </c>
      <c r="I96" s="2">
        <v>15</v>
      </c>
      <c r="J96" s="2">
        <v>0.33300000000000002</v>
      </c>
      <c r="K96" s="2">
        <v>5</v>
      </c>
      <c r="L96" s="2">
        <v>12</v>
      </c>
      <c r="M96" s="2">
        <v>0.41699999999999998</v>
      </c>
      <c r="N96" s="2">
        <v>0</v>
      </c>
      <c r="O96" s="2">
        <v>3</v>
      </c>
      <c r="P96" s="2">
        <v>0</v>
      </c>
      <c r="Q96" s="2">
        <v>0.5</v>
      </c>
      <c r="R96" s="2">
        <v>0</v>
      </c>
      <c r="S96" s="2">
        <v>0</v>
      </c>
      <c r="T96" s="2"/>
      <c r="U96" s="2">
        <v>3</v>
      </c>
      <c r="V96" s="2">
        <v>6</v>
      </c>
      <c r="W96" s="2">
        <v>9</v>
      </c>
      <c r="X96" s="2">
        <v>9</v>
      </c>
      <c r="Y96" s="2">
        <v>2</v>
      </c>
      <c r="Z96" s="2">
        <v>2</v>
      </c>
      <c r="AA96" s="2">
        <v>2</v>
      </c>
      <c r="AB96" s="2">
        <v>3</v>
      </c>
      <c r="AC96" s="2">
        <v>15</v>
      </c>
      <c r="AD96" s="2">
        <v>0</v>
      </c>
      <c r="AE96" s="18">
        <f t="shared" si="1"/>
        <v>4.5</v>
      </c>
    </row>
    <row r="97" spans="1:31" x14ac:dyDescent="0.2">
      <c r="A97" t="s">
        <v>415</v>
      </c>
      <c r="B97" s="2">
        <v>24</v>
      </c>
      <c r="C97" t="s">
        <v>57</v>
      </c>
      <c r="D97" s="2" t="s">
        <v>33</v>
      </c>
      <c r="E97" s="2">
        <v>16</v>
      </c>
      <c r="F97" s="2">
        <v>0</v>
      </c>
      <c r="G97" s="2">
        <v>151</v>
      </c>
      <c r="H97" s="2">
        <v>18</v>
      </c>
      <c r="I97" s="2">
        <v>31</v>
      </c>
      <c r="J97" s="2">
        <v>0.58099999999999996</v>
      </c>
      <c r="K97" s="2">
        <v>5</v>
      </c>
      <c r="L97" s="2">
        <v>11</v>
      </c>
      <c r="M97" s="2">
        <v>0.45500000000000002</v>
      </c>
      <c r="N97" s="2">
        <v>13</v>
      </c>
      <c r="O97" s="2">
        <v>20</v>
      </c>
      <c r="P97" s="2">
        <v>0.65</v>
      </c>
      <c r="Q97" s="2">
        <v>0.66100000000000003</v>
      </c>
      <c r="R97" s="2">
        <v>3</v>
      </c>
      <c r="S97" s="2">
        <v>5</v>
      </c>
      <c r="T97" s="2">
        <v>0.6</v>
      </c>
      <c r="U97" s="2">
        <v>1</v>
      </c>
      <c r="V97" s="2">
        <v>13</v>
      </c>
      <c r="W97" s="2">
        <v>14</v>
      </c>
      <c r="X97" s="2">
        <v>22</v>
      </c>
      <c r="Y97" s="2">
        <v>5</v>
      </c>
      <c r="Z97" s="2">
        <v>6</v>
      </c>
      <c r="AA97" s="2">
        <v>9</v>
      </c>
      <c r="AB97" s="2">
        <v>7</v>
      </c>
      <c r="AC97" s="2">
        <v>44</v>
      </c>
      <c r="AD97" s="2">
        <v>0</v>
      </c>
      <c r="AE97" s="18">
        <f t="shared" si="1"/>
        <v>2.4444444444444446</v>
      </c>
    </row>
    <row r="98" spans="1:31" x14ac:dyDescent="0.2">
      <c r="A98" t="s">
        <v>534</v>
      </c>
      <c r="B98" s="2">
        <v>21</v>
      </c>
      <c r="C98" t="s">
        <v>103</v>
      </c>
      <c r="D98" s="2" t="s">
        <v>52</v>
      </c>
      <c r="E98" s="2">
        <v>5</v>
      </c>
      <c r="F98" s="2">
        <v>0</v>
      </c>
      <c r="G98" s="2">
        <v>10</v>
      </c>
      <c r="H98" s="2">
        <v>1</v>
      </c>
      <c r="I98" s="2">
        <v>7</v>
      </c>
      <c r="J98" s="2">
        <v>0.14299999999999999</v>
      </c>
      <c r="K98" s="2">
        <v>0</v>
      </c>
      <c r="L98" s="2">
        <v>3</v>
      </c>
      <c r="M98" s="2">
        <v>0</v>
      </c>
      <c r="N98" s="2">
        <v>1</v>
      </c>
      <c r="O98" s="2">
        <v>4</v>
      </c>
      <c r="P98" s="2">
        <v>0.25</v>
      </c>
      <c r="Q98" s="2">
        <v>0.14299999999999999</v>
      </c>
      <c r="R98" s="2">
        <v>1</v>
      </c>
      <c r="S98" s="2">
        <v>2</v>
      </c>
      <c r="T98" s="2">
        <v>0.5</v>
      </c>
      <c r="U98" s="2">
        <v>0</v>
      </c>
      <c r="V98" s="2">
        <v>2</v>
      </c>
      <c r="W98" s="2">
        <v>2</v>
      </c>
      <c r="X98" s="2">
        <v>0</v>
      </c>
      <c r="Y98" s="2">
        <v>0</v>
      </c>
      <c r="Z98" s="2">
        <v>0</v>
      </c>
      <c r="AA98" s="2">
        <v>0</v>
      </c>
      <c r="AB98" s="2">
        <v>0</v>
      </c>
      <c r="AC98" s="2">
        <v>3</v>
      </c>
      <c r="AD98" s="2">
        <v>0</v>
      </c>
      <c r="AE98" s="18" t="e">
        <f t="shared" si="1"/>
        <v>#DIV/0!</v>
      </c>
    </row>
    <row r="99" spans="1:31" x14ac:dyDescent="0.2">
      <c r="A99" t="s">
        <v>533</v>
      </c>
      <c r="B99" s="2">
        <v>24</v>
      </c>
      <c r="C99" t="s">
        <v>66</v>
      </c>
      <c r="D99" s="2" t="s">
        <v>52</v>
      </c>
      <c r="E99" s="2">
        <v>4</v>
      </c>
      <c r="F99" s="2">
        <v>0</v>
      </c>
      <c r="G99" s="2">
        <v>33</v>
      </c>
      <c r="H99" s="2">
        <v>1</v>
      </c>
      <c r="I99" s="2">
        <v>7</v>
      </c>
      <c r="J99" s="2">
        <v>0.14299999999999999</v>
      </c>
      <c r="K99" s="2">
        <v>0</v>
      </c>
      <c r="L99" s="2">
        <v>3</v>
      </c>
      <c r="M99" s="2">
        <v>0</v>
      </c>
      <c r="N99" s="2">
        <v>1</v>
      </c>
      <c r="O99" s="2">
        <v>4</v>
      </c>
      <c r="P99" s="2">
        <v>0.25</v>
      </c>
      <c r="Q99" s="2">
        <v>0.14299999999999999</v>
      </c>
      <c r="R99" s="2">
        <v>1</v>
      </c>
      <c r="S99" s="2">
        <v>1</v>
      </c>
      <c r="T99" s="2">
        <v>1</v>
      </c>
      <c r="U99" s="2">
        <v>0</v>
      </c>
      <c r="V99" s="2">
        <v>4</v>
      </c>
      <c r="W99" s="2">
        <v>4</v>
      </c>
      <c r="X99" s="2">
        <v>3</v>
      </c>
      <c r="Y99" s="2">
        <v>2</v>
      </c>
      <c r="Z99" s="2">
        <v>0</v>
      </c>
      <c r="AA99" s="2">
        <v>4</v>
      </c>
      <c r="AB99" s="2">
        <v>1</v>
      </c>
      <c r="AC99" s="2">
        <v>3</v>
      </c>
      <c r="AD99" s="2">
        <v>0</v>
      </c>
      <c r="AE99" s="18">
        <f t="shared" si="1"/>
        <v>0.75</v>
      </c>
    </row>
    <row r="100" spans="1:31" x14ac:dyDescent="0.2">
      <c r="A100" t="s">
        <v>157</v>
      </c>
      <c r="B100" s="2">
        <v>28</v>
      </c>
      <c r="C100" t="s">
        <v>41</v>
      </c>
      <c r="D100" s="2" t="s">
        <v>33</v>
      </c>
      <c r="E100" s="2">
        <v>23</v>
      </c>
      <c r="F100" s="2">
        <v>10</v>
      </c>
      <c r="G100" s="2">
        <v>629</v>
      </c>
      <c r="H100" s="2">
        <v>106</v>
      </c>
      <c r="I100" s="2">
        <v>251</v>
      </c>
      <c r="J100" s="2">
        <v>0.42199999999999999</v>
      </c>
      <c r="K100" s="2">
        <v>46</v>
      </c>
      <c r="L100" s="2">
        <v>134</v>
      </c>
      <c r="M100" s="2">
        <v>0.34300000000000003</v>
      </c>
      <c r="N100" s="2">
        <v>60</v>
      </c>
      <c r="O100" s="2">
        <v>117</v>
      </c>
      <c r="P100" s="2">
        <v>0.51300000000000001</v>
      </c>
      <c r="Q100" s="2">
        <v>0.51400000000000001</v>
      </c>
      <c r="R100" s="2">
        <v>39</v>
      </c>
      <c r="S100" s="2">
        <v>45</v>
      </c>
      <c r="T100" s="2">
        <v>0.86699999999999999</v>
      </c>
      <c r="U100" s="2">
        <v>7</v>
      </c>
      <c r="V100" s="2">
        <v>54</v>
      </c>
      <c r="W100" s="2">
        <v>61</v>
      </c>
      <c r="X100" s="2">
        <v>118</v>
      </c>
      <c r="Y100" s="2">
        <v>21</v>
      </c>
      <c r="Z100" s="2">
        <v>3</v>
      </c>
      <c r="AA100" s="2">
        <v>41</v>
      </c>
      <c r="AB100" s="2">
        <v>43</v>
      </c>
      <c r="AC100" s="2">
        <v>297</v>
      </c>
      <c r="AD100" s="2">
        <v>0</v>
      </c>
      <c r="AE100" s="18">
        <f t="shared" si="1"/>
        <v>2.8780487804878048</v>
      </c>
    </row>
    <row r="101" spans="1:31" x14ac:dyDescent="0.2">
      <c r="A101" t="s">
        <v>554</v>
      </c>
      <c r="B101" s="2">
        <v>22</v>
      </c>
      <c r="C101" t="s">
        <v>51</v>
      </c>
      <c r="D101" s="2" t="s">
        <v>33</v>
      </c>
      <c r="E101" s="2">
        <v>3</v>
      </c>
      <c r="F101" s="2">
        <v>0</v>
      </c>
      <c r="G101" s="2">
        <v>13</v>
      </c>
      <c r="H101" s="2">
        <v>0</v>
      </c>
      <c r="I101" s="2">
        <v>1</v>
      </c>
      <c r="J101" s="2">
        <v>0</v>
      </c>
      <c r="K101" s="2">
        <v>0</v>
      </c>
      <c r="L101" s="2">
        <v>1</v>
      </c>
      <c r="M101" s="2">
        <v>0</v>
      </c>
      <c r="N101" s="2">
        <v>0</v>
      </c>
      <c r="O101" s="2">
        <v>0</v>
      </c>
      <c r="P101" s="2"/>
      <c r="Q101" s="2">
        <v>0</v>
      </c>
      <c r="R101" s="2">
        <v>1</v>
      </c>
      <c r="S101" s="2">
        <v>2</v>
      </c>
      <c r="T101" s="2">
        <v>0.5</v>
      </c>
      <c r="U101" s="2">
        <v>0</v>
      </c>
      <c r="V101" s="2">
        <v>4</v>
      </c>
      <c r="W101" s="2">
        <v>4</v>
      </c>
      <c r="X101" s="2">
        <v>3</v>
      </c>
      <c r="Y101" s="2">
        <v>0</v>
      </c>
      <c r="Z101" s="2">
        <v>0</v>
      </c>
      <c r="AA101" s="2">
        <v>4</v>
      </c>
      <c r="AB101" s="2">
        <v>1</v>
      </c>
      <c r="AC101" s="2">
        <v>1</v>
      </c>
      <c r="AD101" s="2">
        <v>0</v>
      </c>
      <c r="AE101" s="18">
        <f t="shared" si="1"/>
        <v>0.75</v>
      </c>
    </row>
    <row r="102" spans="1:31" x14ac:dyDescent="0.2">
      <c r="A102" t="s">
        <v>209</v>
      </c>
      <c r="B102" s="2">
        <v>25</v>
      </c>
      <c r="C102" t="s">
        <v>135</v>
      </c>
      <c r="D102" s="2" t="s">
        <v>33</v>
      </c>
      <c r="E102" s="2">
        <v>22</v>
      </c>
      <c r="F102" s="2">
        <v>0</v>
      </c>
      <c r="G102" s="2">
        <v>378</v>
      </c>
      <c r="H102" s="2">
        <v>81</v>
      </c>
      <c r="I102" s="2">
        <v>187</v>
      </c>
      <c r="J102" s="2">
        <v>0.433</v>
      </c>
      <c r="K102" s="2">
        <v>30</v>
      </c>
      <c r="L102" s="2">
        <v>78</v>
      </c>
      <c r="M102" s="2">
        <v>0.38500000000000001</v>
      </c>
      <c r="N102" s="2">
        <v>51</v>
      </c>
      <c r="O102" s="2">
        <v>109</v>
      </c>
      <c r="P102" s="2">
        <v>0.46800000000000003</v>
      </c>
      <c r="Q102" s="2">
        <v>0.51300000000000001</v>
      </c>
      <c r="R102" s="2">
        <v>35</v>
      </c>
      <c r="S102" s="2">
        <v>52</v>
      </c>
      <c r="T102" s="2">
        <v>0.67300000000000004</v>
      </c>
      <c r="U102" s="2">
        <v>7</v>
      </c>
      <c r="V102" s="2">
        <v>44</v>
      </c>
      <c r="W102" s="2">
        <v>51</v>
      </c>
      <c r="X102" s="2">
        <v>58</v>
      </c>
      <c r="Y102" s="2">
        <v>21</v>
      </c>
      <c r="Z102" s="2">
        <v>13</v>
      </c>
      <c r="AA102" s="2">
        <v>38</v>
      </c>
      <c r="AB102" s="2">
        <v>24</v>
      </c>
      <c r="AC102" s="2">
        <v>227</v>
      </c>
      <c r="AD102" s="2">
        <v>0</v>
      </c>
      <c r="AE102" s="18">
        <f t="shared" si="1"/>
        <v>1.5263157894736843</v>
      </c>
    </row>
    <row r="103" spans="1:31" x14ac:dyDescent="0.2">
      <c r="A103" t="s">
        <v>330</v>
      </c>
      <c r="B103" s="2">
        <v>22</v>
      </c>
      <c r="C103" t="s">
        <v>70</v>
      </c>
      <c r="D103" s="2" t="s">
        <v>52</v>
      </c>
      <c r="E103" s="2">
        <v>25</v>
      </c>
      <c r="F103" s="2">
        <v>0</v>
      </c>
      <c r="G103" s="2">
        <v>337</v>
      </c>
      <c r="H103" s="2">
        <v>37</v>
      </c>
      <c r="I103" s="2">
        <v>74</v>
      </c>
      <c r="J103" s="2">
        <v>0.5</v>
      </c>
      <c r="K103" s="2">
        <v>10</v>
      </c>
      <c r="L103" s="2">
        <v>27</v>
      </c>
      <c r="M103" s="2">
        <v>0.37</v>
      </c>
      <c r="N103" s="2">
        <v>27</v>
      </c>
      <c r="O103" s="2">
        <v>47</v>
      </c>
      <c r="P103" s="2">
        <v>0.57399999999999995</v>
      </c>
      <c r="Q103" s="2">
        <v>0.56799999999999995</v>
      </c>
      <c r="R103" s="2">
        <v>22</v>
      </c>
      <c r="S103" s="2">
        <v>28</v>
      </c>
      <c r="T103" s="2">
        <v>0.78600000000000003</v>
      </c>
      <c r="U103" s="2">
        <v>16</v>
      </c>
      <c r="V103" s="2">
        <v>19</v>
      </c>
      <c r="W103" s="2">
        <v>35</v>
      </c>
      <c r="X103" s="2">
        <v>23</v>
      </c>
      <c r="Y103" s="2">
        <v>15</v>
      </c>
      <c r="Z103" s="2">
        <v>7</v>
      </c>
      <c r="AA103" s="2">
        <v>21</v>
      </c>
      <c r="AB103" s="2">
        <v>35</v>
      </c>
      <c r="AC103" s="2">
        <v>106</v>
      </c>
      <c r="AD103" s="2">
        <v>0</v>
      </c>
      <c r="AE103" s="18">
        <f t="shared" si="1"/>
        <v>1.0952380952380953</v>
      </c>
    </row>
    <row r="104" spans="1:31" x14ac:dyDescent="0.2">
      <c r="A104" t="s">
        <v>184</v>
      </c>
      <c r="B104" s="2">
        <v>23</v>
      </c>
      <c r="C104" t="s">
        <v>41</v>
      </c>
      <c r="D104" s="2" t="s">
        <v>49</v>
      </c>
      <c r="E104" s="2">
        <v>24</v>
      </c>
      <c r="F104" s="2">
        <v>12</v>
      </c>
      <c r="G104" s="2">
        <v>583</v>
      </c>
      <c r="H104" s="2">
        <v>99</v>
      </c>
      <c r="I104" s="2">
        <v>211</v>
      </c>
      <c r="J104" s="2">
        <v>0.46899999999999997</v>
      </c>
      <c r="K104" s="2">
        <v>50</v>
      </c>
      <c r="L104" s="2">
        <v>128</v>
      </c>
      <c r="M104" s="2">
        <v>0.39100000000000001</v>
      </c>
      <c r="N104" s="2">
        <v>49</v>
      </c>
      <c r="O104" s="2">
        <v>83</v>
      </c>
      <c r="P104" s="2">
        <v>0.59</v>
      </c>
      <c r="Q104" s="2">
        <v>0.58799999999999997</v>
      </c>
      <c r="R104" s="2">
        <v>17</v>
      </c>
      <c r="S104" s="2">
        <v>22</v>
      </c>
      <c r="T104" s="2">
        <v>0.77300000000000002</v>
      </c>
      <c r="U104" s="2">
        <v>15</v>
      </c>
      <c r="V104" s="2">
        <v>70</v>
      </c>
      <c r="W104" s="2">
        <v>85</v>
      </c>
      <c r="X104" s="2">
        <v>28</v>
      </c>
      <c r="Y104" s="2">
        <v>13</v>
      </c>
      <c r="Z104" s="2">
        <v>1</v>
      </c>
      <c r="AA104" s="2">
        <v>13</v>
      </c>
      <c r="AB104" s="2">
        <v>37</v>
      </c>
      <c r="AC104" s="2">
        <v>265</v>
      </c>
      <c r="AD104" s="2">
        <v>0</v>
      </c>
      <c r="AE104" s="18">
        <f t="shared" si="1"/>
        <v>2.1538461538461537</v>
      </c>
    </row>
    <row r="105" spans="1:31" x14ac:dyDescent="0.2">
      <c r="A105" t="s">
        <v>64</v>
      </c>
      <c r="B105" s="2">
        <v>34</v>
      </c>
      <c r="C105" t="s">
        <v>35</v>
      </c>
      <c r="D105" s="2" t="s">
        <v>33</v>
      </c>
      <c r="E105" s="2">
        <v>21</v>
      </c>
      <c r="F105" s="2">
        <v>21</v>
      </c>
      <c r="G105" s="2">
        <v>763</v>
      </c>
      <c r="H105" s="2">
        <v>166</v>
      </c>
      <c r="I105" s="2">
        <v>366</v>
      </c>
      <c r="J105" s="2">
        <v>0.45400000000000001</v>
      </c>
      <c r="K105" s="2">
        <v>71</v>
      </c>
      <c r="L105" s="2">
        <v>191</v>
      </c>
      <c r="M105" s="2">
        <v>0.372</v>
      </c>
      <c r="N105" s="2">
        <v>95</v>
      </c>
      <c r="O105" s="2">
        <v>175</v>
      </c>
      <c r="P105" s="2">
        <v>0.54300000000000004</v>
      </c>
      <c r="Q105" s="2">
        <v>0.55100000000000005</v>
      </c>
      <c r="R105" s="2">
        <v>138</v>
      </c>
      <c r="S105" s="2">
        <v>150</v>
      </c>
      <c r="T105" s="2">
        <v>0.92</v>
      </c>
      <c r="U105" s="2">
        <v>12</v>
      </c>
      <c r="V105" s="2">
        <v>81</v>
      </c>
      <c r="W105" s="2">
        <v>93</v>
      </c>
      <c r="X105" s="2">
        <v>159</v>
      </c>
      <c r="Y105" s="2">
        <v>20</v>
      </c>
      <c r="Z105" s="2">
        <v>4</v>
      </c>
      <c r="AA105" s="2">
        <v>64</v>
      </c>
      <c r="AB105" s="2">
        <v>39</v>
      </c>
      <c r="AC105" s="2">
        <v>541</v>
      </c>
      <c r="AD105" s="2">
        <v>0</v>
      </c>
      <c r="AE105" s="18">
        <f t="shared" si="1"/>
        <v>2.484375</v>
      </c>
    </row>
    <row r="106" spans="1:31" x14ac:dyDescent="0.2">
      <c r="A106" t="s">
        <v>486</v>
      </c>
      <c r="B106" s="2">
        <v>32</v>
      </c>
      <c r="C106" t="s">
        <v>54</v>
      </c>
      <c r="D106" s="2" t="s">
        <v>52</v>
      </c>
      <c r="E106" s="2">
        <v>4</v>
      </c>
      <c r="F106" s="2">
        <v>0</v>
      </c>
      <c r="G106" s="2">
        <v>37</v>
      </c>
      <c r="H106" s="2">
        <v>4</v>
      </c>
      <c r="I106" s="2">
        <v>14</v>
      </c>
      <c r="J106" s="2">
        <v>0.28599999999999998</v>
      </c>
      <c r="K106" s="2">
        <v>1</v>
      </c>
      <c r="L106" s="2">
        <v>9</v>
      </c>
      <c r="M106" s="2">
        <v>0.111</v>
      </c>
      <c r="N106" s="2">
        <v>3</v>
      </c>
      <c r="O106" s="2">
        <v>5</v>
      </c>
      <c r="P106" s="2">
        <v>0.6</v>
      </c>
      <c r="Q106" s="2">
        <v>0.32100000000000001</v>
      </c>
      <c r="R106" s="2">
        <v>6</v>
      </c>
      <c r="S106" s="2">
        <v>6</v>
      </c>
      <c r="T106" s="2">
        <v>1</v>
      </c>
      <c r="U106" s="2">
        <v>0</v>
      </c>
      <c r="V106" s="2">
        <v>5</v>
      </c>
      <c r="W106" s="2">
        <v>5</v>
      </c>
      <c r="X106" s="2">
        <v>5</v>
      </c>
      <c r="Y106" s="2">
        <v>2</v>
      </c>
      <c r="Z106" s="2">
        <v>0</v>
      </c>
      <c r="AA106" s="2">
        <v>3</v>
      </c>
      <c r="AB106" s="2">
        <v>1</v>
      </c>
      <c r="AC106" s="2">
        <v>15</v>
      </c>
      <c r="AD106" s="2">
        <v>0</v>
      </c>
      <c r="AE106" s="18">
        <f t="shared" si="1"/>
        <v>1.6666666666666667</v>
      </c>
    </row>
    <row r="107" spans="1:31" x14ac:dyDescent="0.2">
      <c r="A107" t="s">
        <v>155</v>
      </c>
      <c r="B107" s="2">
        <v>26</v>
      </c>
      <c r="C107" t="s">
        <v>63</v>
      </c>
      <c r="D107" s="2" t="s">
        <v>42</v>
      </c>
      <c r="E107" s="2">
        <v>24</v>
      </c>
      <c r="F107" s="2">
        <v>12</v>
      </c>
      <c r="G107" s="2">
        <v>500</v>
      </c>
      <c r="H107" s="2">
        <v>127</v>
      </c>
      <c r="I107" s="2">
        <v>172</v>
      </c>
      <c r="J107" s="4">
        <v>0.73799999999999999</v>
      </c>
      <c r="K107" s="2">
        <v>0</v>
      </c>
      <c r="L107" s="2">
        <v>0</v>
      </c>
      <c r="M107" s="2"/>
      <c r="N107" s="2">
        <v>127</v>
      </c>
      <c r="O107" s="2">
        <v>172</v>
      </c>
      <c r="P107" s="4">
        <v>0.73799999999999999</v>
      </c>
      <c r="Q107" s="4">
        <v>0.73799999999999999</v>
      </c>
      <c r="R107" s="2">
        <v>46</v>
      </c>
      <c r="S107" s="2">
        <v>68</v>
      </c>
      <c r="T107" s="2">
        <v>0.67600000000000005</v>
      </c>
      <c r="U107" s="2">
        <v>65</v>
      </c>
      <c r="V107" s="2">
        <v>89</v>
      </c>
      <c r="W107" s="2">
        <v>154</v>
      </c>
      <c r="X107" s="2">
        <v>30</v>
      </c>
      <c r="Y107" s="2">
        <v>13</v>
      </c>
      <c r="Z107" s="2">
        <v>30</v>
      </c>
      <c r="AA107" s="2">
        <v>22</v>
      </c>
      <c r="AB107" s="2">
        <v>60</v>
      </c>
      <c r="AC107" s="2">
        <v>300</v>
      </c>
      <c r="AD107" s="2">
        <v>0</v>
      </c>
      <c r="AE107" s="18">
        <f t="shared" si="1"/>
        <v>1.3636363636363635</v>
      </c>
    </row>
    <row r="108" spans="1:31" x14ac:dyDescent="0.2">
      <c r="A108" t="s">
        <v>380</v>
      </c>
      <c r="B108" s="2">
        <v>32</v>
      </c>
      <c r="C108" t="s">
        <v>117</v>
      </c>
      <c r="D108" s="2" t="s">
        <v>42</v>
      </c>
      <c r="E108" s="2">
        <v>18</v>
      </c>
      <c r="F108" s="2">
        <v>7</v>
      </c>
      <c r="G108" s="2">
        <v>257</v>
      </c>
      <c r="H108" s="2">
        <v>26</v>
      </c>
      <c r="I108" s="2">
        <v>59</v>
      </c>
      <c r="J108" s="2">
        <v>0.441</v>
      </c>
      <c r="K108" s="2">
        <v>5</v>
      </c>
      <c r="L108" s="2">
        <v>19</v>
      </c>
      <c r="M108" s="2">
        <v>0.26300000000000001</v>
      </c>
      <c r="N108" s="2">
        <v>21</v>
      </c>
      <c r="O108" s="2">
        <v>40</v>
      </c>
      <c r="P108" s="2">
        <v>0.52500000000000002</v>
      </c>
      <c r="Q108" s="2">
        <v>0.48299999999999998</v>
      </c>
      <c r="R108" s="2">
        <v>10</v>
      </c>
      <c r="S108" s="2">
        <v>12</v>
      </c>
      <c r="T108" s="2">
        <v>0.83299999999999996</v>
      </c>
      <c r="U108" s="2">
        <v>13</v>
      </c>
      <c r="V108" s="2">
        <v>47</v>
      </c>
      <c r="W108" s="2">
        <v>60</v>
      </c>
      <c r="X108" s="2">
        <v>23</v>
      </c>
      <c r="Y108" s="2">
        <v>6</v>
      </c>
      <c r="Z108" s="2">
        <v>11</v>
      </c>
      <c r="AA108" s="2">
        <v>12</v>
      </c>
      <c r="AB108" s="2">
        <v>30</v>
      </c>
      <c r="AC108" s="2">
        <v>67</v>
      </c>
      <c r="AD108" s="2">
        <v>0</v>
      </c>
      <c r="AE108" s="18">
        <f t="shared" si="1"/>
        <v>1.9166666666666667</v>
      </c>
    </row>
    <row r="109" spans="1:31" x14ac:dyDescent="0.2">
      <c r="A109" t="s">
        <v>560</v>
      </c>
      <c r="B109" s="2">
        <v>23</v>
      </c>
      <c r="C109" t="s">
        <v>75</v>
      </c>
      <c r="D109" s="2" t="s">
        <v>33</v>
      </c>
      <c r="E109" s="2">
        <v>2</v>
      </c>
      <c r="F109" s="2">
        <v>0</v>
      </c>
      <c r="G109" s="2">
        <v>5</v>
      </c>
      <c r="H109" s="2">
        <v>0</v>
      </c>
      <c r="I109" s="2">
        <v>2</v>
      </c>
      <c r="J109" s="2">
        <v>0</v>
      </c>
      <c r="K109" s="2">
        <v>0</v>
      </c>
      <c r="L109" s="2">
        <v>2</v>
      </c>
      <c r="M109" s="2">
        <v>0</v>
      </c>
      <c r="N109" s="2">
        <v>0</v>
      </c>
      <c r="O109" s="2">
        <v>0</v>
      </c>
      <c r="P109" s="2"/>
      <c r="Q109" s="2">
        <v>0</v>
      </c>
      <c r="R109" s="2">
        <v>0</v>
      </c>
      <c r="S109" s="2">
        <v>0</v>
      </c>
      <c r="T109" s="2"/>
      <c r="U109" s="2">
        <v>0</v>
      </c>
      <c r="V109" s="2">
        <v>0</v>
      </c>
      <c r="W109" s="2">
        <v>0</v>
      </c>
      <c r="X109" s="2">
        <v>0</v>
      </c>
      <c r="Y109" s="2">
        <v>0</v>
      </c>
      <c r="Z109" s="2">
        <v>0</v>
      </c>
      <c r="AA109" s="2">
        <v>0</v>
      </c>
      <c r="AB109" s="2">
        <v>1</v>
      </c>
      <c r="AC109" s="2">
        <v>0</v>
      </c>
      <c r="AD109" s="2">
        <v>0</v>
      </c>
      <c r="AE109" s="18" t="e">
        <f t="shared" si="1"/>
        <v>#DIV/0!</v>
      </c>
    </row>
    <row r="110" spans="1:31" x14ac:dyDescent="0.2">
      <c r="A110" t="s">
        <v>431</v>
      </c>
      <c r="B110" s="2">
        <v>27</v>
      </c>
      <c r="C110" t="s">
        <v>59</v>
      </c>
      <c r="D110" s="2" t="s">
        <v>52</v>
      </c>
      <c r="E110" s="2">
        <v>3</v>
      </c>
      <c r="F110" s="2">
        <v>0</v>
      </c>
      <c r="G110" s="2">
        <v>61</v>
      </c>
      <c r="H110" s="2">
        <v>13</v>
      </c>
      <c r="I110" s="2">
        <v>20</v>
      </c>
      <c r="J110" s="2">
        <v>0.65</v>
      </c>
      <c r="K110" s="2">
        <v>6</v>
      </c>
      <c r="L110" s="2">
        <v>10</v>
      </c>
      <c r="M110" s="2">
        <v>0.6</v>
      </c>
      <c r="N110" s="2">
        <v>7</v>
      </c>
      <c r="O110" s="2">
        <v>10</v>
      </c>
      <c r="P110" s="2">
        <v>0.7</v>
      </c>
      <c r="Q110" s="2">
        <v>0.8</v>
      </c>
      <c r="R110" s="2">
        <v>1</v>
      </c>
      <c r="S110" s="2">
        <v>2</v>
      </c>
      <c r="T110" s="2">
        <v>0.5</v>
      </c>
      <c r="U110" s="2">
        <v>3</v>
      </c>
      <c r="V110" s="2">
        <v>8</v>
      </c>
      <c r="W110" s="2">
        <v>11</v>
      </c>
      <c r="X110" s="2">
        <v>3</v>
      </c>
      <c r="Y110" s="2">
        <v>1</v>
      </c>
      <c r="Z110" s="2">
        <v>1</v>
      </c>
      <c r="AA110" s="2">
        <v>2</v>
      </c>
      <c r="AB110" s="2">
        <v>4</v>
      </c>
      <c r="AC110" s="2">
        <v>33</v>
      </c>
      <c r="AD110" s="2">
        <v>0</v>
      </c>
      <c r="AE110" s="18">
        <f t="shared" si="1"/>
        <v>1.5</v>
      </c>
    </row>
    <row r="111" spans="1:31" x14ac:dyDescent="0.2">
      <c r="A111" t="s">
        <v>429</v>
      </c>
      <c r="B111" s="2">
        <v>30</v>
      </c>
      <c r="C111" t="s">
        <v>46</v>
      </c>
      <c r="D111" s="2" t="s">
        <v>42</v>
      </c>
      <c r="E111" s="2">
        <v>10</v>
      </c>
      <c r="F111" s="2">
        <v>3</v>
      </c>
      <c r="G111" s="2">
        <v>136</v>
      </c>
      <c r="H111" s="2">
        <v>12</v>
      </c>
      <c r="I111" s="2">
        <v>40</v>
      </c>
      <c r="J111" s="2">
        <v>0.3</v>
      </c>
      <c r="K111" s="2">
        <v>5</v>
      </c>
      <c r="L111" s="2">
        <v>19</v>
      </c>
      <c r="M111" s="2">
        <v>0.26300000000000001</v>
      </c>
      <c r="N111" s="2">
        <v>7</v>
      </c>
      <c r="O111" s="2">
        <v>21</v>
      </c>
      <c r="P111" s="2">
        <v>0.33300000000000002</v>
      </c>
      <c r="Q111" s="2">
        <v>0.36299999999999999</v>
      </c>
      <c r="R111" s="2">
        <v>5</v>
      </c>
      <c r="S111" s="2">
        <v>6</v>
      </c>
      <c r="T111" s="2">
        <v>0.83299999999999996</v>
      </c>
      <c r="U111" s="2">
        <v>9</v>
      </c>
      <c r="V111" s="2">
        <v>26</v>
      </c>
      <c r="W111" s="2">
        <v>35</v>
      </c>
      <c r="X111" s="2">
        <v>11</v>
      </c>
      <c r="Y111" s="2">
        <v>6</v>
      </c>
      <c r="Z111" s="2">
        <v>0</v>
      </c>
      <c r="AA111" s="2">
        <v>11</v>
      </c>
      <c r="AB111" s="2">
        <v>14</v>
      </c>
      <c r="AC111" s="2">
        <v>34</v>
      </c>
      <c r="AD111" s="2">
        <v>0</v>
      </c>
      <c r="AE111" s="18">
        <f t="shared" si="1"/>
        <v>1</v>
      </c>
    </row>
    <row r="112" spans="1:31" x14ac:dyDescent="0.2">
      <c r="A112" t="s">
        <v>476</v>
      </c>
      <c r="B112" s="2">
        <v>20</v>
      </c>
      <c r="C112" t="s">
        <v>103</v>
      </c>
      <c r="D112" s="2" t="s">
        <v>49</v>
      </c>
      <c r="E112" s="2">
        <v>3</v>
      </c>
      <c r="F112" s="2">
        <v>0</v>
      </c>
      <c r="G112" s="2">
        <v>26</v>
      </c>
      <c r="H112" s="2">
        <v>6</v>
      </c>
      <c r="I112" s="2">
        <v>11</v>
      </c>
      <c r="J112" s="2">
        <v>0.54500000000000004</v>
      </c>
      <c r="K112" s="2">
        <v>6</v>
      </c>
      <c r="L112" s="2">
        <v>10</v>
      </c>
      <c r="M112" s="2">
        <v>0.6</v>
      </c>
      <c r="N112" s="2">
        <v>0</v>
      </c>
      <c r="O112" s="2">
        <v>1</v>
      </c>
      <c r="P112" s="2">
        <v>0</v>
      </c>
      <c r="Q112" s="2">
        <v>0.81799999999999995</v>
      </c>
      <c r="R112" s="2">
        <v>0</v>
      </c>
      <c r="S112" s="2">
        <v>0</v>
      </c>
      <c r="T112" s="2"/>
      <c r="U112" s="2">
        <v>0</v>
      </c>
      <c r="V112" s="2">
        <v>3</v>
      </c>
      <c r="W112" s="2">
        <v>3</v>
      </c>
      <c r="X112" s="2">
        <v>1</v>
      </c>
      <c r="Y112" s="2">
        <v>2</v>
      </c>
      <c r="Z112" s="2">
        <v>1</v>
      </c>
      <c r="AA112" s="2">
        <v>3</v>
      </c>
      <c r="AB112" s="2">
        <v>1</v>
      </c>
      <c r="AC112" s="2">
        <v>18</v>
      </c>
      <c r="AD112" s="2">
        <v>0</v>
      </c>
      <c r="AE112" s="18">
        <f t="shared" si="1"/>
        <v>0.33333333333333331</v>
      </c>
    </row>
    <row r="113" spans="1:31" x14ac:dyDescent="0.2">
      <c r="A113" t="s">
        <v>83</v>
      </c>
      <c r="B113" s="2">
        <v>25</v>
      </c>
      <c r="C113" t="s">
        <v>57</v>
      </c>
      <c r="D113" s="2" t="s">
        <v>33</v>
      </c>
      <c r="E113" s="2">
        <v>24</v>
      </c>
      <c r="F113" s="2">
        <v>24</v>
      </c>
      <c r="G113" s="2">
        <v>728</v>
      </c>
      <c r="H113" s="2">
        <v>178</v>
      </c>
      <c r="I113" s="2">
        <v>365</v>
      </c>
      <c r="J113" s="2">
        <v>0.48799999999999999</v>
      </c>
      <c r="K113" s="2">
        <v>69</v>
      </c>
      <c r="L113" s="2">
        <v>163</v>
      </c>
      <c r="M113" s="2">
        <v>0.42299999999999999</v>
      </c>
      <c r="N113" s="2">
        <v>109</v>
      </c>
      <c r="O113" s="2">
        <v>202</v>
      </c>
      <c r="P113" s="2">
        <v>0.54</v>
      </c>
      <c r="Q113" s="2">
        <v>0.58199999999999996</v>
      </c>
      <c r="R113" s="2">
        <v>67</v>
      </c>
      <c r="S113" s="2">
        <v>71</v>
      </c>
      <c r="T113" s="2">
        <v>0.94399999999999995</v>
      </c>
      <c r="U113" s="2">
        <v>12</v>
      </c>
      <c r="V113" s="2">
        <v>46</v>
      </c>
      <c r="W113" s="2">
        <v>58</v>
      </c>
      <c r="X113" s="2">
        <v>155</v>
      </c>
      <c r="Y113" s="2">
        <v>23</v>
      </c>
      <c r="Z113" s="2">
        <v>6</v>
      </c>
      <c r="AA113" s="2">
        <v>54</v>
      </c>
      <c r="AB113" s="2">
        <v>61</v>
      </c>
      <c r="AC113" s="2">
        <v>492</v>
      </c>
      <c r="AD113" s="2">
        <v>0</v>
      </c>
      <c r="AE113" s="18">
        <f t="shared" si="1"/>
        <v>2.8703703703703702</v>
      </c>
    </row>
    <row r="114" spans="1:31" x14ac:dyDescent="0.2">
      <c r="A114" t="s">
        <v>535</v>
      </c>
      <c r="B114" s="2">
        <v>25</v>
      </c>
      <c r="C114" t="s">
        <v>93</v>
      </c>
      <c r="D114" s="2" t="s">
        <v>52</v>
      </c>
      <c r="E114" s="2">
        <v>1</v>
      </c>
      <c r="F114" s="2">
        <v>0</v>
      </c>
      <c r="G114" s="2">
        <v>8</v>
      </c>
      <c r="H114" s="2">
        <v>1</v>
      </c>
      <c r="I114" s="2">
        <v>4</v>
      </c>
      <c r="J114" s="2">
        <v>0.25</v>
      </c>
      <c r="K114" s="2">
        <v>0</v>
      </c>
      <c r="L114" s="2">
        <v>1</v>
      </c>
      <c r="M114" s="2">
        <v>0</v>
      </c>
      <c r="N114" s="2">
        <v>1</v>
      </c>
      <c r="O114" s="2">
        <v>3</v>
      </c>
      <c r="P114" s="2">
        <v>0.33300000000000002</v>
      </c>
      <c r="Q114" s="2">
        <v>0.25</v>
      </c>
      <c r="R114" s="2">
        <v>1</v>
      </c>
      <c r="S114" s="2">
        <v>2</v>
      </c>
      <c r="T114" s="2">
        <v>0.5</v>
      </c>
      <c r="U114" s="2">
        <v>0</v>
      </c>
      <c r="V114" s="2">
        <v>0</v>
      </c>
      <c r="W114" s="2">
        <v>0</v>
      </c>
      <c r="X114" s="2">
        <v>2</v>
      </c>
      <c r="Y114" s="2">
        <v>0</v>
      </c>
      <c r="Z114" s="2">
        <v>0</v>
      </c>
      <c r="AA114" s="2">
        <v>0</v>
      </c>
      <c r="AB114" s="2">
        <v>1</v>
      </c>
      <c r="AC114" s="2">
        <v>3</v>
      </c>
      <c r="AD114" s="2">
        <v>0</v>
      </c>
      <c r="AE114" s="18" t="e">
        <f t="shared" si="1"/>
        <v>#DIV/0!</v>
      </c>
    </row>
    <row r="115" spans="1:31" x14ac:dyDescent="0.2">
      <c r="A115" t="s">
        <v>370</v>
      </c>
      <c r="B115" s="2">
        <v>23</v>
      </c>
      <c r="C115" t="s">
        <v>72</v>
      </c>
      <c r="D115" s="2" t="s">
        <v>27</v>
      </c>
      <c r="E115" s="2">
        <v>14</v>
      </c>
      <c r="F115" s="2">
        <v>1</v>
      </c>
      <c r="G115" s="2">
        <v>204</v>
      </c>
      <c r="H115" s="2">
        <v>27</v>
      </c>
      <c r="I115" s="2">
        <v>48</v>
      </c>
      <c r="J115" s="2">
        <v>0.56299999999999994</v>
      </c>
      <c r="K115" s="2">
        <v>10</v>
      </c>
      <c r="L115" s="2">
        <v>24</v>
      </c>
      <c r="M115" s="2">
        <v>0.41699999999999998</v>
      </c>
      <c r="N115" s="2">
        <v>17</v>
      </c>
      <c r="O115" s="2">
        <v>24</v>
      </c>
      <c r="P115" s="2">
        <v>0.70799999999999996</v>
      </c>
      <c r="Q115" s="2">
        <v>0.66700000000000004</v>
      </c>
      <c r="R115" s="2">
        <v>11</v>
      </c>
      <c r="S115" s="2">
        <v>13</v>
      </c>
      <c r="T115" s="2">
        <v>0.84599999999999997</v>
      </c>
      <c r="U115" s="2">
        <v>4</v>
      </c>
      <c r="V115" s="2">
        <v>36</v>
      </c>
      <c r="W115" s="2">
        <v>40</v>
      </c>
      <c r="X115" s="2">
        <v>19</v>
      </c>
      <c r="Y115" s="2">
        <v>6</v>
      </c>
      <c r="Z115" s="2">
        <v>3</v>
      </c>
      <c r="AA115" s="2">
        <v>13</v>
      </c>
      <c r="AB115" s="2">
        <v>11</v>
      </c>
      <c r="AC115" s="2">
        <v>75</v>
      </c>
      <c r="AD115" s="2">
        <v>0</v>
      </c>
      <c r="AE115" s="18">
        <f t="shared" si="1"/>
        <v>1.4615384615384615</v>
      </c>
    </row>
    <row r="116" spans="1:31" x14ac:dyDescent="0.2">
      <c r="A116" t="s">
        <v>249</v>
      </c>
      <c r="B116" s="2">
        <v>26</v>
      </c>
      <c r="C116" t="s">
        <v>66</v>
      </c>
      <c r="D116" s="2" t="s">
        <v>33</v>
      </c>
      <c r="E116" s="2">
        <v>26</v>
      </c>
      <c r="F116" s="2">
        <v>13</v>
      </c>
      <c r="G116" s="2">
        <v>707</v>
      </c>
      <c r="H116" s="2">
        <v>67</v>
      </c>
      <c r="I116" s="2">
        <v>169</v>
      </c>
      <c r="J116" s="2">
        <v>0.39600000000000002</v>
      </c>
      <c r="K116" s="2">
        <v>23</v>
      </c>
      <c r="L116" s="2">
        <v>81</v>
      </c>
      <c r="M116" s="2">
        <v>0.28399999999999997</v>
      </c>
      <c r="N116" s="2">
        <v>44</v>
      </c>
      <c r="O116" s="2">
        <v>88</v>
      </c>
      <c r="P116" s="2">
        <v>0.5</v>
      </c>
      <c r="Q116" s="2">
        <v>0.46400000000000002</v>
      </c>
      <c r="R116" s="2">
        <v>21</v>
      </c>
      <c r="S116" s="2">
        <v>31</v>
      </c>
      <c r="T116" s="2">
        <v>0.67700000000000005</v>
      </c>
      <c r="U116" s="2">
        <v>14</v>
      </c>
      <c r="V116" s="2">
        <v>46</v>
      </c>
      <c r="W116" s="2">
        <v>60</v>
      </c>
      <c r="X116" s="2">
        <v>132</v>
      </c>
      <c r="Y116" s="2">
        <v>22</v>
      </c>
      <c r="Z116" s="2">
        <v>6</v>
      </c>
      <c r="AA116" s="2">
        <v>50</v>
      </c>
      <c r="AB116" s="2">
        <v>78</v>
      </c>
      <c r="AC116" s="2">
        <v>178</v>
      </c>
      <c r="AD116" s="2">
        <v>0</v>
      </c>
      <c r="AE116" s="18">
        <f t="shared" si="1"/>
        <v>2.64</v>
      </c>
    </row>
    <row r="117" spans="1:31" x14ac:dyDescent="0.2">
      <c r="A117" t="s">
        <v>488</v>
      </c>
      <c r="B117" s="2">
        <v>23</v>
      </c>
      <c r="C117" t="s">
        <v>103</v>
      </c>
      <c r="D117" s="2" t="s">
        <v>42</v>
      </c>
      <c r="E117" s="2">
        <v>3</v>
      </c>
      <c r="F117" s="2">
        <v>0</v>
      </c>
      <c r="G117" s="2">
        <v>44</v>
      </c>
      <c r="H117" s="2">
        <v>4</v>
      </c>
      <c r="I117" s="2">
        <v>11</v>
      </c>
      <c r="J117" s="2">
        <v>0.36399999999999999</v>
      </c>
      <c r="K117" s="2">
        <v>1</v>
      </c>
      <c r="L117" s="2">
        <v>2</v>
      </c>
      <c r="M117" s="2">
        <v>0.5</v>
      </c>
      <c r="N117" s="2">
        <v>3</v>
      </c>
      <c r="O117" s="2">
        <v>9</v>
      </c>
      <c r="P117" s="2">
        <v>0.33300000000000002</v>
      </c>
      <c r="Q117" s="2">
        <v>0.40899999999999997</v>
      </c>
      <c r="R117" s="2">
        <v>6</v>
      </c>
      <c r="S117" s="2">
        <v>6</v>
      </c>
      <c r="T117" s="2">
        <v>1</v>
      </c>
      <c r="U117" s="2">
        <v>4</v>
      </c>
      <c r="V117" s="2">
        <v>5</v>
      </c>
      <c r="W117" s="2">
        <v>9</v>
      </c>
      <c r="X117" s="2">
        <v>3</v>
      </c>
      <c r="Y117" s="2">
        <v>4</v>
      </c>
      <c r="Z117" s="2">
        <v>1</v>
      </c>
      <c r="AA117" s="2">
        <v>1</v>
      </c>
      <c r="AB117" s="2">
        <v>4</v>
      </c>
      <c r="AC117" s="2">
        <v>15</v>
      </c>
      <c r="AD117" s="2">
        <v>0</v>
      </c>
      <c r="AE117" s="18">
        <f t="shared" si="1"/>
        <v>3</v>
      </c>
    </row>
    <row r="118" spans="1:31" x14ac:dyDescent="0.2">
      <c r="A118" t="s">
        <v>36</v>
      </c>
      <c r="B118" s="2">
        <v>27</v>
      </c>
      <c r="C118" t="s">
        <v>37</v>
      </c>
      <c r="D118" s="2" t="s">
        <v>33</v>
      </c>
      <c r="E118" s="2">
        <v>26</v>
      </c>
      <c r="F118" s="2">
        <v>26</v>
      </c>
      <c r="G118" s="4">
        <v>968</v>
      </c>
      <c r="H118" s="2">
        <v>252</v>
      </c>
      <c r="I118" s="4">
        <v>521</v>
      </c>
      <c r="J118" s="2">
        <v>0.48399999999999999</v>
      </c>
      <c r="K118" s="2">
        <v>53</v>
      </c>
      <c r="L118" s="2">
        <v>163</v>
      </c>
      <c r="M118" s="2">
        <v>0.32500000000000001</v>
      </c>
      <c r="N118" s="2">
        <v>199</v>
      </c>
      <c r="O118" s="2">
        <v>358</v>
      </c>
      <c r="P118" s="2">
        <v>0.55600000000000005</v>
      </c>
      <c r="Q118" s="2">
        <v>0.53500000000000003</v>
      </c>
      <c r="R118" s="2">
        <v>121</v>
      </c>
      <c r="S118" s="2">
        <v>152</v>
      </c>
      <c r="T118" s="2">
        <v>0.79600000000000004</v>
      </c>
      <c r="U118" s="2">
        <v>31</v>
      </c>
      <c r="V118" s="2">
        <v>101</v>
      </c>
      <c r="W118" s="2">
        <v>132</v>
      </c>
      <c r="X118" s="2">
        <v>159</v>
      </c>
      <c r="Y118" s="2">
        <v>44</v>
      </c>
      <c r="Z118" s="2">
        <v>7</v>
      </c>
      <c r="AA118" s="2">
        <v>91</v>
      </c>
      <c r="AB118" s="2">
        <v>66</v>
      </c>
      <c r="AC118" s="2">
        <v>678</v>
      </c>
      <c r="AD118" s="2">
        <v>0</v>
      </c>
      <c r="AE118" s="18">
        <f t="shared" si="1"/>
        <v>1.7472527472527473</v>
      </c>
    </row>
    <row r="119" spans="1:31" x14ac:dyDescent="0.2">
      <c r="A119" t="s">
        <v>160</v>
      </c>
      <c r="B119" s="2">
        <v>27</v>
      </c>
      <c r="C119" t="s">
        <v>72</v>
      </c>
      <c r="D119" s="2" t="s">
        <v>49</v>
      </c>
      <c r="E119" s="2">
        <v>15</v>
      </c>
      <c r="F119" s="2">
        <v>2</v>
      </c>
      <c r="G119" s="2">
        <v>417</v>
      </c>
      <c r="H119" s="2">
        <v>97</v>
      </c>
      <c r="I119" s="2">
        <v>201</v>
      </c>
      <c r="J119" s="2">
        <v>0.48299999999999998</v>
      </c>
      <c r="K119" s="2">
        <v>41</v>
      </c>
      <c r="L119" s="2">
        <v>92</v>
      </c>
      <c r="M119" s="2">
        <v>0.44600000000000001</v>
      </c>
      <c r="N119" s="2">
        <v>56</v>
      </c>
      <c r="O119" s="2">
        <v>109</v>
      </c>
      <c r="P119" s="2">
        <v>0.51400000000000001</v>
      </c>
      <c r="Q119" s="2">
        <v>0.58499999999999996</v>
      </c>
      <c r="R119" s="2">
        <v>59</v>
      </c>
      <c r="S119" s="2">
        <v>67</v>
      </c>
      <c r="T119" s="2">
        <v>0.88100000000000001</v>
      </c>
      <c r="U119" s="2">
        <v>9</v>
      </c>
      <c r="V119" s="2">
        <v>48</v>
      </c>
      <c r="W119" s="2">
        <v>57</v>
      </c>
      <c r="X119" s="2">
        <v>18</v>
      </c>
      <c r="Y119" s="2">
        <v>12</v>
      </c>
      <c r="Z119" s="2">
        <v>2</v>
      </c>
      <c r="AA119" s="2">
        <v>17</v>
      </c>
      <c r="AB119" s="2">
        <v>37</v>
      </c>
      <c r="AC119" s="2">
        <v>294</v>
      </c>
      <c r="AD119" s="2">
        <v>0</v>
      </c>
      <c r="AE119" s="18">
        <f t="shared" si="1"/>
        <v>1.0588235294117647</v>
      </c>
    </row>
    <row r="120" spans="1:31" x14ac:dyDescent="0.2">
      <c r="A120" t="s">
        <v>389</v>
      </c>
      <c r="B120" s="2">
        <v>26</v>
      </c>
      <c r="C120" t="s">
        <v>100</v>
      </c>
      <c r="D120" s="2" t="s">
        <v>52</v>
      </c>
      <c r="E120" s="2">
        <v>6</v>
      </c>
      <c r="F120" s="2">
        <v>2</v>
      </c>
      <c r="G120" s="2">
        <v>121</v>
      </c>
      <c r="H120" s="2">
        <v>22</v>
      </c>
      <c r="I120" s="2">
        <v>54</v>
      </c>
      <c r="J120" s="2">
        <v>0.40699999999999997</v>
      </c>
      <c r="K120" s="2">
        <v>13</v>
      </c>
      <c r="L120" s="2">
        <v>35</v>
      </c>
      <c r="M120" s="2">
        <v>0.371</v>
      </c>
      <c r="N120" s="2">
        <v>9</v>
      </c>
      <c r="O120" s="2">
        <v>19</v>
      </c>
      <c r="P120" s="2">
        <v>0.47399999999999998</v>
      </c>
      <c r="Q120" s="2">
        <v>0.52800000000000002</v>
      </c>
      <c r="R120" s="2">
        <v>5</v>
      </c>
      <c r="S120" s="2">
        <v>8</v>
      </c>
      <c r="T120" s="2">
        <v>0.625</v>
      </c>
      <c r="U120" s="2">
        <v>6</v>
      </c>
      <c r="V120" s="2">
        <v>14</v>
      </c>
      <c r="W120" s="2">
        <v>20</v>
      </c>
      <c r="X120" s="2">
        <v>17</v>
      </c>
      <c r="Y120" s="2">
        <v>7</v>
      </c>
      <c r="Z120" s="2">
        <v>2</v>
      </c>
      <c r="AA120" s="2">
        <v>10</v>
      </c>
      <c r="AB120" s="2">
        <v>18</v>
      </c>
      <c r="AC120" s="2">
        <v>62</v>
      </c>
      <c r="AD120" s="2">
        <v>0</v>
      </c>
      <c r="AE120" s="18">
        <f t="shared" si="1"/>
        <v>1.7</v>
      </c>
    </row>
    <row r="121" spans="1:31" x14ac:dyDescent="0.2">
      <c r="A121" t="s">
        <v>348</v>
      </c>
      <c r="B121" s="2">
        <v>28</v>
      </c>
      <c r="C121" t="s">
        <v>57</v>
      </c>
      <c r="D121" s="2" t="s">
        <v>27</v>
      </c>
      <c r="E121" s="2">
        <v>17</v>
      </c>
      <c r="F121" s="2">
        <v>9</v>
      </c>
      <c r="G121" s="2">
        <v>376</v>
      </c>
      <c r="H121" s="2">
        <v>31</v>
      </c>
      <c r="I121" s="2">
        <v>86</v>
      </c>
      <c r="J121" s="2">
        <v>0.36</v>
      </c>
      <c r="K121" s="2">
        <v>24</v>
      </c>
      <c r="L121" s="2">
        <v>73</v>
      </c>
      <c r="M121" s="2">
        <v>0.32900000000000001</v>
      </c>
      <c r="N121" s="2">
        <v>7</v>
      </c>
      <c r="O121" s="2">
        <v>13</v>
      </c>
      <c r="P121" s="2">
        <v>0.53800000000000003</v>
      </c>
      <c r="Q121" s="2">
        <v>0.5</v>
      </c>
      <c r="R121" s="2">
        <v>8</v>
      </c>
      <c r="S121" s="2">
        <v>19</v>
      </c>
      <c r="T121" s="2">
        <v>0.42099999999999999</v>
      </c>
      <c r="U121" s="2">
        <v>11</v>
      </c>
      <c r="V121" s="2">
        <v>67</v>
      </c>
      <c r="W121" s="2">
        <v>78</v>
      </c>
      <c r="X121" s="2">
        <v>25</v>
      </c>
      <c r="Y121" s="2">
        <v>18</v>
      </c>
      <c r="Z121" s="2">
        <v>6</v>
      </c>
      <c r="AA121" s="2">
        <v>5</v>
      </c>
      <c r="AB121" s="2">
        <v>25</v>
      </c>
      <c r="AC121" s="2">
        <v>94</v>
      </c>
      <c r="AD121" s="2">
        <v>0</v>
      </c>
      <c r="AE121" s="18">
        <f t="shared" si="1"/>
        <v>5</v>
      </c>
    </row>
    <row r="122" spans="1:31" x14ac:dyDescent="0.2">
      <c r="A122" t="s">
        <v>199</v>
      </c>
      <c r="B122" s="2">
        <v>26</v>
      </c>
      <c r="C122" t="s">
        <v>135</v>
      </c>
      <c r="D122" s="2" t="s">
        <v>42</v>
      </c>
      <c r="E122" s="2">
        <v>17</v>
      </c>
      <c r="F122" s="2">
        <v>17</v>
      </c>
      <c r="G122" s="2">
        <v>513</v>
      </c>
      <c r="H122" s="2">
        <v>112</v>
      </c>
      <c r="I122" s="2">
        <v>202</v>
      </c>
      <c r="J122" s="2">
        <v>0.55400000000000005</v>
      </c>
      <c r="K122" s="2">
        <v>5</v>
      </c>
      <c r="L122" s="2">
        <v>19</v>
      </c>
      <c r="M122" s="2">
        <v>0.26300000000000001</v>
      </c>
      <c r="N122" s="2">
        <v>107</v>
      </c>
      <c r="O122" s="2">
        <v>183</v>
      </c>
      <c r="P122" s="2">
        <v>0.58499999999999996</v>
      </c>
      <c r="Q122" s="2">
        <v>0.56699999999999995</v>
      </c>
      <c r="R122" s="2">
        <v>13</v>
      </c>
      <c r="S122" s="2">
        <v>21</v>
      </c>
      <c r="T122" s="2">
        <v>0.61899999999999999</v>
      </c>
      <c r="U122" s="2">
        <v>48</v>
      </c>
      <c r="V122" s="2">
        <v>122</v>
      </c>
      <c r="W122" s="2">
        <v>170</v>
      </c>
      <c r="X122" s="2">
        <v>21</v>
      </c>
      <c r="Y122" s="2">
        <v>15</v>
      </c>
      <c r="Z122" s="2">
        <v>13</v>
      </c>
      <c r="AA122" s="2">
        <v>31</v>
      </c>
      <c r="AB122" s="2">
        <v>39</v>
      </c>
      <c r="AC122" s="2">
        <v>242</v>
      </c>
      <c r="AD122" s="2">
        <v>0</v>
      </c>
      <c r="AE122" s="18">
        <f t="shared" si="1"/>
        <v>0.67741935483870963</v>
      </c>
    </row>
    <row r="123" spans="1:31" x14ac:dyDescent="0.2">
      <c r="A123" t="s">
        <v>449</v>
      </c>
      <c r="B123" s="2">
        <v>36</v>
      </c>
      <c r="C123" t="s">
        <v>46</v>
      </c>
      <c r="D123" s="2" t="s">
        <v>42</v>
      </c>
      <c r="E123" s="2">
        <v>10</v>
      </c>
      <c r="F123" s="2">
        <v>0</v>
      </c>
      <c r="G123" s="2">
        <v>98</v>
      </c>
      <c r="H123" s="2">
        <v>12</v>
      </c>
      <c r="I123" s="2">
        <v>21</v>
      </c>
      <c r="J123" s="2">
        <v>0.57099999999999995</v>
      </c>
      <c r="K123" s="2">
        <v>0</v>
      </c>
      <c r="L123" s="2">
        <v>0</v>
      </c>
      <c r="M123" s="2"/>
      <c r="N123" s="2">
        <v>12</v>
      </c>
      <c r="O123" s="2">
        <v>21</v>
      </c>
      <c r="P123" s="2">
        <v>0.57099999999999995</v>
      </c>
      <c r="Q123" s="2">
        <v>0.57099999999999995</v>
      </c>
      <c r="R123" s="2">
        <v>2</v>
      </c>
      <c r="S123" s="2">
        <v>8</v>
      </c>
      <c r="T123" s="2">
        <v>0.25</v>
      </c>
      <c r="U123" s="2">
        <v>11</v>
      </c>
      <c r="V123" s="2">
        <v>22</v>
      </c>
      <c r="W123" s="2">
        <v>33</v>
      </c>
      <c r="X123" s="2">
        <v>8</v>
      </c>
      <c r="Y123" s="2">
        <v>2</v>
      </c>
      <c r="Z123" s="2">
        <v>2</v>
      </c>
      <c r="AA123" s="2">
        <v>10</v>
      </c>
      <c r="AB123" s="2">
        <v>11</v>
      </c>
      <c r="AC123" s="2">
        <v>26</v>
      </c>
      <c r="AD123" s="2">
        <v>0</v>
      </c>
      <c r="AE123" s="18">
        <f t="shared" si="1"/>
        <v>0.8</v>
      </c>
    </row>
    <row r="124" spans="1:31" x14ac:dyDescent="0.2">
      <c r="A124" t="s">
        <v>285</v>
      </c>
      <c r="B124" s="2">
        <v>28</v>
      </c>
      <c r="C124" t="s">
        <v>117</v>
      </c>
      <c r="D124" s="2" t="s">
        <v>33</v>
      </c>
      <c r="E124" s="2">
        <v>9</v>
      </c>
      <c r="F124" s="2">
        <v>9</v>
      </c>
      <c r="G124" s="2">
        <v>295</v>
      </c>
      <c r="H124" s="2">
        <v>51</v>
      </c>
      <c r="I124" s="2">
        <v>147</v>
      </c>
      <c r="J124" s="2">
        <v>0.34699999999999998</v>
      </c>
      <c r="K124" s="2">
        <v>14</v>
      </c>
      <c r="L124" s="2">
        <v>54</v>
      </c>
      <c r="M124" s="2">
        <v>0.25900000000000001</v>
      </c>
      <c r="N124" s="2">
        <v>37</v>
      </c>
      <c r="O124" s="2">
        <v>93</v>
      </c>
      <c r="P124" s="2">
        <v>0.39800000000000002</v>
      </c>
      <c r="Q124" s="2">
        <v>0.39500000000000002</v>
      </c>
      <c r="R124" s="2">
        <v>31</v>
      </c>
      <c r="S124" s="2">
        <v>36</v>
      </c>
      <c r="T124" s="2">
        <v>0.86099999999999999</v>
      </c>
      <c r="U124" s="2">
        <v>3</v>
      </c>
      <c r="V124" s="2">
        <v>55</v>
      </c>
      <c r="W124" s="2">
        <v>58</v>
      </c>
      <c r="X124" s="2">
        <v>61</v>
      </c>
      <c r="Y124" s="2">
        <v>19</v>
      </c>
      <c r="Z124" s="2">
        <v>6</v>
      </c>
      <c r="AA124" s="2">
        <v>34</v>
      </c>
      <c r="AB124" s="2">
        <v>23</v>
      </c>
      <c r="AC124" s="2">
        <v>147</v>
      </c>
      <c r="AD124" s="2">
        <v>0</v>
      </c>
      <c r="AE124" s="18">
        <f t="shared" si="1"/>
        <v>1.7941176470588236</v>
      </c>
    </row>
    <row r="125" spans="1:31" x14ac:dyDescent="0.2">
      <c r="A125" t="s">
        <v>407</v>
      </c>
      <c r="B125" s="2">
        <v>32</v>
      </c>
      <c r="C125" t="s">
        <v>35</v>
      </c>
      <c r="D125" s="2" t="s">
        <v>33</v>
      </c>
      <c r="E125" s="2">
        <v>18</v>
      </c>
      <c r="F125" s="2">
        <v>2</v>
      </c>
      <c r="G125" s="2">
        <v>287</v>
      </c>
      <c r="H125" s="2">
        <v>17</v>
      </c>
      <c r="I125" s="2">
        <v>53</v>
      </c>
      <c r="J125" s="2">
        <v>0.32100000000000001</v>
      </c>
      <c r="K125" s="2">
        <v>9</v>
      </c>
      <c r="L125" s="2">
        <v>32</v>
      </c>
      <c r="M125" s="2">
        <v>0.28100000000000003</v>
      </c>
      <c r="N125" s="2">
        <v>8</v>
      </c>
      <c r="O125" s="2">
        <v>21</v>
      </c>
      <c r="P125" s="2">
        <v>0.38100000000000001</v>
      </c>
      <c r="Q125" s="2">
        <v>0.40600000000000003</v>
      </c>
      <c r="R125" s="2">
        <v>5</v>
      </c>
      <c r="S125" s="2">
        <v>10</v>
      </c>
      <c r="T125" s="2">
        <v>0.5</v>
      </c>
      <c r="U125" s="2">
        <v>11</v>
      </c>
      <c r="V125" s="2">
        <v>22</v>
      </c>
      <c r="W125" s="2">
        <v>33</v>
      </c>
      <c r="X125" s="2">
        <v>29</v>
      </c>
      <c r="Y125" s="2">
        <v>13</v>
      </c>
      <c r="Z125" s="2">
        <v>6</v>
      </c>
      <c r="AA125" s="2">
        <v>8</v>
      </c>
      <c r="AB125" s="2">
        <v>11</v>
      </c>
      <c r="AC125" s="2">
        <v>48</v>
      </c>
      <c r="AD125" s="2">
        <v>0</v>
      </c>
      <c r="AE125" s="18">
        <f t="shared" si="1"/>
        <v>3.625</v>
      </c>
    </row>
    <row r="126" spans="1:31" x14ac:dyDescent="0.2">
      <c r="A126" t="s">
        <v>88</v>
      </c>
      <c r="B126" s="2">
        <v>35</v>
      </c>
      <c r="C126" t="s">
        <v>37</v>
      </c>
      <c r="D126" s="2" t="s">
        <v>49</v>
      </c>
      <c r="E126" s="2">
        <v>21</v>
      </c>
      <c r="F126" s="2">
        <v>21</v>
      </c>
      <c r="G126" s="2">
        <v>747</v>
      </c>
      <c r="H126" s="2">
        <v>174</v>
      </c>
      <c r="I126" s="2">
        <v>349</v>
      </c>
      <c r="J126" s="2">
        <v>0.499</v>
      </c>
      <c r="K126" s="2">
        <v>15</v>
      </c>
      <c r="L126" s="2">
        <v>46</v>
      </c>
      <c r="M126" s="2">
        <v>0.32600000000000001</v>
      </c>
      <c r="N126" s="2">
        <v>159</v>
      </c>
      <c r="O126" s="2">
        <v>303</v>
      </c>
      <c r="P126" s="2">
        <v>0.52500000000000002</v>
      </c>
      <c r="Q126" s="2">
        <v>0.52</v>
      </c>
      <c r="R126" s="2">
        <v>116</v>
      </c>
      <c r="S126" s="2">
        <v>136</v>
      </c>
      <c r="T126" s="2">
        <v>0.85299999999999998</v>
      </c>
      <c r="U126" s="2">
        <v>10</v>
      </c>
      <c r="V126" s="2">
        <v>72</v>
      </c>
      <c r="W126" s="2">
        <v>82</v>
      </c>
      <c r="X126" s="2">
        <v>84</v>
      </c>
      <c r="Y126" s="2">
        <v>33</v>
      </c>
      <c r="Z126" s="2">
        <v>11</v>
      </c>
      <c r="AA126" s="2">
        <v>35</v>
      </c>
      <c r="AB126" s="2">
        <v>39</v>
      </c>
      <c r="AC126" s="2">
        <v>479</v>
      </c>
      <c r="AD126" s="2">
        <v>0</v>
      </c>
      <c r="AE126" s="18">
        <f t="shared" si="1"/>
        <v>2.4</v>
      </c>
    </row>
    <row r="127" spans="1:31" x14ac:dyDescent="0.2">
      <c r="A127" t="s">
        <v>169</v>
      </c>
      <c r="B127" s="2">
        <v>24</v>
      </c>
      <c r="C127" t="s">
        <v>135</v>
      </c>
      <c r="D127" s="2" t="s">
        <v>49</v>
      </c>
      <c r="E127" s="2">
        <v>24</v>
      </c>
      <c r="F127" s="2">
        <v>12</v>
      </c>
      <c r="G127" s="2">
        <v>638</v>
      </c>
      <c r="H127" s="2">
        <v>92</v>
      </c>
      <c r="I127" s="2">
        <v>222</v>
      </c>
      <c r="J127" s="2">
        <v>0.41399999999999998</v>
      </c>
      <c r="K127" s="2">
        <v>32</v>
      </c>
      <c r="L127" s="2">
        <v>92</v>
      </c>
      <c r="M127" s="2">
        <v>0.34799999999999998</v>
      </c>
      <c r="N127" s="2">
        <v>60</v>
      </c>
      <c r="O127" s="2">
        <v>130</v>
      </c>
      <c r="P127" s="2">
        <v>0.46200000000000002</v>
      </c>
      <c r="Q127" s="2">
        <v>0.48599999999999999</v>
      </c>
      <c r="R127" s="2">
        <v>67</v>
      </c>
      <c r="S127" s="2">
        <v>85</v>
      </c>
      <c r="T127" s="2">
        <v>0.78800000000000003</v>
      </c>
      <c r="U127" s="2">
        <v>30</v>
      </c>
      <c r="V127" s="2">
        <v>110</v>
      </c>
      <c r="W127" s="2">
        <v>140</v>
      </c>
      <c r="X127" s="2">
        <v>74</v>
      </c>
      <c r="Y127" s="2">
        <v>24</v>
      </c>
      <c r="Z127" s="2">
        <v>19</v>
      </c>
      <c r="AA127" s="2">
        <v>48</v>
      </c>
      <c r="AB127" s="2">
        <v>51</v>
      </c>
      <c r="AC127" s="2">
        <v>283</v>
      </c>
      <c r="AD127" s="2">
        <v>0</v>
      </c>
      <c r="AE127" s="18">
        <f t="shared" si="1"/>
        <v>1.5416666666666667</v>
      </c>
    </row>
    <row r="128" spans="1:31" x14ac:dyDescent="0.2">
      <c r="A128" t="s">
        <v>112</v>
      </c>
      <c r="B128" s="2">
        <v>31</v>
      </c>
      <c r="C128" t="s">
        <v>103</v>
      </c>
      <c r="D128" s="2" t="s">
        <v>33</v>
      </c>
      <c r="E128" s="2">
        <v>22</v>
      </c>
      <c r="F128" s="2">
        <v>22</v>
      </c>
      <c r="G128" s="2">
        <v>746</v>
      </c>
      <c r="H128" s="2">
        <v>141</v>
      </c>
      <c r="I128" s="2">
        <v>315</v>
      </c>
      <c r="J128" s="2">
        <v>0.44800000000000001</v>
      </c>
      <c r="K128" s="2">
        <v>55</v>
      </c>
      <c r="L128" s="2">
        <v>143</v>
      </c>
      <c r="M128" s="2">
        <v>0.38500000000000001</v>
      </c>
      <c r="N128" s="2">
        <v>86</v>
      </c>
      <c r="O128" s="2">
        <v>172</v>
      </c>
      <c r="P128" s="2">
        <v>0.5</v>
      </c>
      <c r="Q128" s="2">
        <v>0.53500000000000003</v>
      </c>
      <c r="R128" s="2">
        <v>72</v>
      </c>
      <c r="S128" s="2">
        <v>81</v>
      </c>
      <c r="T128" s="2">
        <v>0.88900000000000001</v>
      </c>
      <c r="U128" s="2">
        <v>4</v>
      </c>
      <c r="V128" s="2">
        <v>61</v>
      </c>
      <c r="W128" s="2">
        <v>65</v>
      </c>
      <c r="X128" s="2">
        <v>144</v>
      </c>
      <c r="Y128" s="2">
        <v>25</v>
      </c>
      <c r="Z128" s="2">
        <v>4</v>
      </c>
      <c r="AA128" s="2">
        <v>53</v>
      </c>
      <c r="AB128" s="2">
        <v>54</v>
      </c>
      <c r="AC128" s="2">
        <v>409</v>
      </c>
      <c r="AD128" s="2">
        <v>0</v>
      </c>
      <c r="AE128" s="18">
        <f t="shared" si="1"/>
        <v>2.7169811320754715</v>
      </c>
    </row>
    <row r="129" spans="1:31" x14ac:dyDescent="0.2">
      <c r="A129" t="s">
        <v>256</v>
      </c>
      <c r="B129" s="2">
        <v>20</v>
      </c>
      <c r="C129" t="s">
        <v>63</v>
      </c>
      <c r="D129" s="2" t="s">
        <v>42</v>
      </c>
      <c r="E129" s="2">
        <v>20</v>
      </c>
      <c r="F129" s="2">
        <v>13</v>
      </c>
      <c r="G129" s="2">
        <v>470</v>
      </c>
      <c r="H129" s="2">
        <v>71</v>
      </c>
      <c r="I129" s="2">
        <v>105</v>
      </c>
      <c r="J129" s="2">
        <v>0.67600000000000005</v>
      </c>
      <c r="K129" s="2">
        <v>0</v>
      </c>
      <c r="L129" s="2">
        <v>0</v>
      </c>
      <c r="M129" s="2"/>
      <c r="N129" s="2">
        <v>71</v>
      </c>
      <c r="O129" s="2">
        <v>105</v>
      </c>
      <c r="P129" s="2">
        <v>0.67600000000000005</v>
      </c>
      <c r="Q129" s="2">
        <v>0.67600000000000005</v>
      </c>
      <c r="R129" s="2">
        <v>33</v>
      </c>
      <c r="S129" s="2">
        <v>53</v>
      </c>
      <c r="T129" s="2">
        <v>0.623</v>
      </c>
      <c r="U129" s="2">
        <v>62</v>
      </c>
      <c r="V129" s="2">
        <v>93</v>
      </c>
      <c r="W129" s="2">
        <v>155</v>
      </c>
      <c r="X129" s="2">
        <v>48</v>
      </c>
      <c r="Y129" s="2">
        <v>11</v>
      </c>
      <c r="Z129" s="2">
        <v>32</v>
      </c>
      <c r="AA129" s="2">
        <v>24</v>
      </c>
      <c r="AB129" s="2">
        <v>57</v>
      </c>
      <c r="AC129" s="2">
        <v>175</v>
      </c>
      <c r="AD129" s="2">
        <v>0</v>
      </c>
      <c r="AE129" s="18">
        <f t="shared" si="1"/>
        <v>2</v>
      </c>
    </row>
    <row r="130" spans="1:31" x14ac:dyDescent="0.2">
      <c r="A130" t="s">
        <v>188</v>
      </c>
      <c r="B130" s="2">
        <v>27</v>
      </c>
      <c r="C130" t="s">
        <v>77</v>
      </c>
      <c r="D130" s="2" t="s">
        <v>49</v>
      </c>
      <c r="E130" s="2">
        <v>25</v>
      </c>
      <c r="F130" s="2">
        <v>25</v>
      </c>
      <c r="G130" s="2">
        <v>625</v>
      </c>
      <c r="H130" s="2">
        <v>97</v>
      </c>
      <c r="I130" s="2">
        <v>194</v>
      </c>
      <c r="J130" s="2">
        <v>0.5</v>
      </c>
      <c r="K130" s="2">
        <v>30</v>
      </c>
      <c r="L130" s="2">
        <v>72</v>
      </c>
      <c r="M130" s="2">
        <v>0.41699999999999998</v>
      </c>
      <c r="N130" s="2">
        <v>67</v>
      </c>
      <c r="O130" s="2">
        <v>122</v>
      </c>
      <c r="P130" s="2">
        <v>0.54900000000000004</v>
      </c>
      <c r="Q130" s="2">
        <v>0.57699999999999996</v>
      </c>
      <c r="R130" s="2">
        <v>27</v>
      </c>
      <c r="S130" s="2">
        <v>31</v>
      </c>
      <c r="T130" s="2">
        <v>0.871</v>
      </c>
      <c r="U130" s="2">
        <v>30</v>
      </c>
      <c r="V130" s="2">
        <v>54</v>
      </c>
      <c r="W130" s="2">
        <v>84</v>
      </c>
      <c r="X130" s="2">
        <v>23</v>
      </c>
      <c r="Y130" s="2">
        <v>32</v>
      </c>
      <c r="Z130" s="2">
        <v>6</v>
      </c>
      <c r="AA130" s="2">
        <v>27</v>
      </c>
      <c r="AB130" s="2">
        <v>53</v>
      </c>
      <c r="AC130" s="2">
        <v>251</v>
      </c>
      <c r="AD130" s="2">
        <v>0</v>
      </c>
      <c r="AE130" s="18">
        <f t="shared" si="1"/>
        <v>0.85185185185185186</v>
      </c>
    </row>
    <row r="131" spans="1:31" x14ac:dyDescent="0.2">
      <c r="A131" t="s">
        <v>108</v>
      </c>
      <c r="B131" s="2">
        <v>30</v>
      </c>
      <c r="C131" t="s">
        <v>39</v>
      </c>
      <c r="D131" s="2" t="s">
        <v>52</v>
      </c>
      <c r="E131" s="2">
        <v>24</v>
      </c>
      <c r="F131" s="2">
        <v>24</v>
      </c>
      <c r="G131" s="2">
        <v>827</v>
      </c>
      <c r="H131" s="2">
        <v>143</v>
      </c>
      <c r="I131" s="2">
        <v>315</v>
      </c>
      <c r="J131" s="2">
        <v>0.45400000000000001</v>
      </c>
      <c r="K131" s="2">
        <v>89</v>
      </c>
      <c r="L131" s="2">
        <v>222</v>
      </c>
      <c r="M131" s="2">
        <v>0.40100000000000002</v>
      </c>
      <c r="N131" s="2">
        <v>54</v>
      </c>
      <c r="O131" s="2">
        <v>93</v>
      </c>
      <c r="P131" s="2">
        <v>0.58099999999999996</v>
      </c>
      <c r="Q131" s="2">
        <v>0.59499999999999997</v>
      </c>
      <c r="R131" s="2">
        <v>45</v>
      </c>
      <c r="S131" s="2">
        <v>52</v>
      </c>
      <c r="T131" s="2">
        <v>0.86499999999999999</v>
      </c>
      <c r="U131" s="2">
        <v>29</v>
      </c>
      <c r="V131" s="2">
        <v>85</v>
      </c>
      <c r="W131" s="2">
        <v>114</v>
      </c>
      <c r="X131" s="2">
        <v>117</v>
      </c>
      <c r="Y131" s="2">
        <v>25</v>
      </c>
      <c r="Z131" s="2">
        <v>25</v>
      </c>
      <c r="AA131" s="2">
        <v>36</v>
      </c>
      <c r="AB131" s="2">
        <v>52</v>
      </c>
      <c r="AC131" s="2">
        <v>420</v>
      </c>
      <c r="AD131" s="2">
        <v>0</v>
      </c>
      <c r="AE131" s="18">
        <f t="shared" ref="AE131:AE194" si="2">X131/AA131</f>
        <v>3.25</v>
      </c>
    </row>
    <row r="132" spans="1:31" x14ac:dyDescent="0.2">
      <c r="A132" t="s">
        <v>194</v>
      </c>
      <c r="B132" s="2">
        <v>26</v>
      </c>
      <c r="C132" t="s">
        <v>80</v>
      </c>
      <c r="D132" s="2" t="s">
        <v>52</v>
      </c>
      <c r="E132" s="2">
        <v>17</v>
      </c>
      <c r="F132" s="2">
        <v>16</v>
      </c>
      <c r="G132" s="2">
        <v>481</v>
      </c>
      <c r="H132" s="2">
        <v>92</v>
      </c>
      <c r="I132" s="2">
        <v>212</v>
      </c>
      <c r="J132" s="2">
        <v>0.434</v>
      </c>
      <c r="K132" s="2">
        <v>31</v>
      </c>
      <c r="L132" s="2">
        <v>96</v>
      </c>
      <c r="M132" s="2">
        <v>0.32300000000000001</v>
      </c>
      <c r="N132" s="2">
        <v>61</v>
      </c>
      <c r="O132" s="2">
        <v>116</v>
      </c>
      <c r="P132" s="2">
        <v>0.52600000000000002</v>
      </c>
      <c r="Q132" s="2">
        <v>0.50700000000000001</v>
      </c>
      <c r="R132" s="2">
        <v>31</v>
      </c>
      <c r="S132" s="2">
        <v>38</v>
      </c>
      <c r="T132" s="2">
        <v>0.81599999999999995</v>
      </c>
      <c r="U132" s="2">
        <v>14</v>
      </c>
      <c r="V132" s="2">
        <v>88</v>
      </c>
      <c r="W132" s="2">
        <v>102</v>
      </c>
      <c r="X132" s="2">
        <v>69</v>
      </c>
      <c r="Y132" s="2">
        <v>17</v>
      </c>
      <c r="Z132" s="2">
        <v>8</v>
      </c>
      <c r="AA132" s="2">
        <v>40</v>
      </c>
      <c r="AB132" s="2">
        <v>46</v>
      </c>
      <c r="AC132" s="2">
        <v>246</v>
      </c>
      <c r="AD132" s="2">
        <v>0</v>
      </c>
      <c r="AE132" s="18">
        <f t="shared" si="2"/>
        <v>1.7250000000000001</v>
      </c>
    </row>
    <row r="133" spans="1:31" x14ac:dyDescent="0.2">
      <c r="A133" t="s">
        <v>53</v>
      </c>
      <c r="B133" s="2">
        <v>28</v>
      </c>
      <c r="C133" t="s">
        <v>54</v>
      </c>
      <c r="D133" s="2" t="s">
        <v>52</v>
      </c>
      <c r="E133" s="2">
        <v>23</v>
      </c>
      <c r="F133" s="2">
        <v>23</v>
      </c>
      <c r="G133" s="2">
        <v>851</v>
      </c>
      <c r="H133" s="2">
        <v>182</v>
      </c>
      <c r="I133" s="2">
        <v>421</v>
      </c>
      <c r="J133" s="2">
        <v>0.432</v>
      </c>
      <c r="K133" s="2">
        <v>59</v>
      </c>
      <c r="L133" s="2">
        <v>176</v>
      </c>
      <c r="M133" s="2">
        <v>0.33500000000000002</v>
      </c>
      <c r="N133" s="2">
        <v>123</v>
      </c>
      <c r="O133" s="2">
        <v>245</v>
      </c>
      <c r="P133" s="2">
        <v>0.502</v>
      </c>
      <c r="Q133" s="2">
        <v>0.502</v>
      </c>
      <c r="R133" s="2">
        <v>150</v>
      </c>
      <c r="S133" s="2">
        <v>166</v>
      </c>
      <c r="T133" s="2">
        <v>0.90400000000000003</v>
      </c>
      <c r="U133" s="2">
        <v>26</v>
      </c>
      <c r="V133" s="2">
        <v>62</v>
      </c>
      <c r="W133" s="2">
        <v>88</v>
      </c>
      <c r="X133" s="2">
        <v>147</v>
      </c>
      <c r="Y133" s="2">
        <v>26</v>
      </c>
      <c r="Z133" s="2">
        <v>9</v>
      </c>
      <c r="AA133" s="2">
        <v>56</v>
      </c>
      <c r="AB133" s="2">
        <v>56</v>
      </c>
      <c r="AC133" s="2">
        <v>573</v>
      </c>
      <c r="AD133" s="2">
        <v>0</v>
      </c>
      <c r="AE133" s="18">
        <f t="shared" si="2"/>
        <v>2.625</v>
      </c>
    </row>
    <row r="134" spans="1:31" x14ac:dyDescent="0.2">
      <c r="A134" t="s">
        <v>282</v>
      </c>
      <c r="B134" s="2">
        <v>24</v>
      </c>
      <c r="C134" t="s">
        <v>93</v>
      </c>
      <c r="D134" s="2" t="s">
        <v>52</v>
      </c>
      <c r="E134" s="2">
        <v>9</v>
      </c>
      <c r="F134" s="2">
        <v>0</v>
      </c>
      <c r="G134" s="2">
        <v>216</v>
      </c>
      <c r="H134" s="2">
        <v>54</v>
      </c>
      <c r="I134" s="2">
        <v>111</v>
      </c>
      <c r="J134" s="2">
        <v>0.48599999999999999</v>
      </c>
      <c r="K134" s="2">
        <v>22</v>
      </c>
      <c r="L134" s="2">
        <v>52</v>
      </c>
      <c r="M134" s="2">
        <v>0.42299999999999999</v>
      </c>
      <c r="N134" s="2">
        <v>32</v>
      </c>
      <c r="O134" s="2">
        <v>59</v>
      </c>
      <c r="P134" s="2">
        <v>0.54200000000000004</v>
      </c>
      <c r="Q134" s="2">
        <v>0.58599999999999997</v>
      </c>
      <c r="R134" s="2">
        <v>19</v>
      </c>
      <c r="S134" s="2">
        <v>21</v>
      </c>
      <c r="T134" s="2">
        <v>0.90500000000000003</v>
      </c>
      <c r="U134" s="2">
        <v>3</v>
      </c>
      <c r="V134" s="2">
        <v>14</v>
      </c>
      <c r="W134" s="2">
        <v>17</v>
      </c>
      <c r="X134" s="2">
        <v>25</v>
      </c>
      <c r="Y134" s="2">
        <v>10</v>
      </c>
      <c r="Z134" s="2">
        <v>4</v>
      </c>
      <c r="AA134" s="2">
        <v>15</v>
      </c>
      <c r="AB134" s="2">
        <v>20</v>
      </c>
      <c r="AC134" s="2">
        <v>149</v>
      </c>
      <c r="AD134" s="2">
        <v>0</v>
      </c>
      <c r="AE134" s="18">
        <f t="shared" si="2"/>
        <v>1.6666666666666667</v>
      </c>
    </row>
    <row r="135" spans="1:31" x14ac:dyDescent="0.2">
      <c r="A135" t="s">
        <v>150</v>
      </c>
      <c r="B135" s="2">
        <v>29</v>
      </c>
      <c r="C135" t="s">
        <v>87</v>
      </c>
      <c r="D135" s="2" t="s">
        <v>49</v>
      </c>
      <c r="E135" s="2">
        <v>25</v>
      </c>
      <c r="F135" s="2">
        <v>25</v>
      </c>
      <c r="G135" s="2">
        <v>782</v>
      </c>
      <c r="H135" s="2">
        <v>117</v>
      </c>
      <c r="I135" s="2">
        <v>276</v>
      </c>
      <c r="J135" s="2">
        <v>0.42399999999999999</v>
      </c>
      <c r="K135" s="2">
        <v>51</v>
      </c>
      <c r="L135" s="2">
        <v>134</v>
      </c>
      <c r="M135" s="2">
        <v>0.38100000000000001</v>
      </c>
      <c r="N135" s="2">
        <v>66</v>
      </c>
      <c r="O135" s="2">
        <v>142</v>
      </c>
      <c r="P135" s="2">
        <v>0.46500000000000002</v>
      </c>
      <c r="Q135" s="2">
        <v>0.51600000000000001</v>
      </c>
      <c r="R135" s="2">
        <v>30</v>
      </c>
      <c r="S135" s="2">
        <v>36</v>
      </c>
      <c r="T135" s="2">
        <v>0.83299999999999996</v>
      </c>
      <c r="U135" s="2">
        <v>31</v>
      </c>
      <c r="V135" s="2">
        <v>62</v>
      </c>
      <c r="W135" s="2">
        <v>93</v>
      </c>
      <c r="X135" s="2">
        <v>39</v>
      </c>
      <c r="Y135" s="2">
        <v>16</v>
      </c>
      <c r="Z135" s="2">
        <v>8</v>
      </c>
      <c r="AA135" s="2">
        <v>25</v>
      </c>
      <c r="AB135" s="2">
        <v>83</v>
      </c>
      <c r="AC135" s="2">
        <v>315</v>
      </c>
      <c r="AD135" s="2">
        <v>0</v>
      </c>
      <c r="AE135" s="18">
        <f t="shared" si="2"/>
        <v>1.56</v>
      </c>
    </row>
    <row r="136" spans="1:31" x14ac:dyDescent="0.2">
      <c r="A136" t="s">
        <v>404</v>
      </c>
      <c r="B136" s="2">
        <v>23</v>
      </c>
      <c r="C136" t="s">
        <v>32</v>
      </c>
      <c r="D136" s="2" t="s">
        <v>49</v>
      </c>
      <c r="E136" s="2">
        <v>21</v>
      </c>
      <c r="F136" s="2">
        <v>0</v>
      </c>
      <c r="G136" s="2">
        <v>177</v>
      </c>
      <c r="H136" s="2">
        <v>19</v>
      </c>
      <c r="I136" s="2">
        <v>55</v>
      </c>
      <c r="J136" s="2">
        <v>0.34499999999999997</v>
      </c>
      <c r="K136" s="2">
        <v>7</v>
      </c>
      <c r="L136" s="2">
        <v>33</v>
      </c>
      <c r="M136" s="2">
        <v>0.21199999999999999</v>
      </c>
      <c r="N136" s="2">
        <v>12</v>
      </c>
      <c r="O136" s="2">
        <v>22</v>
      </c>
      <c r="P136" s="2">
        <v>0.54500000000000004</v>
      </c>
      <c r="Q136" s="2">
        <v>0.40899999999999997</v>
      </c>
      <c r="R136" s="2">
        <v>5</v>
      </c>
      <c r="S136" s="2">
        <v>8</v>
      </c>
      <c r="T136" s="2">
        <v>0.625</v>
      </c>
      <c r="U136" s="2">
        <v>16</v>
      </c>
      <c r="V136" s="2">
        <v>26</v>
      </c>
      <c r="W136" s="2">
        <v>42</v>
      </c>
      <c r="X136" s="2">
        <v>15</v>
      </c>
      <c r="Y136" s="2">
        <v>4</v>
      </c>
      <c r="Z136" s="2">
        <v>1</v>
      </c>
      <c r="AA136" s="2">
        <v>8</v>
      </c>
      <c r="AB136" s="2">
        <v>19</v>
      </c>
      <c r="AC136" s="2">
        <v>50</v>
      </c>
      <c r="AD136" s="2">
        <v>0</v>
      </c>
      <c r="AE136" s="18">
        <f t="shared" si="2"/>
        <v>1.875</v>
      </c>
    </row>
    <row r="137" spans="1:31" x14ac:dyDescent="0.2">
      <c r="A137" t="s">
        <v>78</v>
      </c>
      <c r="B137" s="2">
        <v>28</v>
      </c>
      <c r="C137" t="s">
        <v>37</v>
      </c>
      <c r="D137" s="2" t="s">
        <v>42</v>
      </c>
      <c r="E137" s="2">
        <v>24</v>
      </c>
      <c r="F137" s="2">
        <v>24</v>
      </c>
      <c r="G137" s="2">
        <v>859</v>
      </c>
      <c r="H137" s="2">
        <v>194</v>
      </c>
      <c r="I137" s="2">
        <v>309</v>
      </c>
      <c r="J137" s="2">
        <v>0.628</v>
      </c>
      <c r="K137" s="2">
        <v>25</v>
      </c>
      <c r="L137" s="2">
        <v>57</v>
      </c>
      <c r="M137" s="2">
        <v>0.439</v>
      </c>
      <c r="N137" s="2">
        <v>169</v>
      </c>
      <c r="O137" s="2">
        <v>252</v>
      </c>
      <c r="P137" s="2">
        <v>0.67100000000000004</v>
      </c>
      <c r="Q137" s="2">
        <v>0.66800000000000004</v>
      </c>
      <c r="R137" s="2">
        <v>97</v>
      </c>
      <c r="S137" s="2">
        <v>117</v>
      </c>
      <c r="T137" s="2">
        <v>0.82899999999999996</v>
      </c>
      <c r="U137" s="2">
        <v>81</v>
      </c>
      <c r="V137" s="2">
        <v>232</v>
      </c>
      <c r="W137" s="4">
        <v>313</v>
      </c>
      <c r="X137" s="2">
        <v>145</v>
      </c>
      <c r="Y137" s="2">
        <v>18</v>
      </c>
      <c r="Z137" s="2">
        <v>10</v>
      </c>
      <c r="AA137" s="2">
        <v>76</v>
      </c>
      <c r="AB137" s="2">
        <v>83</v>
      </c>
      <c r="AC137" s="2">
        <v>510</v>
      </c>
      <c r="AD137" s="2">
        <v>4</v>
      </c>
      <c r="AE137" s="18">
        <f t="shared" si="2"/>
        <v>1.9078947368421053</v>
      </c>
    </row>
    <row r="138" spans="1:31" x14ac:dyDescent="0.2">
      <c r="A138" t="s">
        <v>552</v>
      </c>
      <c r="B138" s="2">
        <v>21</v>
      </c>
      <c r="C138" t="s">
        <v>72</v>
      </c>
      <c r="D138" s="2" t="s">
        <v>49</v>
      </c>
      <c r="E138" s="2">
        <v>2</v>
      </c>
      <c r="F138" s="2">
        <v>0</v>
      </c>
      <c r="G138" s="2">
        <v>11</v>
      </c>
      <c r="H138" s="2">
        <v>0</v>
      </c>
      <c r="I138" s="2">
        <v>1</v>
      </c>
      <c r="J138" s="2">
        <v>0</v>
      </c>
      <c r="K138" s="2">
        <v>0</v>
      </c>
      <c r="L138" s="2">
        <v>0</v>
      </c>
      <c r="M138" s="2"/>
      <c r="N138" s="2">
        <v>0</v>
      </c>
      <c r="O138" s="2">
        <v>1</v>
      </c>
      <c r="P138" s="2">
        <v>0</v>
      </c>
      <c r="Q138" s="2">
        <v>0</v>
      </c>
      <c r="R138" s="2">
        <v>1</v>
      </c>
      <c r="S138" s="2">
        <v>2</v>
      </c>
      <c r="T138" s="2">
        <v>0.5</v>
      </c>
      <c r="U138" s="2">
        <v>0</v>
      </c>
      <c r="V138" s="2">
        <v>0</v>
      </c>
      <c r="W138" s="2">
        <v>0</v>
      </c>
      <c r="X138" s="2">
        <v>0</v>
      </c>
      <c r="Y138" s="2">
        <v>0</v>
      </c>
      <c r="Z138" s="2">
        <v>0</v>
      </c>
      <c r="AA138" s="2">
        <v>0</v>
      </c>
      <c r="AB138" s="2">
        <v>1</v>
      </c>
      <c r="AC138" s="2">
        <v>1</v>
      </c>
      <c r="AD138" s="2">
        <v>0</v>
      </c>
      <c r="AE138" s="18" t="e">
        <f t="shared" si="2"/>
        <v>#DIV/0!</v>
      </c>
    </row>
    <row r="139" spans="1:31" x14ac:dyDescent="0.2">
      <c r="A139" t="s">
        <v>339</v>
      </c>
      <c r="B139" s="2">
        <v>20</v>
      </c>
      <c r="C139" t="s">
        <v>135</v>
      </c>
      <c r="D139" s="2" t="s">
        <v>42</v>
      </c>
      <c r="E139" s="2">
        <v>17</v>
      </c>
      <c r="F139" s="2">
        <v>6</v>
      </c>
      <c r="G139" s="2">
        <v>289</v>
      </c>
      <c r="H139" s="2">
        <v>40</v>
      </c>
      <c r="I139" s="2">
        <v>76</v>
      </c>
      <c r="J139" s="2">
        <v>0.52600000000000002</v>
      </c>
      <c r="K139" s="2">
        <v>3</v>
      </c>
      <c r="L139" s="2">
        <v>9</v>
      </c>
      <c r="M139" s="2">
        <v>0.33300000000000002</v>
      </c>
      <c r="N139" s="2">
        <v>37</v>
      </c>
      <c r="O139" s="2">
        <v>67</v>
      </c>
      <c r="P139" s="2">
        <v>0.55200000000000005</v>
      </c>
      <c r="Q139" s="2">
        <v>0.54600000000000004</v>
      </c>
      <c r="R139" s="2">
        <v>16</v>
      </c>
      <c r="S139" s="2">
        <v>22</v>
      </c>
      <c r="T139" s="2">
        <v>0.72699999999999998</v>
      </c>
      <c r="U139" s="2">
        <v>54</v>
      </c>
      <c r="V139" s="2">
        <v>60</v>
      </c>
      <c r="W139" s="2">
        <v>114</v>
      </c>
      <c r="X139" s="2">
        <v>5</v>
      </c>
      <c r="Y139" s="2">
        <v>9</v>
      </c>
      <c r="Z139" s="2">
        <v>37</v>
      </c>
      <c r="AA139" s="2">
        <v>17</v>
      </c>
      <c r="AB139" s="2">
        <v>50</v>
      </c>
      <c r="AC139" s="2">
        <v>99</v>
      </c>
      <c r="AD139" s="2">
        <v>0</v>
      </c>
      <c r="AE139" s="18">
        <f t="shared" si="2"/>
        <v>0.29411764705882354</v>
      </c>
    </row>
    <row r="140" spans="1:31" x14ac:dyDescent="0.2">
      <c r="A140" t="s">
        <v>56</v>
      </c>
      <c r="B140" s="2">
        <v>28</v>
      </c>
      <c r="C140" t="s">
        <v>57</v>
      </c>
      <c r="D140" s="2" t="s">
        <v>52</v>
      </c>
      <c r="E140" s="2">
        <v>24</v>
      </c>
      <c r="F140" s="2">
        <v>24</v>
      </c>
      <c r="G140" s="2">
        <v>765</v>
      </c>
      <c r="H140" s="2">
        <v>204</v>
      </c>
      <c r="I140" s="2">
        <v>452</v>
      </c>
      <c r="J140" s="2">
        <v>0.45100000000000001</v>
      </c>
      <c r="K140" s="2">
        <v>90</v>
      </c>
      <c r="L140" s="2">
        <v>219</v>
      </c>
      <c r="M140" s="2">
        <v>0.41099999999999998</v>
      </c>
      <c r="N140" s="2">
        <v>114</v>
      </c>
      <c r="O140" s="2">
        <v>233</v>
      </c>
      <c r="P140" s="2">
        <v>0.48899999999999999</v>
      </c>
      <c r="Q140" s="2">
        <v>0.55100000000000005</v>
      </c>
      <c r="R140" s="2">
        <v>71</v>
      </c>
      <c r="S140" s="2">
        <v>88</v>
      </c>
      <c r="T140" s="2">
        <v>0.80700000000000005</v>
      </c>
      <c r="U140" s="2">
        <v>14</v>
      </c>
      <c r="V140" s="2">
        <v>100</v>
      </c>
      <c r="W140" s="2">
        <v>114</v>
      </c>
      <c r="X140" s="2">
        <v>105</v>
      </c>
      <c r="Y140" s="2">
        <v>37</v>
      </c>
      <c r="Z140" s="2">
        <v>8</v>
      </c>
      <c r="AA140" s="2">
        <v>53</v>
      </c>
      <c r="AB140" s="2">
        <v>55</v>
      </c>
      <c r="AC140" s="2">
        <v>569</v>
      </c>
      <c r="AD140" s="2">
        <v>0</v>
      </c>
      <c r="AE140" s="18">
        <f t="shared" si="2"/>
        <v>1.9811320754716981</v>
      </c>
    </row>
    <row r="141" spans="1:31" x14ac:dyDescent="0.2">
      <c r="A141" t="s">
        <v>234</v>
      </c>
      <c r="B141" s="2">
        <v>28</v>
      </c>
      <c r="C141" t="s">
        <v>51</v>
      </c>
      <c r="D141" s="2" t="s">
        <v>52</v>
      </c>
      <c r="E141" s="2">
        <v>23</v>
      </c>
      <c r="F141" s="2">
        <v>2</v>
      </c>
      <c r="G141" s="2">
        <v>579</v>
      </c>
      <c r="H141" s="2">
        <v>68</v>
      </c>
      <c r="I141" s="2">
        <v>193</v>
      </c>
      <c r="J141" s="2">
        <v>0.35199999999999998</v>
      </c>
      <c r="K141" s="2">
        <v>49</v>
      </c>
      <c r="L141" s="2">
        <v>152</v>
      </c>
      <c r="M141" s="2">
        <v>0.32200000000000001</v>
      </c>
      <c r="N141" s="2">
        <v>19</v>
      </c>
      <c r="O141" s="2">
        <v>41</v>
      </c>
      <c r="P141" s="2">
        <v>0.46300000000000002</v>
      </c>
      <c r="Q141" s="2">
        <v>0.47899999999999998</v>
      </c>
      <c r="R141" s="2">
        <v>12</v>
      </c>
      <c r="S141" s="2">
        <v>16</v>
      </c>
      <c r="T141" s="2">
        <v>0.75</v>
      </c>
      <c r="U141" s="2">
        <v>8</v>
      </c>
      <c r="V141" s="2">
        <v>61</v>
      </c>
      <c r="W141" s="2">
        <v>69</v>
      </c>
      <c r="X141" s="2">
        <v>82</v>
      </c>
      <c r="Y141" s="2">
        <v>29</v>
      </c>
      <c r="Z141" s="2">
        <v>6</v>
      </c>
      <c r="AA141" s="2">
        <v>39</v>
      </c>
      <c r="AB141" s="2">
        <v>37</v>
      </c>
      <c r="AC141" s="2">
        <v>197</v>
      </c>
      <c r="AD141" s="2">
        <v>0</v>
      </c>
      <c r="AE141" s="18">
        <f t="shared" si="2"/>
        <v>2.1025641025641026</v>
      </c>
    </row>
    <row r="142" spans="1:31" x14ac:dyDescent="0.2">
      <c r="A142" t="s">
        <v>261</v>
      </c>
      <c r="B142" s="2">
        <v>31</v>
      </c>
      <c r="C142" t="s">
        <v>103</v>
      </c>
      <c r="D142" s="2" t="s">
        <v>27</v>
      </c>
      <c r="E142" s="2">
        <v>16</v>
      </c>
      <c r="F142" s="2">
        <v>16</v>
      </c>
      <c r="G142" s="2">
        <v>466</v>
      </c>
      <c r="H142" s="2">
        <v>60</v>
      </c>
      <c r="I142" s="2">
        <v>129</v>
      </c>
      <c r="J142" s="2">
        <v>0.46500000000000002</v>
      </c>
      <c r="K142" s="2">
        <v>38</v>
      </c>
      <c r="L142" s="2">
        <v>88</v>
      </c>
      <c r="M142" s="2">
        <v>0.432</v>
      </c>
      <c r="N142" s="2">
        <v>22</v>
      </c>
      <c r="O142" s="2">
        <v>41</v>
      </c>
      <c r="P142" s="2">
        <v>0.53700000000000003</v>
      </c>
      <c r="Q142" s="2">
        <v>0.61199999999999999</v>
      </c>
      <c r="R142" s="2">
        <v>11</v>
      </c>
      <c r="S142" s="2">
        <v>18</v>
      </c>
      <c r="T142" s="2">
        <v>0.61099999999999999</v>
      </c>
      <c r="U142" s="2">
        <v>27</v>
      </c>
      <c r="V142" s="2">
        <v>41</v>
      </c>
      <c r="W142" s="2">
        <v>68</v>
      </c>
      <c r="X142" s="2">
        <v>28</v>
      </c>
      <c r="Y142" s="2">
        <v>15</v>
      </c>
      <c r="Z142" s="2">
        <v>8</v>
      </c>
      <c r="AA142" s="2">
        <v>16</v>
      </c>
      <c r="AB142" s="2">
        <v>50</v>
      </c>
      <c r="AC142" s="2">
        <v>169</v>
      </c>
      <c r="AD142" s="2">
        <v>0</v>
      </c>
      <c r="AE142" s="18">
        <f t="shared" si="2"/>
        <v>1.75</v>
      </c>
    </row>
    <row r="143" spans="1:31" x14ac:dyDescent="0.2">
      <c r="A143" t="s">
        <v>382</v>
      </c>
      <c r="B143" s="2">
        <v>33</v>
      </c>
      <c r="C143" t="s">
        <v>37</v>
      </c>
      <c r="D143" s="2" t="s">
        <v>49</v>
      </c>
      <c r="E143" s="2">
        <v>19</v>
      </c>
      <c r="F143" s="2">
        <v>2</v>
      </c>
      <c r="G143" s="2">
        <v>155</v>
      </c>
      <c r="H143" s="2">
        <v>22</v>
      </c>
      <c r="I143" s="2">
        <v>55</v>
      </c>
      <c r="J143" s="2">
        <v>0.4</v>
      </c>
      <c r="K143" s="2">
        <v>19</v>
      </c>
      <c r="L143" s="2">
        <v>47</v>
      </c>
      <c r="M143" s="2">
        <v>0.40400000000000003</v>
      </c>
      <c r="N143" s="2">
        <v>3</v>
      </c>
      <c r="O143" s="2">
        <v>8</v>
      </c>
      <c r="P143" s="2">
        <v>0.375</v>
      </c>
      <c r="Q143" s="2">
        <v>0.57299999999999995</v>
      </c>
      <c r="R143" s="2">
        <v>3</v>
      </c>
      <c r="S143" s="2">
        <v>5</v>
      </c>
      <c r="T143" s="2">
        <v>0.6</v>
      </c>
      <c r="U143" s="2">
        <v>1</v>
      </c>
      <c r="V143" s="2">
        <v>13</v>
      </c>
      <c r="W143" s="2">
        <v>14</v>
      </c>
      <c r="X143" s="2">
        <v>3</v>
      </c>
      <c r="Y143" s="2">
        <v>2</v>
      </c>
      <c r="Z143" s="2">
        <v>1</v>
      </c>
      <c r="AA143" s="2">
        <v>2</v>
      </c>
      <c r="AB143" s="2">
        <v>16</v>
      </c>
      <c r="AC143" s="2">
        <v>66</v>
      </c>
      <c r="AD143" s="2">
        <v>0</v>
      </c>
      <c r="AE143" s="18">
        <f t="shared" si="2"/>
        <v>1.5</v>
      </c>
    </row>
    <row r="144" spans="1:31" x14ac:dyDescent="0.2">
      <c r="A144" t="s">
        <v>240</v>
      </c>
      <c r="B144" s="2">
        <v>34</v>
      </c>
      <c r="C144" t="s">
        <v>100</v>
      </c>
      <c r="D144" s="2" t="s">
        <v>27</v>
      </c>
      <c r="E144" s="2">
        <v>22</v>
      </c>
      <c r="F144" s="2">
        <v>21</v>
      </c>
      <c r="G144" s="2">
        <v>629</v>
      </c>
      <c r="H144" s="2">
        <v>66</v>
      </c>
      <c r="I144" s="2">
        <v>149</v>
      </c>
      <c r="J144" s="2">
        <v>0.443</v>
      </c>
      <c r="K144" s="2">
        <v>30</v>
      </c>
      <c r="L144" s="2">
        <v>79</v>
      </c>
      <c r="M144" s="2">
        <v>0.38</v>
      </c>
      <c r="N144" s="2">
        <v>36</v>
      </c>
      <c r="O144" s="2">
        <v>70</v>
      </c>
      <c r="P144" s="2">
        <v>0.51400000000000001</v>
      </c>
      <c r="Q144" s="2">
        <v>0.54400000000000004</v>
      </c>
      <c r="R144" s="2">
        <v>30</v>
      </c>
      <c r="S144" s="2">
        <v>49</v>
      </c>
      <c r="T144" s="2">
        <v>0.61199999999999999</v>
      </c>
      <c r="U144" s="2">
        <v>19</v>
      </c>
      <c r="V144" s="2">
        <v>117</v>
      </c>
      <c r="W144" s="2">
        <v>136</v>
      </c>
      <c r="X144" s="2">
        <v>131</v>
      </c>
      <c r="Y144" s="2">
        <v>23</v>
      </c>
      <c r="Z144" s="2">
        <v>22</v>
      </c>
      <c r="AA144" s="2">
        <v>53</v>
      </c>
      <c r="AB144" s="2">
        <v>74</v>
      </c>
      <c r="AC144" s="2">
        <v>192</v>
      </c>
      <c r="AD144" s="2">
        <v>0</v>
      </c>
      <c r="AE144" s="18">
        <f t="shared" si="2"/>
        <v>2.4716981132075473</v>
      </c>
    </row>
    <row r="145" spans="1:31" x14ac:dyDescent="0.2">
      <c r="A145" t="s">
        <v>353</v>
      </c>
      <c r="B145" s="2">
        <v>27</v>
      </c>
      <c r="C145" t="s">
        <v>120</v>
      </c>
      <c r="D145" s="2" t="s">
        <v>42</v>
      </c>
      <c r="E145" s="2">
        <v>20</v>
      </c>
      <c r="F145" s="2">
        <v>0</v>
      </c>
      <c r="G145" s="2">
        <v>271</v>
      </c>
      <c r="H145" s="2">
        <v>36</v>
      </c>
      <c r="I145" s="2">
        <v>62</v>
      </c>
      <c r="J145" s="2">
        <v>0.58099999999999996</v>
      </c>
      <c r="K145" s="2">
        <v>1</v>
      </c>
      <c r="L145" s="2">
        <v>3</v>
      </c>
      <c r="M145" s="2">
        <v>0.33300000000000002</v>
      </c>
      <c r="N145" s="2">
        <v>35</v>
      </c>
      <c r="O145" s="2">
        <v>59</v>
      </c>
      <c r="P145" s="2">
        <v>0.59299999999999997</v>
      </c>
      <c r="Q145" s="2">
        <v>0.58899999999999997</v>
      </c>
      <c r="R145" s="2">
        <v>17</v>
      </c>
      <c r="S145" s="2">
        <v>27</v>
      </c>
      <c r="T145" s="2">
        <v>0.63</v>
      </c>
      <c r="U145" s="2">
        <v>24</v>
      </c>
      <c r="V145" s="2">
        <v>56</v>
      </c>
      <c r="W145" s="2">
        <v>80</v>
      </c>
      <c r="X145" s="2">
        <v>24</v>
      </c>
      <c r="Y145" s="2">
        <v>5</v>
      </c>
      <c r="Z145" s="2">
        <v>14</v>
      </c>
      <c r="AA145" s="2">
        <v>16</v>
      </c>
      <c r="AB145" s="2">
        <v>24</v>
      </c>
      <c r="AC145" s="2">
        <v>90</v>
      </c>
      <c r="AD145" s="2">
        <v>0</v>
      </c>
      <c r="AE145" s="18">
        <f t="shared" si="2"/>
        <v>1.5</v>
      </c>
    </row>
    <row r="146" spans="1:31" x14ac:dyDescent="0.2">
      <c r="A146" t="s">
        <v>467</v>
      </c>
      <c r="B146" s="2">
        <v>25</v>
      </c>
      <c r="C146" t="s">
        <v>39</v>
      </c>
      <c r="D146" s="2" t="s">
        <v>27</v>
      </c>
      <c r="E146" s="2">
        <v>7</v>
      </c>
      <c r="F146" s="2">
        <v>0</v>
      </c>
      <c r="G146" s="2">
        <v>81</v>
      </c>
      <c r="H146" s="2">
        <v>5</v>
      </c>
      <c r="I146" s="2">
        <v>15</v>
      </c>
      <c r="J146" s="2">
        <v>0.33300000000000002</v>
      </c>
      <c r="K146" s="2">
        <v>4</v>
      </c>
      <c r="L146" s="2">
        <v>13</v>
      </c>
      <c r="M146" s="2">
        <v>0.308</v>
      </c>
      <c r="N146" s="2">
        <v>1</v>
      </c>
      <c r="O146" s="2">
        <v>2</v>
      </c>
      <c r="P146" s="2">
        <v>0.5</v>
      </c>
      <c r="Q146" s="2">
        <v>0.46700000000000003</v>
      </c>
      <c r="R146" s="2">
        <v>6</v>
      </c>
      <c r="S146" s="2">
        <v>7</v>
      </c>
      <c r="T146" s="2">
        <v>0.85699999999999998</v>
      </c>
      <c r="U146" s="2">
        <v>4</v>
      </c>
      <c r="V146" s="2">
        <v>12</v>
      </c>
      <c r="W146" s="2">
        <v>16</v>
      </c>
      <c r="X146" s="2">
        <v>4</v>
      </c>
      <c r="Y146" s="2">
        <v>2</v>
      </c>
      <c r="Z146" s="2">
        <v>2</v>
      </c>
      <c r="AA146" s="2">
        <v>3</v>
      </c>
      <c r="AB146" s="2">
        <v>7</v>
      </c>
      <c r="AC146" s="2">
        <v>20</v>
      </c>
      <c r="AD146" s="2">
        <v>0</v>
      </c>
      <c r="AE146" s="18">
        <f t="shared" si="2"/>
        <v>1.3333333333333333</v>
      </c>
    </row>
    <row r="147" spans="1:31" x14ac:dyDescent="0.2">
      <c r="A147" t="s">
        <v>400</v>
      </c>
      <c r="B147" s="2">
        <v>27</v>
      </c>
      <c r="C147" t="s">
        <v>61</v>
      </c>
      <c r="D147" s="2" t="s">
        <v>52</v>
      </c>
      <c r="E147" s="2">
        <v>10</v>
      </c>
      <c r="F147" s="2">
        <v>0</v>
      </c>
      <c r="G147" s="2">
        <v>174</v>
      </c>
      <c r="H147" s="2">
        <v>20</v>
      </c>
      <c r="I147" s="2">
        <v>42</v>
      </c>
      <c r="J147" s="2">
        <v>0.47599999999999998</v>
      </c>
      <c r="K147" s="2">
        <v>10</v>
      </c>
      <c r="L147" s="2">
        <v>20</v>
      </c>
      <c r="M147" s="2">
        <v>0.5</v>
      </c>
      <c r="N147" s="2">
        <v>10</v>
      </c>
      <c r="O147" s="2">
        <v>22</v>
      </c>
      <c r="P147" s="2">
        <v>0.45500000000000002</v>
      </c>
      <c r="Q147" s="2">
        <v>0.59499999999999997</v>
      </c>
      <c r="R147" s="2">
        <v>4</v>
      </c>
      <c r="S147" s="2">
        <v>6</v>
      </c>
      <c r="T147" s="2">
        <v>0.66700000000000004</v>
      </c>
      <c r="U147" s="2">
        <v>10</v>
      </c>
      <c r="V147" s="2">
        <v>21</v>
      </c>
      <c r="W147" s="2">
        <v>31</v>
      </c>
      <c r="X147" s="2">
        <v>16</v>
      </c>
      <c r="Y147" s="2">
        <v>9</v>
      </c>
      <c r="Z147" s="2">
        <v>5</v>
      </c>
      <c r="AA147" s="2">
        <v>10</v>
      </c>
      <c r="AB147" s="2">
        <v>15</v>
      </c>
      <c r="AC147" s="2">
        <v>54</v>
      </c>
      <c r="AD147" s="2">
        <v>0</v>
      </c>
      <c r="AE147" s="18">
        <f t="shared" si="2"/>
        <v>1.6</v>
      </c>
    </row>
    <row r="148" spans="1:31" x14ac:dyDescent="0.2">
      <c r="A148" t="s">
        <v>198</v>
      </c>
      <c r="B148" s="2">
        <v>30</v>
      </c>
      <c r="C148" t="s">
        <v>61</v>
      </c>
      <c r="D148" s="2" t="s">
        <v>49</v>
      </c>
      <c r="E148" s="2">
        <v>22</v>
      </c>
      <c r="F148" s="2">
        <v>11</v>
      </c>
      <c r="G148" s="2">
        <v>496</v>
      </c>
      <c r="H148" s="2">
        <v>87</v>
      </c>
      <c r="I148" s="2">
        <v>208</v>
      </c>
      <c r="J148" s="2">
        <v>0.41799999999999998</v>
      </c>
      <c r="K148" s="2">
        <v>54</v>
      </c>
      <c r="L148" s="2">
        <v>141</v>
      </c>
      <c r="M148" s="2">
        <v>0.38300000000000001</v>
      </c>
      <c r="N148" s="2">
        <v>33</v>
      </c>
      <c r="O148" s="2">
        <v>67</v>
      </c>
      <c r="P148" s="2">
        <v>0.49299999999999999</v>
      </c>
      <c r="Q148" s="2">
        <v>0.54800000000000004</v>
      </c>
      <c r="R148" s="2">
        <v>15</v>
      </c>
      <c r="S148" s="2">
        <v>18</v>
      </c>
      <c r="T148" s="2">
        <v>0.83299999999999996</v>
      </c>
      <c r="U148" s="2">
        <v>8</v>
      </c>
      <c r="V148" s="2">
        <v>43</v>
      </c>
      <c r="W148" s="2">
        <v>51</v>
      </c>
      <c r="X148" s="2">
        <v>50</v>
      </c>
      <c r="Y148" s="2">
        <v>11</v>
      </c>
      <c r="Z148" s="2">
        <v>3</v>
      </c>
      <c r="AA148" s="2">
        <v>20</v>
      </c>
      <c r="AB148" s="2">
        <v>46</v>
      </c>
      <c r="AC148" s="2">
        <v>243</v>
      </c>
      <c r="AD148" s="2">
        <v>0</v>
      </c>
      <c r="AE148" s="18">
        <f t="shared" si="2"/>
        <v>2.5</v>
      </c>
    </row>
    <row r="149" spans="1:31" x14ac:dyDescent="0.2">
      <c r="A149" t="s">
        <v>447</v>
      </c>
      <c r="B149" s="2">
        <v>28</v>
      </c>
      <c r="C149" t="s">
        <v>135</v>
      </c>
      <c r="D149" s="2" t="s">
        <v>42</v>
      </c>
      <c r="E149" s="2">
        <v>13</v>
      </c>
      <c r="F149" s="2">
        <v>0</v>
      </c>
      <c r="G149" s="2">
        <v>83</v>
      </c>
      <c r="H149" s="2">
        <v>10</v>
      </c>
      <c r="I149" s="2">
        <v>26</v>
      </c>
      <c r="J149" s="2">
        <v>0.38500000000000001</v>
      </c>
      <c r="K149" s="2">
        <v>7</v>
      </c>
      <c r="L149" s="2">
        <v>19</v>
      </c>
      <c r="M149" s="2">
        <v>0.36799999999999999</v>
      </c>
      <c r="N149" s="2">
        <v>3</v>
      </c>
      <c r="O149" s="2">
        <v>7</v>
      </c>
      <c r="P149" s="2">
        <v>0.42899999999999999</v>
      </c>
      <c r="Q149" s="2">
        <v>0.51900000000000002</v>
      </c>
      <c r="R149" s="2">
        <v>0</v>
      </c>
      <c r="S149" s="2">
        <v>0</v>
      </c>
      <c r="T149" s="2"/>
      <c r="U149" s="2">
        <v>6</v>
      </c>
      <c r="V149" s="2">
        <v>7</v>
      </c>
      <c r="W149" s="2">
        <v>13</v>
      </c>
      <c r="X149" s="2">
        <v>3</v>
      </c>
      <c r="Y149" s="2">
        <v>0</v>
      </c>
      <c r="Z149" s="2">
        <v>2</v>
      </c>
      <c r="AA149" s="2">
        <v>1</v>
      </c>
      <c r="AB149" s="2">
        <v>10</v>
      </c>
      <c r="AC149" s="2">
        <v>27</v>
      </c>
      <c r="AD149" s="2">
        <v>0</v>
      </c>
      <c r="AE149" s="18">
        <f t="shared" si="2"/>
        <v>3</v>
      </c>
    </row>
    <row r="150" spans="1:31" x14ac:dyDescent="0.2">
      <c r="A150" t="s">
        <v>434</v>
      </c>
      <c r="B150" s="2">
        <v>33</v>
      </c>
      <c r="C150" t="s">
        <v>63</v>
      </c>
      <c r="D150" s="2" t="s">
        <v>42</v>
      </c>
      <c r="E150" s="2">
        <v>19</v>
      </c>
      <c r="F150" s="2">
        <v>0</v>
      </c>
      <c r="G150" s="2">
        <v>154</v>
      </c>
      <c r="H150" s="2">
        <v>8</v>
      </c>
      <c r="I150" s="2">
        <v>10</v>
      </c>
      <c r="J150" s="2">
        <v>0.8</v>
      </c>
      <c r="K150" s="2">
        <v>0</v>
      </c>
      <c r="L150" s="2">
        <v>0</v>
      </c>
      <c r="M150" s="2"/>
      <c r="N150" s="2">
        <v>8</v>
      </c>
      <c r="O150" s="2">
        <v>10</v>
      </c>
      <c r="P150" s="2">
        <v>0.8</v>
      </c>
      <c r="Q150" s="2">
        <v>0.8</v>
      </c>
      <c r="R150" s="2">
        <v>17</v>
      </c>
      <c r="S150" s="2">
        <v>24</v>
      </c>
      <c r="T150" s="2">
        <v>0.70799999999999996</v>
      </c>
      <c r="U150" s="2">
        <v>12</v>
      </c>
      <c r="V150" s="2">
        <v>22</v>
      </c>
      <c r="W150" s="2">
        <v>34</v>
      </c>
      <c r="X150" s="2">
        <v>13</v>
      </c>
      <c r="Y150" s="2">
        <v>7</v>
      </c>
      <c r="Z150" s="2">
        <v>8</v>
      </c>
      <c r="AA150" s="2">
        <v>5</v>
      </c>
      <c r="AB150" s="2">
        <v>26</v>
      </c>
      <c r="AC150" s="2">
        <v>33</v>
      </c>
      <c r="AD150" s="2">
        <v>0</v>
      </c>
      <c r="AE150" s="18">
        <f t="shared" si="2"/>
        <v>2.6</v>
      </c>
    </row>
    <row r="151" spans="1:31" x14ac:dyDescent="0.2">
      <c r="A151" t="s">
        <v>146</v>
      </c>
      <c r="B151" s="2">
        <v>21</v>
      </c>
      <c r="C151" t="s">
        <v>72</v>
      </c>
      <c r="D151" s="2" t="s">
        <v>52</v>
      </c>
      <c r="E151" s="2">
        <v>24</v>
      </c>
      <c r="F151" s="2">
        <v>24</v>
      </c>
      <c r="G151" s="2">
        <v>811</v>
      </c>
      <c r="H151" s="2">
        <v>135</v>
      </c>
      <c r="I151" s="2">
        <v>302</v>
      </c>
      <c r="J151" s="2">
        <v>0.44700000000000001</v>
      </c>
      <c r="K151" s="2">
        <v>29</v>
      </c>
      <c r="L151" s="2">
        <v>93</v>
      </c>
      <c r="M151" s="2">
        <v>0.312</v>
      </c>
      <c r="N151" s="2">
        <v>106</v>
      </c>
      <c r="O151" s="2">
        <v>209</v>
      </c>
      <c r="P151" s="2">
        <v>0.50700000000000001</v>
      </c>
      <c r="Q151" s="2">
        <v>0.495</v>
      </c>
      <c r="R151" s="2">
        <v>24</v>
      </c>
      <c r="S151" s="2">
        <v>37</v>
      </c>
      <c r="T151" s="2">
        <v>0.64900000000000002</v>
      </c>
      <c r="U151" s="2">
        <v>42</v>
      </c>
      <c r="V151" s="2">
        <v>78</v>
      </c>
      <c r="W151" s="2">
        <v>120</v>
      </c>
      <c r="X151" s="2">
        <v>80</v>
      </c>
      <c r="Y151" s="4">
        <v>73</v>
      </c>
      <c r="Z151" s="2">
        <v>22</v>
      </c>
      <c r="AA151" s="2">
        <v>43</v>
      </c>
      <c r="AB151" s="2">
        <v>66</v>
      </c>
      <c r="AC151" s="2">
        <v>323</v>
      </c>
      <c r="AD151" s="2">
        <v>0</v>
      </c>
      <c r="AE151" s="18">
        <f t="shared" si="2"/>
        <v>1.8604651162790697</v>
      </c>
    </row>
    <row r="152" spans="1:31" x14ac:dyDescent="0.2">
      <c r="A152" t="s">
        <v>487</v>
      </c>
      <c r="B152" s="2">
        <v>24</v>
      </c>
      <c r="C152" t="s">
        <v>70</v>
      </c>
      <c r="D152" s="2" t="s">
        <v>27</v>
      </c>
      <c r="E152" s="2">
        <v>6</v>
      </c>
      <c r="F152" s="2">
        <v>0</v>
      </c>
      <c r="G152" s="2">
        <v>31</v>
      </c>
      <c r="H152" s="2">
        <v>5</v>
      </c>
      <c r="I152" s="2">
        <v>8</v>
      </c>
      <c r="J152" s="2">
        <v>0.625</v>
      </c>
      <c r="K152" s="2">
        <v>3</v>
      </c>
      <c r="L152" s="2">
        <v>6</v>
      </c>
      <c r="M152" s="2">
        <v>0.5</v>
      </c>
      <c r="N152" s="2">
        <v>2</v>
      </c>
      <c r="O152" s="2">
        <v>2</v>
      </c>
      <c r="P152" s="2">
        <v>1</v>
      </c>
      <c r="Q152" s="2">
        <v>0.81299999999999994</v>
      </c>
      <c r="R152" s="2">
        <v>2</v>
      </c>
      <c r="S152" s="2">
        <v>2</v>
      </c>
      <c r="T152" s="2">
        <v>1</v>
      </c>
      <c r="U152" s="2">
        <v>1</v>
      </c>
      <c r="V152" s="2">
        <v>4</v>
      </c>
      <c r="W152" s="2">
        <v>5</v>
      </c>
      <c r="X152" s="2">
        <v>3</v>
      </c>
      <c r="Y152" s="2">
        <v>1</v>
      </c>
      <c r="Z152" s="2">
        <v>1</v>
      </c>
      <c r="AA152" s="2">
        <v>2</v>
      </c>
      <c r="AB152" s="2">
        <v>8</v>
      </c>
      <c r="AC152" s="2">
        <v>15</v>
      </c>
      <c r="AD152" s="2">
        <v>0</v>
      </c>
      <c r="AE152" s="18">
        <f t="shared" si="2"/>
        <v>1.5</v>
      </c>
    </row>
    <row r="153" spans="1:31" x14ac:dyDescent="0.2">
      <c r="A153" t="s">
        <v>408</v>
      </c>
      <c r="B153" s="2">
        <v>30</v>
      </c>
      <c r="C153" t="s">
        <v>117</v>
      </c>
      <c r="D153" s="2" t="s">
        <v>33</v>
      </c>
      <c r="E153" s="2">
        <v>7</v>
      </c>
      <c r="F153" s="2">
        <v>3</v>
      </c>
      <c r="G153" s="2">
        <v>144</v>
      </c>
      <c r="H153" s="2">
        <v>23</v>
      </c>
      <c r="I153" s="2">
        <v>46</v>
      </c>
      <c r="J153" s="2">
        <v>0.5</v>
      </c>
      <c r="K153" s="2">
        <v>0</v>
      </c>
      <c r="L153" s="2">
        <v>1</v>
      </c>
      <c r="M153" s="2">
        <v>0</v>
      </c>
      <c r="N153" s="2">
        <v>23</v>
      </c>
      <c r="O153" s="2">
        <v>45</v>
      </c>
      <c r="P153" s="2">
        <v>0.51100000000000001</v>
      </c>
      <c r="Q153" s="2">
        <v>0.5</v>
      </c>
      <c r="R153" s="2">
        <v>1</v>
      </c>
      <c r="S153" s="2">
        <v>2</v>
      </c>
      <c r="T153" s="2">
        <v>0.5</v>
      </c>
      <c r="U153" s="2">
        <v>5</v>
      </c>
      <c r="V153" s="2">
        <v>19</v>
      </c>
      <c r="W153" s="2">
        <v>24</v>
      </c>
      <c r="X153" s="2">
        <v>48</v>
      </c>
      <c r="Y153" s="2">
        <v>10</v>
      </c>
      <c r="Z153" s="2">
        <v>3</v>
      </c>
      <c r="AA153" s="2">
        <v>20</v>
      </c>
      <c r="AB153" s="2">
        <v>10</v>
      </c>
      <c r="AC153" s="2">
        <v>47</v>
      </c>
      <c r="AD153" s="2">
        <v>0</v>
      </c>
      <c r="AE153" s="18">
        <f t="shared" si="2"/>
        <v>2.4</v>
      </c>
    </row>
    <row r="154" spans="1:31" x14ac:dyDescent="0.2">
      <c r="A154" t="s">
        <v>458</v>
      </c>
      <c r="B154" s="2">
        <v>24</v>
      </c>
      <c r="C154" t="s">
        <v>82</v>
      </c>
      <c r="D154" s="2" t="s">
        <v>27</v>
      </c>
      <c r="E154" s="2">
        <v>15</v>
      </c>
      <c r="F154" s="2">
        <v>1</v>
      </c>
      <c r="G154" s="2">
        <v>111</v>
      </c>
      <c r="H154" s="2">
        <v>8</v>
      </c>
      <c r="I154" s="2">
        <v>18</v>
      </c>
      <c r="J154" s="2">
        <v>0.44400000000000001</v>
      </c>
      <c r="K154" s="2">
        <v>1</v>
      </c>
      <c r="L154" s="2">
        <v>5</v>
      </c>
      <c r="M154" s="2">
        <v>0.2</v>
      </c>
      <c r="N154" s="2">
        <v>7</v>
      </c>
      <c r="O154" s="2">
        <v>13</v>
      </c>
      <c r="P154" s="2">
        <v>0.53800000000000003</v>
      </c>
      <c r="Q154" s="2">
        <v>0.47199999999999998</v>
      </c>
      <c r="R154" s="2">
        <v>5</v>
      </c>
      <c r="S154" s="2">
        <v>9</v>
      </c>
      <c r="T154" s="2">
        <v>0.55600000000000005</v>
      </c>
      <c r="U154" s="2">
        <v>3</v>
      </c>
      <c r="V154" s="2">
        <v>9</v>
      </c>
      <c r="W154" s="2">
        <v>12</v>
      </c>
      <c r="X154" s="2">
        <v>6</v>
      </c>
      <c r="Y154" s="2">
        <v>2</v>
      </c>
      <c r="Z154" s="2">
        <v>2</v>
      </c>
      <c r="AA154" s="2">
        <v>4</v>
      </c>
      <c r="AB154" s="2">
        <v>15</v>
      </c>
      <c r="AC154" s="2">
        <v>22</v>
      </c>
      <c r="AD154" s="2">
        <v>0</v>
      </c>
      <c r="AE154" s="18">
        <f t="shared" si="2"/>
        <v>1.5</v>
      </c>
    </row>
    <row r="155" spans="1:31" x14ac:dyDescent="0.2">
      <c r="A155" t="s">
        <v>367</v>
      </c>
      <c r="B155" s="2">
        <v>36</v>
      </c>
      <c r="C155" t="s">
        <v>122</v>
      </c>
      <c r="D155" s="2" t="s">
        <v>52</v>
      </c>
      <c r="E155" s="2">
        <v>16</v>
      </c>
      <c r="F155" s="2">
        <v>1</v>
      </c>
      <c r="G155" s="2">
        <v>264</v>
      </c>
      <c r="H155" s="2">
        <v>25</v>
      </c>
      <c r="I155" s="2">
        <v>77</v>
      </c>
      <c r="J155" s="2">
        <v>0.32500000000000001</v>
      </c>
      <c r="K155" s="2">
        <v>10</v>
      </c>
      <c r="L155" s="2">
        <v>42</v>
      </c>
      <c r="M155" s="2">
        <v>0.23799999999999999</v>
      </c>
      <c r="N155" s="2">
        <v>15</v>
      </c>
      <c r="O155" s="2">
        <v>35</v>
      </c>
      <c r="P155" s="2">
        <v>0.42899999999999999</v>
      </c>
      <c r="Q155" s="2">
        <v>0.39</v>
      </c>
      <c r="R155" s="2">
        <v>17</v>
      </c>
      <c r="S155" s="2">
        <v>22</v>
      </c>
      <c r="T155" s="2">
        <v>0.77300000000000002</v>
      </c>
      <c r="U155" s="2">
        <v>3</v>
      </c>
      <c r="V155" s="2">
        <v>12</v>
      </c>
      <c r="W155" s="2">
        <v>15</v>
      </c>
      <c r="X155" s="2">
        <v>21</v>
      </c>
      <c r="Y155" s="2">
        <v>10</v>
      </c>
      <c r="Z155" s="2">
        <v>5</v>
      </c>
      <c r="AA155" s="2">
        <v>13</v>
      </c>
      <c r="AB155" s="2">
        <v>13</v>
      </c>
      <c r="AC155" s="2">
        <v>77</v>
      </c>
      <c r="AD155" s="2">
        <v>0</v>
      </c>
      <c r="AE155" s="18">
        <f t="shared" si="2"/>
        <v>1.6153846153846154</v>
      </c>
    </row>
    <row r="156" spans="1:31" x14ac:dyDescent="0.2">
      <c r="A156" t="s">
        <v>96</v>
      </c>
      <c r="B156" s="2">
        <v>23</v>
      </c>
      <c r="C156" t="s">
        <v>57</v>
      </c>
      <c r="D156" s="2" t="s">
        <v>27</v>
      </c>
      <c r="E156" s="2">
        <v>24</v>
      </c>
      <c r="F156" s="2">
        <v>24</v>
      </c>
      <c r="G156" s="2">
        <v>736</v>
      </c>
      <c r="H156" s="2">
        <v>169</v>
      </c>
      <c r="I156" s="2">
        <v>303</v>
      </c>
      <c r="J156" s="2">
        <v>0.55800000000000005</v>
      </c>
      <c r="K156" s="2">
        <v>22</v>
      </c>
      <c r="L156" s="2">
        <v>55</v>
      </c>
      <c r="M156" s="2">
        <v>0.4</v>
      </c>
      <c r="N156" s="2">
        <v>147</v>
      </c>
      <c r="O156" s="2">
        <v>248</v>
      </c>
      <c r="P156" s="2">
        <v>0.59299999999999997</v>
      </c>
      <c r="Q156" s="2">
        <v>0.59399999999999997</v>
      </c>
      <c r="R156" s="2">
        <v>78</v>
      </c>
      <c r="S156" s="2">
        <v>98</v>
      </c>
      <c r="T156" s="2">
        <v>0.79600000000000004</v>
      </c>
      <c r="U156" s="2">
        <v>54</v>
      </c>
      <c r="V156" s="2">
        <v>164</v>
      </c>
      <c r="W156" s="2">
        <v>218</v>
      </c>
      <c r="X156" s="2">
        <v>64</v>
      </c>
      <c r="Y156" s="2">
        <v>26</v>
      </c>
      <c r="Z156" s="2">
        <v>37</v>
      </c>
      <c r="AA156" s="2">
        <v>52</v>
      </c>
      <c r="AB156" s="2">
        <v>50</v>
      </c>
      <c r="AC156" s="2">
        <v>438</v>
      </c>
      <c r="AD156" s="2">
        <v>0</v>
      </c>
      <c r="AE156" s="18">
        <f t="shared" si="2"/>
        <v>1.2307692307692308</v>
      </c>
    </row>
    <row r="157" spans="1:31" x14ac:dyDescent="0.2">
      <c r="A157" t="s">
        <v>47</v>
      </c>
      <c r="B157" s="2">
        <v>23</v>
      </c>
      <c r="C157" t="s">
        <v>48</v>
      </c>
      <c r="D157" s="2" t="s">
        <v>49</v>
      </c>
      <c r="E157" s="2">
        <v>25</v>
      </c>
      <c r="F157" s="2">
        <v>25</v>
      </c>
      <c r="G157" s="2">
        <v>829</v>
      </c>
      <c r="H157" s="2">
        <v>220</v>
      </c>
      <c r="I157" s="2">
        <v>473</v>
      </c>
      <c r="J157" s="2">
        <v>0.46500000000000002</v>
      </c>
      <c r="K157" s="2">
        <v>51</v>
      </c>
      <c r="L157" s="2">
        <v>159</v>
      </c>
      <c r="M157" s="2">
        <v>0.32100000000000001</v>
      </c>
      <c r="N157" s="2">
        <v>169</v>
      </c>
      <c r="O157" s="2">
        <v>314</v>
      </c>
      <c r="P157" s="2">
        <v>0.53800000000000003</v>
      </c>
      <c r="Q157" s="2">
        <v>0.51900000000000002</v>
      </c>
      <c r="R157" s="2">
        <v>119</v>
      </c>
      <c r="S157" s="2">
        <v>135</v>
      </c>
      <c r="T157" s="2">
        <v>0.88100000000000001</v>
      </c>
      <c r="U157" s="2">
        <v>23</v>
      </c>
      <c r="V157" s="2">
        <v>117</v>
      </c>
      <c r="W157" s="2">
        <v>140</v>
      </c>
      <c r="X157" s="2">
        <v>142</v>
      </c>
      <c r="Y157" s="2">
        <v>43</v>
      </c>
      <c r="Z157" s="2">
        <v>12</v>
      </c>
      <c r="AA157" s="2">
        <v>61</v>
      </c>
      <c r="AB157" s="2">
        <v>58</v>
      </c>
      <c r="AC157" s="2">
        <v>610</v>
      </c>
      <c r="AD157" s="2">
        <v>0</v>
      </c>
      <c r="AE157" s="18">
        <f t="shared" si="2"/>
        <v>2.3278688524590163</v>
      </c>
    </row>
    <row r="158" spans="1:31" x14ac:dyDescent="0.2">
      <c r="A158" t="s">
        <v>127</v>
      </c>
      <c r="B158" s="2">
        <v>30</v>
      </c>
      <c r="C158" t="s">
        <v>87</v>
      </c>
      <c r="D158" s="2" t="s">
        <v>33</v>
      </c>
      <c r="E158" s="2">
        <v>23</v>
      </c>
      <c r="F158" s="2">
        <v>23</v>
      </c>
      <c r="G158" s="2">
        <v>808</v>
      </c>
      <c r="H158" s="2">
        <v>127</v>
      </c>
      <c r="I158" s="2">
        <v>330</v>
      </c>
      <c r="J158" s="2">
        <v>0.38500000000000001</v>
      </c>
      <c r="K158" s="2">
        <v>56</v>
      </c>
      <c r="L158" s="2">
        <v>177</v>
      </c>
      <c r="M158" s="2">
        <v>0.316</v>
      </c>
      <c r="N158" s="2">
        <v>71</v>
      </c>
      <c r="O158" s="2">
        <v>153</v>
      </c>
      <c r="P158" s="2">
        <v>0.46400000000000002</v>
      </c>
      <c r="Q158" s="2">
        <v>0.47</v>
      </c>
      <c r="R158" s="2">
        <v>49</v>
      </c>
      <c r="S158" s="2">
        <v>59</v>
      </c>
      <c r="T158" s="2">
        <v>0.83099999999999996</v>
      </c>
      <c r="U158" s="2">
        <v>13</v>
      </c>
      <c r="V158" s="2">
        <v>81</v>
      </c>
      <c r="W158" s="2">
        <v>94</v>
      </c>
      <c r="X158" s="2">
        <v>136</v>
      </c>
      <c r="Y158" s="2">
        <v>34</v>
      </c>
      <c r="Z158" s="2">
        <v>10</v>
      </c>
      <c r="AA158" s="2">
        <v>31</v>
      </c>
      <c r="AB158" s="2">
        <v>57</v>
      </c>
      <c r="AC158" s="2">
        <v>359</v>
      </c>
      <c r="AD158" s="2">
        <v>0</v>
      </c>
      <c r="AE158" s="18">
        <f t="shared" si="2"/>
        <v>4.387096774193548</v>
      </c>
    </row>
    <row r="159" spans="1:31" x14ac:dyDescent="0.2">
      <c r="A159" t="s">
        <v>351</v>
      </c>
      <c r="B159" s="2">
        <v>28</v>
      </c>
      <c r="C159" t="s">
        <v>41</v>
      </c>
      <c r="D159" s="2" t="s">
        <v>33</v>
      </c>
      <c r="E159" s="2">
        <v>24</v>
      </c>
      <c r="F159" s="2">
        <v>3</v>
      </c>
      <c r="G159" s="2">
        <v>454</v>
      </c>
      <c r="H159" s="2">
        <v>36</v>
      </c>
      <c r="I159" s="2">
        <v>103</v>
      </c>
      <c r="J159" s="2">
        <v>0.35</v>
      </c>
      <c r="K159" s="2">
        <v>16</v>
      </c>
      <c r="L159" s="2">
        <v>61</v>
      </c>
      <c r="M159" s="2">
        <v>0.26200000000000001</v>
      </c>
      <c r="N159" s="2">
        <v>20</v>
      </c>
      <c r="O159" s="2">
        <v>42</v>
      </c>
      <c r="P159" s="2">
        <v>0.47599999999999998</v>
      </c>
      <c r="Q159" s="2">
        <v>0.42699999999999999</v>
      </c>
      <c r="R159" s="2">
        <v>4</v>
      </c>
      <c r="S159" s="2">
        <v>8</v>
      </c>
      <c r="T159" s="2">
        <v>0.5</v>
      </c>
      <c r="U159" s="2">
        <v>7</v>
      </c>
      <c r="V159" s="2">
        <v>19</v>
      </c>
      <c r="W159" s="2">
        <v>26</v>
      </c>
      <c r="X159" s="2">
        <v>20</v>
      </c>
      <c r="Y159" s="2">
        <v>21</v>
      </c>
      <c r="Z159" s="2">
        <v>2</v>
      </c>
      <c r="AA159" s="2">
        <v>11</v>
      </c>
      <c r="AB159" s="2">
        <v>45</v>
      </c>
      <c r="AC159" s="2">
        <v>92</v>
      </c>
      <c r="AD159" s="2">
        <v>0</v>
      </c>
      <c r="AE159" s="18">
        <f t="shared" si="2"/>
        <v>1.8181818181818181</v>
      </c>
    </row>
    <row r="160" spans="1:31" x14ac:dyDescent="0.2">
      <c r="A160" t="s">
        <v>521</v>
      </c>
      <c r="B160" s="2">
        <v>38</v>
      </c>
      <c r="C160" t="s">
        <v>66</v>
      </c>
      <c r="D160" s="2" t="s">
        <v>52</v>
      </c>
      <c r="E160" s="2">
        <v>8</v>
      </c>
      <c r="F160" s="2">
        <v>0</v>
      </c>
      <c r="G160" s="2">
        <v>31</v>
      </c>
      <c r="H160" s="2">
        <v>2</v>
      </c>
      <c r="I160" s="2">
        <v>6</v>
      </c>
      <c r="J160" s="2">
        <v>0.33300000000000002</v>
      </c>
      <c r="K160" s="2">
        <v>1</v>
      </c>
      <c r="L160" s="2">
        <v>2</v>
      </c>
      <c r="M160" s="2">
        <v>0.5</v>
      </c>
      <c r="N160" s="2">
        <v>1</v>
      </c>
      <c r="O160" s="2">
        <v>4</v>
      </c>
      <c r="P160" s="2">
        <v>0.25</v>
      </c>
      <c r="Q160" s="2">
        <v>0.41699999999999998</v>
      </c>
      <c r="R160" s="2">
        <v>0</v>
      </c>
      <c r="S160" s="2">
        <v>0</v>
      </c>
      <c r="T160" s="2"/>
      <c r="U160" s="2">
        <v>1</v>
      </c>
      <c r="V160" s="2">
        <v>3</v>
      </c>
      <c r="W160" s="2">
        <v>4</v>
      </c>
      <c r="X160" s="2">
        <v>5</v>
      </c>
      <c r="Y160" s="2">
        <v>4</v>
      </c>
      <c r="Z160" s="2">
        <v>1</v>
      </c>
      <c r="AA160" s="2">
        <v>1</v>
      </c>
      <c r="AB160" s="2">
        <v>6</v>
      </c>
      <c r="AC160" s="2">
        <v>5</v>
      </c>
      <c r="AD160" s="2">
        <v>0</v>
      </c>
      <c r="AE160" s="18">
        <f t="shared" si="2"/>
        <v>5</v>
      </c>
    </row>
    <row r="161" spans="1:31" x14ac:dyDescent="0.2">
      <c r="A161" t="s">
        <v>280</v>
      </c>
      <c r="B161" s="2">
        <v>28</v>
      </c>
      <c r="C161" t="s">
        <v>72</v>
      </c>
      <c r="D161" s="2" t="s">
        <v>52</v>
      </c>
      <c r="E161" s="2">
        <v>19</v>
      </c>
      <c r="F161" s="2">
        <v>1</v>
      </c>
      <c r="G161" s="2">
        <v>343</v>
      </c>
      <c r="H161" s="2">
        <v>43</v>
      </c>
      <c r="I161" s="2">
        <v>99</v>
      </c>
      <c r="J161" s="2">
        <v>0.434</v>
      </c>
      <c r="K161" s="2">
        <v>37</v>
      </c>
      <c r="L161" s="2">
        <v>83</v>
      </c>
      <c r="M161" s="2">
        <v>0.44600000000000001</v>
      </c>
      <c r="N161" s="2">
        <v>6</v>
      </c>
      <c r="O161" s="2">
        <v>16</v>
      </c>
      <c r="P161" s="2">
        <v>0.375</v>
      </c>
      <c r="Q161" s="2">
        <v>0.621</v>
      </c>
      <c r="R161" s="2">
        <v>26</v>
      </c>
      <c r="S161" s="2">
        <v>31</v>
      </c>
      <c r="T161" s="2">
        <v>0.83899999999999997</v>
      </c>
      <c r="U161" s="2">
        <v>3</v>
      </c>
      <c r="V161" s="2">
        <v>18</v>
      </c>
      <c r="W161" s="2">
        <v>21</v>
      </c>
      <c r="X161" s="2">
        <v>27</v>
      </c>
      <c r="Y161" s="2">
        <v>13</v>
      </c>
      <c r="Z161" s="2">
        <v>3</v>
      </c>
      <c r="AA161" s="2">
        <v>10</v>
      </c>
      <c r="AB161" s="2">
        <v>34</v>
      </c>
      <c r="AC161" s="2">
        <v>149</v>
      </c>
      <c r="AD161" s="2">
        <v>0</v>
      </c>
      <c r="AE161" s="18">
        <f t="shared" si="2"/>
        <v>2.7</v>
      </c>
    </row>
    <row r="162" spans="1:31" x14ac:dyDescent="0.2">
      <c r="A162" t="s">
        <v>378</v>
      </c>
      <c r="B162" s="2">
        <v>30</v>
      </c>
      <c r="C162" t="s">
        <v>48</v>
      </c>
      <c r="D162" s="2" t="s">
        <v>52</v>
      </c>
      <c r="E162" s="2">
        <v>17</v>
      </c>
      <c r="F162" s="2">
        <v>2</v>
      </c>
      <c r="G162" s="2">
        <v>282</v>
      </c>
      <c r="H162" s="2">
        <v>24</v>
      </c>
      <c r="I162" s="2">
        <v>60</v>
      </c>
      <c r="J162" s="2">
        <v>0.4</v>
      </c>
      <c r="K162" s="2">
        <v>17</v>
      </c>
      <c r="L162" s="2">
        <v>46</v>
      </c>
      <c r="M162" s="2">
        <v>0.37</v>
      </c>
      <c r="N162" s="2">
        <v>7</v>
      </c>
      <c r="O162" s="2">
        <v>14</v>
      </c>
      <c r="P162" s="2">
        <v>0.5</v>
      </c>
      <c r="Q162" s="2">
        <v>0.54200000000000004</v>
      </c>
      <c r="R162" s="2">
        <v>4</v>
      </c>
      <c r="S162" s="2">
        <v>6</v>
      </c>
      <c r="T162" s="2">
        <v>0.66700000000000004</v>
      </c>
      <c r="U162" s="2">
        <v>9</v>
      </c>
      <c r="V162" s="2">
        <v>14</v>
      </c>
      <c r="W162" s="2">
        <v>23</v>
      </c>
      <c r="X162" s="2">
        <v>7</v>
      </c>
      <c r="Y162" s="2">
        <v>9</v>
      </c>
      <c r="Z162" s="2">
        <v>5</v>
      </c>
      <c r="AA162" s="2">
        <v>7</v>
      </c>
      <c r="AB162" s="2">
        <v>13</v>
      </c>
      <c r="AC162" s="2">
        <v>69</v>
      </c>
      <c r="AD162" s="2">
        <v>0</v>
      </c>
      <c r="AE162" s="18">
        <f t="shared" si="2"/>
        <v>1</v>
      </c>
    </row>
    <row r="163" spans="1:31" x14ac:dyDescent="0.2">
      <c r="A163" t="s">
        <v>321</v>
      </c>
      <c r="B163" s="2">
        <v>32</v>
      </c>
      <c r="C163" t="s">
        <v>100</v>
      </c>
      <c r="D163" s="2" t="s">
        <v>52</v>
      </c>
      <c r="E163" s="2">
        <v>24</v>
      </c>
      <c r="F163" s="2">
        <v>4</v>
      </c>
      <c r="G163" s="2">
        <v>325</v>
      </c>
      <c r="H163" s="2">
        <v>51</v>
      </c>
      <c r="I163" s="2">
        <v>93</v>
      </c>
      <c r="J163" s="2">
        <v>0.54800000000000004</v>
      </c>
      <c r="K163" s="2">
        <v>4</v>
      </c>
      <c r="L163" s="2">
        <v>27</v>
      </c>
      <c r="M163" s="2">
        <v>0.14799999999999999</v>
      </c>
      <c r="N163" s="2">
        <v>47</v>
      </c>
      <c r="O163" s="2">
        <v>66</v>
      </c>
      <c r="P163" s="2">
        <v>0.71199999999999997</v>
      </c>
      <c r="Q163" s="2">
        <v>0.56999999999999995</v>
      </c>
      <c r="R163" s="2">
        <v>6</v>
      </c>
      <c r="S163" s="2">
        <v>11</v>
      </c>
      <c r="T163" s="2">
        <v>0.54500000000000004</v>
      </c>
      <c r="U163" s="2">
        <v>28</v>
      </c>
      <c r="V163" s="2">
        <v>39</v>
      </c>
      <c r="W163" s="2">
        <v>67</v>
      </c>
      <c r="X163" s="2">
        <v>29</v>
      </c>
      <c r="Y163" s="2">
        <v>19</v>
      </c>
      <c r="Z163" s="2">
        <v>9</v>
      </c>
      <c r="AA163" s="2">
        <v>14</v>
      </c>
      <c r="AB163" s="2">
        <v>34</v>
      </c>
      <c r="AC163" s="2">
        <v>112</v>
      </c>
      <c r="AD163" s="2">
        <v>0</v>
      </c>
      <c r="AE163" s="18">
        <f t="shared" si="2"/>
        <v>2.0714285714285716</v>
      </c>
    </row>
    <row r="164" spans="1:31" x14ac:dyDescent="0.2">
      <c r="A164" t="s">
        <v>228</v>
      </c>
      <c r="B164" s="2">
        <v>26</v>
      </c>
      <c r="C164" t="s">
        <v>35</v>
      </c>
      <c r="D164" s="2" t="s">
        <v>52</v>
      </c>
      <c r="E164" s="2">
        <v>22</v>
      </c>
      <c r="F164" s="2">
        <v>7</v>
      </c>
      <c r="G164" s="2">
        <v>571</v>
      </c>
      <c r="H164" s="2">
        <v>69</v>
      </c>
      <c r="I164" s="2">
        <v>166</v>
      </c>
      <c r="J164" s="2">
        <v>0.41599999999999998</v>
      </c>
      <c r="K164" s="2">
        <v>45</v>
      </c>
      <c r="L164" s="2">
        <v>112</v>
      </c>
      <c r="M164" s="2">
        <v>0.40200000000000002</v>
      </c>
      <c r="N164" s="2">
        <v>24</v>
      </c>
      <c r="O164" s="2">
        <v>54</v>
      </c>
      <c r="P164" s="2">
        <v>0.44400000000000001</v>
      </c>
      <c r="Q164" s="2">
        <v>0.55100000000000005</v>
      </c>
      <c r="R164" s="2">
        <v>21</v>
      </c>
      <c r="S164" s="2">
        <v>23</v>
      </c>
      <c r="T164" s="2">
        <v>0.91300000000000003</v>
      </c>
      <c r="U164" s="2">
        <v>3</v>
      </c>
      <c r="V164" s="2">
        <v>41</v>
      </c>
      <c r="W164" s="2">
        <v>44</v>
      </c>
      <c r="X164" s="2">
        <v>22</v>
      </c>
      <c r="Y164" s="2">
        <v>20</v>
      </c>
      <c r="Z164" s="2">
        <v>0</v>
      </c>
      <c r="AA164" s="2">
        <v>12</v>
      </c>
      <c r="AB164" s="2">
        <v>50</v>
      </c>
      <c r="AC164" s="2">
        <v>204</v>
      </c>
      <c r="AD164" s="2">
        <v>0</v>
      </c>
      <c r="AE164" s="18">
        <f t="shared" si="2"/>
        <v>1.8333333333333333</v>
      </c>
    </row>
    <row r="165" spans="1:31" x14ac:dyDescent="0.2">
      <c r="A165" t="s">
        <v>221</v>
      </c>
      <c r="B165" s="2">
        <v>31</v>
      </c>
      <c r="C165" t="s">
        <v>57</v>
      </c>
      <c r="D165" s="2" t="s">
        <v>27</v>
      </c>
      <c r="E165" s="2">
        <v>25</v>
      </c>
      <c r="F165" s="2">
        <v>1</v>
      </c>
      <c r="G165" s="2">
        <v>514</v>
      </c>
      <c r="H165" s="2">
        <v>80</v>
      </c>
      <c r="I165" s="2">
        <v>173</v>
      </c>
      <c r="J165" s="2">
        <v>0.46200000000000002</v>
      </c>
      <c r="K165" s="2">
        <v>41</v>
      </c>
      <c r="L165" s="2">
        <v>114</v>
      </c>
      <c r="M165" s="2">
        <v>0.36</v>
      </c>
      <c r="N165" s="2">
        <v>39</v>
      </c>
      <c r="O165" s="2">
        <v>59</v>
      </c>
      <c r="P165" s="2">
        <v>0.66100000000000003</v>
      </c>
      <c r="Q165" s="2">
        <v>0.58099999999999996</v>
      </c>
      <c r="R165" s="2">
        <v>10</v>
      </c>
      <c r="S165" s="2">
        <v>13</v>
      </c>
      <c r="T165" s="2">
        <v>0.76900000000000002</v>
      </c>
      <c r="U165" s="2">
        <v>15</v>
      </c>
      <c r="V165" s="2">
        <v>81</v>
      </c>
      <c r="W165" s="2">
        <v>96</v>
      </c>
      <c r="X165" s="2">
        <v>31</v>
      </c>
      <c r="Y165" s="2">
        <v>9</v>
      </c>
      <c r="Z165" s="2">
        <v>5</v>
      </c>
      <c r="AA165" s="2">
        <v>25</v>
      </c>
      <c r="AB165" s="2">
        <v>56</v>
      </c>
      <c r="AC165" s="2">
        <v>211</v>
      </c>
      <c r="AD165" s="2">
        <v>0</v>
      </c>
      <c r="AE165" s="18">
        <f t="shared" si="2"/>
        <v>1.24</v>
      </c>
    </row>
    <row r="166" spans="1:31" x14ac:dyDescent="0.2">
      <c r="A166" t="s">
        <v>34</v>
      </c>
      <c r="B166" s="2">
        <v>30</v>
      </c>
      <c r="C166" t="s">
        <v>35</v>
      </c>
      <c r="D166" s="2" t="s">
        <v>27</v>
      </c>
      <c r="E166" s="2">
        <v>22</v>
      </c>
      <c r="F166" s="2">
        <v>22</v>
      </c>
      <c r="G166" s="2">
        <v>772</v>
      </c>
      <c r="H166" s="4">
        <v>284</v>
      </c>
      <c r="I166" s="2">
        <v>464</v>
      </c>
      <c r="J166" s="2">
        <v>0.61199999999999999</v>
      </c>
      <c r="K166" s="2">
        <v>3</v>
      </c>
      <c r="L166" s="2">
        <v>17</v>
      </c>
      <c r="M166" s="2">
        <v>0.17599999999999999</v>
      </c>
      <c r="N166" s="4">
        <v>281</v>
      </c>
      <c r="O166" s="4">
        <v>447</v>
      </c>
      <c r="P166" s="2">
        <v>0.629</v>
      </c>
      <c r="Q166" s="2">
        <v>0.61499999999999999</v>
      </c>
      <c r="R166" s="2">
        <v>149</v>
      </c>
      <c r="S166" s="4">
        <v>244</v>
      </c>
      <c r="T166" s="2">
        <v>0.61099999999999999</v>
      </c>
      <c r="U166" s="2">
        <v>45</v>
      </c>
      <c r="V166" s="2">
        <v>205</v>
      </c>
      <c r="W166" s="2">
        <v>250</v>
      </c>
      <c r="X166" s="2">
        <v>132</v>
      </c>
      <c r="Y166" s="2">
        <v>13</v>
      </c>
      <c r="Z166" s="2">
        <v>32</v>
      </c>
      <c r="AA166" s="2">
        <v>76</v>
      </c>
      <c r="AB166" s="2">
        <v>53</v>
      </c>
      <c r="AC166" s="2">
        <v>720</v>
      </c>
      <c r="AD166" s="2">
        <v>3</v>
      </c>
      <c r="AE166" s="18">
        <f t="shared" si="2"/>
        <v>1.736842105263158</v>
      </c>
    </row>
    <row r="167" spans="1:31" x14ac:dyDescent="0.2">
      <c r="A167" t="s">
        <v>235</v>
      </c>
      <c r="B167" s="2">
        <v>25</v>
      </c>
      <c r="C167" t="s">
        <v>48</v>
      </c>
      <c r="D167" s="2" t="s">
        <v>42</v>
      </c>
      <c r="E167" s="2">
        <v>22</v>
      </c>
      <c r="F167" s="2">
        <v>19</v>
      </c>
      <c r="G167" s="2">
        <v>516</v>
      </c>
      <c r="H167" s="2">
        <v>82</v>
      </c>
      <c r="I167" s="2">
        <v>129</v>
      </c>
      <c r="J167" s="2">
        <v>0.63600000000000001</v>
      </c>
      <c r="K167" s="2">
        <v>0</v>
      </c>
      <c r="L167" s="2">
        <v>11</v>
      </c>
      <c r="M167" s="2">
        <v>0</v>
      </c>
      <c r="N167" s="2">
        <v>82</v>
      </c>
      <c r="O167" s="2">
        <v>118</v>
      </c>
      <c r="P167" s="2">
        <v>0.69499999999999995</v>
      </c>
      <c r="Q167" s="2">
        <v>0.63600000000000001</v>
      </c>
      <c r="R167" s="2">
        <v>32</v>
      </c>
      <c r="S167" s="2">
        <v>41</v>
      </c>
      <c r="T167" s="2">
        <v>0.78</v>
      </c>
      <c r="U167" s="2">
        <v>63</v>
      </c>
      <c r="V167" s="2">
        <v>104</v>
      </c>
      <c r="W167" s="2">
        <v>167</v>
      </c>
      <c r="X167" s="2">
        <v>43</v>
      </c>
      <c r="Y167" s="2">
        <v>17</v>
      </c>
      <c r="Z167" s="2">
        <v>34</v>
      </c>
      <c r="AA167" s="2">
        <v>29</v>
      </c>
      <c r="AB167" s="2">
        <v>57</v>
      </c>
      <c r="AC167" s="2">
        <v>196</v>
      </c>
      <c r="AD167" s="2">
        <v>0</v>
      </c>
      <c r="AE167" s="18">
        <f t="shared" si="2"/>
        <v>1.4827586206896552</v>
      </c>
    </row>
    <row r="168" spans="1:31" x14ac:dyDescent="0.2">
      <c r="A168" t="s">
        <v>124</v>
      </c>
      <c r="B168" s="2">
        <v>21</v>
      </c>
      <c r="C168" t="s">
        <v>66</v>
      </c>
      <c r="D168" s="2" t="s">
        <v>52</v>
      </c>
      <c r="E168" s="2">
        <v>21</v>
      </c>
      <c r="F168" s="2">
        <v>21</v>
      </c>
      <c r="G168" s="2">
        <v>680</v>
      </c>
      <c r="H168" s="2">
        <v>127</v>
      </c>
      <c r="I168" s="2">
        <v>307</v>
      </c>
      <c r="J168" s="2">
        <v>0.41399999999999998</v>
      </c>
      <c r="K168" s="2">
        <v>53</v>
      </c>
      <c r="L168" s="2">
        <v>155</v>
      </c>
      <c r="M168" s="2">
        <v>0.34200000000000003</v>
      </c>
      <c r="N168" s="2">
        <v>74</v>
      </c>
      <c r="O168" s="2">
        <v>152</v>
      </c>
      <c r="P168" s="2">
        <v>0.48699999999999999</v>
      </c>
      <c r="Q168" s="2">
        <v>0.5</v>
      </c>
      <c r="R168" s="2">
        <v>72</v>
      </c>
      <c r="S168" s="2">
        <v>80</v>
      </c>
      <c r="T168" s="2">
        <v>0.9</v>
      </c>
      <c r="U168" s="2">
        <v>13</v>
      </c>
      <c r="V168" s="2">
        <v>54</v>
      </c>
      <c r="W168" s="2">
        <v>67</v>
      </c>
      <c r="X168" s="2">
        <v>41</v>
      </c>
      <c r="Y168" s="2">
        <v>18</v>
      </c>
      <c r="Z168" s="2">
        <v>5</v>
      </c>
      <c r="AA168" s="2">
        <v>33</v>
      </c>
      <c r="AB168" s="2">
        <v>45</v>
      </c>
      <c r="AC168" s="2">
        <v>379</v>
      </c>
      <c r="AD168" s="2">
        <v>0</v>
      </c>
      <c r="AE168" s="18">
        <f t="shared" si="2"/>
        <v>1.2424242424242424</v>
      </c>
    </row>
    <row r="169" spans="1:31" x14ac:dyDescent="0.2">
      <c r="A169" t="s">
        <v>265</v>
      </c>
      <c r="B169" s="2">
        <v>26</v>
      </c>
      <c r="C169" t="s">
        <v>59</v>
      </c>
      <c r="D169" s="2" t="s">
        <v>27</v>
      </c>
      <c r="E169" s="2">
        <v>16</v>
      </c>
      <c r="F169" s="2">
        <v>7</v>
      </c>
      <c r="G169" s="2">
        <v>479</v>
      </c>
      <c r="H169" s="2">
        <v>54</v>
      </c>
      <c r="I169" s="2">
        <v>123</v>
      </c>
      <c r="J169" s="2">
        <v>0.439</v>
      </c>
      <c r="K169" s="2">
        <v>27</v>
      </c>
      <c r="L169" s="2">
        <v>74</v>
      </c>
      <c r="M169" s="2">
        <v>0.36499999999999999</v>
      </c>
      <c r="N169" s="2">
        <v>27</v>
      </c>
      <c r="O169" s="2">
        <v>49</v>
      </c>
      <c r="P169" s="2">
        <v>0.55100000000000005</v>
      </c>
      <c r="Q169" s="2">
        <v>0.54900000000000004</v>
      </c>
      <c r="R169" s="2">
        <v>31</v>
      </c>
      <c r="S169" s="2">
        <v>37</v>
      </c>
      <c r="T169" s="2">
        <v>0.83799999999999997</v>
      </c>
      <c r="U169" s="2">
        <v>18</v>
      </c>
      <c r="V169" s="2">
        <v>64</v>
      </c>
      <c r="W169" s="2">
        <v>82</v>
      </c>
      <c r="X169" s="2">
        <v>37</v>
      </c>
      <c r="Y169" s="2">
        <v>18</v>
      </c>
      <c r="Z169" s="2">
        <v>13</v>
      </c>
      <c r="AA169" s="2">
        <v>28</v>
      </c>
      <c r="AB169" s="2">
        <v>46</v>
      </c>
      <c r="AC169" s="2">
        <v>166</v>
      </c>
      <c r="AD169" s="2">
        <v>0</v>
      </c>
      <c r="AE169" s="18">
        <f t="shared" si="2"/>
        <v>1.3214285714285714</v>
      </c>
    </row>
    <row r="170" spans="1:31" x14ac:dyDescent="0.2">
      <c r="A170" t="s">
        <v>223</v>
      </c>
      <c r="B170" s="2">
        <v>29</v>
      </c>
      <c r="C170" t="s">
        <v>54</v>
      </c>
      <c r="D170" s="2" t="s">
        <v>52</v>
      </c>
      <c r="E170" s="2">
        <v>19</v>
      </c>
      <c r="F170" s="2">
        <v>1</v>
      </c>
      <c r="G170" s="2">
        <v>453</v>
      </c>
      <c r="H170" s="2">
        <v>64</v>
      </c>
      <c r="I170" s="2">
        <v>152</v>
      </c>
      <c r="J170" s="2">
        <v>0.42099999999999999</v>
      </c>
      <c r="K170" s="2">
        <v>44</v>
      </c>
      <c r="L170" s="2">
        <v>115</v>
      </c>
      <c r="M170" s="2">
        <v>0.38300000000000001</v>
      </c>
      <c r="N170" s="2">
        <v>20</v>
      </c>
      <c r="O170" s="2">
        <v>37</v>
      </c>
      <c r="P170" s="2">
        <v>0.54100000000000004</v>
      </c>
      <c r="Q170" s="2">
        <v>0.56599999999999995</v>
      </c>
      <c r="R170" s="2">
        <v>38</v>
      </c>
      <c r="S170" s="2">
        <v>46</v>
      </c>
      <c r="T170" s="2">
        <v>0.82599999999999996</v>
      </c>
      <c r="U170" s="2">
        <v>10</v>
      </c>
      <c r="V170" s="2">
        <v>45</v>
      </c>
      <c r="W170" s="2">
        <v>55</v>
      </c>
      <c r="X170" s="2">
        <v>37</v>
      </c>
      <c r="Y170" s="2">
        <v>14</v>
      </c>
      <c r="Z170" s="2">
        <v>6</v>
      </c>
      <c r="AA170" s="2">
        <v>23</v>
      </c>
      <c r="AB170" s="2">
        <v>26</v>
      </c>
      <c r="AC170" s="2">
        <v>210</v>
      </c>
      <c r="AD170" s="2">
        <v>0</v>
      </c>
      <c r="AE170" s="18">
        <f t="shared" si="2"/>
        <v>1.6086956521739131</v>
      </c>
    </row>
    <row r="171" spans="1:31" x14ac:dyDescent="0.2">
      <c r="A171" t="s">
        <v>216</v>
      </c>
      <c r="B171" s="2">
        <v>29</v>
      </c>
      <c r="C171" t="s">
        <v>122</v>
      </c>
      <c r="D171" s="2" t="s">
        <v>27</v>
      </c>
      <c r="E171" s="2">
        <v>22</v>
      </c>
      <c r="F171" s="2">
        <v>9</v>
      </c>
      <c r="G171" s="2">
        <v>538</v>
      </c>
      <c r="H171" s="2">
        <v>80</v>
      </c>
      <c r="I171" s="2">
        <v>163</v>
      </c>
      <c r="J171" s="2">
        <v>0.49099999999999999</v>
      </c>
      <c r="K171" s="2">
        <v>34</v>
      </c>
      <c r="L171" s="2">
        <v>86</v>
      </c>
      <c r="M171" s="2">
        <v>0.39500000000000002</v>
      </c>
      <c r="N171" s="2">
        <v>46</v>
      </c>
      <c r="O171" s="2">
        <v>77</v>
      </c>
      <c r="P171" s="2">
        <v>0.59699999999999998</v>
      </c>
      <c r="Q171" s="2">
        <v>0.59499999999999997</v>
      </c>
      <c r="R171" s="2">
        <v>23</v>
      </c>
      <c r="S171" s="2">
        <v>40</v>
      </c>
      <c r="T171" s="2">
        <v>0.57499999999999996</v>
      </c>
      <c r="U171" s="2">
        <v>40</v>
      </c>
      <c r="V171" s="2">
        <v>84</v>
      </c>
      <c r="W171" s="2">
        <v>124</v>
      </c>
      <c r="X171" s="2">
        <v>43</v>
      </c>
      <c r="Y171" s="2">
        <v>15</v>
      </c>
      <c r="Z171" s="2">
        <v>10</v>
      </c>
      <c r="AA171" s="2">
        <v>29</v>
      </c>
      <c r="AB171" s="2">
        <v>60</v>
      </c>
      <c r="AC171" s="2">
        <v>217</v>
      </c>
      <c r="AD171" s="2">
        <v>0</v>
      </c>
      <c r="AE171" s="18">
        <f t="shared" si="2"/>
        <v>1.4827586206896552</v>
      </c>
    </row>
    <row r="172" spans="1:31" x14ac:dyDescent="0.2">
      <c r="A172" t="s">
        <v>512</v>
      </c>
      <c r="B172" s="2">
        <v>22</v>
      </c>
      <c r="C172" t="s">
        <v>100</v>
      </c>
      <c r="D172" s="2" t="s">
        <v>27</v>
      </c>
      <c r="E172" s="2">
        <v>6</v>
      </c>
      <c r="F172" s="2">
        <v>0</v>
      </c>
      <c r="G172" s="2">
        <v>22</v>
      </c>
      <c r="H172" s="2">
        <v>2</v>
      </c>
      <c r="I172" s="2">
        <v>5</v>
      </c>
      <c r="J172" s="2">
        <v>0.4</v>
      </c>
      <c r="K172" s="2">
        <v>1</v>
      </c>
      <c r="L172" s="2">
        <v>3</v>
      </c>
      <c r="M172" s="2">
        <v>0.33300000000000002</v>
      </c>
      <c r="N172" s="2">
        <v>1</v>
      </c>
      <c r="O172" s="2">
        <v>2</v>
      </c>
      <c r="P172" s="2">
        <v>0.5</v>
      </c>
      <c r="Q172" s="2">
        <v>0.5</v>
      </c>
      <c r="R172" s="2">
        <v>1</v>
      </c>
      <c r="S172" s="2">
        <v>2</v>
      </c>
      <c r="T172" s="2">
        <v>0.5</v>
      </c>
      <c r="U172" s="2">
        <v>1</v>
      </c>
      <c r="V172" s="2">
        <v>5</v>
      </c>
      <c r="W172" s="2">
        <v>6</v>
      </c>
      <c r="X172" s="2">
        <v>2</v>
      </c>
      <c r="Y172" s="2">
        <v>0</v>
      </c>
      <c r="Z172" s="2">
        <v>0</v>
      </c>
      <c r="AA172" s="2">
        <v>2</v>
      </c>
      <c r="AB172" s="2">
        <v>3</v>
      </c>
      <c r="AC172" s="2">
        <v>6</v>
      </c>
      <c r="AD172" s="2">
        <v>0</v>
      </c>
      <c r="AE172" s="18">
        <f t="shared" si="2"/>
        <v>1</v>
      </c>
    </row>
    <row r="173" spans="1:31" x14ac:dyDescent="0.2">
      <c r="A173" t="s">
        <v>186</v>
      </c>
      <c r="B173" s="2">
        <v>32</v>
      </c>
      <c r="C173" t="s">
        <v>93</v>
      </c>
      <c r="D173" s="2" t="s">
        <v>27</v>
      </c>
      <c r="E173" s="2">
        <v>24</v>
      </c>
      <c r="F173" s="2">
        <v>24</v>
      </c>
      <c r="G173" s="2">
        <v>688</v>
      </c>
      <c r="H173" s="2">
        <v>86</v>
      </c>
      <c r="I173" s="2">
        <v>177</v>
      </c>
      <c r="J173" s="2">
        <v>0.48599999999999999</v>
      </c>
      <c r="K173" s="2">
        <v>34</v>
      </c>
      <c r="L173" s="2">
        <v>79</v>
      </c>
      <c r="M173" s="2">
        <v>0.43</v>
      </c>
      <c r="N173" s="2">
        <v>52</v>
      </c>
      <c r="O173" s="2">
        <v>98</v>
      </c>
      <c r="P173" s="2">
        <v>0.53100000000000003</v>
      </c>
      <c r="Q173" s="2">
        <v>0.58199999999999996</v>
      </c>
      <c r="R173" s="2">
        <v>58</v>
      </c>
      <c r="S173" s="2">
        <v>71</v>
      </c>
      <c r="T173" s="2">
        <v>0.81699999999999995</v>
      </c>
      <c r="U173" s="2">
        <v>39</v>
      </c>
      <c r="V173" s="2">
        <v>65</v>
      </c>
      <c r="W173" s="2">
        <v>104</v>
      </c>
      <c r="X173" s="2">
        <v>40</v>
      </c>
      <c r="Y173" s="2">
        <v>7</v>
      </c>
      <c r="Z173" s="2">
        <v>5</v>
      </c>
      <c r="AA173" s="2">
        <v>18</v>
      </c>
      <c r="AB173" s="2">
        <v>19</v>
      </c>
      <c r="AC173" s="2">
        <v>264</v>
      </c>
      <c r="AD173" s="2">
        <v>0</v>
      </c>
      <c r="AE173" s="18">
        <f t="shared" si="2"/>
        <v>2.2222222222222223</v>
      </c>
    </row>
    <row r="174" spans="1:31" x14ac:dyDescent="0.2">
      <c r="A174" t="s">
        <v>559</v>
      </c>
      <c r="B174" s="2">
        <v>22</v>
      </c>
      <c r="C174" t="s">
        <v>93</v>
      </c>
      <c r="D174" s="2" t="s">
        <v>49</v>
      </c>
      <c r="E174" s="2">
        <v>1</v>
      </c>
      <c r="F174" s="2">
        <v>0</v>
      </c>
      <c r="G174" s="2">
        <v>7</v>
      </c>
      <c r="H174" s="2">
        <v>0</v>
      </c>
      <c r="I174" s="2">
        <v>1</v>
      </c>
      <c r="J174" s="2">
        <v>0</v>
      </c>
      <c r="K174" s="2">
        <v>0</v>
      </c>
      <c r="L174" s="2">
        <v>0</v>
      </c>
      <c r="M174" s="2"/>
      <c r="N174" s="2">
        <v>0</v>
      </c>
      <c r="O174" s="2">
        <v>1</v>
      </c>
      <c r="P174" s="2">
        <v>0</v>
      </c>
      <c r="Q174" s="2">
        <v>0</v>
      </c>
      <c r="R174" s="2">
        <v>0</v>
      </c>
      <c r="S174" s="2">
        <v>0</v>
      </c>
      <c r="T174" s="2"/>
      <c r="U174" s="2">
        <v>0</v>
      </c>
      <c r="V174" s="2">
        <v>1</v>
      </c>
      <c r="W174" s="2">
        <v>1</v>
      </c>
      <c r="X174" s="2">
        <v>0</v>
      </c>
      <c r="Y174" s="2">
        <v>0</v>
      </c>
      <c r="Z174" s="2">
        <v>0</v>
      </c>
      <c r="AA174" s="2">
        <v>0</v>
      </c>
      <c r="AB174" s="2">
        <v>1</v>
      </c>
      <c r="AC174" s="2">
        <v>0</v>
      </c>
      <c r="AD174" s="2">
        <v>0</v>
      </c>
      <c r="AE174" s="18" t="e">
        <f t="shared" si="2"/>
        <v>#DIV/0!</v>
      </c>
    </row>
    <row r="175" spans="1:31" x14ac:dyDescent="0.2">
      <c r="A175" t="s">
        <v>275</v>
      </c>
      <c r="B175" s="2">
        <v>28</v>
      </c>
      <c r="C175" t="s">
        <v>61</v>
      </c>
      <c r="D175" s="2" t="s">
        <v>49</v>
      </c>
      <c r="E175" s="2">
        <v>21</v>
      </c>
      <c r="F175" s="2">
        <v>15</v>
      </c>
      <c r="G175" s="2">
        <v>527</v>
      </c>
      <c r="H175" s="2">
        <v>56</v>
      </c>
      <c r="I175" s="2">
        <v>118</v>
      </c>
      <c r="J175" s="2">
        <v>0.47499999999999998</v>
      </c>
      <c r="K175" s="2">
        <v>28</v>
      </c>
      <c r="L175" s="2">
        <v>66</v>
      </c>
      <c r="M175" s="2">
        <v>0.42399999999999999</v>
      </c>
      <c r="N175" s="2">
        <v>28</v>
      </c>
      <c r="O175" s="2">
        <v>52</v>
      </c>
      <c r="P175" s="2">
        <v>0.53800000000000003</v>
      </c>
      <c r="Q175" s="2">
        <v>0.59299999999999997</v>
      </c>
      <c r="R175" s="2">
        <v>13</v>
      </c>
      <c r="S175" s="2">
        <v>19</v>
      </c>
      <c r="T175" s="2">
        <v>0.68400000000000005</v>
      </c>
      <c r="U175" s="2">
        <v>17</v>
      </c>
      <c r="V175" s="2">
        <v>47</v>
      </c>
      <c r="W175" s="2">
        <v>64</v>
      </c>
      <c r="X175" s="2">
        <v>23</v>
      </c>
      <c r="Y175" s="2">
        <v>24</v>
      </c>
      <c r="Z175" s="2">
        <v>16</v>
      </c>
      <c r="AA175" s="2">
        <v>14</v>
      </c>
      <c r="AB175" s="2">
        <v>44</v>
      </c>
      <c r="AC175" s="2">
        <v>153</v>
      </c>
      <c r="AD175" s="2">
        <v>0</v>
      </c>
      <c r="AE175" s="18">
        <f t="shared" si="2"/>
        <v>1.6428571428571428</v>
      </c>
    </row>
    <row r="176" spans="1:31" x14ac:dyDescent="0.2">
      <c r="A176" t="s">
        <v>363</v>
      </c>
      <c r="B176" s="2">
        <v>26</v>
      </c>
      <c r="C176" t="s">
        <v>117</v>
      </c>
      <c r="D176" s="2" t="s">
        <v>49</v>
      </c>
      <c r="E176" s="2">
        <v>8</v>
      </c>
      <c r="F176" s="2">
        <v>8</v>
      </c>
      <c r="G176" s="2">
        <v>255</v>
      </c>
      <c r="H176" s="2">
        <v>32</v>
      </c>
      <c r="I176" s="2">
        <v>66</v>
      </c>
      <c r="J176" s="2">
        <v>0.48499999999999999</v>
      </c>
      <c r="K176" s="2">
        <v>8</v>
      </c>
      <c r="L176" s="2">
        <v>28</v>
      </c>
      <c r="M176" s="2">
        <v>0.28599999999999998</v>
      </c>
      <c r="N176" s="2">
        <v>24</v>
      </c>
      <c r="O176" s="2">
        <v>38</v>
      </c>
      <c r="P176" s="2">
        <v>0.63200000000000001</v>
      </c>
      <c r="Q176" s="2">
        <v>0.54500000000000004</v>
      </c>
      <c r="R176" s="2">
        <v>10</v>
      </c>
      <c r="S176" s="2">
        <v>15</v>
      </c>
      <c r="T176" s="2">
        <v>0.66700000000000004</v>
      </c>
      <c r="U176" s="2">
        <v>7</v>
      </c>
      <c r="V176" s="2">
        <v>24</v>
      </c>
      <c r="W176" s="2">
        <v>31</v>
      </c>
      <c r="X176" s="2">
        <v>18</v>
      </c>
      <c r="Y176" s="2">
        <v>14</v>
      </c>
      <c r="Z176" s="2">
        <v>4</v>
      </c>
      <c r="AA176" s="2">
        <v>14</v>
      </c>
      <c r="AB176" s="2">
        <v>23</v>
      </c>
      <c r="AC176" s="2">
        <v>82</v>
      </c>
      <c r="AD176" s="2">
        <v>0</v>
      </c>
      <c r="AE176" s="18">
        <f t="shared" si="2"/>
        <v>1.2857142857142858</v>
      </c>
    </row>
    <row r="177" spans="1:31" x14ac:dyDescent="0.2">
      <c r="A177" t="s">
        <v>424</v>
      </c>
      <c r="B177" s="2">
        <v>24</v>
      </c>
      <c r="C177" t="s">
        <v>46</v>
      </c>
      <c r="D177" s="2" t="s">
        <v>27</v>
      </c>
      <c r="E177" s="2">
        <v>14</v>
      </c>
      <c r="F177" s="2">
        <v>0</v>
      </c>
      <c r="G177" s="2">
        <v>129</v>
      </c>
      <c r="H177" s="2">
        <v>12</v>
      </c>
      <c r="I177" s="2">
        <v>27</v>
      </c>
      <c r="J177" s="2">
        <v>0.44400000000000001</v>
      </c>
      <c r="K177" s="2">
        <v>4</v>
      </c>
      <c r="L177" s="2">
        <v>16</v>
      </c>
      <c r="M177" s="2">
        <v>0.25</v>
      </c>
      <c r="N177" s="2">
        <v>8</v>
      </c>
      <c r="O177" s="2">
        <v>11</v>
      </c>
      <c r="P177" s="2">
        <v>0.72699999999999998</v>
      </c>
      <c r="Q177" s="2">
        <v>0.51900000000000002</v>
      </c>
      <c r="R177" s="2">
        <v>8</v>
      </c>
      <c r="S177" s="2">
        <v>9</v>
      </c>
      <c r="T177" s="2">
        <v>0.88900000000000001</v>
      </c>
      <c r="U177" s="2">
        <v>6</v>
      </c>
      <c r="V177" s="2">
        <v>19</v>
      </c>
      <c r="W177" s="2">
        <v>25</v>
      </c>
      <c r="X177" s="2">
        <v>7</v>
      </c>
      <c r="Y177" s="2">
        <v>2</v>
      </c>
      <c r="Z177" s="2">
        <v>3</v>
      </c>
      <c r="AA177" s="2">
        <v>5</v>
      </c>
      <c r="AB177" s="2">
        <v>15</v>
      </c>
      <c r="AC177" s="2">
        <v>36</v>
      </c>
      <c r="AD177" s="2">
        <v>0</v>
      </c>
      <c r="AE177" s="18">
        <f t="shared" si="2"/>
        <v>1.4</v>
      </c>
    </row>
    <row r="178" spans="1:31" x14ac:dyDescent="0.2">
      <c r="A178" t="s">
        <v>413</v>
      </c>
      <c r="B178" s="2">
        <v>25</v>
      </c>
      <c r="C178" t="s">
        <v>66</v>
      </c>
      <c r="D178" s="2" t="s">
        <v>33</v>
      </c>
      <c r="E178" s="2">
        <v>3</v>
      </c>
      <c r="F178" s="2">
        <v>3</v>
      </c>
      <c r="G178" s="2">
        <v>68</v>
      </c>
      <c r="H178" s="2">
        <v>16</v>
      </c>
      <c r="I178" s="2">
        <v>42</v>
      </c>
      <c r="J178" s="2">
        <v>0.38100000000000001</v>
      </c>
      <c r="K178" s="2">
        <v>6</v>
      </c>
      <c r="L178" s="2">
        <v>16</v>
      </c>
      <c r="M178" s="2">
        <v>0.375</v>
      </c>
      <c r="N178" s="2">
        <v>10</v>
      </c>
      <c r="O178" s="2">
        <v>26</v>
      </c>
      <c r="P178" s="2">
        <v>0.38500000000000001</v>
      </c>
      <c r="Q178" s="2">
        <v>0.45200000000000001</v>
      </c>
      <c r="R178" s="2">
        <v>8</v>
      </c>
      <c r="S178" s="2">
        <v>9</v>
      </c>
      <c r="T178" s="2">
        <v>0.88900000000000001</v>
      </c>
      <c r="U178" s="2">
        <v>1</v>
      </c>
      <c r="V178" s="2">
        <v>5</v>
      </c>
      <c r="W178" s="2">
        <v>6</v>
      </c>
      <c r="X178" s="2">
        <v>12</v>
      </c>
      <c r="Y178" s="2">
        <v>2</v>
      </c>
      <c r="Z178" s="2">
        <v>0</v>
      </c>
      <c r="AA178" s="2">
        <v>4</v>
      </c>
      <c r="AB178" s="2">
        <v>7</v>
      </c>
      <c r="AC178" s="2">
        <v>46</v>
      </c>
      <c r="AD178" s="2">
        <v>0</v>
      </c>
      <c r="AE178" s="18">
        <f t="shared" si="2"/>
        <v>3</v>
      </c>
    </row>
    <row r="179" spans="1:31" x14ac:dyDescent="0.2">
      <c r="A179" t="s">
        <v>385</v>
      </c>
      <c r="B179" s="2">
        <v>24</v>
      </c>
      <c r="C179" t="s">
        <v>37</v>
      </c>
      <c r="D179" s="2" t="s">
        <v>27</v>
      </c>
      <c r="E179" s="2">
        <v>15</v>
      </c>
      <c r="F179" s="2">
        <v>0</v>
      </c>
      <c r="G179" s="2">
        <v>142</v>
      </c>
      <c r="H179" s="2">
        <v>28</v>
      </c>
      <c r="I179" s="2">
        <v>43</v>
      </c>
      <c r="J179" s="2">
        <v>0.65100000000000002</v>
      </c>
      <c r="K179" s="2">
        <v>1</v>
      </c>
      <c r="L179" s="2">
        <v>4</v>
      </c>
      <c r="M179" s="2">
        <v>0.25</v>
      </c>
      <c r="N179" s="2">
        <v>27</v>
      </c>
      <c r="O179" s="2">
        <v>39</v>
      </c>
      <c r="P179" s="2">
        <v>0.69199999999999995</v>
      </c>
      <c r="Q179" s="2">
        <v>0.66300000000000003</v>
      </c>
      <c r="R179" s="2">
        <v>7</v>
      </c>
      <c r="S179" s="2">
        <v>15</v>
      </c>
      <c r="T179" s="2">
        <v>0.46700000000000003</v>
      </c>
      <c r="U179" s="2">
        <v>8</v>
      </c>
      <c r="V179" s="2">
        <v>15</v>
      </c>
      <c r="W179" s="2">
        <v>23</v>
      </c>
      <c r="X179" s="2">
        <v>2</v>
      </c>
      <c r="Y179" s="2">
        <v>1</v>
      </c>
      <c r="Z179" s="2">
        <v>6</v>
      </c>
      <c r="AA179" s="2">
        <v>9</v>
      </c>
      <c r="AB179" s="2">
        <v>21</v>
      </c>
      <c r="AC179" s="2">
        <v>64</v>
      </c>
      <c r="AD179" s="2">
        <v>0</v>
      </c>
      <c r="AE179" s="18">
        <f t="shared" si="2"/>
        <v>0.22222222222222221</v>
      </c>
    </row>
    <row r="180" spans="1:31" x14ac:dyDescent="0.2">
      <c r="A180" t="s">
        <v>307</v>
      </c>
      <c r="B180" s="2">
        <v>24</v>
      </c>
      <c r="C180" t="s">
        <v>57</v>
      </c>
      <c r="D180" s="2" t="s">
        <v>52</v>
      </c>
      <c r="E180" s="2">
        <v>21</v>
      </c>
      <c r="F180" s="2">
        <v>14</v>
      </c>
      <c r="G180" s="2">
        <v>439</v>
      </c>
      <c r="H180" s="2">
        <v>45</v>
      </c>
      <c r="I180" s="2">
        <v>94</v>
      </c>
      <c r="J180" s="2">
        <v>0.47899999999999998</v>
      </c>
      <c r="K180" s="2">
        <v>25</v>
      </c>
      <c r="L180" s="2">
        <v>54</v>
      </c>
      <c r="M180" s="2">
        <v>0.46300000000000002</v>
      </c>
      <c r="N180" s="2">
        <v>20</v>
      </c>
      <c r="O180" s="2">
        <v>40</v>
      </c>
      <c r="P180" s="2">
        <v>0.5</v>
      </c>
      <c r="Q180" s="2">
        <v>0.61199999999999999</v>
      </c>
      <c r="R180" s="2">
        <v>11</v>
      </c>
      <c r="S180" s="2">
        <v>17</v>
      </c>
      <c r="T180" s="2">
        <v>0.64700000000000002</v>
      </c>
      <c r="U180" s="2">
        <v>19</v>
      </c>
      <c r="V180" s="2">
        <v>30</v>
      </c>
      <c r="W180" s="2">
        <v>49</v>
      </c>
      <c r="X180" s="2">
        <v>38</v>
      </c>
      <c r="Y180" s="2">
        <v>15</v>
      </c>
      <c r="Z180" s="2">
        <v>9</v>
      </c>
      <c r="AA180" s="2">
        <v>7</v>
      </c>
      <c r="AB180" s="2">
        <v>43</v>
      </c>
      <c r="AC180" s="2">
        <v>126</v>
      </c>
      <c r="AD180" s="2">
        <v>0</v>
      </c>
      <c r="AE180" s="18">
        <f t="shared" si="2"/>
        <v>5.4285714285714288</v>
      </c>
    </row>
    <row r="181" spans="1:31" x14ac:dyDescent="0.2">
      <c r="A181" t="s">
        <v>394</v>
      </c>
      <c r="B181" s="2">
        <v>20</v>
      </c>
      <c r="C181" t="s">
        <v>120</v>
      </c>
      <c r="D181" s="2" t="s">
        <v>33</v>
      </c>
      <c r="E181" s="2">
        <v>16</v>
      </c>
      <c r="F181" s="2">
        <v>1</v>
      </c>
      <c r="G181" s="2">
        <v>278</v>
      </c>
      <c r="H181" s="2">
        <v>22</v>
      </c>
      <c r="I181" s="2">
        <v>71</v>
      </c>
      <c r="J181" s="2">
        <v>0.31</v>
      </c>
      <c r="K181" s="2">
        <v>4</v>
      </c>
      <c r="L181" s="2">
        <v>27</v>
      </c>
      <c r="M181" s="2">
        <v>0.14799999999999999</v>
      </c>
      <c r="N181" s="2">
        <v>18</v>
      </c>
      <c r="O181" s="2">
        <v>44</v>
      </c>
      <c r="P181" s="2">
        <v>0.40899999999999997</v>
      </c>
      <c r="Q181" s="2">
        <v>0.33800000000000002</v>
      </c>
      <c r="R181" s="2">
        <v>8</v>
      </c>
      <c r="S181" s="2">
        <v>18</v>
      </c>
      <c r="T181" s="2">
        <v>0.44400000000000001</v>
      </c>
      <c r="U181" s="2">
        <v>1</v>
      </c>
      <c r="V181" s="2">
        <v>26</v>
      </c>
      <c r="W181" s="2">
        <v>27</v>
      </c>
      <c r="X181" s="2">
        <v>53</v>
      </c>
      <c r="Y181" s="2">
        <v>15</v>
      </c>
      <c r="Z181" s="2">
        <v>2</v>
      </c>
      <c r="AA181" s="2">
        <v>38</v>
      </c>
      <c r="AB181" s="2">
        <v>29</v>
      </c>
      <c r="AC181" s="2">
        <v>56</v>
      </c>
      <c r="AD181" s="2">
        <v>0</v>
      </c>
      <c r="AE181" s="18">
        <f t="shared" si="2"/>
        <v>1.3947368421052631</v>
      </c>
    </row>
    <row r="182" spans="1:31" x14ac:dyDescent="0.2">
      <c r="A182" t="s">
        <v>555</v>
      </c>
      <c r="B182" s="2">
        <v>23</v>
      </c>
      <c r="C182" t="s">
        <v>37</v>
      </c>
      <c r="D182" s="2" t="s">
        <v>49</v>
      </c>
      <c r="E182" s="2">
        <v>1</v>
      </c>
      <c r="F182" s="2">
        <v>0</v>
      </c>
      <c r="G182" s="2">
        <v>5</v>
      </c>
      <c r="H182" s="2">
        <v>0</v>
      </c>
      <c r="I182" s="2">
        <v>0</v>
      </c>
      <c r="J182" s="2"/>
      <c r="K182" s="2">
        <v>0</v>
      </c>
      <c r="L182" s="2">
        <v>0</v>
      </c>
      <c r="M182" s="2"/>
      <c r="N182" s="2">
        <v>0</v>
      </c>
      <c r="O182" s="2">
        <v>0</v>
      </c>
      <c r="P182" s="2"/>
      <c r="Q182" s="2"/>
      <c r="R182" s="2">
        <v>0</v>
      </c>
      <c r="S182" s="2">
        <v>0</v>
      </c>
      <c r="T182" s="2"/>
      <c r="U182" s="2">
        <v>0</v>
      </c>
      <c r="V182" s="2">
        <v>1</v>
      </c>
      <c r="W182" s="2">
        <v>1</v>
      </c>
      <c r="X182" s="2">
        <v>0</v>
      </c>
      <c r="Y182" s="2">
        <v>0</v>
      </c>
      <c r="Z182" s="2">
        <v>0</v>
      </c>
      <c r="AA182" s="2">
        <v>0</v>
      </c>
      <c r="AB182" s="2">
        <v>1</v>
      </c>
      <c r="AC182" s="2">
        <v>0</v>
      </c>
      <c r="AD182" s="2">
        <v>0</v>
      </c>
      <c r="AE182" s="18" t="e">
        <f t="shared" si="2"/>
        <v>#DIV/0!</v>
      </c>
    </row>
    <row r="183" spans="1:31" x14ac:dyDescent="0.2">
      <c r="A183" t="s">
        <v>332</v>
      </c>
      <c r="B183" s="2">
        <v>26</v>
      </c>
      <c r="C183" t="s">
        <v>32</v>
      </c>
      <c r="D183" s="2" t="s">
        <v>42</v>
      </c>
      <c r="E183" s="2">
        <v>9</v>
      </c>
      <c r="F183" s="2">
        <v>8</v>
      </c>
      <c r="G183" s="2">
        <v>267</v>
      </c>
      <c r="H183" s="2">
        <v>46</v>
      </c>
      <c r="I183" s="2">
        <v>83</v>
      </c>
      <c r="J183" s="2">
        <v>0.55400000000000005</v>
      </c>
      <c r="K183" s="2">
        <v>0</v>
      </c>
      <c r="L183" s="2">
        <v>4</v>
      </c>
      <c r="M183" s="2">
        <v>0</v>
      </c>
      <c r="N183" s="2">
        <v>46</v>
      </c>
      <c r="O183" s="2">
        <v>79</v>
      </c>
      <c r="P183" s="2">
        <v>0.58199999999999996</v>
      </c>
      <c r="Q183" s="2">
        <v>0.55400000000000005</v>
      </c>
      <c r="R183" s="2">
        <v>12</v>
      </c>
      <c r="S183" s="2">
        <v>21</v>
      </c>
      <c r="T183" s="2">
        <v>0.57099999999999995</v>
      </c>
      <c r="U183" s="2">
        <v>30</v>
      </c>
      <c r="V183" s="2">
        <v>85</v>
      </c>
      <c r="W183" s="2">
        <v>115</v>
      </c>
      <c r="X183" s="2">
        <v>39</v>
      </c>
      <c r="Y183" s="2">
        <v>7</v>
      </c>
      <c r="Z183" s="2">
        <v>11</v>
      </c>
      <c r="AA183" s="2">
        <v>19</v>
      </c>
      <c r="AB183" s="2">
        <v>30</v>
      </c>
      <c r="AC183" s="2">
        <v>104</v>
      </c>
      <c r="AD183" s="2">
        <v>0</v>
      </c>
      <c r="AE183" s="18">
        <f t="shared" si="2"/>
        <v>2.0526315789473686</v>
      </c>
    </row>
    <row r="184" spans="1:31" x14ac:dyDescent="0.2">
      <c r="A184" t="s">
        <v>425</v>
      </c>
      <c r="B184" s="2">
        <v>23</v>
      </c>
      <c r="C184" t="s">
        <v>82</v>
      </c>
      <c r="D184" s="2" t="s">
        <v>42</v>
      </c>
      <c r="E184" s="2">
        <v>5</v>
      </c>
      <c r="F184" s="2">
        <v>1</v>
      </c>
      <c r="G184" s="2">
        <v>84</v>
      </c>
      <c r="H184" s="2">
        <v>14</v>
      </c>
      <c r="I184" s="2">
        <v>23</v>
      </c>
      <c r="J184" s="2">
        <v>0.60899999999999999</v>
      </c>
      <c r="K184" s="2">
        <v>0</v>
      </c>
      <c r="L184" s="2">
        <v>0</v>
      </c>
      <c r="M184" s="2"/>
      <c r="N184" s="2">
        <v>14</v>
      </c>
      <c r="O184" s="2">
        <v>23</v>
      </c>
      <c r="P184" s="2">
        <v>0.60899999999999999</v>
      </c>
      <c r="Q184" s="2">
        <v>0.60899999999999999</v>
      </c>
      <c r="R184" s="2">
        <v>7</v>
      </c>
      <c r="S184" s="2">
        <v>14</v>
      </c>
      <c r="T184" s="2">
        <v>0.5</v>
      </c>
      <c r="U184" s="2">
        <v>11</v>
      </c>
      <c r="V184" s="2">
        <v>17</v>
      </c>
      <c r="W184" s="2">
        <v>28</v>
      </c>
      <c r="X184" s="2">
        <v>5</v>
      </c>
      <c r="Y184" s="2">
        <v>3</v>
      </c>
      <c r="Z184" s="2">
        <v>8</v>
      </c>
      <c r="AA184" s="2">
        <v>5</v>
      </c>
      <c r="AB184" s="2">
        <v>14</v>
      </c>
      <c r="AC184" s="2">
        <v>35</v>
      </c>
      <c r="AD184" s="2">
        <v>0</v>
      </c>
      <c r="AE184" s="18">
        <f t="shared" si="2"/>
        <v>1</v>
      </c>
    </row>
    <row r="185" spans="1:31" x14ac:dyDescent="0.2">
      <c r="A185" t="s">
        <v>232</v>
      </c>
      <c r="B185" s="2">
        <v>25</v>
      </c>
      <c r="C185" t="s">
        <v>32</v>
      </c>
      <c r="D185" s="2" t="s">
        <v>52</v>
      </c>
      <c r="E185" s="2">
        <v>22</v>
      </c>
      <c r="F185" s="2">
        <v>9</v>
      </c>
      <c r="G185" s="2">
        <v>473</v>
      </c>
      <c r="H185" s="2">
        <v>70</v>
      </c>
      <c r="I185" s="2">
        <v>170</v>
      </c>
      <c r="J185" s="2">
        <v>0.41199999999999998</v>
      </c>
      <c r="K185" s="2">
        <v>52</v>
      </c>
      <c r="L185" s="2">
        <v>136</v>
      </c>
      <c r="M185" s="2">
        <v>0.38200000000000001</v>
      </c>
      <c r="N185" s="2">
        <v>18</v>
      </c>
      <c r="O185" s="2">
        <v>34</v>
      </c>
      <c r="P185" s="2">
        <v>0.52900000000000003</v>
      </c>
      <c r="Q185" s="2">
        <v>0.56499999999999995</v>
      </c>
      <c r="R185" s="2">
        <v>7</v>
      </c>
      <c r="S185" s="2">
        <v>10</v>
      </c>
      <c r="T185" s="2">
        <v>0.7</v>
      </c>
      <c r="U185" s="2">
        <v>12</v>
      </c>
      <c r="V185" s="2">
        <v>49</v>
      </c>
      <c r="W185" s="2">
        <v>61</v>
      </c>
      <c r="X185" s="2">
        <v>38</v>
      </c>
      <c r="Y185" s="2">
        <v>15</v>
      </c>
      <c r="Z185" s="2">
        <v>5</v>
      </c>
      <c r="AA185" s="2">
        <v>10</v>
      </c>
      <c r="AB185" s="2">
        <v>39</v>
      </c>
      <c r="AC185" s="2">
        <v>199</v>
      </c>
      <c r="AD185" s="2">
        <v>0</v>
      </c>
      <c r="AE185" s="18">
        <f t="shared" si="2"/>
        <v>3.8</v>
      </c>
    </row>
    <row r="186" spans="1:31" x14ac:dyDescent="0.2">
      <c r="A186" t="s">
        <v>272</v>
      </c>
      <c r="B186" s="2">
        <v>23</v>
      </c>
      <c r="C186" t="s">
        <v>75</v>
      </c>
      <c r="D186" s="2" t="s">
        <v>42</v>
      </c>
      <c r="E186" s="2">
        <v>26</v>
      </c>
      <c r="F186" s="2">
        <v>3</v>
      </c>
      <c r="G186" s="2">
        <v>572</v>
      </c>
      <c r="H186" s="2">
        <v>62</v>
      </c>
      <c r="I186" s="2">
        <v>112</v>
      </c>
      <c r="J186" s="2">
        <v>0.55400000000000005</v>
      </c>
      <c r="K186" s="2">
        <v>5</v>
      </c>
      <c r="L186" s="2">
        <v>20</v>
      </c>
      <c r="M186" s="2">
        <v>0.25</v>
      </c>
      <c r="N186" s="2">
        <v>57</v>
      </c>
      <c r="O186" s="2">
        <v>92</v>
      </c>
      <c r="P186" s="2">
        <v>0.62</v>
      </c>
      <c r="Q186" s="2">
        <v>0.57599999999999996</v>
      </c>
      <c r="R186" s="2">
        <v>29</v>
      </c>
      <c r="S186" s="2">
        <v>33</v>
      </c>
      <c r="T186" s="2">
        <v>0.879</v>
      </c>
      <c r="U186" s="2">
        <v>60</v>
      </c>
      <c r="V186" s="2">
        <v>98</v>
      </c>
      <c r="W186" s="2">
        <v>158</v>
      </c>
      <c r="X186" s="2">
        <v>47</v>
      </c>
      <c r="Y186" s="2">
        <v>13</v>
      </c>
      <c r="Z186" s="2">
        <v>34</v>
      </c>
      <c r="AA186" s="2">
        <v>28</v>
      </c>
      <c r="AB186" s="2">
        <v>73</v>
      </c>
      <c r="AC186" s="2">
        <v>158</v>
      </c>
      <c r="AD186" s="2">
        <v>0</v>
      </c>
      <c r="AE186" s="18">
        <f t="shared" si="2"/>
        <v>1.6785714285714286</v>
      </c>
    </row>
    <row r="187" spans="1:31" x14ac:dyDescent="0.2">
      <c r="A187" t="s">
        <v>478</v>
      </c>
      <c r="B187" s="2">
        <v>24</v>
      </c>
      <c r="C187" t="s">
        <v>59</v>
      </c>
      <c r="D187" s="2" t="s">
        <v>52</v>
      </c>
      <c r="E187" s="2">
        <v>2</v>
      </c>
      <c r="F187" s="2">
        <v>0</v>
      </c>
      <c r="G187" s="2">
        <v>29</v>
      </c>
      <c r="H187" s="2">
        <v>5</v>
      </c>
      <c r="I187" s="2">
        <v>11</v>
      </c>
      <c r="J187" s="2">
        <v>0.45500000000000002</v>
      </c>
      <c r="K187" s="2">
        <v>1</v>
      </c>
      <c r="L187" s="2">
        <v>2</v>
      </c>
      <c r="M187" s="2">
        <v>0.5</v>
      </c>
      <c r="N187" s="2">
        <v>4</v>
      </c>
      <c r="O187" s="2">
        <v>9</v>
      </c>
      <c r="P187" s="2">
        <v>0.44400000000000001</v>
      </c>
      <c r="Q187" s="2">
        <v>0.5</v>
      </c>
      <c r="R187" s="2">
        <v>7</v>
      </c>
      <c r="S187" s="2">
        <v>8</v>
      </c>
      <c r="T187" s="2">
        <v>0.875</v>
      </c>
      <c r="U187" s="2">
        <v>3</v>
      </c>
      <c r="V187" s="2">
        <v>2</v>
      </c>
      <c r="W187" s="2">
        <v>5</v>
      </c>
      <c r="X187" s="2">
        <v>4</v>
      </c>
      <c r="Y187" s="2">
        <v>2</v>
      </c>
      <c r="Z187" s="2">
        <v>0</v>
      </c>
      <c r="AA187" s="2">
        <v>3</v>
      </c>
      <c r="AB187" s="2">
        <v>5</v>
      </c>
      <c r="AC187" s="2">
        <v>18</v>
      </c>
      <c r="AD187" s="2">
        <v>0</v>
      </c>
      <c r="AE187" s="18">
        <f t="shared" si="2"/>
        <v>1.3333333333333333</v>
      </c>
    </row>
    <row r="188" spans="1:31" x14ac:dyDescent="0.2">
      <c r="A188" t="s">
        <v>126</v>
      </c>
      <c r="B188" s="2">
        <v>27</v>
      </c>
      <c r="C188" t="s">
        <v>77</v>
      </c>
      <c r="D188" s="2" t="s">
        <v>42</v>
      </c>
      <c r="E188" s="2">
        <v>25</v>
      </c>
      <c r="F188" s="2">
        <v>25</v>
      </c>
      <c r="G188" s="2">
        <v>811</v>
      </c>
      <c r="H188" s="2">
        <v>165</v>
      </c>
      <c r="I188" s="2">
        <v>274</v>
      </c>
      <c r="J188" s="2">
        <v>0.60199999999999998</v>
      </c>
      <c r="K188" s="2">
        <v>0</v>
      </c>
      <c r="L188" s="2">
        <v>0</v>
      </c>
      <c r="M188" s="2"/>
      <c r="N188" s="2">
        <v>165</v>
      </c>
      <c r="O188" s="2">
        <v>274</v>
      </c>
      <c r="P188" s="2">
        <v>0.60199999999999998</v>
      </c>
      <c r="Q188" s="2">
        <v>0.60199999999999998</v>
      </c>
      <c r="R188" s="2">
        <v>39</v>
      </c>
      <c r="S188" s="2">
        <v>73</v>
      </c>
      <c r="T188" s="2">
        <v>0.53400000000000003</v>
      </c>
      <c r="U188" s="2">
        <v>99</v>
      </c>
      <c r="V188" s="2">
        <v>205</v>
      </c>
      <c r="W188" s="2">
        <v>304</v>
      </c>
      <c r="X188" s="2">
        <v>58</v>
      </c>
      <c r="Y188" s="2">
        <v>13</v>
      </c>
      <c r="Z188" s="2">
        <v>26</v>
      </c>
      <c r="AA188" s="2">
        <v>50</v>
      </c>
      <c r="AB188" s="2">
        <v>52</v>
      </c>
      <c r="AC188" s="2">
        <v>369</v>
      </c>
      <c r="AD188" s="2">
        <v>0</v>
      </c>
      <c r="AE188" s="18">
        <f t="shared" si="2"/>
        <v>1.1599999999999999</v>
      </c>
    </row>
    <row r="189" spans="1:31" x14ac:dyDescent="0.2">
      <c r="A189" t="s">
        <v>151</v>
      </c>
      <c r="B189" s="2">
        <v>25</v>
      </c>
      <c r="C189" t="s">
        <v>80</v>
      </c>
      <c r="D189" s="2" t="s">
        <v>33</v>
      </c>
      <c r="E189" s="2">
        <v>14</v>
      </c>
      <c r="F189" s="2">
        <v>14</v>
      </c>
      <c r="G189" s="2">
        <v>394</v>
      </c>
      <c r="H189" s="2">
        <v>102</v>
      </c>
      <c r="I189" s="2">
        <v>223</v>
      </c>
      <c r="J189" s="2">
        <v>0.45700000000000002</v>
      </c>
      <c r="K189" s="2">
        <v>19</v>
      </c>
      <c r="L189" s="2">
        <v>63</v>
      </c>
      <c r="M189" s="2">
        <v>0.30199999999999999</v>
      </c>
      <c r="N189" s="2">
        <v>83</v>
      </c>
      <c r="O189" s="2">
        <v>160</v>
      </c>
      <c r="P189" s="2">
        <v>0.51900000000000002</v>
      </c>
      <c r="Q189" s="2">
        <v>0.5</v>
      </c>
      <c r="R189" s="2">
        <v>81</v>
      </c>
      <c r="S189" s="2">
        <v>95</v>
      </c>
      <c r="T189" s="2">
        <v>0.85299999999999998</v>
      </c>
      <c r="U189" s="2">
        <v>8</v>
      </c>
      <c r="V189" s="2">
        <v>53</v>
      </c>
      <c r="W189" s="2">
        <v>61</v>
      </c>
      <c r="X189" s="2">
        <v>119</v>
      </c>
      <c r="Y189" s="2">
        <v>14</v>
      </c>
      <c r="Z189" s="2">
        <v>5</v>
      </c>
      <c r="AA189" s="2">
        <v>52</v>
      </c>
      <c r="AB189" s="2">
        <v>24</v>
      </c>
      <c r="AC189" s="2">
        <v>304</v>
      </c>
      <c r="AD189" s="2">
        <v>1</v>
      </c>
      <c r="AE189" s="18">
        <f t="shared" si="2"/>
        <v>2.2884615384615383</v>
      </c>
    </row>
    <row r="190" spans="1:31" x14ac:dyDescent="0.2">
      <c r="A190" t="s">
        <v>359</v>
      </c>
      <c r="B190" s="2">
        <v>20</v>
      </c>
      <c r="C190" t="s">
        <v>66</v>
      </c>
      <c r="D190" s="2" t="s">
        <v>52</v>
      </c>
      <c r="E190" s="2">
        <v>12</v>
      </c>
      <c r="F190" s="2">
        <v>4</v>
      </c>
      <c r="G190" s="2">
        <v>227</v>
      </c>
      <c r="H190" s="2">
        <v>33</v>
      </c>
      <c r="I190" s="2">
        <v>92</v>
      </c>
      <c r="J190" s="2">
        <v>0.35899999999999999</v>
      </c>
      <c r="K190" s="2">
        <v>10</v>
      </c>
      <c r="L190" s="2">
        <v>45</v>
      </c>
      <c r="M190" s="2">
        <v>0.222</v>
      </c>
      <c r="N190" s="2">
        <v>23</v>
      </c>
      <c r="O190" s="2">
        <v>47</v>
      </c>
      <c r="P190" s="2">
        <v>0.48899999999999999</v>
      </c>
      <c r="Q190" s="2">
        <v>0.41299999999999998</v>
      </c>
      <c r="R190" s="2">
        <v>10</v>
      </c>
      <c r="S190" s="2">
        <v>14</v>
      </c>
      <c r="T190" s="2">
        <v>0.71399999999999997</v>
      </c>
      <c r="U190" s="2">
        <v>11</v>
      </c>
      <c r="V190" s="2">
        <v>27</v>
      </c>
      <c r="W190" s="2">
        <v>38</v>
      </c>
      <c r="X190" s="2">
        <v>18</v>
      </c>
      <c r="Y190" s="2">
        <v>7</v>
      </c>
      <c r="Z190" s="2">
        <v>3</v>
      </c>
      <c r="AA190" s="2">
        <v>12</v>
      </c>
      <c r="AB190" s="2">
        <v>22</v>
      </c>
      <c r="AC190" s="2">
        <v>86</v>
      </c>
      <c r="AD190" s="2">
        <v>0</v>
      </c>
      <c r="AE190" s="18">
        <f t="shared" si="2"/>
        <v>1.5</v>
      </c>
    </row>
    <row r="191" spans="1:31" x14ac:dyDescent="0.2">
      <c r="A191" t="s">
        <v>166</v>
      </c>
      <c r="B191" s="2">
        <v>21</v>
      </c>
      <c r="C191" t="s">
        <v>87</v>
      </c>
      <c r="D191" s="2" t="s">
        <v>27</v>
      </c>
      <c r="E191" s="2">
        <v>25</v>
      </c>
      <c r="F191" s="2">
        <v>25</v>
      </c>
      <c r="G191" s="2">
        <v>758</v>
      </c>
      <c r="H191" s="2">
        <v>103</v>
      </c>
      <c r="I191" s="2">
        <v>236</v>
      </c>
      <c r="J191" s="2">
        <v>0.436</v>
      </c>
      <c r="K191" s="2">
        <v>43</v>
      </c>
      <c r="L191" s="2">
        <v>122</v>
      </c>
      <c r="M191" s="2">
        <v>0.35199999999999998</v>
      </c>
      <c r="N191" s="2">
        <v>60</v>
      </c>
      <c r="O191" s="2">
        <v>114</v>
      </c>
      <c r="P191" s="2">
        <v>0.52600000000000002</v>
      </c>
      <c r="Q191" s="2">
        <v>0.52800000000000002</v>
      </c>
      <c r="R191" s="2">
        <v>42</v>
      </c>
      <c r="S191" s="2">
        <v>49</v>
      </c>
      <c r="T191" s="2">
        <v>0.85699999999999998</v>
      </c>
      <c r="U191" s="2">
        <v>43</v>
      </c>
      <c r="V191" s="2">
        <v>127</v>
      </c>
      <c r="W191" s="2">
        <v>170</v>
      </c>
      <c r="X191" s="2">
        <v>22</v>
      </c>
      <c r="Y191" s="2">
        <v>7</v>
      </c>
      <c r="Z191" s="2">
        <v>24</v>
      </c>
      <c r="AA191" s="2">
        <v>16</v>
      </c>
      <c r="AB191" s="2">
        <v>62</v>
      </c>
      <c r="AC191" s="2">
        <v>291</v>
      </c>
      <c r="AD191" s="2">
        <v>0</v>
      </c>
      <c r="AE191" s="18">
        <f t="shared" si="2"/>
        <v>1.375</v>
      </c>
    </row>
    <row r="192" spans="1:31" x14ac:dyDescent="0.2">
      <c r="A192" t="s">
        <v>393</v>
      </c>
      <c r="B192" s="2">
        <v>22</v>
      </c>
      <c r="C192" t="s">
        <v>135</v>
      </c>
      <c r="D192" s="2" t="s">
        <v>49</v>
      </c>
      <c r="E192" s="2">
        <v>19</v>
      </c>
      <c r="F192" s="2">
        <v>0</v>
      </c>
      <c r="G192" s="2">
        <v>204</v>
      </c>
      <c r="H192" s="2">
        <v>22</v>
      </c>
      <c r="I192" s="2">
        <v>59</v>
      </c>
      <c r="J192" s="2">
        <v>0.373</v>
      </c>
      <c r="K192" s="2">
        <v>2</v>
      </c>
      <c r="L192" s="2">
        <v>17</v>
      </c>
      <c r="M192" s="2">
        <v>0.11799999999999999</v>
      </c>
      <c r="N192" s="2">
        <v>20</v>
      </c>
      <c r="O192" s="2">
        <v>42</v>
      </c>
      <c r="P192" s="2">
        <v>0.47599999999999998</v>
      </c>
      <c r="Q192" s="2">
        <v>0.39</v>
      </c>
      <c r="R192" s="2">
        <v>11</v>
      </c>
      <c r="S192" s="2">
        <v>13</v>
      </c>
      <c r="T192" s="2">
        <v>0.84599999999999997</v>
      </c>
      <c r="U192" s="2">
        <v>18</v>
      </c>
      <c r="V192" s="2">
        <v>40</v>
      </c>
      <c r="W192" s="2">
        <v>58</v>
      </c>
      <c r="X192" s="2">
        <v>13</v>
      </c>
      <c r="Y192" s="2">
        <v>6</v>
      </c>
      <c r="Z192" s="2">
        <v>3</v>
      </c>
      <c r="AA192" s="2">
        <v>13</v>
      </c>
      <c r="AB192" s="2">
        <v>22</v>
      </c>
      <c r="AC192" s="2">
        <v>57</v>
      </c>
      <c r="AD192" s="2">
        <v>0</v>
      </c>
      <c r="AE192" s="18">
        <f t="shared" si="2"/>
        <v>1</v>
      </c>
    </row>
    <row r="193" spans="1:31" x14ac:dyDescent="0.2">
      <c r="A193" t="s">
        <v>503</v>
      </c>
      <c r="B193" s="2">
        <v>28</v>
      </c>
      <c r="C193" t="s">
        <v>87</v>
      </c>
      <c r="D193" s="2" t="s">
        <v>27</v>
      </c>
      <c r="E193" s="2">
        <v>6</v>
      </c>
      <c r="F193" s="2">
        <v>0</v>
      </c>
      <c r="G193" s="2">
        <v>21</v>
      </c>
      <c r="H193" s="2">
        <v>3</v>
      </c>
      <c r="I193" s="2">
        <v>11</v>
      </c>
      <c r="J193" s="2">
        <v>0.27300000000000002</v>
      </c>
      <c r="K193" s="2">
        <v>2</v>
      </c>
      <c r="L193" s="2">
        <v>8</v>
      </c>
      <c r="M193" s="2">
        <v>0.25</v>
      </c>
      <c r="N193" s="2">
        <v>1</v>
      </c>
      <c r="O193" s="2">
        <v>3</v>
      </c>
      <c r="P193" s="2">
        <v>0.33300000000000002</v>
      </c>
      <c r="Q193" s="2">
        <v>0.36399999999999999</v>
      </c>
      <c r="R193" s="2">
        <v>0</v>
      </c>
      <c r="S193" s="2">
        <v>0</v>
      </c>
      <c r="T193" s="2"/>
      <c r="U193" s="2">
        <v>1</v>
      </c>
      <c r="V193" s="2">
        <v>3</v>
      </c>
      <c r="W193" s="2">
        <v>4</v>
      </c>
      <c r="X193" s="2">
        <v>1</v>
      </c>
      <c r="Y193" s="2">
        <v>0</v>
      </c>
      <c r="Z193" s="2">
        <v>1</v>
      </c>
      <c r="AA193" s="2">
        <v>1</v>
      </c>
      <c r="AB193" s="2">
        <v>1</v>
      </c>
      <c r="AC193" s="2">
        <v>8</v>
      </c>
      <c r="AD193" s="2">
        <v>0</v>
      </c>
      <c r="AE193" s="18">
        <f t="shared" si="2"/>
        <v>1</v>
      </c>
    </row>
    <row r="194" spans="1:31" x14ac:dyDescent="0.2">
      <c r="A194" t="s">
        <v>551</v>
      </c>
      <c r="B194" s="2">
        <v>24</v>
      </c>
      <c r="C194" t="s">
        <v>44</v>
      </c>
      <c r="D194" s="2" t="s">
        <v>49</v>
      </c>
      <c r="E194" s="2">
        <v>7</v>
      </c>
      <c r="F194" s="2">
        <v>0</v>
      </c>
      <c r="G194" s="2">
        <v>21</v>
      </c>
      <c r="H194" s="2">
        <v>1</v>
      </c>
      <c r="I194" s="2">
        <v>3</v>
      </c>
      <c r="J194" s="2">
        <v>0.33300000000000002</v>
      </c>
      <c r="K194" s="2">
        <v>0</v>
      </c>
      <c r="L194" s="2">
        <v>2</v>
      </c>
      <c r="M194" s="2">
        <v>0</v>
      </c>
      <c r="N194" s="2">
        <v>1</v>
      </c>
      <c r="O194" s="2">
        <v>1</v>
      </c>
      <c r="P194" s="2">
        <v>1</v>
      </c>
      <c r="Q194" s="2">
        <v>0.33300000000000002</v>
      </c>
      <c r="R194" s="2">
        <v>0</v>
      </c>
      <c r="S194" s="2">
        <v>0</v>
      </c>
      <c r="T194" s="2"/>
      <c r="U194" s="2">
        <v>0</v>
      </c>
      <c r="V194" s="2">
        <v>3</v>
      </c>
      <c r="W194" s="2">
        <v>3</v>
      </c>
      <c r="X194" s="2">
        <v>2</v>
      </c>
      <c r="Y194" s="2">
        <v>0</v>
      </c>
      <c r="Z194" s="2">
        <v>0</v>
      </c>
      <c r="AA194" s="2">
        <v>1</v>
      </c>
      <c r="AB194" s="2">
        <v>0</v>
      </c>
      <c r="AC194" s="2">
        <v>2</v>
      </c>
      <c r="AD194" s="2">
        <v>0</v>
      </c>
      <c r="AE194" s="18">
        <f t="shared" si="2"/>
        <v>2</v>
      </c>
    </row>
    <row r="195" spans="1:31" x14ac:dyDescent="0.2">
      <c r="A195" t="s">
        <v>288</v>
      </c>
      <c r="B195" s="2">
        <v>22</v>
      </c>
      <c r="C195" t="s">
        <v>63</v>
      </c>
      <c r="D195" s="2" t="s">
        <v>52</v>
      </c>
      <c r="E195" s="2">
        <v>22</v>
      </c>
      <c r="F195" s="2">
        <v>2</v>
      </c>
      <c r="G195" s="2">
        <v>320</v>
      </c>
      <c r="H195" s="2">
        <v>52</v>
      </c>
      <c r="I195" s="2">
        <v>133</v>
      </c>
      <c r="J195" s="2">
        <v>0.39100000000000001</v>
      </c>
      <c r="K195" s="2">
        <v>18</v>
      </c>
      <c r="L195" s="2">
        <v>59</v>
      </c>
      <c r="M195" s="2">
        <v>0.30499999999999999</v>
      </c>
      <c r="N195" s="2">
        <v>34</v>
      </c>
      <c r="O195" s="2">
        <v>74</v>
      </c>
      <c r="P195" s="2">
        <v>0.45900000000000002</v>
      </c>
      <c r="Q195" s="2">
        <v>0.45900000000000002</v>
      </c>
      <c r="R195" s="2">
        <v>22</v>
      </c>
      <c r="S195" s="2">
        <v>25</v>
      </c>
      <c r="T195" s="2">
        <v>0.88</v>
      </c>
      <c r="U195" s="2">
        <v>4</v>
      </c>
      <c r="V195" s="2">
        <v>26</v>
      </c>
      <c r="W195" s="2">
        <v>30</v>
      </c>
      <c r="X195" s="2">
        <v>27</v>
      </c>
      <c r="Y195" s="2">
        <v>14</v>
      </c>
      <c r="Z195" s="2">
        <v>1</v>
      </c>
      <c r="AA195" s="2">
        <v>31</v>
      </c>
      <c r="AB195" s="2">
        <v>30</v>
      </c>
      <c r="AC195" s="2">
        <v>144</v>
      </c>
      <c r="AD195" s="2">
        <v>0</v>
      </c>
      <c r="AE195" s="18">
        <f t="shared" ref="AE195:AE258" si="3">X195/AA195</f>
        <v>0.87096774193548387</v>
      </c>
    </row>
    <row r="196" spans="1:31" x14ac:dyDescent="0.2">
      <c r="A196" t="s">
        <v>101</v>
      </c>
      <c r="B196" s="2">
        <v>22</v>
      </c>
      <c r="C196" t="s">
        <v>75</v>
      </c>
      <c r="D196" s="2" t="s">
        <v>52</v>
      </c>
      <c r="E196" s="2">
        <v>25</v>
      </c>
      <c r="F196" s="2">
        <v>25</v>
      </c>
      <c r="G196" s="2">
        <v>759</v>
      </c>
      <c r="H196" s="2">
        <v>153</v>
      </c>
      <c r="I196" s="2">
        <v>351</v>
      </c>
      <c r="J196" s="2">
        <v>0.436</v>
      </c>
      <c r="K196" s="2">
        <v>47</v>
      </c>
      <c r="L196" s="2">
        <v>128</v>
      </c>
      <c r="M196" s="2">
        <v>0.36699999999999999</v>
      </c>
      <c r="N196" s="2">
        <v>106</v>
      </c>
      <c r="O196" s="2">
        <v>223</v>
      </c>
      <c r="P196" s="2">
        <v>0.47499999999999998</v>
      </c>
      <c r="Q196" s="2">
        <v>0.503</v>
      </c>
      <c r="R196" s="2">
        <v>79</v>
      </c>
      <c r="S196" s="2">
        <v>108</v>
      </c>
      <c r="T196" s="2">
        <v>0.73099999999999998</v>
      </c>
      <c r="U196" s="2">
        <v>32</v>
      </c>
      <c r="V196" s="2">
        <v>71</v>
      </c>
      <c r="W196" s="2">
        <v>103</v>
      </c>
      <c r="X196" s="2">
        <v>104</v>
      </c>
      <c r="Y196" s="2">
        <v>24</v>
      </c>
      <c r="Z196" s="2">
        <v>10</v>
      </c>
      <c r="AA196" s="2">
        <v>75</v>
      </c>
      <c r="AB196" s="2">
        <v>61</v>
      </c>
      <c r="AC196" s="2">
        <v>432</v>
      </c>
      <c r="AD196" s="2">
        <v>0</v>
      </c>
      <c r="AE196" s="18">
        <f t="shared" si="3"/>
        <v>1.3866666666666667</v>
      </c>
    </row>
    <row r="197" spans="1:31" x14ac:dyDescent="0.2">
      <c r="A197" t="s">
        <v>210</v>
      </c>
      <c r="B197" s="2">
        <v>24</v>
      </c>
      <c r="C197" t="s">
        <v>51</v>
      </c>
      <c r="D197" s="2" t="s">
        <v>27</v>
      </c>
      <c r="E197" s="2">
        <v>23</v>
      </c>
      <c r="F197" s="2">
        <v>23</v>
      </c>
      <c r="G197" s="2">
        <v>691</v>
      </c>
      <c r="H197" s="2">
        <v>91</v>
      </c>
      <c r="I197" s="2">
        <v>207</v>
      </c>
      <c r="J197" s="2">
        <v>0.44</v>
      </c>
      <c r="K197" s="2">
        <v>27</v>
      </c>
      <c r="L197" s="2">
        <v>88</v>
      </c>
      <c r="M197" s="2">
        <v>0.307</v>
      </c>
      <c r="N197" s="2">
        <v>64</v>
      </c>
      <c r="O197" s="2">
        <v>119</v>
      </c>
      <c r="P197" s="2">
        <v>0.53800000000000003</v>
      </c>
      <c r="Q197" s="2">
        <v>0.505</v>
      </c>
      <c r="R197" s="2">
        <v>18</v>
      </c>
      <c r="S197" s="2">
        <v>26</v>
      </c>
      <c r="T197" s="2">
        <v>0.69199999999999995</v>
      </c>
      <c r="U197" s="2">
        <v>27</v>
      </c>
      <c r="V197" s="2">
        <v>58</v>
      </c>
      <c r="W197" s="2">
        <v>85</v>
      </c>
      <c r="X197" s="2">
        <v>42</v>
      </c>
      <c r="Y197" s="2">
        <v>26</v>
      </c>
      <c r="Z197" s="2">
        <v>17</v>
      </c>
      <c r="AA197" s="2">
        <v>24</v>
      </c>
      <c r="AB197" s="2">
        <v>72</v>
      </c>
      <c r="AC197" s="2">
        <v>227</v>
      </c>
      <c r="AD197" s="2">
        <v>0</v>
      </c>
      <c r="AE197" s="18">
        <f t="shared" si="3"/>
        <v>1.75</v>
      </c>
    </row>
    <row r="198" spans="1:31" x14ac:dyDescent="0.2">
      <c r="A198" t="s">
        <v>513</v>
      </c>
      <c r="B198" s="2">
        <v>22</v>
      </c>
      <c r="C198" t="s">
        <v>39</v>
      </c>
      <c r="D198" s="2" t="s">
        <v>52</v>
      </c>
      <c r="E198" s="2">
        <v>7</v>
      </c>
      <c r="F198" s="2">
        <v>0</v>
      </c>
      <c r="G198" s="2">
        <v>24</v>
      </c>
      <c r="H198" s="2">
        <v>2</v>
      </c>
      <c r="I198" s="2">
        <v>7</v>
      </c>
      <c r="J198" s="2">
        <v>0.28599999999999998</v>
      </c>
      <c r="K198" s="2">
        <v>0</v>
      </c>
      <c r="L198" s="2">
        <v>2</v>
      </c>
      <c r="M198" s="2">
        <v>0</v>
      </c>
      <c r="N198" s="2">
        <v>2</v>
      </c>
      <c r="O198" s="2">
        <v>5</v>
      </c>
      <c r="P198" s="2">
        <v>0.4</v>
      </c>
      <c r="Q198" s="2">
        <v>0.28599999999999998</v>
      </c>
      <c r="R198" s="2">
        <v>2</v>
      </c>
      <c r="S198" s="2">
        <v>4</v>
      </c>
      <c r="T198" s="2">
        <v>0.5</v>
      </c>
      <c r="U198" s="2">
        <v>3</v>
      </c>
      <c r="V198" s="2">
        <v>3</v>
      </c>
      <c r="W198" s="2">
        <v>6</v>
      </c>
      <c r="X198" s="2">
        <v>3</v>
      </c>
      <c r="Y198" s="2">
        <v>3</v>
      </c>
      <c r="Z198" s="2">
        <v>0</v>
      </c>
      <c r="AA198" s="2">
        <v>1</v>
      </c>
      <c r="AB198" s="2">
        <v>3</v>
      </c>
      <c r="AC198" s="2">
        <v>6</v>
      </c>
      <c r="AD198" s="2">
        <v>0</v>
      </c>
      <c r="AE198" s="18">
        <f t="shared" si="3"/>
        <v>3</v>
      </c>
    </row>
    <row r="199" spans="1:31" x14ac:dyDescent="0.2">
      <c r="A199" t="s">
        <v>465</v>
      </c>
      <c r="B199" s="2">
        <v>34</v>
      </c>
      <c r="C199" t="s">
        <v>37</v>
      </c>
      <c r="D199" s="2" t="s">
        <v>49</v>
      </c>
      <c r="E199" s="2">
        <v>5</v>
      </c>
      <c r="F199" s="2">
        <v>2</v>
      </c>
      <c r="G199" s="2">
        <v>84</v>
      </c>
      <c r="H199" s="2">
        <v>6</v>
      </c>
      <c r="I199" s="2">
        <v>17</v>
      </c>
      <c r="J199" s="2">
        <v>0.35299999999999998</v>
      </c>
      <c r="K199" s="2">
        <v>3</v>
      </c>
      <c r="L199" s="2">
        <v>12</v>
      </c>
      <c r="M199" s="2">
        <v>0.25</v>
      </c>
      <c r="N199" s="2">
        <v>3</v>
      </c>
      <c r="O199" s="2">
        <v>5</v>
      </c>
      <c r="P199" s="2">
        <v>0.6</v>
      </c>
      <c r="Q199" s="2">
        <v>0.441</v>
      </c>
      <c r="R199" s="2">
        <v>5</v>
      </c>
      <c r="S199" s="2">
        <v>6</v>
      </c>
      <c r="T199" s="2">
        <v>0.83299999999999996</v>
      </c>
      <c r="U199" s="2">
        <v>5</v>
      </c>
      <c r="V199" s="2">
        <v>10</v>
      </c>
      <c r="W199" s="2">
        <v>15</v>
      </c>
      <c r="X199" s="2">
        <v>4</v>
      </c>
      <c r="Y199" s="2">
        <v>3</v>
      </c>
      <c r="Z199" s="2">
        <v>0</v>
      </c>
      <c r="AA199" s="2">
        <v>3</v>
      </c>
      <c r="AB199" s="2">
        <v>9</v>
      </c>
      <c r="AC199" s="2">
        <v>20</v>
      </c>
      <c r="AD199" s="2">
        <v>0</v>
      </c>
      <c r="AE199" s="18">
        <f t="shared" si="3"/>
        <v>1.3333333333333333</v>
      </c>
    </row>
    <row r="200" spans="1:31" x14ac:dyDescent="0.2">
      <c r="A200" t="s">
        <v>454</v>
      </c>
      <c r="B200" s="2">
        <v>29</v>
      </c>
      <c r="C200" t="s">
        <v>87</v>
      </c>
      <c r="D200" s="2" t="s">
        <v>49</v>
      </c>
      <c r="E200" s="2">
        <v>10</v>
      </c>
      <c r="F200" s="2">
        <v>0</v>
      </c>
      <c r="G200" s="2">
        <v>59</v>
      </c>
      <c r="H200" s="2">
        <v>9</v>
      </c>
      <c r="I200" s="2">
        <v>16</v>
      </c>
      <c r="J200" s="2">
        <v>0.56299999999999994</v>
      </c>
      <c r="K200" s="2">
        <v>0</v>
      </c>
      <c r="L200" s="2">
        <v>2</v>
      </c>
      <c r="M200" s="2">
        <v>0</v>
      </c>
      <c r="N200" s="2">
        <v>9</v>
      </c>
      <c r="O200" s="2">
        <v>14</v>
      </c>
      <c r="P200" s="2">
        <v>0.64300000000000002</v>
      </c>
      <c r="Q200" s="2">
        <v>0.56299999999999994</v>
      </c>
      <c r="R200" s="2">
        <v>6</v>
      </c>
      <c r="S200" s="2">
        <v>9</v>
      </c>
      <c r="T200" s="2">
        <v>0.66700000000000004</v>
      </c>
      <c r="U200" s="2">
        <v>4</v>
      </c>
      <c r="V200" s="2">
        <v>18</v>
      </c>
      <c r="W200" s="2">
        <v>22</v>
      </c>
      <c r="X200" s="2">
        <v>6</v>
      </c>
      <c r="Y200" s="2">
        <v>5</v>
      </c>
      <c r="Z200" s="2">
        <v>0</v>
      </c>
      <c r="AA200" s="2">
        <v>6</v>
      </c>
      <c r="AB200" s="2">
        <v>10</v>
      </c>
      <c r="AC200" s="2">
        <v>24</v>
      </c>
      <c r="AD200" s="2">
        <v>0</v>
      </c>
      <c r="AE200" s="18">
        <f t="shared" si="3"/>
        <v>1</v>
      </c>
    </row>
    <row r="201" spans="1:31" x14ac:dyDescent="0.2">
      <c r="A201" t="s">
        <v>270</v>
      </c>
      <c r="B201" s="2">
        <v>23</v>
      </c>
      <c r="C201" t="s">
        <v>61</v>
      </c>
      <c r="D201" s="2" t="s">
        <v>49</v>
      </c>
      <c r="E201" s="2">
        <v>19</v>
      </c>
      <c r="F201" s="2">
        <v>1</v>
      </c>
      <c r="G201" s="2">
        <v>402</v>
      </c>
      <c r="H201" s="2">
        <v>61</v>
      </c>
      <c r="I201" s="2">
        <v>145</v>
      </c>
      <c r="J201" s="2">
        <v>0.42099999999999999</v>
      </c>
      <c r="K201" s="2">
        <v>10</v>
      </c>
      <c r="L201" s="2">
        <v>37</v>
      </c>
      <c r="M201" s="2">
        <v>0.27</v>
      </c>
      <c r="N201" s="2">
        <v>51</v>
      </c>
      <c r="O201" s="2">
        <v>108</v>
      </c>
      <c r="P201" s="2">
        <v>0.47199999999999998</v>
      </c>
      <c r="Q201" s="2">
        <v>0.45500000000000002</v>
      </c>
      <c r="R201" s="2">
        <v>31</v>
      </c>
      <c r="S201" s="2">
        <v>44</v>
      </c>
      <c r="T201" s="2">
        <v>0.70499999999999996</v>
      </c>
      <c r="U201" s="2">
        <v>27</v>
      </c>
      <c r="V201" s="2">
        <v>68</v>
      </c>
      <c r="W201" s="2">
        <v>95</v>
      </c>
      <c r="X201" s="2">
        <v>42</v>
      </c>
      <c r="Y201" s="2">
        <v>19</v>
      </c>
      <c r="Z201" s="2">
        <v>2</v>
      </c>
      <c r="AA201" s="2">
        <v>28</v>
      </c>
      <c r="AB201" s="2">
        <v>29</v>
      </c>
      <c r="AC201" s="2">
        <v>163</v>
      </c>
      <c r="AD201" s="2">
        <v>0</v>
      </c>
      <c r="AE201" s="18">
        <f t="shared" si="3"/>
        <v>1.5</v>
      </c>
    </row>
    <row r="202" spans="1:31" x14ac:dyDescent="0.2">
      <c r="A202" t="s">
        <v>218</v>
      </c>
      <c r="B202" s="2">
        <v>23</v>
      </c>
      <c r="C202" t="s">
        <v>80</v>
      </c>
      <c r="D202" s="2" t="s">
        <v>27</v>
      </c>
      <c r="E202" s="2">
        <v>25</v>
      </c>
      <c r="F202" s="2">
        <v>0</v>
      </c>
      <c r="G202" s="2">
        <v>584</v>
      </c>
      <c r="H202" s="2">
        <v>76</v>
      </c>
      <c r="I202" s="2">
        <v>151</v>
      </c>
      <c r="J202" s="2">
        <v>0.503</v>
      </c>
      <c r="K202" s="2">
        <v>22</v>
      </c>
      <c r="L202" s="2">
        <v>56</v>
      </c>
      <c r="M202" s="2">
        <v>0.39300000000000002</v>
      </c>
      <c r="N202" s="2">
        <v>54</v>
      </c>
      <c r="O202" s="2">
        <v>95</v>
      </c>
      <c r="P202" s="2">
        <v>0.56799999999999995</v>
      </c>
      <c r="Q202" s="2">
        <v>0.57599999999999996</v>
      </c>
      <c r="R202" s="2">
        <v>41</v>
      </c>
      <c r="S202" s="2">
        <v>59</v>
      </c>
      <c r="T202" s="2">
        <v>0.69499999999999995</v>
      </c>
      <c r="U202" s="2">
        <v>36</v>
      </c>
      <c r="V202" s="2">
        <v>81</v>
      </c>
      <c r="W202" s="2">
        <v>117</v>
      </c>
      <c r="X202" s="2">
        <v>88</v>
      </c>
      <c r="Y202" s="2">
        <v>22</v>
      </c>
      <c r="Z202" s="2">
        <v>17</v>
      </c>
      <c r="AA202" s="2">
        <v>35</v>
      </c>
      <c r="AB202" s="2">
        <v>58</v>
      </c>
      <c r="AC202" s="2">
        <v>215</v>
      </c>
      <c r="AD202" s="2">
        <v>0</v>
      </c>
      <c r="AE202" s="18">
        <f t="shared" si="3"/>
        <v>2.5142857142857142</v>
      </c>
    </row>
    <row r="203" spans="1:31" x14ac:dyDescent="0.2">
      <c r="A203" t="s">
        <v>118</v>
      </c>
      <c r="B203" s="2">
        <v>29</v>
      </c>
      <c r="C203" t="s">
        <v>66</v>
      </c>
      <c r="D203" s="2" t="s">
        <v>42</v>
      </c>
      <c r="E203" s="2">
        <v>25</v>
      </c>
      <c r="F203" s="2">
        <v>24</v>
      </c>
      <c r="G203" s="2">
        <v>813</v>
      </c>
      <c r="H203" s="2">
        <v>169</v>
      </c>
      <c r="I203" s="2">
        <v>285</v>
      </c>
      <c r="J203" s="2">
        <v>0.59299999999999997</v>
      </c>
      <c r="K203" s="2">
        <v>0</v>
      </c>
      <c r="L203" s="2">
        <v>2</v>
      </c>
      <c r="M203" s="2">
        <v>0</v>
      </c>
      <c r="N203" s="2">
        <v>169</v>
      </c>
      <c r="O203" s="2">
        <v>283</v>
      </c>
      <c r="P203" s="2">
        <v>0.59699999999999998</v>
      </c>
      <c r="Q203" s="2">
        <v>0.59299999999999997</v>
      </c>
      <c r="R203" s="2">
        <v>60</v>
      </c>
      <c r="S203" s="2">
        <v>88</v>
      </c>
      <c r="T203" s="2">
        <v>0.68200000000000005</v>
      </c>
      <c r="U203" s="4">
        <v>101</v>
      </c>
      <c r="V203" s="2">
        <v>181</v>
      </c>
      <c r="W203" s="2">
        <v>282</v>
      </c>
      <c r="X203" s="2">
        <v>68</v>
      </c>
      <c r="Y203" s="2">
        <v>28</v>
      </c>
      <c r="Z203" s="2">
        <v>32</v>
      </c>
      <c r="AA203" s="2">
        <v>55</v>
      </c>
      <c r="AB203" s="4">
        <v>92</v>
      </c>
      <c r="AC203" s="2">
        <v>398</v>
      </c>
      <c r="AD203" s="2">
        <v>0</v>
      </c>
      <c r="AE203" s="18">
        <f t="shared" si="3"/>
        <v>1.2363636363636363</v>
      </c>
    </row>
    <row r="204" spans="1:31" x14ac:dyDescent="0.2">
      <c r="A204" t="s">
        <v>553</v>
      </c>
      <c r="B204" s="2">
        <v>23</v>
      </c>
      <c r="C204" t="s">
        <v>54</v>
      </c>
      <c r="D204" s="2" t="s">
        <v>49</v>
      </c>
      <c r="E204" s="2">
        <v>2</v>
      </c>
      <c r="F204" s="2">
        <v>0</v>
      </c>
      <c r="G204" s="2">
        <v>11</v>
      </c>
      <c r="H204" s="2">
        <v>0</v>
      </c>
      <c r="I204" s="2">
        <v>2</v>
      </c>
      <c r="J204" s="2">
        <v>0</v>
      </c>
      <c r="K204" s="2">
        <v>0</v>
      </c>
      <c r="L204" s="2">
        <v>2</v>
      </c>
      <c r="M204" s="2">
        <v>0</v>
      </c>
      <c r="N204" s="2">
        <v>0</v>
      </c>
      <c r="O204" s="2">
        <v>0</v>
      </c>
      <c r="P204" s="2"/>
      <c r="Q204" s="2">
        <v>0</v>
      </c>
      <c r="R204" s="2">
        <v>1</v>
      </c>
      <c r="S204" s="2">
        <v>2</v>
      </c>
      <c r="T204" s="2">
        <v>0.5</v>
      </c>
      <c r="U204" s="2">
        <v>0</v>
      </c>
      <c r="V204" s="2">
        <v>1</v>
      </c>
      <c r="W204" s="2">
        <v>1</v>
      </c>
      <c r="X204" s="2">
        <v>0</v>
      </c>
      <c r="Y204" s="2">
        <v>0</v>
      </c>
      <c r="Z204" s="2">
        <v>0</v>
      </c>
      <c r="AA204" s="2">
        <v>2</v>
      </c>
      <c r="AB204" s="2">
        <v>0</v>
      </c>
      <c r="AC204" s="2">
        <v>1</v>
      </c>
      <c r="AD204" s="2">
        <v>0</v>
      </c>
      <c r="AE204" s="18">
        <f t="shared" si="3"/>
        <v>0</v>
      </c>
    </row>
    <row r="205" spans="1:31" x14ac:dyDescent="0.2">
      <c r="A205" t="s">
        <v>43</v>
      </c>
      <c r="B205" s="2">
        <v>28</v>
      </c>
      <c r="C205" t="s">
        <v>44</v>
      </c>
      <c r="D205" s="2" t="s">
        <v>33</v>
      </c>
      <c r="E205" s="2">
        <v>25</v>
      </c>
      <c r="F205" s="2">
        <v>25</v>
      </c>
      <c r="G205" s="2">
        <v>857</v>
      </c>
      <c r="H205" s="2">
        <v>211</v>
      </c>
      <c r="I205" s="2">
        <v>430</v>
      </c>
      <c r="J205" s="2">
        <v>0.49099999999999999</v>
      </c>
      <c r="K205" s="2">
        <v>66</v>
      </c>
      <c r="L205" s="2">
        <v>154</v>
      </c>
      <c r="M205" s="2">
        <v>0.42899999999999999</v>
      </c>
      <c r="N205" s="2">
        <v>145</v>
      </c>
      <c r="O205" s="2">
        <v>276</v>
      </c>
      <c r="P205" s="2">
        <v>0.52500000000000002</v>
      </c>
      <c r="Q205" s="2">
        <v>0.56699999999999995</v>
      </c>
      <c r="R205" s="2">
        <v>130</v>
      </c>
      <c r="S205" s="2">
        <v>158</v>
      </c>
      <c r="T205" s="2">
        <v>0.82299999999999995</v>
      </c>
      <c r="U205" s="2">
        <v>11</v>
      </c>
      <c r="V205" s="2">
        <v>63</v>
      </c>
      <c r="W205" s="2">
        <v>74</v>
      </c>
      <c r="X205" s="2">
        <v>195</v>
      </c>
      <c r="Y205" s="2">
        <v>16</v>
      </c>
      <c r="Z205" s="2">
        <v>2</v>
      </c>
      <c r="AA205" s="2">
        <v>59</v>
      </c>
      <c r="AB205" s="2">
        <v>56</v>
      </c>
      <c r="AC205" s="2">
        <v>618</v>
      </c>
      <c r="AD205" s="2">
        <v>0</v>
      </c>
      <c r="AE205" s="18">
        <f t="shared" si="3"/>
        <v>3.3050847457627119</v>
      </c>
    </row>
    <row r="206" spans="1:31" x14ac:dyDescent="0.2">
      <c r="A206" t="s">
        <v>226</v>
      </c>
      <c r="B206" s="2">
        <v>21</v>
      </c>
      <c r="C206" t="s">
        <v>75</v>
      </c>
      <c r="D206" s="2" t="s">
        <v>42</v>
      </c>
      <c r="E206" s="2">
        <v>23</v>
      </c>
      <c r="F206" s="2">
        <v>23</v>
      </c>
      <c r="G206" s="2">
        <v>550</v>
      </c>
      <c r="H206" s="2">
        <v>83</v>
      </c>
      <c r="I206" s="2">
        <v>122</v>
      </c>
      <c r="J206" s="2">
        <v>0.68</v>
      </c>
      <c r="K206" s="2">
        <v>0</v>
      </c>
      <c r="L206" s="2">
        <v>0</v>
      </c>
      <c r="M206" s="2"/>
      <c r="N206" s="2">
        <v>83</v>
      </c>
      <c r="O206" s="2">
        <v>122</v>
      </c>
      <c r="P206" s="2">
        <v>0.68</v>
      </c>
      <c r="Q206" s="2">
        <v>0.68</v>
      </c>
      <c r="R206" s="2">
        <v>38</v>
      </c>
      <c r="S206" s="2">
        <v>66</v>
      </c>
      <c r="T206" s="2">
        <v>0.57599999999999996</v>
      </c>
      <c r="U206" s="2">
        <v>70</v>
      </c>
      <c r="V206" s="2">
        <v>135</v>
      </c>
      <c r="W206" s="2">
        <v>205</v>
      </c>
      <c r="X206" s="2">
        <v>54</v>
      </c>
      <c r="Y206" s="2">
        <v>9</v>
      </c>
      <c r="Z206" s="2">
        <v>29</v>
      </c>
      <c r="AA206" s="2">
        <v>45</v>
      </c>
      <c r="AB206" s="2">
        <v>73</v>
      </c>
      <c r="AC206" s="2">
        <v>204</v>
      </c>
      <c r="AD206" s="2">
        <v>0</v>
      </c>
      <c r="AE206" s="18">
        <f t="shared" si="3"/>
        <v>1.2</v>
      </c>
    </row>
    <row r="207" spans="1:31" x14ac:dyDescent="0.2">
      <c r="A207" t="s">
        <v>86</v>
      </c>
      <c r="B207" s="2">
        <v>22</v>
      </c>
      <c r="C207" t="s">
        <v>87</v>
      </c>
      <c r="D207" s="2" t="s">
        <v>52</v>
      </c>
      <c r="E207" s="2">
        <v>25</v>
      </c>
      <c r="F207" s="2">
        <v>25</v>
      </c>
      <c r="G207" s="2">
        <v>813</v>
      </c>
      <c r="H207" s="2">
        <v>161</v>
      </c>
      <c r="I207" s="2">
        <v>406</v>
      </c>
      <c r="J207" s="2">
        <v>0.39700000000000002</v>
      </c>
      <c r="K207" s="2">
        <v>62</v>
      </c>
      <c r="L207" s="2">
        <v>193</v>
      </c>
      <c r="M207" s="2">
        <v>0.32100000000000001</v>
      </c>
      <c r="N207" s="2">
        <v>99</v>
      </c>
      <c r="O207" s="2">
        <v>213</v>
      </c>
      <c r="P207" s="2">
        <v>0.46500000000000002</v>
      </c>
      <c r="Q207" s="2">
        <v>0.47299999999999998</v>
      </c>
      <c r="R207" s="2">
        <v>97</v>
      </c>
      <c r="S207" s="2">
        <v>111</v>
      </c>
      <c r="T207" s="2">
        <v>0.874</v>
      </c>
      <c r="U207" s="2">
        <v>13</v>
      </c>
      <c r="V207" s="2">
        <v>104</v>
      </c>
      <c r="W207" s="2">
        <v>117</v>
      </c>
      <c r="X207" s="2">
        <v>66</v>
      </c>
      <c r="Y207" s="2">
        <v>29</v>
      </c>
      <c r="Z207" s="2">
        <v>7</v>
      </c>
      <c r="AA207" s="2">
        <v>68</v>
      </c>
      <c r="AB207" s="2">
        <v>42</v>
      </c>
      <c r="AC207" s="2">
        <v>481</v>
      </c>
      <c r="AD207" s="2">
        <v>0</v>
      </c>
      <c r="AE207" s="18">
        <f t="shared" si="3"/>
        <v>0.97058823529411764</v>
      </c>
    </row>
    <row r="208" spans="1:31" x14ac:dyDescent="0.2">
      <c r="A208" t="s">
        <v>526</v>
      </c>
      <c r="B208" s="2">
        <v>21</v>
      </c>
      <c r="C208" t="s">
        <v>41</v>
      </c>
      <c r="D208" s="2" t="s">
        <v>52</v>
      </c>
      <c r="E208" s="2">
        <v>2</v>
      </c>
      <c r="F208" s="2">
        <v>0</v>
      </c>
      <c r="G208" s="2">
        <v>14</v>
      </c>
      <c r="H208" s="2">
        <v>1</v>
      </c>
      <c r="I208" s="2">
        <v>1</v>
      </c>
      <c r="J208" s="2">
        <v>1</v>
      </c>
      <c r="K208" s="2">
        <v>0</v>
      </c>
      <c r="L208" s="2">
        <v>0</v>
      </c>
      <c r="M208" s="2"/>
      <c r="N208" s="2">
        <v>1</v>
      </c>
      <c r="O208" s="2">
        <v>1</v>
      </c>
      <c r="P208" s="2">
        <v>1</v>
      </c>
      <c r="Q208" s="2">
        <v>1</v>
      </c>
      <c r="R208" s="2">
        <v>2</v>
      </c>
      <c r="S208" s="2">
        <v>2</v>
      </c>
      <c r="T208" s="2">
        <v>1</v>
      </c>
      <c r="U208" s="2">
        <v>1</v>
      </c>
      <c r="V208" s="2">
        <v>0</v>
      </c>
      <c r="W208" s="2">
        <v>1</v>
      </c>
      <c r="X208" s="2">
        <v>1</v>
      </c>
      <c r="Y208" s="2">
        <v>0</v>
      </c>
      <c r="Z208" s="2">
        <v>1</v>
      </c>
      <c r="AA208" s="2">
        <v>1</v>
      </c>
      <c r="AB208" s="2">
        <v>3</v>
      </c>
      <c r="AC208" s="2">
        <v>4</v>
      </c>
      <c r="AD208" s="2">
        <v>0</v>
      </c>
      <c r="AE208" s="18">
        <f t="shared" si="3"/>
        <v>1</v>
      </c>
    </row>
    <row r="209" spans="1:31" x14ac:dyDescent="0.2">
      <c r="A209" t="s">
        <v>89</v>
      </c>
      <c r="B209" s="2">
        <v>23</v>
      </c>
      <c r="C209" t="s">
        <v>72</v>
      </c>
      <c r="D209" s="2" t="s">
        <v>49</v>
      </c>
      <c r="E209" s="2">
        <v>24</v>
      </c>
      <c r="F209" s="2">
        <v>24</v>
      </c>
      <c r="G209" s="2">
        <v>877</v>
      </c>
      <c r="H209" s="2">
        <v>189</v>
      </c>
      <c r="I209" s="2">
        <v>376</v>
      </c>
      <c r="J209" s="2">
        <v>0.503</v>
      </c>
      <c r="K209" s="2">
        <v>38</v>
      </c>
      <c r="L209" s="2">
        <v>109</v>
      </c>
      <c r="M209" s="2">
        <v>0.34899999999999998</v>
      </c>
      <c r="N209" s="2">
        <v>151</v>
      </c>
      <c r="O209" s="2">
        <v>267</v>
      </c>
      <c r="P209" s="2">
        <v>0.56599999999999995</v>
      </c>
      <c r="Q209" s="2">
        <v>0.55300000000000005</v>
      </c>
      <c r="R209" s="2">
        <v>60</v>
      </c>
      <c r="S209" s="2">
        <v>80</v>
      </c>
      <c r="T209" s="2">
        <v>0.75</v>
      </c>
      <c r="U209" s="2">
        <v>42</v>
      </c>
      <c r="V209" s="2">
        <v>201</v>
      </c>
      <c r="W209" s="2">
        <v>243</v>
      </c>
      <c r="X209" s="2">
        <v>134</v>
      </c>
      <c r="Y209" s="2">
        <v>33</v>
      </c>
      <c r="Z209" s="2">
        <v>27</v>
      </c>
      <c r="AA209" s="2">
        <v>80</v>
      </c>
      <c r="AB209" s="2">
        <v>48</v>
      </c>
      <c r="AC209" s="2">
        <v>476</v>
      </c>
      <c r="AD209" s="2">
        <v>1</v>
      </c>
      <c r="AE209" s="18">
        <f t="shared" si="3"/>
        <v>1.675</v>
      </c>
    </row>
    <row r="210" spans="1:31" x14ac:dyDescent="0.2">
      <c r="A210" t="s">
        <v>519</v>
      </c>
      <c r="B210" s="2">
        <v>25</v>
      </c>
      <c r="C210" t="s">
        <v>46</v>
      </c>
      <c r="D210" s="2" t="s">
        <v>52</v>
      </c>
      <c r="E210" s="2">
        <v>4</v>
      </c>
      <c r="F210" s="2">
        <v>0</v>
      </c>
      <c r="G210" s="2">
        <v>37</v>
      </c>
      <c r="H210" s="2">
        <v>2</v>
      </c>
      <c r="I210" s="2">
        <v>4</v>
      </c>
      <c r="J210" s="2">
        <v>0.5</v>
      </c>
      <c r="K210" s="2">
        <v>1</v>
      </c>
      <c r="L210" s="2">
        <v>3</v>
      </c>
      <c r="M210" s="2">
        <v>0.33300000000000002</v>
      </c>
      <c r="N210" s="2">
        <v>1</v>
      </c>
      <c r="O210" s="2">
        <v>1</v>
      </c>
      <c r="P210" s="2">
        <v>1</v>
      </c>
      <c r="Q210" s="2">
        <v>0.625</v>
      </c>
      <c r="R210" s="2">
        <v>0</v>
      </c>
      <c r="S210" s="2">
        <v>0</v>
      </c>
      <c r="T210" s="2"/>
      <c r="U210" s="2">
        <v>1</v>
      </c>
      <c r="V210" s="2">
        <v>4</v>
      </c>
      <c r="W210" s="2">
        <v>5</v>
      </c>
      <c r="X210" s="2">
        <v>7</v>
      </c>
      <c r="Y210" s="2">
        <v>1</v>
      </c>
      <c r="Z210" s="2">
        <v>0</v>
      </c>
      <c r="AA210" s="2">
        <v>2</v>
      </c>
      <c r="AB210" s="2">
        <v>6</v>
      </c>
      <c r="AC210" s="2">
        <v>5</v>
      </c>
      <c r="AD210" s="2">
        <v>0</v>
      </c>
      <c r="AE210" s="18">
        <f t="shared" si="3"/>
        <v>3.5</v>
      </c>
    </row>
    <row r="211" spans="1:31" x14ac:dyDescent="0.2">
      <c r="A211" t="s">
        <v>254</v>
      </c>
      <c r="B211" s="2">
        <v>24</v>
      </c>
      <c r="C211" t="s">
        <v>70</v>
      </c>
      <c r="D211" s="2" t="s">
        <v>42</v>
      </c>
      <c r="E211" s="2">
        <v>22</v>
      </c>
      <c r="F211" s="2">
        <v>0</v>
      </c>
      <c r="G211" s="2">
        <v>325</v>
      </c>
      <c r="H211" s="2">
        <v>61</v>
      </c>
      <c r="I211" s="2">
        <v>132</v>
      </c>
      <c r="J211" s="2">
        <v>0.46200000000000002</v>
      </c>
      <c r="K211" s="2">
        <v>27</v>
      </c>
      <c r="L211" s="2">
        <v>75</v>
      </c>
      <c r="M211" s="2">
        <v>0.36</v>
      </c>
      <c r="N211" s="2">
        <v>34</v>
      </c>
      <c r="O211" s="2">
        <v>57</v>
      </c>
      <c r="P211" s="2">
        <v>0.59599999999999997</v>
      </c>
      <c r="Q211" s="2">
        <v>0.56399999999999995</v>
      </c>
      <c r="R211" s="2">
        <v>27</v>
      </c>
      <c r="S211" s="2">
        <v>34</v>
      </c>
      <c r="T211" s="2">
        <v>0.79400000000000004</v>
      </c>
      <c r="U211" s="2">
        <v>30</v>
      </c>
      <c r="V211" s="2">
        <v>82</v>
      </c>
      <c r="W211" s="2">
        <v>112</v>
      </c>
      <c r="X211" s="2">
        <v>15</v>
      </c>
      <c r="Y211" s="2">
        <v>8</v>
      </c>
      <c r="Z211" s="2">
        <v>15</v>
      </c>
      <c r="AA211" s="2">
        <v>14</v>
      </c>
      <c r="AB211" s="2">
        <v>35</v>
      </c>
      <c r="AC211" s="2">
        <v>176</v>
      </c>
      <c r="AD211" s="2">
        <v>0</v>
      </c>
      <c r="AE211" s="18">
        <f t="shared" si="3"/>
        <v>1.0714285714285714</v>
      </c>
    </row>
    <row r="212" spans="1:31" x14ac:dyDescent="0.2">
      <c r="A212" t="s">
        <v>104</v>
      </c>
      <c r="B212" s="2">
        <v>23</v>
      </c>
      <c r="C212" t="s">
        <v>48</v>
      </c>
      <c r="D212" s="2" t="s">
        <v>33</v>
      </c>
      <c r="E212" s="2">
        <v>26</v>
      </c>
      <c r="F212" s="2">
        <v>26</v>
      </c>
      <c r="G212" s="2">
        <v>789</v>
      </c>
      <c r="H212" s="2">
        <v>148</v>
      </c>
      <c r="I212" s="2">
        <v>356</v>
      </c>
      <c r="J212" s="2">
        <v>0.41599999999999998</v>
      </c>
      <c r="K212" s="2">
        <v>60</v>
      </c>
      <c r="L212" s="2">
        <v>189</v>
      </c>
      <c r="M212" s="2">
        <v>0.317</v>
      </c>
      <c r="N212" s="2">
        <v>88</v>
      </c>
      <c r="O212" s="2">
        <v>167</v>
      </c>
      <c r="P212" s="2">
        <v>0.52700000000000002</v>
      </c>
      <c r="Q212" s="2">
        <v>0.5</v>
      </c>
      <c r="R212" s="2">
        <v>75</v>
      </c>
      <c r="S212" s="2">
        <v>82</v>
      </c>
      <c r="T212" s="2">
        <v>0.91500000000000004</v>
      </c>
      <c r="U212" s="2">
        <v>17</v>
      </c>
      <c r="V212" s="2">
        <v>90</v>
      </c>
      <c r="W212" s="2">
        <v>107</v>
      </c>
      <c r="X212" s="2">
        <v>98</v>
      </c>
      <c r="Y212" s="2">
        <v>41</v>
      </c>
      <c r="Z212" s="2">
        <v>24</v>
      </c>
      <c r="AA212" s="2">
        <v>74</v>
      </c>
      <c r="AB212" s="2">
        <v>70</v>
      </c>
      <c r="AC212" s="2">
        <v>431</v>
      </c>
      <c r="AD212" s="2">
        <v>0</v>
      </c>
      <c r="AE212" s="18">
        <f t="shared" si="3"/>
        <v>1.3243243243243243</v>
      </c>
    </row>
    <row r="213" spans="1:31" x14ac:dyDescent="0.2">
      <c r="A213" t="s">
        <v>73</v>
      </c>
      <c r="B213" s="2">
        <v>23</v>
      </c>
      <c r="C213" t="s">
        <v>32</v>
      </c>
      <c r="D213" s="2" t="s">
        <v>52</v>
      </c>
      <c r="E213" s="2">
        <v>24</v>
      </c>
      <c r="F213" s="2">
        <v>24</v>
      </c>
      <c r="G213" s="2">
        <v>764</v>
      </c>
      <c r="H213" s="2">
        <v>204</v>
      </c>
      <c r="I213" s="2">
        <v>404</v>
      </c>
      <c r="J213" s="2">
        <v>0.505</v>
      </c>
      <c r="K213" s="2">
        <v>48</v>
      </c>
      <c r="L213" s="2">
        <v>125</v>
      </c>
      <c r="M213" s="2">
        <v>0.38400000000000001</v>
      </c>
      <c r="N213" s="2">
        <v>156</v>
      </c>
      <c r="O213" s="2">
        <v>279</v>
      </c>
      <c r="P213" s="2">
        <v>0.55900000000000005</v>
      </c>
      <c r="Q213" s="2">
        <v>0.56399999999999995</v>
      </c>
      <c r="R213" s="2">
        <v>67</v>
      </c>
      <c r="S213" s="2">
        <v>83</v>
      </c>
      <c r="T213" s="2">
        <v>0.80700000000000005</v>
      </c>
      <c r="U213" s="2">
        <v>22</v>
      </c>
      <c r="V213" s="2">
        <v>125</v>
      </c>
      <c r="W213" s="2">
        <v>147</v>
      </c>
      <c r="X213" s="2">
        <v>120</v>
      </c>
      <c r="Y213" s="2">
        <v>49</v>
      </c>
      <c r="Z213" s="2">
        <v>20</v>
      </c>
      <c r="AA213" s="2">
        <v>53</v>
      </c>
      <c r="AB213" s="2">
        <v>65</v>
      </c>
      <c r="AC213" s="2">
        <v>523</v>
      </c>
      <c r="AD213" s="2">
        <v>0</v>
      </c>
      <c r="AE213" s="18">
        <f t="shared" si="3"/>
        <v>2.2641509433962264</v>
      </c>
    </row>
    <row r="214" spans="1:31" x14ac:dyDescent="0.2">
      <c r="A214" t="s">
        <v>230</v>
      </c>
      <c r="B214" s="2">
        <v>24</v>
      </c>
      <c r="C214" t="s">
        <v>103</v>
      </c>
      <c r="D214" s="2" t="s">
        <v>27</v>
      </c>
      <c r="E214" s="2">
        <v>23</v>
      </c>
      <c r="F214" s="2">
        <v>6</v>
      </c>
      <c r="G214" s="2">
        <v>575</v>
      </c>
      <c r="H214" s="2">
        <v>68</v>
      </c>
      <c r="I214" s="2">
        <v>158</v>
      </c>
      <c r="J214" s="2">
        <v>0.43</v>
      </c>
      <c r="K214" s="2">
        <v>30</v>
      </c>
      <c r="L214" s="2">
        <v>87</v>
      </c>
      <c r="M214" s="2">
        <v>0.34499999999999997</v>
      </c>
      <c r="N214" s="2">
        <v>38</v>
      </c>
      <c r="O214" s="2">
        <v>71</v>
      </c>
      <c r="P214" s="2">
        <v>0.53500000000000003</v>
      </c>
      <c r="Q214" s="2">
        <v>0.52500000000000002</v>
      </c>
      <c r="R214" s="2">
        <v>35</v>
      </c>
      <c r="S214" s="2">
        <v>40</v>
      </c>
      <c r="T214" s="2">
        <v>0.875</v>
      </c>
      <c r="U214" s="2">
        <v>24</v>
      </c>
      <c r="V214" s="2">
        <v>58</v>
      </c>
      <c r="W214" s="2">
        <v>82</v>
      </c>
      <c r="X214" s="2">
        <v>39</v>
      </c>
      <c r="Y214" s="2">
        <v>8</v>
      </c>
      <c r="Z214" s="2">
        <v>1</v>
      </c>
      <c r="AA214" s="2">
        <v>20</v>
      </c>
      <c r="AB214" s="2">
        <v>53</v>
      </c>
      <c r="AC214" s="2">
        <v>201</v>
      </c>
      <c r="AD214" s="2">
        <v>0</v>
      </c>
      <c r="AE214" s="18">
        <f t="shared" si="3"/>
        <v>1.95</v>
      </c>
    </row>
    <row r="215" spans="1:31" x14ac:dyDescent="0.2">
      <c r="A215" t="s">
        <v>376</v>
      </c>
      <c r="B215" s="2">
        <v>25</v>
      </c>
      <c r="C215" t="s">
        <v>117</v>
      </c>
      <c r="D215" s="2" t="s">
        <v>49</v>
      </c>
      <c r="E215" s="2">
        <v>15</v>
      </c>
      <c r="F215" s="2">
        <v>0</v>
      </c>
      <c r="G215" s="2">
        <v>217</v>
      </c>
      <c r="H215" s="2">
        <v>25</v>
      </c>
      <c r="I215" s="2">
        <v>53</v>
      </c>
      <c r="J215" s="2">
        <v>0.47199999999999998</v>
      </c>
      <c r="K215" s="2">
        <v>9</v>
      </c>
      <c r="L215" s="2">
        <v>27</v>
      </c>
      <c r="M215" s="2">
        <v>0.33300000000000002</v>
      </c>
      <c r="N215" s="2">
        <v>16</v>
      </c>
      <c r="O215" s="2">
        <v>26</v>
      </c>
      <c r="P215" s="2">
        <v>0.61499999999999999</v>
      </c>
      <c r="Q215" s="2">
        <v>0.55700000000000005</v>
      </c>
      <c r="R215" s="2">
        <v>10</v>
      </c>
      <c r="S215" s="2">
        <v>16</v>
      </c>
      <c r="T215" s="2">
        <v>0.625</v>
      </c>
      <c r="U215" s="2">
        <v>13</v>
      </c>
      <c r="V215" s="2">
        <v>28</v>
      </c>
      <c r="W215" s="2">
        <v>41</v>
      </c>
      <c r="X215" s="2">
        <v>10</v>
      </c>
      <c r="Y215" s="2">
        <v>8</v>
      </c>
      <c r="Z215" s="2">
        <v>7</v>
      </c>
      <c r="AA215" s="2">
        <v>7</v>
      </c>
      <c r="AB215" s="2">
        <v>20</v>
      </c>
      <c r="AC215" s="2">
        <v>69</v>
      </c>
      <c r="AD215" s="2">
        <v>0</v>
      </c>
      <c r="AE215" s="18">
        <f t="shared" si="3"/>
        <v>1.4285714285714286</v>
      </c>
    </row>
    <row r="216" spans="1:31" x14ac:dyDescent="0.2">
      <c r="A216" t="s">
        <v>154</v>
      </c>
      <c r="B216" s="2">
        <v>27</v>
      </c>
      <c r="C216" t="s">
        <v>46</v>
      </c>
      <c r="D216" s="2" t="s">
        <v>33</v>
      </c>
      <c r="E216" s="2">
        <v>17</v>
      </c>
      <c r="F216" s="2">
        <v>17</v>
      </c>
      <c r="G216" s="2">
        <v>613</v>
      </c>
      <c r="H216" s="2">
        <v>108</v>
      </c>
      <c r="I216" s="2">
        <v>257</v>
      </c>
      <c r="J216" s="2">
        <v>0.42</v>
      </c>
      <c r="K216" s="2">
        <v>33</v>
      </c>
      <c r="L216" s="2">
        <v>99</v>
      </c>
      <c r="M216" s="2">
        <v>0.33300000000000002</v>
      </c>
      <c r="N216" s="2">
        <v>75</v>
      </c>
      <c r="O216" s="2">
        <v>158</v>
      </c>
      <c r="P216" s="2">
        <v>0.47499999999999998</v>
      </c>
      <c r="Q216" s="2">
        <v>0.48399999999999999</v>
      </c>
      <c r="R216" s="2">
        <v>53</v>
      </c>
      <c r="S216" s="2">
        <v>66</v>
      </c>
      <c r="T216" s="2">
        <v>0.80300000000000005</v>
      </c>
      <c r="U216" s="2">
        <v>9</v>
      </c>
      <c r="V216" s="2">
        <v>59</v>
      </c>
      <c r="W216" s="2">
        <v>68</v>
      </c>
      <c r="X216" s="2">
        <v>106</v>
      </c>
      <c r="Y216" s="2">
        <v>23</v>
      </c>
      <c r="Z216" s="2">
        <v>10</v>
      </c>
      <c r="AA216" s="2">
        <v>32</v>
      </c>
      <c r="AB216" s="2">
        <v>29</v>
      </c>
      <c r="AC216" s="2">
        <v>302</v>
      </c>
      <c r="AD216" s="2">
        <v>0</v>
      </c>
      <c r="AE216" s="18">
        <f t="shared" si="3"/>
        <v>3.3125</v>
      </c>
    </row>
    <row r="217" spans="1:31" x14ac:dyDescent="0.2">
      <c r="A217" t="s">
        <v>327</v>
      </c>
      <c r="B217" s="2">
        <v>22</v>
      </c>
      <c r="C217" t="s">
        <v>66</v>
      </c>
      <c r="D217" s="2" t="s">
        <v>33</v>
      </c>
      <c r="E217" s="2">
        <v>24</v>
      </c>
      <c r="F217" s="2">
        <v>0</v>
      </c>
      <c r="G217" s="2">
        <v>338</v>
      </c>
      <c r="H217" s="2">
        <v>43</v>
      </c>
      <c r="I217" s="2">
        <v>113</v>
      </c>
      <c r="J217" s="2">
        <v>0.38100000000000001</v>
      </c>
      <c r="K217" s="2">
        <v>14</v>
      </c>
      <c r="L217" s="2">
        <v>45</v>
      </c>
      <c r="M217" s="2">
        <v>0.311</v>
      </c>
      <c r="N217" s="2">
        <v>29</v>
      </c>
      <c r="O217" s="2">
        <v>68</v>
      </c>
      <c r="P217" s="2">
        <v>0.42599999999999999</v>
      </c>
      <c r="Q217" s="2">
        <v>0.442</v>
      </c>
      <c r="R217" s="2">
        <v>9</v>
      </c>
      <c r="S217" s="2">
        <v>12</v>
      </c>
      <c r="T217" s="2">
        <v>0.75</v>
      </c>
      <c r="U217" s="2">
        <v>2</v>
      </c>
      <c r="V217" s="2">
        <v>19</v>
      </c>
      <c r="W217" s="2">
        <v>21</v>
      </c>
      <c r="X217" s="2">
        <v>66</v>
      </c>
      <c r="Y217" s="2">
        <v>11</v>
      </c>
      <c r="Z217" s="2">
        <v>2</v>
      </c>
      <c r="AA217" s="2">
        <v>31</v>
      </c>
      <c r="AB217" s="2">
        <v>44</v>
      </c>
      <c r="AC217" s="2">
        <v>109</v>
      </c>
      <c r="AD217" s="2">
        <v>0</v>
      </c>
      <c r="AE217" s="18">
        <f t="shared" si="3"/>
        <v>2.129032258064516</v>
      </c>
    </row>
    <row r="218" spans="1:31" x14ac:dyDescent="0.2">
      <c r="A218" t="s">
        <v>76</v>
      </c>
      <c r="B218" s="2">
        <v>35</v>
      </c>
      <c r="C218" t="s">
        <v>77</v>
      </c>
      <c r="D218" s="2" t="s">
        <v>33</v>
      </c>
      <c r="E218" s="2">
        <v>24</v>
      </c>
      <c r="F218" s="2">
        <v>24</v>
      </c>
      <c r="G218" s="2">
        <v>814</v>
      </c>
      <c r="H218" s="2">
        <v>148</v>
      </c>
      <c r="I218" s="2">
        <v>391</v>
      </c>
      <c r="J218" s="2">
        <v>0.379</v>
      </c>
      <c r="K218" s="2">
        <v>68</v>
      </c>
      <c r="L218" s="2">
        <v>201</v>
      </c>
      <c r="M218" s="2">
        <v>0.33800000000000002</v>
      </c>
      <c r="N218" s="2">
        <v>80</v>
      </c>
      <c r="O218" s="2">
        <v>190</v>
      </c>
      <c r="P218" s="2">
        <v>0.42099999999999999</v>
      </c>
      <c r="Q218" s="2">
        <v>0.46500000000000002</v>
      </c>
      <c r="R218" s="2">
        <v>155</v>
      </c>
      <c r="S218" s="2">
        <v>173</v>
      </c>
      <c r="T218" s="2">
        <v>0.89600000000000002</v>
      </c>
      <c r="U218" s="2">
        <v>14</v>
      </c>
      <c r="V218" s="2">
        <v>148</v>
      </c>
      <c r="W218" s="2">
        <v>162</v>
      </c>
      <c r="X218" s="2">
        <v>205</v>
      </c>
      <c r="Y218" s="2">
        <v>38</v>
      </c>
      <c r="Z218" s="2">
        <v>16</v>
      </c>
      <c r="AA218" s="2">
        <v>105</v>
      </c>
      <c r="AB218" s="2">
        <v>47</v>
      </c>
      <c r="AC218" s="2">
        <v>519</v>
      </c>
      <c r="AD218" s="2">
        <v>1</v>
      </c>
      <c r="AE218" s="18">
        <f t="shared" si="3"/>
        <v>1.9523809523809523</v>
      </c>
    </row>
    <row r="219" spans="1:31" x14ac:dyDescent="0.2">
      <c r="A219" t="s">
        <v>528</v>
      </c>
      <c r="B219" s="2">
        <v>37</v>
      </c>
      <c r="C219" t="s">
        <v>82</v>
      </c>
      <c r="D219" s="2" t="s">
        <v>27</v>
      </c>
      <c r="E219" s="2">
        <v>3</v>
      </c>
      <c r="F219" s="2">
        <v>0</v>
      </c>
      <c r="G219" s="2">
        <v>10</v>
      </c>
      <c r="H219" s="2">
        <v>2</v>
      </c>
      <c r="I219" s="2">
        <v>4</v>
      </c>
      <c r="J219" s="2">
        <v>0.5</v>
      </c>
      <c r="K219" s="2">
        <v>0</v>
      </c>
      <c r="L219" s="2">
        <v>1</v>
      </c>
      <c r="M219" s="2">
        <v>0</v>
      </c>
      <c r="N219" s="2">
        <v>2</v>
      </c>
      <c r="O219" s="2">
        <v>3</v>
      </c>
      <c r="P219" s="2">
        <v>0.66700000000000004</v>
      </c>
      <c r="Q219" s="2">
        <v>0.5</v>
      </c>
      <c r="R219" s="2">
        <v>0</v>
      </c>
      <c r="S219" s="2">
        <v>0</v>
      </c>
      <c r="T219" s="2"/>
      <c r="U219" s="2">
        <v>0</v>
      </c>
      <c r="V219" s="2">
        <v>2</v>
      </c>
      <c r="W219" s="2">
        <v>2</v>
      </c>
      <c r="X219" s="2">
        <v>2</v>
      </c>
      <c r="Y219" s="2">
        <v>0</v>
      </c>
      <c r="Z219" s="2">
        <v>1</v>
      </c>
      <c r="AA219" s="2">
        <v>3</v>
      </c>
      <c r="AB219" s="2">
        <v>0</v>
      </c>
      <c r="AC219" s="2">
        <v>4</v>
      </c>
      <c r="AD219" s="2">
        <v>0</v>
      </c>
      <c r="AE219" s="18">
        <f t="shared" si="3"/>
        <v>0.66666666666666663</v>
      </c>
    </row>
    <row r="220" spans="1:31" x14ac:dyDescent="0.2">
      <c r="A220" t="s">
        <v>515</v>
      </c>
      <c r="B220" s="2">
        <v>23</v>
      </c>
      <c r="C220" t="s">
        <v>82</v>
      </c>
      <c r="D220" s="2" t="s">
        <v>42</v>
      </c>
      <c r="E220" s="2">
        <v>1</v>
      </c>
      <c r="F220" s="2">
        <v>0</v>
      </c>
      <c r="G220" s="2">
        <v>5</v>
      </c>
      <c r="H220" s="2">
        <v>2</v>
      </c>
      <c r="I220" s="2">
        <v>4</v>
      </c>
      <c r="J220" s="2">
        <v>0.5</v>
      </c>
      <c r="K220" s="2">
        <v>0</v>
      </c>
      <c r="L220" s="2">
        <v>1</v>
      </c>
      <c r="M220" s="2">
        <v>0</v>
      </c>
      <c r="N220" s="2">
        <v>2</v>
      </c>
      <c r="O220" s="2">
        <v>3</v>
      </c>
      <c r="P220" s="2">
        <v>0.66700000000000004</v>
      </c>
      <c r="Q220" s="2">
        <v>0.5</v>
      </c>
      <c r="R220" s="2">
        <v>2</v>
      </c>
      <c r="S220" s="2">
        <v>2</v>
      </c>
      <c r="T220" s="2">
        <v>1</v>
      </c>
      <c r="U220" s="2">
        <v>0</v>
      </c>
      <c r="V220" s="2">
        <v>1</v>
      </c>
      <c r="W220" s="2">
        <v>1</v>
      </c>
      <c r="X220" s="2">
        <v>0</v>
      </c>
      <c r="Y220" s="2">
        <v>0</v>
      </c>
      <c r="Z220" s="2">
        <v>0</v>
      </c>
      <c r="AA220" s="2">
        <v>0</v>
      </c>
      <c r="AB220" s="2">
        <v>0</v>
      </c>
      <c r="AC220" s="2">
        <v>6</v>
      </c>
      <c r="AD220" s="2">
        <v>0</v>
      </c>
      <c r="AE220" s="18" t="e">
        <f t="shared" si="3"/>
        <v>#DIV/0!</v>
      </c>
    </row>
    <row r="221" spans="1:31" x14ac:dyDescent="0.2">
      <c r="A221" t="s">
        <v>295</v>
      </c>
      <c r="B221" s="2">
        <v>23</v>
      </c>
      <c r="C221" t="s">
        <v>66</v>
      </c>
      <c r="D221" s="2" t="s">
        <v>49</v>
      </c>
      <c r="E221" s="2">
        <v>24</v>
      </c>
      <c r="F221" s="2">
        <v>0</v>
      </c>
      <c r="G221" s="2">
        <v>326</v>
      </c>
      <c r="H221" s="2">
        <v>49</v>
      </c>
      <c r="I221" s="2">
        <v>101</v>
      </c>
      <c r="J221" s="2">
        <v>0.48499999999999999</v>
      </c>
      <c r="K221" s="2">
        <v>33</v>
      </c>
      <c r="L221" s="2">
        <v>75</v>
      </c>
      <c r="M221" s="2">
        <v>0.44</v>
      </c>
      <c r="N221" s="2">
        <v>16</v>
      </c>
      <c r="O221" s="2">
        <v>26</v>
      </c>
      <c r="P221" s="2">
        <v>0.61499999999999999</v>
      </c>
      <c r="Q221" s="2">
        <v>0.64900000000000002</v>
      </c>
      <c r="R221" s="2">
        <v>9</v>
      </c>
      <c r="S221" s="2">
        <v>11</v>
      </c>
      <c r="T221" s="2">
        <v>0.81799999999999995</v>
      </c>
      <c r="U221" s="2">
        <v>14</v>
      </c>
      <c r="V221" s="2">
        <v>34</v>
      </c>
      <c r="W221" s="2">
        <v>48</v>
      </c>
      <c r="X221" s="2">
        <v>22</v>
      </c>
      <c r="Y221" s="2">
        <v>3</v>
      </c>
      <c r="Z221" s="2">
        <v>4</v>
      </c>
      <c r="AA221" s="2">
        <v>8</v>
      </c>
      <c r="AB221" s="2">
        <v>28</v>
      </c>
      <c r="AC221" s="2">
        <v>140</v>
      </c>
      <c r="AD221" s="2">
        <v>0</v>
      </c>
      <c r="AE221" s="18">
        <f t="shared" si="3"/>
        <v>2.75</v>
      </c>
    </row>
    <row r="222" spans="1:31" x14ac:dyDescent="0.2">
      <c r="A222" t="s">
        <v>294</v>
      </c>
      <c r="B222" s="2">
        <v>21</v>
      </c>
      <c r="C222" t="s">
        <v>82</v>
      </c>
      <c r="D222" s="2" t="s">
        <v>27</v>
      </c>
      <c r="E222" s="2">
        <v>25</v>
      </c>
      <c r="F222" s="2">
        <v>1</v>
      </c>
      <c r="G222" s="2">
        <v>456</v>
      </c>
      <c r="H222" s="2">
        <v>49</v>
      </c>
      <c r="I222" s="2">
        <v>113</v>
      </c>
      <c r="J222" s="2">
        <v>0.434</v>
      </c>
      <c r="K222" s="2">
        <v>24</v>
      </c>
      <c r="L222" s="2">
        <v>61</v>
      </c>
      <c r="M222" s="2">
        <v>0.39300000000000002</v>
      </c>
      <c r="N222" s="2">
        <v>25</v>
      </c>
      <c r="O222" s="2">
        <v>52</v>
      </c>
      <c r="P222" s="2">
        <v>0.48099999999999998</v>
      </c>
      <c r="Q222" s="2">
        <v>0.54</v>
      </c>
      <c r="R222" s="2">
        <v>19</v>
      </c>
      <c r="S222" s="2">
        <v>31</v>
      </c>
      <c r="T222" s="2">
        <v>0.61299999999999999</v>
      </c>
      <c r="U222" s="2">
        <v>12</v>
      </c>
      <c r="V222" s="2">
        <v>76</v>
      </c>
      <c r="W222" s="2">
        <v>88</v>
      </c>
      <c r="X222" s="2">
        <v>39</v>
      </c>
      <c r="Y222" s="2">
        <v>30</v>
      </c>
      <c r="Z222" s="2">
        <v>9</v>
      </c>
      <c r="AA222" s="2">
        <v>36</v>
      </c>
      <c r="AB222" s="2">
        <v>41</v>
      </c>
      <c r="AC222" s="2">
        <v>141</v>
      </c>
      <c r="AD222" s="2">
        <v>0</v>
      </c>
      <c r="AE222" s="18">
        <f t="shared" si="3"/>
        <v>1.0833333333333333</v>
      </c>
    </row>
    <row r="223" spans="1:31" x14ac:dyDescent="0.2">
      <c r="A223" t="s">
        <v>343</v>
      </c>
      <c r="B223" s="2">
        <v>24</v>
      </c>
      <c r="C223" t="s">
        <v>114</v>
      </c>
      <c r="D223" s="2" t="s">
        <v>52</v>
      </c>
      <c r="E223" s="2">
        <v>17</v>
      </c>
      <c r="F223" s="2">
        <v>0</v>
      </c>
      <c r="G223" s="2">
        <v>180</v>
      </c>
      <c r="H223" s="2">
        <v>38</v>
      </c>
      <c r="I223" s="2">
        <v>85</v>
      </c>
      <c r="J223" s="2">
        <v>0.44700000000000001</v>
      </c>
      <c r="K223" s="2">
        <v>5</v>
      </c>
      <c r="L223" s="2">
        <v>22</v>
      </c>
      <c r="M223" s="2">
        <v>0.22700000000000001</v>
      </c>
      <c r="N223" s="2">
        <v>33</v>
      </c>
      <c r="O223" s="2">
        <v>63</v>
      </c>
      <c r="P223" s="2">
        <v>0.52400000000000002</v>
      </c>
      <c r="Q223" s="2">
        <v>0.47599999999999998</v>
      </c>
      <c r="R223" s="2">
        <v>16</v>
      </c>
      <c r="S223" s="2">
        <v>22</v>
      </c>
      <c r="T223" s="2">
        <v>0.72699999999999998</v>
      </c>
      <c r="U223" s="2">
        <v>4</v>
      </c>
      <c r="V223" s="2">
        <v>11</v>
      </c>
      <c r="W223" s="2">
        <v>15</v>
      </c>
      <c r="X223" s="2">
        <v>46</v>
      </c>
      <c r="Y223" s="2">
        <v>6</v>
      </c>
      <c r="Z223" s="2">
        <v>2</v>
      </c>
      <c r="AA223" s="2">
        <v>12</v>
      </c>
      <c r="AB223" s="2">
        <v>20</v>
      </c>
      <c r="AC223" s="2">
        <v>97</v>
      </c>
      <c r="AD223" s="2">
        <v>0</v>
      </c>
      <c r="AE223" s="18">
        <f t="shared" si="3"/>
        <v>3.8333333333333335</v>
      </c>
    </row>
    <row r="224" spans="1:31" x14ac:dyDescent="0.2">
      <c r="A224" t="s">
        <v>133</v>
      </c>
      <c r="B224" s="2">
        <v>20</v>
      </c>
      <c r="C224" t="s">
        <v>122</v>
      </c>
      <c r="D224" s="2" t="s">
        <v>52</v>
      </c>
      <c r="E224" s="2">
        <v>22</v>
      </c>
      <c r="F224" s="2">
        <v>8</v>
      </c>
      <c r="G224" s="2">
        <v>563</v>
      </c>
      <c r="H224" s="2">
        <v>124</v>
      </c>
      <c r="I224" s="2">
        <v>268</v>
      </c>
      <c r="J224" s="2">
        <v>0.46300000000000002</v>
      </c>
      <c r="K224" s="2">
        <v>50</v>
      </c>
      <c r="L224" s="2">
        <v>131</v>
      </c>
      <c r="M224" s="2">
        <v>0.38200000000000001</v>
      </c>
      <c r="N224" s="2">
        <v>74</v>
      </c>
      <c r="O224" s="2">
        <v>137</v>
      </c>
      <c r="P224" s="2">
        <v>0.54</v>
      </c>
      <c r="Q224" s="2">
        <v>0.55600000000000005</v>
      </c>
      <c r="R224" s="2">
        <v>49</v>
      </c>
      <c r="S224" s="2">
        <v>56</v>
      </c>
      <c r="T224" s="2">
        <v>0.875</v>
      </c>
      <c r="U224" s="2">
        <v>13</v>
      </c>
      <c r="V224" s="2">
        <v>42</v>
      </c>
      <c r="W224" s="2">
        <v>55</v>
      </c>
      <c r="X224" s="2">
        <v>57</v>
      </c>
      <c r="Y224" s="2">
        <v>15</v>
      </c>
      <c r="Z224" s="2">
        <v>0</v>
      </c>
      <c r="AA224" s="2">
        <v>35</v>
      </c>
      <c r="AB224" s="2">
        <v>32</v>
      </c>
      <c r="AC224" s="2">
        <v>347</v>
      </c>
      <c r="AD224" s="2">
        <v>0</v>
      </c>
      <c r="AE224" s="18">
        <f t="shared" si="3"/>
        <v>1.6285714285714286</v>
      </c>
    </row>
    <row r="225" spans="1:31" x14ac:dyDescent="0.2">
      <c r="A225" t="s">
        <v>531</v>
      </c>
      <c r="B225" s="2">
        <v>25</v>
      </c>
      <c r="C225" t="s">
        <v>59</v>
      </c>
      <c r="D225" s="2" t="s">
        <v>52</v>
      </c>
      <c r="E225" s="2">
        <v>4</v>
      </c>
      <c r="F225" s="2">
        <v>0</v>
      </c>
      <c r="G225" s="2">
        <v>12</v>
      </c>
      <c r="H225" s="2">
        <v>2</v>
      </c>
      <c r="I225" s="2">
        <v>8</v>
      </c>
      <c r="J225" s="2">
        <v>0.25</v>
      </c>
      <c r="K225" s="2">
        <v>0</v>
      </c>
      <c r="L225" s="2">
        <v>2</v>
      </c>
      <c r="M225" s="2">
        <v>0</v>
      </c>
      <c r="N225" s="2">
        <v>2</v>
      </c>
      <c r="O225" s="2">
        <v>6</v>
      </c>
      <c r="P225" s="2">
        <v>0.33300000000000002</v>
      </c>
      <c r="Q225" s="2">
        <v>0.25</v>
      </c>
      <c r="R225" s="2">
        <v>0</v>
      </c>
      <c r="S225" s="2">
        <v>0</v>
      </c>
      <c r="T225" s="2"/>
      <c r="U225" s="2">
        <v>2</v>
      </c>
      <c r="V225" s="2">
        <v>2</v>
      </c>
      <c r="W225" s="2">
        <v>4</v>
      </c>
      <c r="X225" s="2">
        <v>2</v>
      </c>
      <c r="Y225" s="2">
        <v>1</v>
      </c>
      <c r="Z225" s="2">
        <v>0</v>
      </c>
      <c r="AA225" s="2">
        <v>1</v>
      </c>
      <c r="AB225" s="2">
        <v>1</v>
      </c>
      <c r="AC225" s="2">
        <v>4</v>
      </c>
      <c r="AD225" s="2">
        <v>0</v>
      </c>
      <c r="AE225" s="18">
        <f t="shared" si="3"/>
        <v>2</v>
      </c>
    </row>
    <row r="226" spans="1:31" x14ac:dyDescent="0.2">
      <c r="A226" t="s">
        <v>79</v>
      </c>
      <c r="B226" s="2">
        <v>25</v>
      </c>
      <c r="C226" t="s">
        <v>80</v>
      </c>
      <c r="D226" s="2" t="s">
        <v>42</v>
      </c>
      <c r="E226" s="2">
        <v>23</v>
      </c>
      <c r="F226" s="2">
        <v>23</v>
      </c>
      <c r="G226" s="2">
        <v>645</v>
      </c>
      <c r="H226" s="2">
        <v>181</v>
      </c>
      <c r="I226" s="2">
        <v>350</v>
      </c>
      <c r="J226" s="2">
        <v>0.51700000000000002</v>
      </c>
      <c r="K226" s="2">
        <v>42</v>
      </c>
      <c r="L226" s="2">
        <v>120</v>
      </c>
      <c r="M226" s="2">
        <v>0.35</v>
      </c>
      <c r="N226" s="2">
        <v>139</v>
      </c>
      <c r="O226" s="2">
        <v>230</v>
      </c>
      <c r="P226" s="2">
        <v>0.60399999999999998</v>
      </c>
      <c r="Q226" s="2">
        <v>0.57699999999999996</v>
      </c>
      <c r="R226" s="2">
        <v>100</v>
      </c>
      <c r="S226" s="2">
        <v>123</v>
      </c>
      <c r="T226" s="2">
        <v>0.81299999999999994</v>
      </c>
      <c r="U226" s="2">
        <v>30</v>
      </c>
      <c r="V226" s="2">
        <v>104</v>
      </c>
      <c r="W226" s="2">
        <v>134</v>
      </c>
      <c r="X226" s="2">
        <v>29</v>
      </c>
      <c r="Y226" s="2">
        <v>32</v>
      </c>
      <c r="Z226" s="2">
        <v>44</v>
      </c>
      <c r="AA226" s="2">
        <v>49</v>
      </c>
      <c r="AB226" s="2">
        <v>75</v>
      </c>
      <c r="AC226" s="2">
        <v>504</v>
      </c>
      <c r="AD226" s="2">
        <v>0</v>
      </c>
      <c r="AE226" s="18">
        <f t="shared" si="3"/>
        <v>0.59183673469387754</v>
      </c>
    </row>
    <row r="227" spans="1:31" x14ac:dyDescent="0.2">
      <c r="A227" t="s">
        <v>143</v>
      </c>
      <c r="B227" s="2">
        <v>26</v>
      </c>
      <c r="C227" t="s">
        <v>57</v>
      </c>
      <c r="D227" s="2" t="s">
        <v>42</v>
      </c>
      <c r="E227" s="2">
        <v>25</v>
      </c>
      <c r="F227" s="2">
        <v>25</v>
      </c>
      <c r="G227" s="2">
        <v>745</v>
      </c>
      <c r="H227" s="2">
        <v>136</v>
      </c>
      <c r="I227" s="2">
        <v>199</v>
      </c>
      <c r="J227" s="2">
        <v>0.68300000000000005</v>
      </c>
      <c r="K227" s="2">
        <v>0</v>
      </c>
      <c r="L227" s="2">
        <v>1</v>
      </c>
      <c r="M227" s="2">
        <v>0</v>
      </c>
      <c r="N227" s="2">
        <v>136</v>
      </c>
      <c r="O227" s="2">
        <v>198</v>
      </c>
      <c r="P227" s="2">
        <v>0.68700000000000006</v>
      </c>
      <c r="Q227" s="2">
        <v>0.68300000000000005</v>
      </c>
      <c r="R227" s="2">
        <v>62</v>
      </c>
      <c r="S227" s="2">
        <v>84</v>
      </c>
      <c r="T227" s="2">
        <v>0.73799999999999999</v>
      </c>
      <c r="U227" s="2">
        <v>57</v>
      </c>
      <c r="V227" s="2">
        <v>202</v>
      </c>
      <c r="W227" s="2">
        <v>259</v>
      </c>
      <c r="X227" s="2">
        <v>45</v>
      </c>
      <c r="Y227" s="2">
        <v>23</v>
      </c>
      <c r="Z227" s="2">
        <v>22</v>
      </c>
      <c r="AA227" s="2">
        <v>26</v>
      </c>
      <c r="AB227" s="2">
        <v>31</v>
      </c>
      <c r="AC227" s="2">
        <v>334</v>
      </c>
      <c r="AD227" s="2">
        <v>0</v>
      </c>
      <c r="AE227" s="18">
        <f t="shared" si="3"/>
        <v>1.7307692307692308</v>
      </c>
    </row>
    <row r="228" spans="1:31" x14ac:dyDescent="0.2">
      <c r="A228" t="s">
        <v>279</v>
      </c>
      <c r="B228" s="2">
        <v>31</v>
      </c>
      <c r="C228" t="s">
        <v>117</v>
      </c>
      <c r="D228" s="2" t="s">
        <v>52</v>
      </c>
      <c r="E228" s="2">
        <v>24</v>
      </c>
      <c r="F228" s="2">
        <v>12</v>
      </c>
      <c r="G228" s="2">
        <v>560</v>
      </c>
      <c r="H228" s="2">
        <v>52</v>
      </c>
      <c r="I228" s="2">
        <v>122</v>
      </c>
      <c r="J228" s="2">
        <v>0.42599999999999999</v>
      </c>
      <c r="K228" s="2">
        <v>17</v>
      </c>
      <c r="L228" s="2">
        <v>54</v>
      </c>
      <c r="M228" s="2">
        <v>0.315</v>
      </c>
      <c r="N228" s="2">
        <v>35</v>
      </c>
      <c r="O228" s="2">
        <v>68</v>
      </c>
      <c r="P228" s="2">
        <v>0.51500000000000001</v>
      </c>
      <c r="Q228" s="2">
        <v>0.496</v>
      </c>
      <c r="R228" s="2">
        <v>30</v>
      </c>
      <c r="S228" s="2">
        <v>39</v>
      </c>
      <c r="T228" s="2">
        <v>0.76900000000000002</v>
      </c>
      <c r="U228" s="2">
        <v>24</v>
      </c>
      <c r="V228" s="2">
        <v>55</v>
      </c>
      <c r="W228" s="2">
        <v>79</v>
      </c>
      <c r="X228" s="2">
        <v>20</v>
      </c>
      <c r="Y228" s="2">
        <v>27</v>
      </c>
      <c r="Z228" s="2">
        <v>17</v>
      </c>
      <c r="AA228" s="2">
        <v>14</v>
      </c>
      <c r="AB228" s="2">
        <v>30</v>
      </c>
      <c r="AC228" s="2">
        <v>151</v>
      </c>
      <c r="AD228" s="2">
        <v>0</v>
      </c>
      <c r="AE228" s="18">
        <f t="shared" si="3"/>
        <v>1.4285714285714286</v>
      </c>
    </row>
    <row r="229" spans="1:31" x14ac:dyDescent="0.2">
      <c r="A229" t="s">
        <v>375</v>
      </c>
      <c r="B229" s="2">
        <v>24</v>
      </c>
      <c r="C229" t="s">
        <v>41</v>
      </c>
      <c r="D229" s="2" t="s">
        <v>42</v>
      </c>
      <c r="E229" s="2">
        <v>11</v>
      </c>
      <c r="F229" s="2">
        <v>1</v>
      </c>
      <c r="G229" s="2">
        <v>192</v>
      </c>
      <c r="H229" s="2">
        <v>26</v>
      </c>
      <c r="I229" s="2">
        <v>36</v>
      </c>
      <c r="J229" s="2">
        <v>0.72199999999999998</v>
      </c>
      <c r="K229" s="2">
        <v>0</v>
      </c>
      <c r="L229" s="2">
        <v>0</v>
      </c>
      <c r="M229" s="2"/>
      <c r="N229" s="2">
        <v>26</v>
      </c>
      <c r="O229" s="2">
        <v>36</v>
      </c>
      <c r="P229" s="2">
        <v>0.72199999999999998</v>
      </c>
      <c r="Q229" s="2">
        <v>0.72199999999999998</v>
      </c>
      <c r="R229" s="2">
        <v>18</v>
      </c>
      <c r="S229" s="2">
        <v>23</v>
      </c>
      <c r="T229" s="2">
        <v>0.78300000000000003</v>
      </c>
      <c r="U229" s="2">
        <v>21</v>
      </c>
      <c r="V229" s="2">
        <v>29</v>
      </c>
      <c r="W229" s="2">
        <v>50</v>
      </c>
      <c r="X229" s="2">
        <v>9</v>
      </c>
      <c r="Y229" s="2">
        <v>4</v>
      </c>
      <c r="Z229" s="2">
        <v>9</v>
      </c>
      <c r="AA229" s="2">
        <v>8</v>
      </c>
      <c r="AB229" s="2">
        <v>28</v>
      </c>
      <c r="AC229" s="2">
        <v>70</v>
      </c>
      <c r="AD229" s="2">
        <v>0</v>
      </c>
      <c r="AE229" s="18">
        <f t="shared" si="3"/>
        <v>1.125</v>
      </c>
    </row>
    <row r="230" spans="1:31" x14ac:dyDescent="0.2">
      <c r="A230" t="s">
        <v>203</v>
      </c>
      <c r="B230" s="2">
        <v>26</v>
      </c>
      <c r="C230" t="s">
        <v>80</v>
      </c>
      <c r="D230" s="2" t="s">
        <v>42</v>
      </c>
      <c r="E230" s="2">
        <v>25</v>
      </c>
      <c r="F230" s="2">
        <v>1</v>
      </c>
      <c r="G230" s="2">
        <v>392</v>
      </c>
      <c r="H230" s="2">
        <v>82</v>
      </c>
      <c r="I230" s="2">
        <v>158</v>
      </c>
      <c r="J230" s="2">
        <v>0.51900000000000002</v>
      </c>
      <c r="K230" s="2">
        <v>43</v>
      </c>
      <c r="L230" s="2">
        <v>104</v>
      </c>
      <c r="M230" s="2">
        <v>0.41299999999999998</v>
      </c>
      <c r="N230" s="2">
        <v>39</v>
      </c>
      <c r="O230" s="2">
        <v>54</v>
      </c>
      <c r="P230" s="2">
        <v>0.72199999999999998</v>
      </c>
      <c r="Q230" s="2">
        <v>0.65500000000000003</v>
      </c>
      <c r="R230" s="2">
        <v>31</v>
      </c>
      <c r="S230" s="2">
        <v>41</v>
      </c>
      <c r="T230" s="2">
        <v>0.75600000000000001</v>
      </c>
      <c r="U230" s="2">
        <v>14</v>
      </c>
      <c r="V230" s="2">
        <v>54</v>
      </c>
      <c r="W230" s="2">
        <v>68</v>
      </c>
      <c r="X230" s="2">
        <v>21</v>
      </c>
      <c r="Y230" s="2">
        <v>7</v>
      </c>
      <c r="Z230" s="2">
        <v>32</v>
      </c>
      <c r="AA230" s="2">
        <v>16</v>
      </c>
      <c r="AB230" s="2">
        <v>41</v>
      </c>
      <c r="AC230" s="2">
        <v>238</v>
      </c>
      <c r="AD230" s="2">
        <v>0</v>
      </c>
      <c r="AE230" s="18">
        <f t="shared" si="3"/>
        <v>1.3125</v>
      </c>
    </row>
    <row r="231" spans="1:31" x14ac:dyDescent="0.2">
      <c r="A231" t="s">
        <v>84</v>
      </c>
      <c r="B231" s="2">
        <v>28</v>
      </c>
      <c r="C231" t="s">
        <v>39</v>
      </c>
      <c r="D231" s="2" t="s">
        <v>49</v>
      </c>
      <c r="E231" s="2">
        <v>20</v>
      </c>
      <c r="F231" s="2">
        <v>20</v>
      </c>
      <c r="G231" s="2">
        <v>716</v>
      </c>
      <c r="H231" s="2">
        <v>171</v>
      </c>
      <c r="I231" s="2">
        <v>383</v>
      </c>
      <c r="J231" s="2">
        <v>0.44600000000000001</v>
      </c>
      <c r="K231" s="2">
        <v>50</v>
      </c>
      <c r="L231" s="2">
        <v>146</v>
      </c>
      <c r="M231" s="2">
        <v>0.34200000000000003</v>
      </c>
      <c r="N231" s="2">
        <v>121</v>
      </c>
      <c r="O231" s="2">
        <v>237</v>
      </c>
      <c r="P231" s="2">
        <v>0.51100000000000001</v>
      </c>
      <c r="Q231" s="2">
        <v>0.51200000000000001</v>
      </c>
      <c r="R231" s="2">
        <v>97</v>
      </c>
      <c r="S231" s="2">
        <v>127</v>
      </c>
      <c r="T231" s="2">
        <v>0.76400000000000001</v>
      </c>
      <c r="U231" s="2">
        <v>29</v>
      </c>
      <c r="V231" s="2">
        <v>94</v>
      </c>
      <c r="W231" s="2">
        <v>123</v>
      </c>
      <c r="X231" s="2">
        <v>93</v>
      </c>
      <c r="Y231" s="2">
        <v>22</v>
      </c>
      <c r="Z231" s="2">
        <v>7</v>
      </c>
      <c r="AA231" s="2">
        <v>53</v>
      </c>
      <c r="AB231" s="2">
        <v>52</v>
      </c>
      <c r="AC231" s="2">
        <v>489</v>
      </c>
      <c r="AD231" s="2">
        <v>0</v>
      </c>
      <c r="AE231" s="18">
        <f t="shared" si="3"/>
        <v>1.7547169811320755</v>
      </c>
    </row>
    <row r="232" spans="1:31" x14ac:dyDescent="0.2">
      <c r="A232" t="s">
        <v>537</v>
      </c>
      <c r="B232" s="2">
        <v>21</v>
      </c>
      <c r="C232" t="s">
        <v>103</v>
      </c>
      <c r="D232" s="2" t="s">
        <v>49</v>
      </c>
      <c r="E232" s="2">
        <v>2</v>
      </c>
      <c r="F232" s="2">
        <v>0</v>
      </c>
      <c r="G232" s="2">
        <v>3</v>
      </c>
      <c r="H232" s="2">
        <v>1</v>
      </c>
      <c r="I232" s="2">
        <v>1</v>
      </c>
      <c r="J232" s="2">
        <v>1</v>
      </c>
      <c r="K232" s="2">
        <v>1</v>
      </c>
      <c r="L232" s="2">
        <v>1</v>
      </c>
      <c r="M232" s="2">
        <v>1</v>
      </c>
      <c r="N232" s="2">
        <v>0</v>
      </c>
      <c r="O232" s="2">
        <v>0</v>
      </c>
      <c r="P232" s="2"/>
      <c r="Q232" s="2">
        <v>1.5</v>
      </c>
      <c r="R232" s="2">
        <v>0</v>
      </c>
      <c r="S232" s="2">
        <v>0</v>
      </c>
      <c r="T232" s="2"/>
      <c r="U232" s="2">
        <v>0</v>
      </c>
      <c r="V232" s="2">
        <v>0</v>
      </c>
      <c r="W232" s="2">
        <v>0</v>
      </c>
      <c r="X232" s="2">
        <v>0</v>
      </c>
      <c r="Y232" s="2">
        <v>0</v>
      </c>
      <c r="Z232" s="2">
        <v>0</v>
      </c>
      <c r="AA232" s="2">
        <v>0</v>
      </c>
      <c r="AB232" s="2">
        <v>1</v>
      </c>
      <c r="AC232" s="2">
        <v>3</v>
      </c>
      <c r="AD232" s="2">
        <v>0</v>
      </c>
      <c r="AE232" s="18" t="e">
        <f t="shared" si="3"/>
        <v>#DIV/0!</v>
      </c>
    </row>
    <row r="233" spans="1:31" x14ac:dyDescent="0.2">
      <c r="A233" t="s">
        <v>379</v>
      </c>
      <c r="B233" s="2">
        <v>25</v>
      </c>
      <c r="C233" t="s">
        <v>117</v>
      </c>
      <c r="D233" s="2" t="s">
        <v>52</v>
      </c>
      <c r="E233" s="2">
        <v>8</v>
      </c>
      <c r="F233" s="2">
        <v>0</v>
      </c>
      <c r="G233" s="2">
        <v>168</v>
      </c>
      <c r="H233" s="2">
        <v>26</v>
      </c>
      <c r="I233" s="2">
        <v>73</v>
      </c>
      <c r="J233" s="2">
        <v>0.35599999999999998</v>
      </c>
      <c r="K233" s="2">
        <v>8</v>
      </c>
      <c r="L233" s="2">
        <v>27</v>
      </c>
      <c r="M233" s="2">
        <v>0.29599999999999999</v>
      </c>
      <c r="N233" s="2">
        <v>18</v>
      </c>
      <c r="O233" s="2">
        <v>46</v>
      </c>
      <c r="P233" s="2">
        <v>0.39100000000000001</v>
      </c>
      <c r="Q233" s="2">
        <v>0.41099999999999998</v>
      </c>
      <c r="R233" s="2">
        <v>7</v>
      </c>
      <c r="S233" s="2">
        <v>11</v>
      </c>
      <c r="T233" s="2">
        <v>0.63600000000000001</v>
      </c>
      <c r="U233" s="2">
        <v>6</v>
      </c>
      <c r="V233" s="2">
        <v>14</v>
      </c>
      <c r="W233" s="2">
        <v>20</v>
      </c>
      <c r="X233" s="2">
        <v>18</v>
      </c>
      <c r="Y233" s="2">
        <v>1</v>
      </c>
      <c r="Z233" s="2">
        <v>4</v>
      </c>
      <c r="AA233" s="2">
        <v>8</v>
      </c>
      <c r="AB233" s="2">
        <v>9</v>
      </c>
      <c r="AC233" s="2">
        <v>67</v>
      </c>
      <c r="AD233" s="2">
        <v>0</v>
      </c>
      <c r="AE233" s="18">
        <f t="shared" si="3"/>
        <v>2.25</v>
      </c>
    </row>
    <row r="234" spans="1:31" x14ac:dyDescent="0.2">
      <c r="A234" t="s">
        <v>168</v>
      </c>
      <c r="B234" s="2">
        <v>21</v>
      </c>
      <c r="C234" t="s">
        <v>80</v>
      </c>
      <c r="D234" s="2" t="s">
        <v>52</v>
      </c>
      <c r="E234" s="2">
        <v>25</v>
      </c>
      <c r="F234" s="2">
        <v>20</v>
      </c>
      <c r="G234" s="2">
        <v>621</v>
      </c>
      <c r="H234" s="2">
        <v>103</v>
      </c>
      <c r="I234" s="2">
        <v>228</v>
      </c>
      <c r="J234" s="2">
        <v>0.45200000000000001</v>
      </c>
      <c r="K234" s="2">
        <v>46</v>
      </c>
      <c r="L234" s="2">
        <v>120</v>
      </c>
      <c r="M234" s="2">
        <v>0.38300000000000001</v>
      </c>
      <c r="N234" s="2">
        <v>57</v>
      </c>
      <c r="O234" s="2">
        <v>108</v>
      </c>
      <c r="P234" s="2">
        <v>0.52800000000000002</v>
      </c>
      <c r="Q234" s="2">
        <v>0.55300000000000005</v>
      </c>
      <c r="R234" s="2">
        <v>36</v>
      </c>
      <c r="S234" s="2">
        <v>45</v>
      </c>
      <c r="T234" s="2">
        <v>0.8</v>
      </c>
      <c r="U234" s="2">
        <v>24</v>
      </c>
      <c r="V234" s="2">
        <v>59</v>
      </c>
      <c r="W234" s="2">
        <v>83</v>
      </c>
      <c r="X234" s="2">
        <v>43</v>
      </c>
      <c r="Y234" s="2">
        <v>10</v>
      </c>
      <c r="Z234" s="2">
        <v>5</v>
      </c>
      <c r="AA234" s="2">
        <v>32</v>
      </c>
      <c r="AB234" s="2">
        <v>44</v>
      </c>
      <c r="AC234" s="2">
        <v>288</v>
      </c>
      <c r="AD234" s="2">
        <v>0</v>
      </c>
      <c r="AE234" s="18">
        <f t="shared" si="3"/>
        <v>1.34375</v>
      </c>
    </row>
    <row r="235" spans="1:31" x14ac:dyDescent="0.2">
      <c r="A235" t="s">
        <v>443</v>
      </c>
      <c r="B235" s="2">
        <v>22</v>
      </c>
      <c r="C235" t="s">
        <v>57</v>
      </c>
      <c r="D235" s="2" t="s">
        <v>52</v>
      </c>
      <c r="E235" s="2">
        <v>14</v>
      </c>
      <c r="F235" s="2">
        <v>1</v>
      </c>
      <c r="G235" s="2">
        <v>108</v>
      </c>
      <c r="H235" s="2">
        <v>12</v>
      </c>
      <c r="I235" s="2">
        <v>27</v>
      </c>
      <c r="J235" s="2">
        <v>0.44400000000000001</v>
      </c>
      <c r="K235" s="2">
        <v>3</v>
      </c>
      <c r="L235" s="2">
        <v>11</v>
      </c>
      <c r="M235" s="2">
        <v>0.27300000000000002</v>
      </c>
      <c r="N235" s="2">
        <v>9</v>
      </c>
      <c r="O235" s="2">
        <v>16</v>
      </c>
      <c r="P235" s="2">
        <v>0.56299999999999994</v>
      </c>
      <c r="Q235" s="2">
        <v>0.5</v>
      </c>
      <c r="R235" s="2">
        <v>3</v>
      </c>
      <c r="S235" s="2">
        <v>6</v>
      </c>
      <c r="T235" s="2">
        <v>0.5</v>
      </c>
      <c r="U235" s="2">
        <v>10</v>
      </c>
      <c r="V235" s="2">
        <v>14</v>
      </c>
      <c r="W235" s="2">
        <v>24</v>
      </c>
      <c r="X235" s="2">
        <v>11</v>
      </c>
      <c r="Y235" s="2">
        <v>4</v>
      </c>
      <c r="Z235" s="2">
        <v>0</v>
      </c>
      <c r="AA235" s="2">
        <v>6</v>
      </c>
      <c r="AB235" s="2">
        <v>18</v>
      </c>
      <c r="AC235" s="2">
        <v>30</v>
      </c>
      <c r="AD235" s="2">
        <v>0</v>
      </c>
      <c r="AE235" s="18">
        <f t="shared" si="3"/>
        <v>1.8333333333333333</v>
      </c>
    </row>
    <row r="236" spans="1:31" x14ac:dyDescent="0.2">
      <c r="A236" t="s">
        <v>38</v>
      </c>
      <c r="B236" s="2">
        <v>26</v>
      </c>
      <c r="C236" t="s">
        <v>39</v>
      </c>
      <c r="D236" s="2" t="s">
        <v>27</v>
      </c>
      <c r="E236" s="2">
        <v>23</v>
      </c>
      <c r="F236" s="2">
        <v>23</v>
      </c>
      <c r="G236" s="2">
        <v>839</v>
      </c>
      <c r="H236" s="2">
        <v>210</v>
      </c>
      <c r="I236" s="2">
        <v>464</v>
      </c>
      <c r="J236" s="2">
        <v>0.45300000000000001</v>
      </c>
      <c r="K236" s="2">
        <v>88</v>
      </c>
      <c r="L236" s="4">
        <v>242</v>
      </c>
      <c r="M236" s="2">
        <v>0.36399999999999999</v>
      </c>
      <c r="N236" s="2">
        <v>122</v>
      </c>
      <c r="O236" s="2">
        <v>222</v>
      </c>
      <c r="P236" s="2">
        <v>0.55000000000000004</v>
      </c>
      <c r="Q236" s="2">
        <v>0.54700000000000004</v>
      </c>
      <c r="R236" s="2">
        <v>140</v>
      </c>
      <c r="S236" s="2">
        <v>175</v>
      </c>
      <c r="T236" s="2">
        <v>0.8</v>
      </c>
      <c r="U236" s="2">
        <v>12</v>
      </c>
      <c r="V236" s="2">
        <v>192</v>
      </c>
      <c r="W236" s="2">
        <v>204</v>
      </c>
      <c r="X236" s="2">
        <v>132</v>
      </c>
      <c r="Y236" s="2">
        <v>28</v>
      </c>
      <c r="Z236" s="2">
        <v>12</v>
      </c>
      <c r="AA236" s="2">
        <v>64</v>
      </c>
      <c r="AB236" s="2">
        <v>57</v>
      </c>
      <c r="AC236" s="2">
        <v>648</v>
      </c>
      <c r="AD236" s="2">
        <v>0</v>
      </c>
      <c r="AE236" s="18">
        <f t="shared" si="3"/>
        <v>2.0625</v>
      </c>
    </row>
    <row r="237" spans="1:31" x14ac:dyDescent="0.2">
      <c r="A237" t="s">
        <v>502</v>
      </c>
      <c r="B237" s="2">
        <v>21</v>
      </c>
      <c r="C237" t="s">
        <v>63</v>
      </c>
      <c r="D237" s="2" t="s">
        <v>33</v>
      </c>
      <c r="E237" s="2">
        <v>6</v>
      </c>
      <c r="F237" s="2">
        <v>0</v>
      </c>
      <c r="G237" s="2">
        <v>14</v>
      </c>
      <c r="H237" s="2">
        <v>3</v>
      </c>
      <c r="I237" s="2">
        <v>5</v>
      </c>
      <c r="J237" s="2">
        <v>0.6</v>
      </c>
      <c r="K237" s="2">
        <v>2</v>
      </c>
      <c r="L237" s="2">
        <v>3</v>
      </c>
      <c r="M237" s="2">
        <v>0.66700000000000004</v>
      </c>
      <c r="N237" s="2">
        <v>1</v>
      </c>
      <c r="O237" s="2">
        <v>2</v>
      </c>
      <c r="P237" s="2">
        <v>0.5</v>
      </c>
      <c r="Q237" s="2">
        <v>0.8</v>
      </c>
      <c r="R237" s="2">
        <v>0</v>
      </c>
      <c r="S237" s="2">
        <v>0</v>
      </c>
      <c r="T237" s="2"/>
      <c r="U237" s="2">
        <v>1</v>
      </c>
      <c r="V237" s="2">
        <v>0</v>
      </c>
      <c r="W237" s="2">
        <v>1</v>
      </c>
      <c r="X237" s="2">
        <v>0</v>
      </c>
      <c r="Y237" s="2">
        <v>0</v>
      </c>
      <c r="Z237" s="2">
        <v>1</v>
      </c>
      <c r="AA237" s="2">
        <v>1</v>
      </c>
      <c r="AB237" s="2">
        <v>2</v>
      </c>
      <c r="AC237" s="2">
        <v>8</v>
      </c>
      <c r="AD237" s="2">
        <v>0</v>
      </c>
      <c r="AE237" s="18">
        <f t="shared" si="3"/>
        <v>0</v>
      </c>
    </row>
    <row r="238" spans="1:31" x14ac:dyDescent="0.2">
      <c r="A238" t="s">
        <v>509</v>
      </c>
      <c r="B238" s="2">
        <v>22</v>
      </c>
      <c r="C238" t="s">
        <v>39</v>
      </c>
      <c r="D238" s="2" t="s">
        <v>33</v>
      </c>
      <c r="E238" s="2">
        <v>5</v>
      </c>
      <c r="F238" s="2">
        <v>0</v>
      </c>
      <c r="G238" s="2">
        <v>24</v>
      </c>
      <c r="H238" s="2">
        <v>2</v>
      </c>
      <c r="I238" s="2">
        <v>5</v>
      </c>
      <c r="J238" s="2">
        <v>0.4</v>
      </c>
      <c r="K238" s="2">
        <v>1</v>
      </c>
      <c r="L238" s="2">
        <v>3</v>
      </c>
      <c r="M238" s="2">
        <v>0.33300000000000002</v>
      </c>
      <c r="N238" s="2">
        <v>1</v>
      </c>
      <c r="O238" s="2">
        <v>2</v>
      </c>
      <c r="P238" s="2">
        <v>0.5</v>
      </c>
      <c r="Q238" s="2">
        <v>0.5</v>
      </c>
      <c r="R238" s="2">
        <v>1</v>
      </c>
      <c r="S238" s="2">
        <v>2</v>
      </c>
      <c r="T238" s="2">
        <v>0.5</v>
      </c>
      <c r="U238" s="2">
        <v>0</v>
      </c>
      <c r="V238" s="2">
        <v>2</v>
      </c>
      <c r="W238" s="2">
        <v>2</v>
      </c>
      <c r="X238" s="2">
        <v>1</v>
      </c>
      <c r="Y238" s="2">
        <v>1</v>
      </c>
      <c r="Z238" s="2">
        <v>0</v>
      </c>
      <c r="AA238" s="2">
        <v>6</v>
      </c>
      <c r="AB238" s="2">
        <v>1</v>
      </c>
      <c r="AC238" s="2">
        <v>6</v>
      </c>
      <c r="AD238" s="2">
        <v>0</v>
      </c>
      <c r="AE238" s="18">
        <f t="shared" si="3"/>
        <v>0.16666666666666666</v>
      </c>
    </row>
    <row r="239" spans="1:31" x14ac:dyDescent="0.2">
      <c r="A239" t="s">
        <v>508</v>
      </c>
      <c r="B239" s="2">
        <v>25</v>
      </c>
      <c r="C239" t="s">
        <v>87</v>
      </c>
      <c r="D239" s="2" t="s">
        <v>52</v>
      </c>
      <c r="E239" s="2">
        <v>3</v>
      </c>
      <c r="F239" s="2">
        <v>0</v>
      </c>
      <c r="G239" s="2">
        <v>10</v>
      </c>
      <c r="H239" s="2">
        <v>3</v>
      </c>
      <c r="I239" s="2">
        <v>4</v>
      </c>
      <c r="J239" s="2">
        <v>0.75</v>
      </c>
      <c r="K239" s="2">
        <v>1</v>
      </c>
      <c r="L239" s="2">
        <v>2</v>
      </c>
      <c r="M239" s="2">
        <v>0.5</v>
      </c>
      <c r="N239" s="2">
        <v>2</v>
      </c>
      <c r="O239" s="2">
        <v>2</v>
      </c>
      <c r="P239" s="2">
        <v>1</v>
      </c>
      <c r="Q239" s="2">
        <v>0.875</v>
      </c>
      <c r="R239" s="2">
        <v>0</v>
      </c>
      <c r="S239" s="2">
        <v>0</v>
      </c>
      <c r="T239" s="2"/>
      <c r="U239" s="2">
        <v>0</v>
      </c>
      <c r="V239" s="2">
        <v>3</v>
      </c>
      <c r="W239" s="2">
        <v>3</v>
      </c>
      <c r="X239" s="2">
        <v>0</v>
      </c>
      <c r="Y239" s="2">
        <v>1</v>
      </c>
      <c r="Z239" s="2">
        <v>0</v>
      </c>
      <c r="AA239" s="2">
        <v>0</v>
      </c>
      <c r="AB239" s="2">
        <v>0</v>
      </c>
      <c r="AC239" s="2">
        <v>7</v>
      </c>
      <c r="AD239" s="2">
        <v>0</v>
      </c>
      <c r="AE239" s="18" t="e">
        <f t="shared" si="3"/>
        <v>#DIV/0!</v>
      </c>
    </row>
    <row r="240" spans="1:31" x14ac:dyDescent="0.2">
      <c r="A240" t="s">
        <v>481</v>
      </c>
      <c r="B240" s="2">
        <v>27</v>
      </c>
      <c r="C240" t="s">
        <v>122</v>
      </c>
      <c r="D240" s="2" t="s">
        <v>33</v>
      </c>
      <c r="E240" s="2">
        <v>8</v>
      </c>
      <c r="F240" s="2">
        <v>0</v>
      </c>
      <c r="G240" s="2">
        <v>80</v>
      </c>
      <c r="H240" s="2">
        <v>6</v>
      </c>
      <c r="I240" s="2">
        <v>19</v>
      </c>
      <c r="J240" s="2">
        <v>0.316</v>
      </c>
      <c r="K240" s="2">
        <v>1</v>
      </c>
      <c r="L240" s="2">
        <v>8</v>
      </c>
      <c r="M240" s="2">
        <v>0.125</v>
      </c>
      <c r="N240" s="2">
        <v>5</v>
      </c>
      <c r="O240" s="2">
        <v>11</v>
      </c>
      <c r="P240" s="2">
        <v>0.45500000000000002</v>
      </c>
      <c r="Q240" s="2">
        <v>0.34200000000000003</v>
      </c>
      <c r="R240" s="2">
        <v>3</v>
      </c>
      <c r="S240" s="2">
        <v>4</v>
      </c>
      <c r="T240" s="2">
        <v>0.75</v>
      </c>
      <c r="U240" s="2">
        <v>2</v>
      </c>
      <c r="V240" s="2">
        <v>6</v>
      </c>
      <c r="W240" s="2">
        <v>8</v>
      </c>
      <c r="X240" s="2">
        <v>9</v>
      </c>
      <c r="Y240" s="2">
        <v>3</v>
      </c>
      <c r="Z240" s="2">
        <v>0</v>
      </c>
      <c r="AA240" s="2">
        <v>1</v>
      </c>
      <c r="AB240" s="2">
        <v>5</v>
      </c>
      <c r="AC240" s="2">
        <v>16</v>
      </c>
      <c r="AD240" s="2">
        <v>0</v>
      </c>
      <c r="AE240" s="18">
        <f t="shared" si="3"/>
        <v>9</v>
      </c>
    </row>
    <row r="241" spans="1:31" x14ac:dyDescent="0.2">
      <c r="A241" t="s">
        <v>480</v>
      </c>
      <c r="B241" s="2">
        <v>38</v>
      </c>
      <c r="C241" t="s">
        <v>87</v>
      </c>
      <c r="D241" s="2" t="s">
        <v>27</v>
      </c>
      <c r="E241" s="2">
        <v>7</v>
      </c>
      <c r="F241" s="2">
        <v>0</v>
      </c>
      <c r="G241" s="2">
        <v>40</v>
      </c>
      <c r="H241" s="2">
        <v>7</v>
      </c>
      <c r="I241" s="2">
        <v>13</v>
      </c>
      <c r="J241" s="2">
        <v>0.53800000000000003</v>
      </c>
      <c r="K241" s="2">
        <v>3</v>
      </c>
      <c r="L241" s="2">
        <v>8</v>
      </c>
      <c r="M241" s="2">
        <v>0.375</v>
      </c>
      <c r="N241" s="2">
        <v>4</v>
      </c>
      <c r="O241" s="2">
        <v>5</v>
      </c>
      <c r="P241" s="2">
        <v>0.8</v>
      </c>
      <c r="Q241" s="2">
        <v>0.65400000000000003</v>
      </c>
      <c r="R241" s="2">
        <v>0</v>
      </c>
      <c r="S241" s="2">
        <v>0</v>
      </c>
      <c r="T241" s="2"/>
      <c r="U241" s="2">
        <v>0</v>
      </c>
      <c r="V241" s="2">
        <v>4</v>
      </c>
      <c r="W241" s="2">
        <v>4</v>
      </c>
      <c r="X241" s="2">
        <v>1</v>
      </c>
      <c r="Y241" s="2">
        <v>2</v>
      </c>
      <c r="Z241" s="2">
        <v>0</v>
      </c>
      <c r="AA241" s="2">
        <v>2</v>
      </c>
      <c r="AB241" s="2">
        <v>2</v>
      </c>
      <c r="AC241" s="2">
        <v>17</v>
      </c>
      <c r="AD241" s="2">
        <v>0</v>
      </c>
      <c r="AE241" s="18">
        <f t="shared" si="3"/>
        <v>0.5</v>
      </c>
    </row>
    <row r="242" spans="1:31" x14ac:dyDescent="0.2">
      <c r="A242" t="s">
        <v>139</v>
      </c>
      <c r="B242" s="2">
        <v>30</v>
      </c>
      <c r="C242" t="s">
        <v>135</v>
      </c>
      <c r="D242" s="2" t="s">
        <v>27</v>
      </c>
      <c r="E242" s="2">
        <v>22</v>
      </c>
      <c r="F242" s="2">
        <v>22</v>
      </c>
      <c r="G242" s="2">
        <v>714</v>
      </c>
      <c r="H242" s="2">
        <v>109</v>
      </c>
      <c r="I242" s="2">
        <v>287</v>
      </c>
      <c r="J242" s="2">
        <v>0.38</v>
      </c>
      <c r="K242" s="2">
        <v>49</v>
      </c>
      <c r="L242" s="2">
        <v>138</v>
      </c>
      <c r="M242" s="2">
        <v>0.35499999999999998</v>
      </c>
      <c r="N242" s="2">
        <v>60</v>
      </c>
      <c r="O242" s="2">
        <v>149</v>
      </c>
      <c r="P242" s="2">
        <v>0.40300000000000002</v>
      </c>
      <c r="Q242" s="2">
        <v>0.46500000000000002</v>
      </c>
      <c r="R242" s="2">
        <v>70</v>
      </c>
      <c r="S242" s="2">
        <v>85</v>
      </c>
      <c r="T242" s="2">
        <v>0.82399999999999995</v>
      </c>
      <c r="U242" s="2">
        <v>10</v>
      </c>
      <c r="V242" s="2">
        <v>67</v>
      </c>
      <c r="W242" s="2">
        <v>77</v>
      </c>
      <c r="X242" s="2">
        <v>51</v>
      </c>
      <c r="Y242" s="2">
        <v>21</v>
      </c>
      <c r="Z242" s="2">
        <v>24</v>
      </c>
      <c r="AA242" s="2">
        <v>31</v>
      </c>
      <c r="AB242" s="2">
        <v>51</v>
      </c>
      <c r="AC242" s="2">
        <v>337</v>
      </c>
      <c r="AD242" s="2">
        <v>0</v>
      </c>
      <c r="AE242" s="18">
        <f t="shared" si="3"/>
        <v>1.6451612903225807</v>
      </c>
    </row>
    <row r="243" spans="1:31" x14ac:dyDescent="0.2">
      <c r="A243" t="s">
        <v>250</v>
      </c>
      <c r="B243" s="2">
        <v>24</v>
      </c>
      <c r="C243" t="s">
        <v>117</v>
      </c>
      <c r="D243" s="2" t="s">
        <v>27</v>
      </c>
      <c r="E243" s="2">
        <v>25</v>
      </c>
      <c r="F243" s="2">
        <v>4</v>
      </c>
      <c r="G243" s="2">
        <v>507</v>
      </c>
      <c r="H243" s="2">
        <v>67</v>
      </c>
      <c r="I243" s="2">
        <v>153</v>
      </c>
      <c r="J243" s="2">
        <v>0.438</v>
      </c>
      <c r="K243" s="2">
        <v>21</v>
      </c>
      <c r="L243" s="2">
        <v>65</v>
      </c>
      <c r="M243" s="2">
        <v>0.32300000000000001</v>
      </c>
      <c r="N243" s="2">
        <v>46</v>
      </c>
      <c r="O243" s="2">
        <v>88</v>
      </c>
      <c r="P243" s="2">
        <v>0.52300000000000002</v>
      </c>
      <c r="Q243" s="2">
        <v>0.50700000000000001</v>
      </c>
      <c r="R243" s="2">
        <v>23</v>
      </c>
      <c r="S243" s="2">
        <v>26</v>
      </c>
      <c r="T243" s="2">
        <v>0.88500000000000001</v>
      </c>
      <c r="U243" s="2">
        <v>53</v>
      </c>
      <c r="V243" s="2">
        <v>74</v>
      </c>
      <c r="W243" s="2">
        <v>127</v>
      </c>
      <c r="X243" s="2">
        <v>30</v>
      </c>
      <c r="Y243" s="2">
        <v>19</v>
      </c>
      <c r="Z243" s="2">
        <v>3</v>
      </c>
      <c r="AA243" s="2">
        <v>22</v>
      </c>
      <c r="AB243" s="2">
        <v>35</v>
      </c>
      <c r="AC243" s="2">
        <v>178</v>
      </c>
      <c r="AD243" s="2">
        <v>0</v>
      </c>
      <c r="AE243" s="18">
        <f t="shared" si="3"/>
        <v>1.3636363636363635</v>
      </c>
    </row>
    <row r="244" spans="1:31" x14ac:dyDescent="0.2">
      <c r="A244" t="s">
        <v>271</v>
      </c>
      <c r="B244" s="2">
        <v>21</v>
      </c>
      <c r="C244" t="s">
        <v>93</v>
      </c>
      <c r="D244" s="2" t="s">
        <v>27</v>
      </c>
      <c r="E244" s="2">
        <v>11</v>
      </c>
      <c r="F244" s="2">
        <v>8</v>
      </c>
      <c r="G244" s="2">
        <v>304</v>
      </c>
      <c r="H244" s="2">
        <v>63</v>
      </c>
      <c r="I244" s="2">
        <v>126</v>
      </c>
      <c r="J244" s="2">
        <v>0.5</v>
      </c>
      <c r="K244" s="2">
        <v>4</v>
      </c>
      <c r="L244" s="2">
        <v>19</v>
      </c>
      <c r="M244" s="2">
        <v>0.21099999999999999</v>
      </c>
      <c r="N244" s="2">
        <v>59</v>
      </c>
      <c r="O244" s="2">
        <v>107</v>
      </c>
      <c r="P244" s="2">
        <v>0.55100000000000005</v>
      </c>
      <c r="Q244" s="2">
        <v>0.51600000000000001</v>
      </c>
      <c r="R244" s="2">
        <v>29</v>
      </c>
      <c r="S244" s="2">
        <v>42</v>
      </c>
      <c r="T244" s="2">
        <v>0.69</v>
      </c>
      <c r="U244" s="2">
        <v>32</v>
      </c>
      <c r="V244" s="2">
        <v>58</v>
      </c>
      <c r="W244" s="2">
        <v>90</v>
      </c>
      <c r="X244" s="2">
        <v>28</v>
      </c>
      <c r="Y244" s="2">
        <v>11</v>
      </c>
      <c r="Z244" s="2">
        <v>6</v>
      </c>
      <c r="AA244" s="2">
        <v>20</v>
      </c>
      <c r="AB244" s="2">
        <v>29</v>
      </c>
      <c r="AC244" s="2">
        <v>159</v>
      </c>
      <c r="AD244" s="2">
        <v>0</v>
      </c>
      <c r="AE244" s="18">
        <f t="shared" si="3"/>
        <v>1.4</v>
      </c>
    </row>
    <row r="245" spans="1:31" x14ac:dyDescent="0.2">
      <c r="A245" t="s">
        <v>418</v>
      </c>
      <c r="B245" s="2">
        <v>26</v>
      </c>
      <c r="C245" t="s">
        <v>44</v>
      </c>
      <c r="D245" s="2" t="s">
        <v>42</v>
      </c>
      <c r="E245" s="2">
        <v>24</v>
      </c>
      <c r="F245" s="2">
        <v>2</v>
      </c>
      <c r="G245" s="2">
        <v>299</v>
      </c>
      <c r="H245" s="2">
        <v>19</v>
      </c>
      <c r="I245" s="2">
        <v>27</v>
      </c>
      <c r="J245" s="2">
        <v>0.70399999999999996</v>
      </c>
      <c r="K245" s="2">
        <v>0</v>
      </c>
      <c r="L245" s="2">
        <v>0</v>
      </c>
      <c r="M245" s="2"/>
      <c r="N245" s="2">
        <v>19</v>
      </c>
      <c r="O245" s="2">
        <v>27</v>
      </c>
      <c r="P245" s="2">
        <v>0.70399999999999996</v>
      </c>
      <c r="Q245" s="2">
        <v>0.70399999999999996</v>
      </c>
      <c r="R245" s="2">
        <v>4</v>
      </c>
      <c r="S245" s="2">
        <v>7</v>
      </c>
      <c r="T245" s="2">
        <v>0.57099999999999995</v>
      </c>
      <c r="U245" s="2">
        <v>31</v>
      </c>
      <c r="V245" s="2">
        <v>56</v>
      </c>
      <c r="W245" s="2">
        <v>87</v>
      </c>
      <c r="X245" s="2">
        <v>15</v>
      </c>
      <c r="Y245" s="2">
        <v>6</v>
      </c>
      <c r="Z245" s="2">
        <v>9</v>
      </c>
      <c r="AA245" s="2">
        <v>13</v>
      </c>
      <c r="AB245" s="2">
        <v>32</v>
      </c>
      <c r="AC245" s="2">
        <v>42</v>
      </c>
      <c r="AD245" s="2">
        <v>0</v>
      </c>
      <c r="AE245" s="18">
        <f t="shared" si="3"/>
        <v>1.1538461538461537</v>
      </c>
    </row>
    <row r="246" spans="1:31" x14ac:dyDescent="0.2">
      <c r="A246" t="s">
        <v>333</v>
      </c>
      <c r="B246" s="2">
        <v>21</v>
      </c>
      <c r="C246" t="s">
        <v>48</v>
      </c>
      <c r="D246" s="2" t="s">
        <v>49</v>
      </c>
      <c r="E246" s="2">
        <v>25</v>
      </c>
      <c r="F246" s="2">
        <v>0</v>
      </c>
      <c r="G246" s="2">
        <v>268</v>
      </c>
      <c r="H246" s="2">
        <v>37</v>
      </c>
      <c r="I246" s="2">
        <v>98</v>
      </c>
      <c r="J246" s="2">
        <v>0.378</v>
      </c>
      <c r="K246" s="2">
        <v>24</v>
      </c>
      <c r="L246" s="2">
        <v>75</v>
      </c>
      <c r="M246" s="2">
        <v>0.32</v>
      </c>
      <c r="N246" s="2">
        <v>13</v>
      </c>
      <c r="O246" s="2">
        <v>23</v>
      </c>
      <c r="P246" s="2">
        <v>0.56499999999999995</v>
      </c>
      <c r="Q246" s="2">
        <v>0.5</v>
      </c>
      <c r="R246" s="2">
        <v>6</v>
      </c>
      <c r="S246" s="2">
        <v>7</v>
      </c>
      <c r="T246" s="2">
        <v>0.85699999999999998</v>
      </c>
      <c r="U246" s="2">
        <v>10</v>
      </c>
      <c r="V246" s="2">
        <v>20</v>
      </c>
      <c r="W246" s="2">
        <v>30</v>
      </c>
      <c r="X246" s="2">
        <v>12</v>
      </c>
      <c r="Y246" s="2">
        <v>5</v>
      </c>
      <c r="Z246" s="2">
        <v>6</v>
      </c>
      <c r="AA246" s="2">
        <v>7</v>
      </c>
      <c r="AB246" s="2">
        <v>22</v>
      </c>
      <c r="AC246" s="2">
        <v>104</v>
      </c>
      <c r="AD246" s="2">
        <v>0</v>
      </c>
      <c r="AE246" s="18">
        <f t="shared" si="3"/>
        <v>1.7142857142857142</v>
      </c>
    </row>
    <row r="247" spans="1:31" x14ac:dyDescent="0.2">
      <c r="A247" t="s">
        <v>475</v>
      </c>
      <c r="B247" s="2">
        <v>29</v>
      </c>
      <c r="C247" t="s">
        <v>70</v>
      </c>
      <c r="D247" s="2" t="s">
        <v>33</v>
      </c>
      <c r="E247" s="2">
        <v>11</v>
      </c>
      <c r="F247" s="2">
        <v>0</v>
      </c>
      <c r="G247" s="2">
        <v>53</v>
      </c>
      <c r="H247" s="2">
        <v>7</v>
      </c>
      <c r="I247" s="2">
        <v>23</v>
      </c>
      <c r="J247" s="2">
        <v>0.30399999999999999</v>
      </c>
      <c r="K247" s="2">
        <v>4</v>
      </c>
      <c r="L247" s="2">
        <v>16</v>
      </c>
      <c r="M247" s="2">
        <v>0.25</v>
      </c>
      <c r="N247" s="2">
        <v>3</v>
      </c>
      <c r="O247" s="2">
        <v>7</v>
      </c>
      <c r="P247" s="2">
        <v>0.42899999999999999</v>
      </c>
      <c r="Q247" s="2">
        <v>0.39100000000000001</v>
      </c>
      <c r="R247" s="2">
        <v>0</v>
      </c>
      <c r="S247" s="2">
        <v>0</v>
      </c>
      <c r="T247" s="2"/>
      <c r="U247" s="2">
        <v>1</v>
      </c>
      <c r="V247" s="2">
        <v>7</v>
      </c>
      <c r="W247" s="2">
        <v>8</v>
      </c>
      <c r="X247" s="2">
        <v>6</v>
      </c>
      <c r="Y247" s="2">
        <v>3</v>
      </c>
      <c r="Z247" s="2">
        <v>0</v>
      </c>
      <c r="AA247" s="2">
        <v>4</v>
      </c>
      <c r="AB247" s="2">
        <v>1</v>
      </c>
      <c r="AC247" s="2">
        <v>18</v>
      </c>
      <c r="AD247" s="2">
        <v>0</v>
      </c>
      <c r="AE247" s="18">
        <f t="shared" si="3"/>
        <v>1.5</v>
      </c>
    </row>
    <row r="248" spans="1:31" x14ac:dyDescent="0.2">
      <c r="A248" t="s">
        <v>144</v>
      </c>
      <c r="B248" s="2">
        <v>35</v>
      </c>
      <c r="C248" t="s">
        <v>61</v>
      </c>
      <c r="D248" s="2" t="s">
        <v>27</v>
      </c>
      <c r="E248" s="2">
        <v>18</v>
      </c>
      <c r="F248" s="2">
        <v>18</v>
      </c>
      <c r="G248" s="2">
        <v>575</v>
      </c>
      <c r="H248" s="2">
        <v>110</v>
      </c>
      <c r="I248" s="2">
        <v>200</v>
      </c>
      <c r="J248" s="2">
        <v>0.55000000000000004</v>
      </c>
      <c r="K248" s="2">
        <v>9</v>
      </c>
      <c r="L248" s="2">
        <v>25</v>
      </c>
      <c r="M248" s="2">
        <v>0.36</v>
      </c>
      <c r="N248" s="2">
        <v>101</v>
      </c>
      <c r="O248" s="2">
        <v>175</v>
      </c>
      <c r="P248" s="2">
        <v>0.57699999999999996</v>
      </c>
      <c r="Q248" s="2">
        <v>0.57299999999999995</v>
      </c>
      <c r="R248" s="2">
        <v>105</v>
      </c>
      <c r="S248" s="2">
        <v>135</v>
      </c>
      <c r="T248" s="2">
        <v>0.77800000000000002</v>
      </c>
      <c r="U248" s="2">
        <v>44</v>
      </c>
      <c r="V248" s="2">
        <v>52</v>
      </c>
      <c r="W248" s="2">
        <v>96</v>
      </c>
      <c r="X248" s="2">
        <v>85</v>
      </c>
      <c r="Y248" s="2">
        <v>21</v>
      </c>
      <c r="Z248" s="2">
        <v>7</v>
      </c>
      <c r="AA248" s="2">
        <v>26</v>
      </c>
      <c r="AB248" s="2">
        <v>20</v>
      </c>
      <c r="AC248" s="2">
        <v>334</v>
      </c>
      <c r="AD248" s="2">
        <v>0</v>
      </c>
      <c r="AE248" s="18">
        <f t="shared" si="3"/>
        <v>3.2692307692307692</v>
      </c>
    </row>
    <row r="249" spans="1:31" x14ac:dyDescent="0.2">
      <c r="A249" t="s">
        <v>397</v>
      </c>
      <c r="B249" s="2">
        <v>29</v>
      </c>
      <c r="C249" t="s">
        <v>87</v>
      </c>
      <c r="D249" s="2" t="s">
        <v>42</v>
      </c>
      <c r="E249" s="2">
        <v>14</v>
      </c>
      <c r="F249" s="2">
        <v>0</v>
      </c>
      <c r="G249" s="2">
        <v>156</v>
      </c>
      <c r="H249" s="2">
        <v>21</v>
      </c>
      <c r="I249" s="2">
        <v>47</v>
      </c>
      <c r="J249" s="2">
        <v>0.44700000000000001</v>
      </c>
      <c r="K249" s="2">
        <v>3</v>
      </c>
      <c r="L249" s="2">
        <v>6</v>
      </c>
      <c r="M249" s="2">
        <v>0.5</v>
      </c>
      <c r="N249" s="2">
        <v>18</v>
      </c>
      <c r="O249" s="2">
        <v>41</v>
      </c>
      <c r="P249" s="2">
        <v>0.439</v>
      </c>
      <c r="Q249" s="2">
        <v>0.47899999999999998</v>
      </c>
      <c r="R249" s="2">
        <v>10</v>
      </c>
      <c r="S249" s="2">
        <v>19</v>
      </c>
      <c r="T249" s="2">
        <v>0.52600000000000002</v>
      </c>
      <c r="U249" s="2">
        <v>20</v>
      </c>
      <c r="V249" s="2">
        <v>26</v>
      </c>
      <c r="W249" s="2">
        <v>46</v>
      </c>
      <c r="X249" s="2">
        <v>14</v>
      </c>
      <c r="Y249" s="2">
        <v>3</v>
      </c>
      <c r="Z249" s="2">
        <v>6</v>
      </c>
      <c r="AA249" s="2">
        <v>7</v>
      </c>
      <c r="AB249" s="2">
        <v>14</v>
      </c>
      <c r="AC249" s="2">
        <v>55</v>
      </c>
      <c r="AD249" s="2">
        <v>0</v>
      </c>
      <c r="AE249" s="18">
        <f t="shared" si="3"/>
        <v>2</v>
      </c>
    </row>
    <row r="250" spans="1:31" x14ac:dyDescent="0.2">
      <c r="A250" t="s">
        <v>558</v>
      </c>
      <c r="B250" s="2">
        <v>37</v>
      </c>
      <c r="C250" t="s">
        <v>51</v>
      </c>
      <c r="D250" s="2" t="s">
        <v>49</v>
      </c>
      <c r="E250" s="2">
        <v>7</v>
      </c>
      <c r="F250" s="2">
        <v>0</v>
      </c>
      <c r="G250" s="2">
        <v>26</v>
      </c>
      <c r="H250" s="2">
        <v>0</v>
      </c>
      <c r="I250" s="2">
        <v>2</v>
      </c>
      <c r="J250" s="2">
        <v>0</v>
      </c>
      <c r="K250" s="2">
        <v>0</v>
      </c>
      <c r="L250" s="2">
        <v>2</v>
      </c>
      <c r="M250" s="2">
        <v>0</v>
      </c>
      <c r="N250" s="2">
        <v>0</v>
      </c>
      <c r="O250" s="2">
        <v>0</v>
      </c>
      <c r="P250" s="2"/>
      <c r="Q250" s="2">
        <v>0</v>
      </c>
      <c r="R250" s="2">
        <v>0</v>
      </c>
      <c r="S250" s="2">
        <v>0</v>
      </c>
      <c r="T250" s="2"/>
      <c r="U250" s="2">
        <v>2</v>
      </c>
      <c r="V250" s="2">
        <v>0</v>
      </c>
      <c r="W250" s="2">
        <v>2</v>
      </c>
      <c r="X250" s="2">
        <v>9</v>
      </c>
      <c r="Y250" s="2">
        <v>0</v>
      </c>
      <c r="Z250" s="2">
        <v>0</v>
      </c>
      <c r="AA250" s="2">
        <v>1</v>
      </c>
      <c r="AB250" s="2">
        <v>5</v>
      </c>
      <c r="AC250" s="2">
        <v>0</v>
      </c>
      <c r="AD250" s="2">
        <v>0</v>
      </c>
      <c r="AE250" s="18">
        <f t="shared" si="3"/>
        <v>9</v>
      </c>
    </row>
    <row r="251" spans="1:31" x14ac:dyDescent="0.2">
      <c r="A251" t="s">
        <v>324</v>
      </c>
      <c r="B251" s="2">
        <v>30</v>
      </c>
      <c r="C251" t="s">
        <v>122</v>
      </c>
      <c r="D251" s="2" t="s">
        <v>42</v>
      </c>
      <c r="E251" s="2">
        <v>5</v>
      </c>
      <c r="F251" s="2">
        <v>5</v>
      </c>
      <c r="G251" s="2">
        <v>158</v>
      </c>
      <c r="H251" s="2">
        <v>35</v>
      </c>
      <c r="I251" s="2">
        <v>86</v>
      </c>
      <c r="J251" s="2">
        <v>0.40699999999999997</v>
      </c>
      <c r="K251" s="2">
        <v>3</v>
      </c>
      <c r="L251" s="2">
        <v>23</v>
      </c>
      <c r="M251" s="2">
        <v>0.13</v>
      </c>
      <c r="N251" s="2">
        <v>32</v>
      </c>
      <c r="O251" s="2">
        <v>63</v>
      </c>
      <c r="P251" s="2">
        <v>0.50800000000000001</v>
      </c>
      <c r="Q251" s="2">
        <v>0.42399999999999999</v>
      </c>
      <c r="R251" s="2">
        <v>37</v>
      </c>
      <c r="S251" s="2">
        <v>38</v>
      </c>
      <c r="T251" s="4">
        <v>0.97399999999999998</v>
      </c>
      <c r="U251" s="2">
        <v>8</v>
      </c>
      <c r="V251" s="2">
        <v>34</v>
      </c>
      <c r="W251" s="2">
        <v>42</v>
      </c>
      <c r="X251" s="2">
        <v>18</v>
      </c>
      <c r="Y251" s="2">
        <v>2</v>
      </c>
      <c r="Z251" s="2">
        <v>6</v>
      </c>
      <c r="AA251" s="2">
        <v>19</v>
      </c>
      <c r="AB251" s="2">
        <v>15</v>
      </c>
      <c r="AC251" s="2">
        <v>110</v>
      </c>
      <c r="AD251" s="2">
        <v>0</v>
      </c>
      <c r="AE251" s="18">
        <f t="shared" si="3"/>
        <v>0.94736842105263153</v>
      </c>
    </row>
    <row r="252" spans="1:31" x14ac:dyDescent="0.2">
      <c r="A252" t="s">
        <v>119</v>
      </c>
      <c r="B252" s="2">
        <v>27</v>
      </c>
      <c r="C252" t="s">
        <v>120</v>
      </c>
      <c r="D252" s="2" t="s">
        <v>27</v>
      </c>
      <c r="E252" s="2">
        <v>22</v>
      </c>
      <c r="F252" s="2">
        <v>13</v>
      </c>
      <c r="G252" s="2">
        <v>634</v>
      </c>
      <c r="H252" s="2">
        <v>147</v>
      </c>
      <c r="I252" s="2">
        <v>275</v>
      </c>
      <c r="J252" s="2">
        <v>0.53500000000000003</v>
      </c>
      <c r="K252" s="2">
        <v>30</v>
      </c>
      <c r="L252" s="2">
        <v>69</v>
      </c>
      <c r="M252" s="2">
        <v>0.435</v>
      </c>
      <c r="N252" s="2">
        <v>117</v>
      </c>
      <c r="O252" s="2">
        <v>206</v>
      </c>
      <c r="P252" s="2">
        <v>0.56799999999999995</v>
      </c>
      <c r="Q252" s="2">
        <v>0.58899999999999997</v>
      </c>
      <c r="R252" s="2">
        <v>71</v>
      </c>
      <c r="S252" s="2">
        <v>77</v>
      </c>
      <c r="T252" s="2">
        <v>0.92200000000000004</v>
      </c>
      <c r="U252" s="2">
        <v>53</v>
      </c>
      <c r="V252" s="2">
        <v>130</v>
      </c>
      <c r="W252" s="2">
        <v>183</v>
      </c>
      <c r="X252" s="2">
        <v>55</v>
      </c>
      <c r="Y252" s="2">
        <v>24</v>
      </c>
      <c r="Z252" s="2">
        <v>18</v>
      </c>
      <c r="AA252" s="2">
        <v>53</v>
      </c>
      <c r="AB252" s="2">
        <v>64</v>
      </c>
      <c r="AC252" s="2">
        <v>395</v>
      </c>
      <c r="AD252" s="2">
        <v>0</v>
      </c>
      <c r="AE252" s="18">
        <f t="shared" si="3"/>
        <v>1.0377358490566038</v>
      </c>
    </row>
    <row r="253" spans="1:31" x14ac:dyDescent="0.2">
      <c r="A253" t="s">
        <v>435</v>
      </c>
      <c r="B253" s="2">
        <v>28</v>
      </c>
      <c r="C253" t="s">
        <v>80</v>
      </c>
      <c r="D253" s="2" t="s">
        <v>52</v>
      </c>
      <c r="E253" s="2">
        <v>12</v>
      </c>
      <c r="F253" s="2">
        <v>0</v>
      </c>
      <c r="G253" s="2">
        <v>154</v>
      </c>
      <c r="H253" s="2">
        <v>11</v>
      </c>
      <c r="I253" s="2">
        <v>22</v>
      </c>
      <c r="J253" s="2">
        <v>0.5</v>
      </c>
      <c r="K253" s="2">
        <v>7</v>
      </c>
      <c r="L253" s="2">
        <v>18</v>
      </c>
      <c r="M253" s="2">
        <v>0.38900000000000001</v>
      </c>
      <c r="N253" s="2">
        <v>4</v>
      </c>
      <c r="O253" s="2">
        <v>4</v>
      </c>
      <c r="P253" s="2">
        <v>1</v>
      </c>
      <c r="Q253" s="2">
        <v>0.65900000000000003</v>
      </c>
      <c r="R253" s="2">
        <v>3</v>
      </c>
      <c r="S253" s="2">
        <v>4</v>
      </c>
      <c r="T253" s="2">
        <v>0.75</v>
      </c>
      <c r="U253" s="2">
        <v>12</v>
      </c>
      <c r="V253" s="2">
        <v>25</v>
      </c>
      <c r="W253" s="2">
        <v>37</v>
      </c>
      <c r="X253" s="2">
        <v>11</v>
      </c>
      <c r="Y253" s="2">
        <v>7</v>
      </c>
      <c r="Z253" s="2">
        <v>6</v>
      </c>
      <c r="AA253" s="2">
        <v>6</v>
      </c>
      <c r="AB253" s="2">
        <v>10</v>
      </c>
      <c r="AC253" s="2">
        <v>32</v>
      </c>
      <c r="AD253" s="2">
        <v>0</v>
      </c>
      <c r="AE253" s="18">
        <f t="shared" si="3"/>
        <v>1.8333333333333333</v>
      </c>
    </row>
    <row r="254" spans="1:31" x14ac:dyDescent="0.2">
      <c r="A254" t="s">
        <v>399</v>
      </c>
      <c r="B254" s="2">
        <v>22</v>
      </c>
      <c r="C254" t="s">
        <v>114</v>
      </c>
      <c r="D254" s="2" t="s">
        <v>52</v>
      </c>
      <c r="E254" s="2">
        <v>17</v>
      </c>
      <c r="F254" s="2">
        <v>0</v>
      </c>
      <c r="G254" s="2">
        <v>142</v>
      </c>
      <c r="H254" s="2">
        <v>22</v>
      </c>
      <c r="I254" s="2">
        <v>44</v>
      </c>
      <c r="J254" s="2">
        <v>0.5</v>
      </c>
      <c r="K254" s="2">
        <v>4</v>
      </c>
      <c r="L254" s="2">
        <v>12</v>
      </c>
      <c r="M254" s="2">
        <v>0.33300000000000002</v>
      </c>
      <c r="N254" s="2">
        <v>18</v>
      </c>
      <c r="O254" s="2">
        <v>32</v>
      </c>
      <c r="P254" s="2">
        <v>0.56299999999999994</v>
      </c>
      <c r="Q254" s="2">
        <v>0.54500000000000004</v>
      </c>
      <c r="R254" s="2">
        <v>6</v>
      </c>
      <c r="S254" s="2">
        <v>9</v>
      </c>
      <c r="T254" s="2">
        <v>0.66700000000000004</v>
      </c>
      <c r="U254" s="2">
        <v>6</v>
      </c>
      <c r="V254" s="2">
        <v>19</v>
      </c>
      <c r="W254" s="2">
        <v>25</v>
      </c>
      <c r="X254" s="2">
        <v>5</v>
      </c>
      <c r="Y254" s="2">
        <v>9</v>
      </c>
      <c r="Z254" s="2">
        <v>3</v>
      </c>
      <c r="AA254" s="2">
        <v>4</v>
      </c>
      <c r="AB254" s="2">
        <v>13</v>
      </c>
      <c r="AC254" s="2">
        <v>54</v>
      </c>
      <c r="AD254" s="2">
        <v>0</v>
      </c>
      <c r="AE254" s="18">
        <f t="shared" si="3"/>
        <v>1.25</v>
      </c>
    </row>
    <row r="255" spans="1:31" x14ac:dyDescent="0.2">
      <c r="A255" t="s">
        <v>403</v>
      </c>
      <c r="B255" s="2">
        <v>20</v>
      </c>
      <c r="C255" t="s">
        <v>82</v>
      </c>
      <c r="D255" s="2" t="s">
        <v>52</v>
      </c>
      <c r="E255" s="2">
        <v>15</v>
      </c>
      <c r="F255" s="2">
        <v>0</v>
      </c>
      <c r="G255" s="2">
        <v>150</v>
      </c>
      <c r="H255" s="2">
        <v>17</v>
      </c>
      <c r="I255" s="2">
        <v>42</v>
      </c>
      <c r="J255" s="2">
        <v>0.40500000000000003</v>
      </c>
      <c r="K255" s="2">
        <v>10</v>
      </c>
      <c r="L255" s="2">
        <v>24</v>
      </c>
      <c r="M255" s="2">
        <v>0.41699999999999998</v>
      </c>
      <c r="N255" s="2">
        <v>7</v>
      </c>
      <c r="O255" s="2">
        <v>18</v>
      </c>
      <c r="P255" s="2">
        <v>0.38900000000000001</v>
      </c>
      <c r="Q255" s="2">
        <v>0.52400000000000002</v>
      </c>
      <c r="R255" s="2">
        <v>7</v>
      </c>
      <c r="S255" s="2">
        <v>7</v>
      </c>
      <c r="T255" s="2">
        <v>1</v>
      </c>
      <c r="U255" s="2">
        <v>10</v>
      </c>
      <c r="V255" s="2">
        <v>12</v>
      </c>
      <c r="W255" s="2">
        <v>22</v>
      </c>
      <c r="X255" s="2">
        <v>6</v>
      </c>
      <c r="Y255" s="2">
        <v>5</v>
      </c>
      <c r="Z255" s="2">
        <v>4</v>
      </c>
      <c r="AA255" s="2">
        <v>8</v>
      </c>
      <c r="AB255" s="2">
        <v>12</v>
      </c>
      <c r="AC255" s="2">
        <v>51</v>
      </c>
      <c r="AD255" s="2">
        <v>0</v>
      </c>
      <c r="AE255" s="18">
        <f t="shared" si="3"/>
        <v>0.75</v>
      </c>
    </row>
    <row r="256" spans="1:31" x14ac:dyDescent="0.2">
      <c r="A256" t="s">
        <v>305</v>
      </c>
      <c r="B256" s="2">
        <v>23</v>
      </c>
      <c r="C256" t="s">
        <v>120</v>
      </c>
      <c r="D256" s="2" t="s">
        <v>52</v>
      </c>
      <c r="E256" s="2">
        <v>19</v>
      </c>
      <c r="F256" s="2">
        <v>0</v>
      </c>
      <c r="G256" s="2">
        <v>328</v>
      </c>
      <c r="H256" s="2">
        <v>44</v>
      </c>
      <c r="I256" s="2">
        <v>112</v>
      </c>
      <c r="J256" s="2">
        <v>0.39300000000000002</v>
      </c>
      <c r="K256" s="2">
        <v>29</v>
      </c>
      <c r="L256" s="2">
        <v>80</v>
      </c>
      <c r="M256" s="2">
        <v>0.36299999999999999</v>
      </c>
      <c r="N256" s="2">
        <v>15</v>
      </c>
      <c r="O256" s="2">
        <v>32</v>
      </c>
      <c r="P256" s="2">
        <v>0.46899999999999997</v>
      </c>
      <c r="Q256" s="2">
        <v>0.52200000000000002</v>
      </c>
      <c r="R256" s="2">
        <v>11</v>
      </c>
      <c r="S256" s="2">
        <v>13</v>
      </c>
      <c r="T256" s="2">
        <v>0.84599999999999997</v>
      </c>
      <c r="U256" s="2">
        <v>10</v>
      </c>
      <c r="V256" s="2">
        <v>31</v>
      </c>
      <c r="W256" s="2">
        <v>41</v>
      </c>
      <c r="X256" s="2">
        <v>21</v>
      </c>
      <c r="Y256" s="2">
        <v>7</v>
      </c>
      <c r="Z256" s="2">
        <v>4</v>
      </c>
      <c r="AA256" s="2">
        <v>11</v>
      </c>
      <c r="AB256" s="2">
        <v>37</v>
      </c>
      <c r="AC256" s="2">
        <v>128</v>
      </c>
      <c r="AD256" s="2">
        <v>0</v>
      </c>
      <c r="AE256" s="18">
        <f t="shared" si="3"/>
        <v>1.9090909090909092</v>
      </c>
    </row>
    <row r="257" spans="1:31" x14ac:dyDescent="0.2">
      <c r="A257" t="s">
        <v>175</v>
      </c>
      <c r="B257" s="2">
        <v>32</v>
      </c>
      <c r="C257" t="s">
        <v>114</v>
      </c>
      <c r="D257" s="2" t="s">
        <v>42</v>
      </c>
      <c r="E257" s="2">
        <v>22</v>
      </c>
      <c r="F257" s="2">
        <v>6</v>
      </c>
      <c r="G257" s="2">
        <v>447</v>
      </c>
      <c r="H257" s="2">
        <v>111</v>
      </c>
      <c r="I257" s="2">
        <v>196</v>
      </c>
      <c r="J257" s="2">
        <v>0.56599999999999995</v>
      </c>
      <c r="K257" s="2">
        <v>2</v>
      </c>
      <c r="L257" s="2">
        <v>10</v>
      </c>
      <c r="M257" s="2">
        <v>0.2</v>
      </c>
      <c r="N257" s="2">
        <v>109</v>
      </c>
      <c r="O257" s="2">
        <v>186</v>
      </c>
      <c r="P257" s="2">
        <v>0.58599999999999997</v>
      </c>
      <c r="Q257" s="2">
        <v>0.57099999999999995</v>
      </c>
      <c r="R257" s="2">
        <v>54</v>
      </c>
      <c r="S257" s="2">
        <v>59</v>
      </c>
      <c r="T257" s="2">
        <v>0.91500000000000004</v>
      </c>
      <c r="U257" s="2">
        <v>56</v>
      </c>
      <c r="V257" s="2">
        <v>122</v>
      </c>
      <c r="W257" s="2">
        <v>178</v>
      </c>
      <c r="X257" s="2">
        <v>48</v>
      </c>
      <c r="Y257" s="2">
        <v>8</v>
      </c>
      <c r="Z257" s="2">
        <v>19</v>
      </c>
      <c r="AA257" s="2">
        <v>40</v>
      </c>
      <c r="AB257" s="2">
        <v>37</v>
      </c>
      <c r="AC257" s="2">
        <v>278</v>
      </c>
      <c r="AD257" s="2">
        <v>0</v>
      </c>
      <c r="AE257" s="18">
        <f t="shared" si="3"/>
        <v>1.2</v>
      </c>
    </row>
    <row r="258" spans="1:31" x14ac:dyDescent="0.2">
      <c r="A258" t="s">
        <v>299</v>
      </c>
      <c r="B258" s="2">
        <v>27</v>
      </c>
      <c r="C258" t="s">
        <v>48</v>
      </c>
      <c r="D258" s="2" t="s">
        <v>27</v>
      </c>
      <c r="E258" s="2">
        <v>21</v>
      </c>
      <c r="F258" s="2">
        <v>0</v>
      </c>
      <c r="G258" s="2">
        <v>355</v>
      </c>
      <c r="H258" s="2">
        <v>50</v>
      </c>
      <c r="I258" s="2">
        <v>113</v>
      </c>
      <c r="J258" s="2">
        <v>0.442</v>
      </c>
      <c r="K258" s="2">
        <v>17</v>
      </c>
      <c r="L258" s="2">
        <v>58</v>
      </c>
      <c r="M258" s="2">
        <v>0.29299999999999998</v>
      </c>
      <c r="N258" s="2">
        <v>33</v>
      </c>
      <c r="O258" s="2">
        <v>55</v>
      </c>
      <c r="P258" s="2">
        <v>0.6</v>
      </c>
      <c r="Q258" s="2">
        <v>0.51800000000000002</v>
      </c>
      <c r="R258" s="2">
        <v>19</v>
      </c>
      <c r="S258" s="2">
        <v>28</v>
      </c>
      <c r="T258" s="2">
        <v>0.67900000000000005</v>
      </c>
      <c r="U258" s="2">
        <v>37</v>
      </c>
      <c r="V258" s="2">
        <v>62</v>
      </c>
      <c r="W258" s="2">
        <v>99</v>
      </c>
      <c r="X258" s="2">
        <v>5</v>
      </c>
      <c r="Y258" s="2">
        <v>18</v>
      </c>
      <c r="Z258" s="2">
        <v>30</v>
      </c>
      <c r="AA258" s="2">
        <v>9</v>
      </c>
      <c r="AB258" s="2">
        <v>31</v>
      </c>
      <c r="AC258" s="2">
        <v>136</v>
      </c>
      <c r="AD258" s="2">
        <v>0</v>
      </c>
      <c r="AE258" s="18">
        <f t="shared" si="3"/>
        <v>0.55555555555555558</v>
      </c>
    </row>
    <row r="259" spans="1:31" x14ac:dyDescent="0.2">
      <c r="A259" t="s">
        <v>141</v>
      </c>
      <c r="B259" s="2">
        <v>22</v>
      </c>
      <c r="C259" t="s">
        <v>100</v>
      </c>
      <c r="D259" s="2" t="s">
        <v>27</v>
      </c>
      <c r="E259" s="2">
        <v>22</v>
      </c>
      <c r="F259" s="2">
        <v>9</v>
      </c>
      <c r="G259" s="2">
        <v>550</v>
      </c>
      <c r="H259" s="2">
        <v>128</v>
      </c>
      <c r="I259" s="2">
        <v>288</v>
      </c>
      <c r="J259" s="2">
        <v>0.44400000000000001</v>
      </c>
      <c r="K259" s="2">
        <v>26</v>
      </c>
      <c r="L259" s="2">
        <v>84</v>
      </c>
      <c r="M259" s="2">
        <v>0.31</v>
      </c>
      <c r="N259" s="2">
        <v>102</v>
      </c>
      <c r="O259" s="2">
        <v>204</v>
      </c>
      <c r="P259" s="2">
        <v>0.5</v>
      </c>
      <c r="Q259" s="2">
        <v>0.49</v>
      </c>
      <c r="R259" s="2">
        <v>53</v>
      </c>
      <c r="S259" s="2">
        <v>91</v>
      </c>
      <c r="T259" s="2">
        <v>0.58199999999999996</v>
      </c>
      <c r="U259" s="2">
        <v>27</v>
      </c>
      <c r="V259" s="2">
        <v>71</v>
      </c>
      <c r="W259" s="2">
        <v>98</v>
      </c>
      <c r="X259" s="2">
        <v>39</v>
      </c>
      <c r="Y259" s="2">
        <v>22</v>
      </c>
      <c r="Z259" s="2">
        <v>14</v>
      </c>
      <c r="AA259" s="2">
        <v>34</v>
      </c>
      <c r="AB259" s="2">
        <v>46</v>
      </c>
      <c r="AC259" s="2">
        <v>335</v>
      </c>
      <c r="AD259" s="2">
        <v>0</v>
      </c>
      <c r="AE259" s="18">
        <f t="shared" ref="AE259:AE322" si="4">X259/AA259</f>
        <v>1.1470588235294117</v>
      </c>
    </row>
    <row r="260" spans="1:31" x14ac:dyDescent="0.2">
      <c r="A260" t="s">
        <v>287</v>
      </c>
      <c r="B260" s="2">
        <v>23</v>
      </c>
      <c r="C260" t="s">
        <v>66</v>
      </c>
      <c r="D260" s="2" t="s">
        <v>27</v>
      </c>
      <c r="E260" s="2">
        <v>26</v>
      </c>
      <c r="F260" s="2">
        <v>2</v>
      </c>
      <c r="G260" s="2">
        <v>439</v>
      </c>
      <c r="H260" s="2">
        <v>54</v>
      </c>
      <c r="I260" s="2">
        <v>114</v>
      </c>
      <c r="J260" s="2">
        <v>0.47399999999999998</v>
      </c>
      <c r="K260" s="2">
        <v>7</v>
      </c>
      <c r="L260" s="2">
        <v>20</v>
      </c>
      <c r="M260" s="2">
        <v>0.35</v>
      </c>
      <c r="N260" s="2">
        <v>47</v>
      </c>
      <c r="O260" s="2">
        <v>94</v>
      </c>
      <c r="P260" s="2">
        <v>0.5</v>
      </c>
      <c r="Q260" s="2">
        <v>0.504</v>
      </c>
      <c r="R260" s="2">
        <v>30</v>
      </c>
      <c r="S260" s="2">
        <v>42</v>
      </c>
      <c r="T260" s="2">
        <v>0.71399999999999997</v>
      </c>
      <c r="U260" s="2">
        <v>56</v>
      </c>
      <c r="V260" s="2">
        <v>64</v>
      </c>
      <c r="W260" s="2">
        <v>120</v>
      </c>
      <c r="X260" s="2">
        <v>46</v>
      </c>
      <c r="Y260" s="2">
        <v>22</v>
      </c>
      <c r="Z260" s="2">
        <v>11</v>
      </c>
      <c r="AA260" s="2">
        <v>23</v>
      </c>
      <c r="AB260" s="2">
        <v>47</v>
      </c>
      <c r="AC260" s="2">
        <v>145</v>
      </c>
      <c r="AD260" s="2">
        <v>0</v>
      </c>
      <c r="AE260" s="18">
        <f t="shared" si="4"/>
        <v>2</v>
      </c>
    </row>
    <row r="261" spans="1:31" x14ac:dyDescent="0.2">
      <c r="A261" t="s">
        <v>236</v>
      </c>
      <c r="B261" s="2">
        <v>32</v>
      </c>
      <c r="C261" t="s">
        <v>120</v>
      </c>
      <c r="D261" s="2" t="s">
        <v>52</v>
      </c>
      <c r="E261" s="2">
        <v>13</v>
      </c>
      <c r="F261" s="2">
        <v>2</v>
      </c>
      <c r="G261" s="2">
        <v>338</v>
      </c>
      <c r="H261" s="2">
        <v>68</v>
      </c>
      <c r="I261" s="2">
        <v>174</v>
      </c>
      <c r="J261" s="2">
        <v>0.39100000000000001</v>
      </c>
      <c r="K261" s="2">
        <v>22</v>
      </c>
      <c r="L261" s="2">
        <v>80</v>
      </c>
      <c r="M261" s="2">
        <v>0.27500000000000002</v>
      </c>
      <c r="N261" s="2">
        <v>46</v>
      </c>
      <c r="O261" s="2">
        <v>94</v>
      </c>
      <c r="P261" s="2">
        <v>0.48899999999999999</v>
      </c>
      <c r="Q261" s="2">
        <v>0.45400000000000001</v>
      </c>
      <c r="R261" s="2">
        <v>37</v>
      </c>
      <c r="S261" s="2">
        <v>46</v>
      </c>
      <c r="T261" s="2">
        <v>0.80400000000000005</v>
      </c>
      <c r="U261" s="2">
        <v>10</v>
      </c>
      <c r="V261" s="2">
        <v>40</v>
      </c>
      <c r="W261" s="2">
        <v>50</v>
      </c>
      <c r="X261" s="2">
        <v>50</v>
      </c>
      <c r="Y261" s="2">
        <v>11</v>
      </c>
      <c r="Z261" s="2">
        <v>1</v>
      </c>
      <c r="AA261" s="2">
        <v>26</v>
      </c>
      <c r="AB261" s="2">
        <v>19</v>
      </c>
      <c r="AC261" s="2">
        <v>195</v>
      </c>
      <c r="AD261" s="2">
        <v>0</v>
      </c>
      <c r="AE261" s="18">
        <f t="shared" si="4"/>
        <v>1.9230769230769231</v>
      </c>
    </row>
    <row r="262" spans="1:31" x14ac:dyDescent="0.2">
      <c r="A262" t="s">
        <v>289</v>
      </c>
      <c r="B262" s="2">
        <v>22</v>
      </c>
      <c r="C262" t="s">
        <v>117</v>
      </c>
      <c r="D262" s="2" t="s">
        <v>52</v>
      </c>
      <c r="E262" s="2">
        <v>11</v>
      </c>
      <c r="F262" s="2">
        <v>3</v>
      </c>
      <c r="G262" s="2">
        <v>302</v>
      </c>
      <c r="H262" s="2">
        <v>47</v>
      </c>
      <c r="I262" s="2">
        <v>126</v>
      </c>
      <c r="J262" s="2">
        <v>0.373</v>
      </c>
      <c r="K262" s="2">
        <v>22</v>
      </c>
      <c r="L262" s="2">
        <v>66</v>
      </c>
      <c r="M262" s="2">
        <v>0.33300000000000002</v>
      </c>
      <c r="N262" s="2">
        <v>25</v>
      </c>
      <c r="O262" s="2">
        <v>60</v>
      </c>
      <c r="P262" s="2">
        <v>0.41699999999999998</v>
      </c>
      <c r="Q262" s="2">
        <v>0.46</v>
      </c>
      <c r="R262" s="2">
        <v>28</v>
      </c>
      <c r="S262" s="2">
        <v>31</v>
      </c>
      <c r="T262" s="2">
        <v>0.90300000000000002</v>
      </c>
      <c r="U262" s="2">
        <v>5</v>
      </c>
      <c r="V262" s="2">
        <v>37</v>
      </c>
      <c r="W262" s="2">
        <v>42</v>
      </c>
      <c r="X262" s="2">
        <v>14</v>
      </c>
      <c r="Y262" s="2">
        <v>3</v>
      </c>
      <c r="Z262" s="2">
        <v>4</v>
      </c>
      <c r="AA262" s="2">
        <v>14</v>
      </c>
      <c r="AB262" s="2">
        <v>12</v>
      </c>
      <c r="AC262" s="2">
        <v>144</v>
      </c>
      <c r="AD262" s="2">
        <v>0</v>
      </c>
      <c r="AE262" s="18">
        <f t="shared" si="4"/>
        <v>1</v>
      </c>
    </row>
    <row r="263" spans="1:31" x14ac:dyDescent="0.2">
      <c r="A263" t="s">
        <v>412</v>
      </c>
      <c r="B263" s="2">
        <v>28</v>
      </c>
      <c r="C263" t="s">
        <v>37</v>
      </c>
      <c r="D263" s="2" t="s">
        <v>33</v>
      </c>
      <c r="E263" s="2">
        <v>20</v>
      </c>
      <c r="F263" s="2">
        <v>0</v>
      </c>
      <c r="G263" s="2">
        <v>158</v>
      </c>
      <c r="H263" s="2">
        <v>14</v>
      </c>
      <c r="I263" s="2">
        <v>38</v>
      </c>
      <c r="J263" s="2">
        <v>0.36799999999999999</v>
      </c>
      <c r="K263" s="2">
        <v>8</v>
      </c>
      <c r="L263" s="2">
        <v>22</v>
      </c>
      <c r="M263" s="2">
        <v>0.36399999999999999</v>
      </c>
      <c r="N263" s="2">
        <v>6</v>
      </c>
      <c r="O263" s="2">
        <v>16</v>
      </c>
      <c r="P263" s="2">
        <v>0.375</v>
      </c>
      <c r="Q263" s="2">
        <v>0.47399999999999998</v>
      </c>
      <c r="R263" s="2">
        <v>10</v>
      </c>
      <c r="S263" s="2">
        <v>14</v>
      </c>
      <c r="T263" s="2">
        <v>0.71399999999999997</v>
      </c>
      <c r="U263" s="2">
        <v>3</v>
      </c>
      <c r="V263" s="2">
        <v>16</v>
      </c>
      <c r="W263" s="2">
        <v>19</v>
      </c>
      <c r="X263" s="2">
        <v>19</v>
      </c>
      <c r="Y263" s="2">
        <v>9</v>
      </c>
      <c r="Z263" s="2">
        <v>0</v>
      </c>
      <c r="AA263" s="2">
        <v>8</v>
      </c>
      <c r="AB263" s="2">
        <v>11</v>
      </c>
      <c r="AC263" s="2">
        <v>46</v>
      </c>
      <c r="AD263" s="2">
        <v>0</v>
      </c>
      <c r="AE263" s="18">
        <f t="shared" si="4"/>
        <v>2.375</v>
      </c>
    </row>
    <row r="264" spans="1:31" x14ac:dyDescent="0.2">
      <c r="A264" t="s">
        <v>325</v>
      </c>
      <c r="B264" s="2">
        <v>25</v>
      </c>
      <c r="C264" t="s">
        <v>77</v>
      </c>
      <c r="D264" s="2" t="s">
        <v>49</v>
      </c>
      <c r="E264" s="2">
        <v>14</v>
      </c>
      <c r="F264" s="2">
        <v>0</v>
      </c>
      <c r="G264" s="2">
        <v>228</v>
      </c>
      <c r="H264" s="2">
        <v>43</v>
      </c>
      <c r="I264" s="2">
        <v>92</v>
      </c>
      <c r="J264" s="2">
        <v>0.46700000000000003</v>
      </c>
      <c r="K264" s="2">
        <v>7</v>
      </c>
      <c r="L264" s="2">
        <v>23</v>
      </c>
      <c r="M264" s="2">
        <v>0.30399999999999999</v>
      </c>
      <c r="N264" s="2">
        <v>36</v>
      </c>
      <c r="O264" s="2">
        <v>69</v>
      </c>
      <c r="P264" s="2">
        <v>0.52200000000000002</v>
      </c>
      <c r="Q264" s="2">
        <v>0.505</v>
      </c>
      <c r="R264" s="2">
        <v>17</v>
      </c>
      <c r="S264" s="2">
        <v>22</v>
      </c>
      <c r="T264" s="2">
        <v>0.77300000000000002</v>
      </c>
      <c r="U264" s="2">
        <v>17</v>
      </c>
      <c r="V264" s="2">
        <v>18</v>
      </c>
      <c r="W264" s="2">
        <v>35</v>
      </c>
      <c r="X264" s="2">
        <v>18</v>
      </c>
      <c r="Y264" s="2">
        <v>5</v>
      </c>
      <c r="Z264" s="2">
        <v>2</v>
      </c>
      <c r="AA264" s="2">
        <v>14</v>
      </c>
      <c r="AB264" s="2">
        <v>16</v>
      </c>
      <c r="AC264" s="2">
        <v>110</v>
      </c>
      <c r="AD264" s="2">
        <v>0</v>
      </c>
      <c r="AE264" s="18">
        <f t="shared" si="4"/>
        <v>1.2857142857142858</v>
      </c>
    </row>
    <row r="265" spans="1:31" x14ac:dyDescent="0.2">
      <c r="A265" t="s">
        <v>113</v>
      </c>
      <c r="B265" s="2">
        <v>25</v>
      </c>
      <c r="C265" t="s">
        <v>114</v>
      </c>
      <c r="D265" s="2" t="s">
        <v>52</v>
      </c>
      <c r="E265" s="2">
        <v>20</v>
      </c>
      <c r="F265" s="2">
        <v>20</v>
      </c>
      <c r="G265" s="2">
        <v>606</v>
      </c>
      <c r="H265" s="2">
        <v>134</v>
      </c>
      <c r="I265" s="2">
        <v>307</v>
      </c>
      <c r="J265" s="2">
        <v>0.436</v>
      </c>
      <c r="K265" s="2">
        <v>64</v>
      </c>
      <c r="L265" s="2">
        <v>157</v>
      </c>
      <c r="M265" s="2">
        <v>0.40799999999999997</v>
      </c>
      <c r="N265" s="2">
        <v>70</v>
      </c>
      <c r="O265" s="2">
        <v>150</v>
      </c>
      <c r="P265" s="2">
        <v>0.46700000000000003</v>
      </c>
      <c r="Q265" s="2">
        <v>0.54100000000000004</v>
      </c>
      <c r="R265" s="2">
        <v>76</v>
      </c>
      <c r="S265" s="2">
        <v>89</v>
      </c>
      <c r="T265" s="2">
        <v>0.85399999999999998</v>
      </c>
      <c r="U265" s="2">
        <v>4</v>
      </c>
      <c r="V265" s="2">
        <v>40</v>
      </c>
      <c r="W265" s="2">
        <v>44</v>
      </c>
      <c r="X265" s="2">
        <v>100</v>
      </c>
      <c r="Y265" s="2">
        <v>32</v>
      </c>
      <c r="Z265" s="2">
        <v>8</v>
      </c>
      <c r="AA265" s="2">
        <v>68</v>
      </c>
      <c r="AB265" s="2">
        <v>66</v>
      </c>
      <c r="AC265" s="2">
        <v>408</v>
      </c>
      <c r="AD265" s="2">
        <v>0</v>
      </c>
      <c r="AE265" s="18">
        <f t="shared" si="4"/>
        <v>1.4705882352941178</v>
      </c>
    </row>
    <row r="266" spans="1:31" x14ac:dyDescent="0.2">
      <c r="A266" t="s">
        <v>457</v>
      </c>
      <c r="B266" s="2">
        <v>20</v>
      </c>
      <c r="C266" t="s">
        <v>39</v>
      </c>
      <c r="D266" s="2" t="s">
        <v>27</v>
      </c>
      <c r="E266" s="2">
        <v>17</v>
      </c>
      <c r="F266" s="2">
        <v>1</v>
      </c>
      <c r="G266" s="2">
        <v>154</v>
      </c>
      <c r="H266" s="2">
        <v>9</v>
      </c>
      <c r="I266" s="2">
        <v>29</v>
      </c>
      <c r="J266" s="2">
        <v>0.31</v>
      </c>
      <c r="K266" s="2">
        <v>5</v>
      </c>
      <c r="L266" s="2">
        <v>22</v>
      </c>
      <c r="M266" s="2">
        <v>0.22700000000000001</v>
      </c>
      <c r="N266" s="2">
        <v>4</v>
      </c>
      <c r="O266" s="2">
        <v>7</v>
      </c>
      <c r="P266" s="2">
        <v>0.57099999999999995</v>
      </c>
      <c r="Q266" s="2">
        <v>0.39700000000000002</v>
      </c>
      <c r="R266" s="2">
        <v>0</v>
      </c>
      <c r="S266" s="2">
        <v>1</v>
      </c>
      <c r="T266" s="2">
        <v>0</v>
      </c>
      <c r="U266" s="2">
        <v>6</v>
      </c>
      <c r="V266" s="2">
        <v>14</v>
      </c>
      <c r="W266" s="2">
        <v>20</v>
      </c>
      <c r="X266" s="2">
        <v>4</v>
      </c>
      <c r="Y266" s="2">
        <v>5</v>
      </c>
      <c r="Z266" s="2">
        <v>6</v>
      </c>
      <c r="AA266" s="2">
        <v>4</v>
      </c>
      <c r="AB266" s="2">
        <v>11</v>
      </c>
      <c r="AC266" s="2">
        <v>23</v>
      </c>
      <c r="AD266" s="2">
        <v>0</v>
      </c>
      <c r="AE266" s="18">
        <f t="shared" si="4"/>
        <v>1</v>
      </c>
    </row>
    <row r="267" spans="1:31" x14ac:dyDescent="0.2">
      <c r="A267" t="s">
        <v>317</v>
      </c>
      <c r="B267" s="2">
        <v>26</v>
      </c>
      <c r="C267" t="s">
        <v>117</v>
      </c>
      <c r="D267" s="2" t="s">
        <v>33</v>
      </c>
      <c r="E267" s="2">
        <v>11</v>
      </c>
      <c r="F267" s="2">
        <v>7</v>
      </c>
      <c r="G267" s="2">
        <v>282</v>
      </c>
      <c r="H267" s="2">
        <v>40</v>
      </c>
      <c r="I267" s="2">
        <v>101</v>
      </c>
      <c r="J267" s="2">
        <v>0.39600000000000002</v>
      </c>
      <c r="K267" s="2">
        <v>24</v>
      </c>
      <c r="L267" s="2">
        <v>60</v>
      </c>
      <c r="M267" s="2">
        <v>0.4</v>
      </c>
      <c r="N267" s="2">
        <v>16</v>
      </c>
      <c r="O267" s="2">
        <v>41</v>
      </c>
      <c r="P267" s="2">
        <v>0.39</v>
      </c>
      <c r="Q267" s="2">
        <v>0.51500000000000001</v>
      </c>
      <c r="R267" s="2">
        <v>14</v>
      </c>
      <c r="S267" s="2">
        <v>17</v>
      </c>
      <c r="T267" s="2">
        <v>0.82399999999999995</v>
      </c>
      <c r="U267" s="2">
        <v>6</v>
      </c>
      <c r="V267" s="2">
        <v>18</v>
      </c>
      <c r="W267" s="2">
        <v>24</v>
      </c>
      <c r="X267" s="2">
        <v>49</v>
      </c>
      <c r="Y267" s="2">
        <v>17</v>
      </c>
      <c r="Z267" s="2">
        <v>3</v>
      </c>
      <c r="AA267" s="2">
        <v>14</v>
      </c>
      <c r="AB267" s="2">
        <v>26</v>
      </c>
      <c r="AC267" s="2">
        <v>118</v>
      </c>
      <c r="AD267" s="2">
        <v>0</v>
      </c>
      <c r="AE267" s="18">
        <f t="shared" si="4"/>
        <v>3.5</v>
      </c>
    </row>
    <row r="268" spans="1:31" x14ac:dyDescent="0.2">
      <c r="A268" t="s">
        <v>161</v>
      </c>
      <c r="B268" s="2">
        <v>22</v>
      </c>
      <c r="C268" t="s">
        <v>70</v>
      </c>
      <c r="D268" s="2" t="s">
        <v>33</v>
      </c>
      <c r="E268" s="2">
        <v>25</v>
      </c>
      <c r="F268" s="2">
        <v>25</v>
      </c>
      <c r="G268" s="2">
        <v>679</v>
      </c>
      <c r="H268" s="2">
        <v>112</v>
      </c>
      <c r="I268" s="2">
        <v>253</v>
      </c>
      <c r="J268" s="2">
        <v>0.443</v>
      </c>
      <c r="K268" s="2">
        <v>29</v>
      </c>
      <c r="L268" s="2">
        <v>91</v>
      </c>
      <c r="M268" s="2">
        <v>0.31900000000000001</v>
      </c>
      <c r="N268" s="2">
        <v>83</v>
      </c>
      <c r="O268" s="2">
        <v>162</v>
      </c>
      <c r="P268" s="2">
        <v>0.51200000000000001</v>
      </c>
      <c r="Q268" s="2">
        <v>0.5</v>
      </c>
      <c r="R268" s="2">
        <v>40</v>
      </c>
      <c r="S268" s="2">
        <v>58</v>
      </c>
      <c r="T268" s="2">
        <v>0.69</v>
      </c>
      <c r="U268" s="2">
        <v>29</v>
      </c>
      <c r="V268" s="2">
        <v>126</v>
      </c>
      <c r="W268" s="2">
        <v>155</v>
      </c>
      <c r="X268" s="2">
        <v>172</v>
      </c>
      <c r="Y268" s="2">
        <v>20</v>
      </c>
      <c r="Z268" s="2">
        <v>11</v>
      </c>
      <c r="AA268" s="2">
        <v>65</v>
      </c>
      <c r="AB268" s="2">
        <v>38</v>
      </c>
      <c r="AC268" s="2">
        <v>293</v>
      </c>
      <c r="AD268" s="2">
        <v>1</v>
      </c>
      <c r="AE268" s="18">
        <f t="shared" si="4"/>
        <v>2.6461538461538461</v>
      </c>
    </row>
    <row r="269" spans="1:31" x14ac:dyDescent="0.2">
      <c r="A269" t="s">
        <v>264</v>
      </c>
      <c r="B269" s="2">
        <v>24</v>
      </c>
      <c r="C269" t="s">
        <v>59</v>
      </c>
      <c r="D269" s="2" t="s">
        <v>52</v>
      </c>
      <c r="E269" s="2">
        <v>22</v>
      </c>
      <c r="F269" s="2">
        <v>21</v>
      </c>
      <c r="G269" s="2">
        <v>608</v>
      </c>
      <c r="H269" s="2">
        <v>60</v>
      </c>
      <c r="I269" s="2">
        <v>137</v>
      </c>
      <c r="J269" s="2">
        <v>0.438</v>
      </c>
      <c r="K269" s="2">
        <v>33</v>
      </c>
      <c r="L269" s="2">
        <v>73</v>
      </c>
      <c r="M269" s="2">
        <v>0.45200000000000001</v>
      </c>
      <c r="N269" s="2">
        <v>27</v>
      </c>
      <c r="O269" s="2">
        <v>64</v>
      </c>
      <c r="P269" s="2">
        <v>0.42199999999999999</v>
      </c>
      <c r="Q269" s="2">
        <v>0.55800000000000005</v>
      </c>
      <c r="R269" s="2">
        <v>13</v>
      </c>
      <c r="S269" s="2">
        <v>22</v>
      </c>
      <c r="T269" s="2">
        <v>0.59099999999999997</v>
      </c>
      <c r="U269" s="2">
        <v>21</v>
      </c>
      <c r="V269" s="2">
        <v>37</v>
      </c>
      <c r="W269" s="2">
        <v>58</v>
      </c>
      <c r="X269" s="2">
        <v>37</v>
      </c>
      <c r="Y269" s="2">
        <v>18</v>
      </c>
      <c r="Z269" s="2">
        <v>7</v>
      </c>
      <c r="AA269" s="2">
        <v>19</v>
      </c>
      <c r="AB269" s="2">
        <v>64</v>
      </c>
      <c r="AC269" s="2">
        <v>166</v>
      </c>
      <c r="AD269" s="2">
        <v>0</v>
      </c>
      <c r="AE269" s="18">
        <f t="shared" si="4"/>
        <v>1.9473684210526316</v>
      </c>
    </row>
    <row r="270" spans="1:31" x14ac:dyDescent="0.2">
      <c r="A270" t="s">
        <v>128</v>
      </c>
      <c r="B270" s="2">
        <v>29</v>
      </c>
      <c r="C270" t="s">
        <v>44</v>
      </c>
      <c r="D270" s="2" t="s">
        <v>52</v>
      </c>
      <c r="E270" s="2">
        <v>25</v>
      </c>
      <c r="F270" s="2">
        <v>25</v>
      </c>
      <c r="G270" s="2">
        <v>924</v>
      </c>
      <c r="H270" s="2">
        <v>137</v>
      </c>
      <c r="I270" s="2">
        <v>230</v>
      </c>
      <c r="J270" s="2">
        <v>0.59599999999999997</v>
      </c>
      <c r="K270" s="2">
        <v>35</v>
      </c>
      <c r="L270" s="2">
        <v>86</v>
      </c>
      <c r="M270" s="2">
        <v>0.40699999999999997</v>
      </c>
      <c r="N270" s="2">
        <v>102</v>
      </c>
      <c r="O270" s="2">
        <v>144</v>
      </c>
      <c r="P270" s="2">
        <v>0.70799999999999996</v>
      </c>
      <c r="Q270" s="2">
        <v>0.67200000000000004</v>
      </c>
      <c r="R270" s="2">
        <v>45</v>
      </c>
      <c r="S270" s="2">
        <v>53</v>
      </c>
      <c r="T270" s="2">
        <v>0.84899999999999998</v>
      </c>
      <c r="U270" s="2">
        <v>40</v>
      </c>
      <c r="V270" s="2">
        <v>168</v>
      </c>
      <c r="W270" s="2">
        <v>208</v>
      </c>
      <c r="X270" s="2">
        <v>138</v>
      </c>
      <c r="Y270" s="2">
        <v>34</v>
      </c>
      <c r="Z270" s="2">
        <v>8</v>
      </c>
      <c r="AA270" s="2">
        <v>42</v>
      </c>
      <c r="AB270" s="2">
        <v>60</v>
      </c>
      <c r="AC270" s="2">
        <v>354</v>
      </c>
      <c r="AD270" s="2">
        <v>2</v>
      </c>
      <c r="AE270" s="18">
        <f t="shared" si="4"/>
        <v>3.2857142857142856</v>
      </c>
    </row>
    <row r="271" spans="1:31" x14ac:dyDescent="0.2">
      <c r="A271" t="s">
        <v>446</v>
      </c>
      <c r="B271" s="2">
        <v>22</v>
      </c>
      <c r="C271" t="s">
        <v>51</v>
      </c>
      <c r="D271" s="2" t="s">
        <v>49</v>
      </c>
      <c r="E271" s="2">
        <v>11</v>
      </c>
      <c r="F271" s="2">
        <v>0</v>
      </c>
      <c r="G271" s="2">
        <v>82</v>
      </c>
      <c r="H271" s="2">
        <v>11</v>
      </c>
      <c r="I271" s="2">
        <v>19</v>
      </c>
      <c r="J271" s="2">
        <v>0.57899999999999996</v>
      </c>
      <c r="K271" s="2">
        <v>2</v>
      </c>
      <c r="L271" s="2">
        <v>10</v>
      </c>
      <c r="M271" s="2">
        <v>0.2</v>
      </c>
      <c r="N271" s="2">
        <v>9</v>
      </c>
      <c r="O271" s="2">
        <v>9</v>
      </c>
      <c r="P271" s="2">
        <v>1</v>
      </c>
      <c r="Q271" s="2">
        <v>0.63200000000000001</v>
      </c>
      <c r="R271" s="2">
        <v>3</v>
      </c>
      <c r="S271" s="2">
        <v>5</v>
      </c>
      <c r="T271" s="2">
        <v>0.6</v>
      </c>
      <c r="U271" s="2">
        <v>1</v>
      </c>
      <c r="V271" s="2">
        <v>13</v>
      </c>
      <c r="W271" s="2">
        <v>14</v>
      </c>
      <c r="X271" s="2">
        <v>5</v>
      </c>
      <c r="Y271" s="2">
        <v>3</v>
      </c>
      <c r="Z271" s="2">
        <v>3</v>
      </c>
      <c r="AA271" s="2">
        <v>5</v>
      </c>
      <c r="AB271" s="2">
        <v>12</v>
      </c>
      <c r="AC271" s="2">
        <v>27</v>
      </c>
      <c r="AD271" s="2">
        <v>0</v>
      </c>
      <c r="AE271" s="18">
        <f t="shared" si="4"/>
        <v>1</v>
      </c>
    </row>
    <row r="272" spans="1:31" x14ac:dyDescent="0.2">
      <c r="A272" t="s">
        <v>342</v>
      </c>
      <c r="B272" s="2">
        <v>26</v>
      </c>
      <c r="C272" t="s">
        <v>54</v>
      </c>
      <c r="D272" s="2" t="s">
        <v>52</v>
      </c>
      <c r="E272" s="2">
        <v>13</v>
      </c>
      <c r="F272" s="2">
        <v>1</v>
      </c>
      <c r="G272" s="2">
        <v>194</v>
      </c>
      <c r="H272" s="2">
        <v>36</v>
      </c>
      <c r="I272" s="2">
        <v>70</v>
      </c>
      <c r="J272" s="2">
        <v>0.51400000000000001</v>
      </c>
      <c r="K272" s="2">
        <v>10</v>
      </c>
      <c r="L272" s="2">
        <v>23</v>
      </c>
      <c r="M272" s="2">
        <v>0.435</v>
      </c>
      <c r="N272" s="2">
        <v>26</v>
      </c>
      <c r="O272" s="2">
        <v>47</v>
      </c>
      <c r="P272" s="2">
        <v>0.55300000000000005</v>
      </c>
      <c r="Q272" s="2">
        <v>0.58599999999999997</v>
      </c>
      <c r="R272" s="2">
        <v>16</v>
      </c>
      <c r="S272" s="2">
        <v>23</v>
      </c>
      <c r="T272" s="2">
        <v>0.69599999999999995</v>
      </c>
      <c r="U272" s="2">
        <v>17</v>
      </c>
      <c r="V272" s="2">
        <v>25</v>
      </c>
      <c r="W272" s="2">
        <v>42</v>
      </c>
      <c r="X272" s="2">
        <v>8</v>
      </c>
      <c r="Y272" s="2">
        <v>12</v>
      </c>
      <c r="Z272" s="2">
        <v>4</v>
      </c>
      <c r="AA272" s="2">
        <v>10</v>
      </c>
      <c r="AB272" s="2">
        <v>15</v>
      </c>
      <c r="AC272" s="2">
        <v>98</v>
      </c>
      <c r="AD272" s="2">
        <v>0</v>
      </c>
      <c r="AE272" s="18">
        <f t="shared" si="4"/>
        <v>0.8</v>
      </c>
    </row>
    <row r="273" spans="1:31" x14ac:dyDescent="0.2">
      <c r="A273" t="s">
        <v>437</v>
      </c>
      <c r="B273" s="2">
        <v>31</v>
      </c>
      <c r="C273" t="s">
        <v>61</v>
      </c>
      <c r="D273" s="2" t="s">
        <v>52</v>
      </c>
      <c r="E273" s="2">
        <v>8</v>
      </c>
      <c r="F273" s="2">
        <v>0</v>
      </c>
      <c r="G273" s="2">
        <v>150</v>
      </c>
      <c r="H273" s="2">
        <v>11</v>
      </c>
      <c r="I273" s="2">
        <v>38</v>
      </c>
      <c r="J273" s="2">
        <v>0.28899999999999998</v>
      </c>
      <c r="K273" s="2">
        <v>6</v>
      </c>
      <c r="L273" s="2">
        <v>22</v>
      </c>
      <c r="M273" s="2">
        <v>0.27300000000000002</v>
      </c>
      <c r="N273" s="2">
        <v>5</v>
      </c>
      <c r="O273" s="2">
        <v>16</v>
      </c>
      <c r="P273" s="2">
        <v>0.313</v>
      </c>
      <c r="Q273" s="2">
        <v>0.36799999999999999</v>
      </c>
      <c r="R273" s="2">
        <v>4</v>
      </c>
      <c r="S273" s="2">
        <v>4</v>
      </c>
      <c r="T273" s="2">
        <v>1</v>
      </c>
      <c r="U273" s="2">
        <v>6</v>
      </c>
      <c r="V273" s="2">
        <v>6</v>
      </c>
      <c r="W273" s="2">
        <v>12</v>
      </c>
      <c r="X273" s="2">
        <v>12</v>
      </c>
      <c r="Y273" s="2">
        <v>8</v>
      </c>
      <c r="Z273" s="2">
        <v>1</v>
      </c>
      <c r="AA273" s="2">
        <v>8</v>
      </c>
      <c r="AB273" s="2">
        <v>17</v>
      </c>
      <c r="AC273" s="2">
        <v>32</v>
      </c>
      <c r="AD273" s="2">
        <v>0</v>
      </c>
      <c r="AE273" s="18">
        <f t="shared" si="4"/>
        <v>1.5</v>
      </c>
    </row>
    <row r="274" spans="1:31" x14ac:dyDescent="0.2">
      <c r="A274" t="s">
        <v>176</v>
      </c>
      <c r="B274" s="2">
        <v>34</v>
      </c>
      <c r="C274" t="s">
        <v>39</v>
      </c>
      <c r="D274" s="2" t="s">
        <v>33</v>
      </c>
      <c r="E274" s="2">
        <v>22</v>
      </c>
      <c r="F274" s="2">
        <v>22</v>
      </c>
      <c r="G274" s="2">
        <v>681</v>
      </c>
      <c r="H274" s="2">
        <v>99</v>
      </c>
      <c r="I274" s="2">
        <v>227</v>
      </c>
      <c r="J274" s="2">
        <v>0.436</v>
      </c>
      <c r="K274" s="2">
        <v>42</v>
      </c>
      <c r="L274" s="2">
        <v>126</v>
      </c>
      <c r="M274" s="2">
        <v>0.33300000000000002</v>
      </c>
      <c r="N274" s="2">
        <v>57</v>
      </c>
      <c r="O274" s="2">
        <v>101</v>
      </c>
      <c r="P274" s="2">
        <v>0.56399999999999995</v>
      </c>
      <c r="Q274" s="2">
        <v>0.52900000000000003</v>
      </c>
      <c r="R274" s="2">
        <v>37</v>
      </c>
      <c r="S274" s="2">
        <v>41</v>
      </c>
      <c r="T274" s="2">
        <v>0.90200000000000002</v>
      </c>
      <c r="U274" s="2">
        <v>26</v>
      </c>
      <c r="V274" s="2">
        <v>70</v>
      </c>
      <c r="W274" s="2">
        <v>96</v>
      </c>
      <c r="X274" s="2">
        <v>90</v>
      </c>
      <c r="Y274" s="2">
        <v>16</v>
      </c>
      <c r="Z274" s="2">
        <v>8</v>
      </c>
      <c r="AA274" s="2">
        <v>32</v>
      </c>
      <c r="AB274" s="2">
        <v>32</v>
      </c>
      <c r="AC274" s="2">
        <v>277</v>
      </c>
      <c r="AD274" s="2">
        <v>0</v>
      </c>
      <c r="AE274" s="18">
        <f t="shared" si="4"/>
        <v>2.8125</v>
      </c>
    </row>
    <row r="275" spans="1:31" x14ac:dyDescent="0.2">
      <c r="A275" t="s">
        <v>473</v>
      </c>
      <c r="B275" s="2">
        <v>22</v>
      </c>
      <c r="C275" t="s">
        <v>57</v>
      </c>
      <c r="D275" s="2" t="s">
        <v>27</v>
      </c>
      <c r="E275" s="2">
        <v>3</v>
      </c>
      <c r="F275" s="2">
        <v>0</v>
      </c>
      <c r="G275" s="2">
        <v>16</v>
      </c>
      <c r="H275" s="2">
        <v>7</v>
      </c>
      <c r="I275" s="2">
        <v>7</v>
      </c>
      <c r="J275" s="2">
        <v>1</v>
      </c>
      <c r="K275" s="2">
        <v>3</v>
      </c>
      <c r="L275" s="2">
        <v>3</v>
      </c>
      <c r="M275" s="2">
        <v>1</v>
      </c>
      <c r="N275" s="2">
        <v>4</v>
      </c>
      <c r="O275" s="2">
        <v>4</v>
      </c>
      <c r="P275" s="2">
        <v>1</v>
      </c>
      <c r="Q275" s="2">
        <v>1.214</v>
      </c>
      <c r="R275" s="2">
        <v>2</v>
      </c>
      <c r="S275" s="2">
        <v>2</v>
      </c>
      <c r="T275" s="2">
        <v>1</v>
      </c>
      <c r="U275" s="2">
        <v>0</v>
      </c>
      <c r="V275" s="2">
        <v>2</v>
      </c>
      <c r="W275" s="2">
        <v>2</v>
      </c>
      <c r="X275" s="2">
        <v>0</v>
      </c>
      <c r="Y275" s="2">
        <v>2</v>
      </c>
      <c r="Z275" s="2">
        <v>2</v>
      </c>
      <c r="AA275" s="2">
        <v>2</v>
      </c>
      <c r="AB275" s="2">
        <v>2</v>
      </c>
      <c r="AC275" s="2">
        <v>19</v>
      </c>
      <c r="AD275" s="2">
        <v>0</v>
      </c>
      <c r="AE275" s="18">
        <f t="shared" si="4"/>
        <v>0</v>
      </c>
    </row>
    <row r="276" spans="1:31" x14ac:dyDescent="0.2">
      <c r="A276" t="s">
        <v>153</v>
      </c>
      <c r="B276" s="2">
        <v>23</v>
      </c>
      <c r="C276" t="s">
        <v>93</v>
      </c>
      <c r="D276" s="2" t="s">
        <v>49</v>
      </c>
      <c r="E276" s="2">
        <v>24</v>
      </c>
      <c r="F276" s="2">
        <v>24</v>
      </c>
      <c r="G276" s="2">
        <v>711</v>
      </c>
      <c r="H276" s="2">
        <v>103</v>
      </c>
      <c r="I276" s="2">
        <v>238</v>
      </c>
      <c r="J276" s="2">
        <v>0.433</v>
      </c>
      <c r="K276" s="2">
        <v>60</v>
      </c>
      <c r="L276" s="2">
        <v>169</v>
      </c>
      <c r="M276" s="2">
        <v>0.35499999999999998</v>
      </c>
      <c r="N276" s="2">
        <v>43</v>
      </c>
      <c r="O276" s="2">
        <v>69</v>
      </c>
      <c r="P276" s="2">
        <v>0.623</v>
      </c>
      <c r="Q276" s="2">
        <v>0.55900000000000005</v>
      </c>
      <c r="R276" s="2">
        <v>36</v>
      </c>
      <c r="S276" s="2">
        <v>39</v>
      </c>
      <c r="T276" s="2">
        <v>0.92300000000000004</v>
      </c>
      <c r="U276" s="2">
        <v>21</v>
      </c>
      <c r="V276" s="2">
        <v>102</v>
      </c>
      <c r="W276" s="2">
        <v>123</v>
      </c>
      <c r="X276" s="2">
        <v>36</v>
      </c>
      <c r="Y276" s="2">
        <v>20</v>
      </c>
      <c r="Z276" s="2">
        <v>15</v>
      </c>
      <c r="AA276" s="2">
        <v>26</v>
      </c>
      <c r="AB276" s="2">
        <v>36</v>
      </c>
      <c r="AC276" s="2">
        <v>302</v>
      </c>
      <c r="AD276" s="2">
        <v>0</v>
      </c>
      <c r="AE276" s="18">
        <f t="shared" si="4"/>
        <v>1.3846153846153846</v>
      </c>
    </row>
    <row r="277" spans="1:31" x14ac:dyDescent="0.2">
      <c r="A277" t="s">
        <v>328</v>
      </c>
      <c r="B277" s="2">
        <v>21</v>
      </c>
      <c r="C277" t="s">
        <v>70</v>
      </c>
      <c r="D277" s="2" t="s">
        <v>49</v>
      </c>
      <c r="E277" s="2">
        <v>24</v>
      </c>
      <c r="F277" s="2">
        <v>2</v>
      </c>
      <c r="G277" s="2">
        <v>344</v>
      </c>
      <c r="H277" s="2">
        <v>38</v>
      </c>
      <c r="I277" s="2">
        <v>92</v>
      </c>
      <c r="J277" s="2">
        <v>0.41299999999999998</v>
      </c>
      <c r="K277" s="2">
        <v>18</v>
      </c>
      <c r="L277" s="2">
        <v>57</v>
      </c>
      <c r="M277" s="2">
        <v>0.316</v>
      </c>
      <c r="N277" s="2">
        <v>20</v>
      </c>
      <c r="O277" s="2">
        <v>35</v>
      </c>
      <c r="P277" s="2">
        <v>0.57099999999999995</v>
      </c>
      <c r="Q277" s="2">
        <v>0.51100000000000001</v>
      </c>
      <c r="R277" s="2">
        <v>13</v>
      </c>
      <c r="S277" s="2">
        <v>21</v>
      </c>
      <c r="T277" s="2">
        <v>0.61899999999999999</v>
      </c>
      <c r="U277" s="2">
        <v>19</v>
      </c>
      <c r="V277" s="2">
        <v>31</v>
      </c>
      <c r="W277" s="2">
        <v>50</v>
      </c>
      <c r="X277" s="2">
        <v>11</v>
      </c>
      <c r="Y277" s="2">
        <v>16</v>
      </c>
      <c r="Z277" s="2">
        <v>6</v>
      </c>
      <c r="AA277" s="2">
        <v>10</v>
      </c>
      <c r="AB277" s="2">
        <v>32</v>
      </c>
      <c r="AC277" s="2">
        <v>107</v>
      </c>
      <c r="AD277" s="2">
        <v>0</v>
      </c>
      <c r="AE277" s="18">
        <f t="shared" si="4"/>
        <v>1.1000000000000001</v>
      </c>
    </row>
    <row r="278" spans="1:31" x14ac:dyDescent="0.2">
      <c r="A278" t="s">
        <v>233</v>
      </c>
      <c r="B278" s="2">
        <v>22</v>
      </c>
      <c r="C278" t="s">
        <v>46</v>
      </c>
      <c r="D278" s="2" t="s">
        <v>52</v>
      </c>
      <c r="E278" s="2">
        <v>22</v>
      </c>
      <c r="F278" s="2">
        <v>0</v>
      </c>
      <c r="G278" s="2">
        <v>458</v>
      </c>
      <c r="H278" s="2">
        <v>69</v>
      </c>
      <c r="I278" s="2">
        <v>149</v>
      </c>
      <c r="J278" s="2">
        <v>0.46300000000000002</v>
      </c>
      <c r="K278" s="2">
        <v>31</v>
      </c>
      <c r="L278" s="2">
        <v>76</v>
      </c>
      <c r="M278" s="2">
        <v>0.40799999999999997</v>
      </c>
      <c r="N278" s="2">
        <v>38</v>
      </c>
      <c r="O278" s="2">
        <v>73</v>
      </c>
      <c r="P278" s="2">
        <v>0.52100000000000002</v>
      </c>
      <c r="Q278" s="2">
        <v>0.56699999999999995</v>
      </c>
      <c r="R278" s="2">
        <v>29</v>
      </c>
      <c r="S278" s="2">
        <v>36</v>
      </c>
      <c r="T278" s="2">
        <v>0.80600000000000005</v>
      </c>
      <c r="U278" s="2">
        <v>7</v>
      </c>
      <c r="V278" s="2">
        <v>37</v>
      </c>
      <c r="W278" s="2">
        <v>44</v>
      </c>
      <c r="X278" s="2">
        <v>31</v>
      </c>
      <c r="Y278" s="2">
        <v>18</v>
      </c>
      <c r="Z278" s="2">
        <v>9</v>
      </c>
      <c r="AA278" s="2">
        <v>21</v>
      </c>
      <c r="AB278" s="2">
        <v>59</v>
      </c>
      <c r="AC278" s="2">
        <v>198</v>
      </c>
      <c r="AD278" s="2">
        <v>0</v>
      </c>
      <c r="AE278" s="18">
        <f t="shared" si="4"/>
        <v>1.4761904761904763</v>
      </c>
    </row>
    <row r="279" spans="1:31" x14ac:dyDescent="0.2">
      <c r="A279" t="s">
        <v>91</v>
      </c>
      <c r="B279" s="2">
        <v>30</v>
      </c>
      <c r="C279" t="s">
        <v>51</v>
      </c>
      <c r="D279" s="2" t="s">
        <v>27</v>
      </c>
      <c r="E279" s="2">
        <v>23</v>
      </c>
      <c r="F279" s="2">
        <v>23</v>
      </c>
      <c r="G279" s="2">
        <v>763</v>
      </c>
      <c r="H279" s="2">
        <v>161</v>
      </c>
      <c r="I279" s="2">
        <v>329</v>
      </c>
      <c r="J279" s="2">
        <v>0.48899999999999999</v>
      </c>
      <c r="K279" s="2">
        <v>40</v>
      </c>
      <c r="L279" s="2">
        <v>109</v>
      </c>
      <c r="M279" s="2">
        <v>0.36699999999999999</v>
      </c>
      <c r="N279" s="2">
        <v>121</v>
      </c>
      <c r="O279" s="2">
        <v>220</v>
      </c>
      <c r="P279" s="2">
        <v>0.55000000000000004</v>
      </c>
      <c r="Q279" s="2">
        <v>0.55000000000000004</v>
      </c>
      <c r="R279" s="2">
        <v>108</v>
      </c>
      <c r="S279" s="2">
        <v>131</v>
      </c>
      <c r="T279" s="2">
        <v>0.82399999999999995</v>
      </c>
      <c r="U279" s="2">
        <v>40</v>
      </c>
      <c r="V279" s="2">
        <v>120</v>
      </c>
      <c r="W279" s="2">
        <v>160</v>
      </c>
      <c r="X279" s="2">
        <v>93</v>
      </c>
      <c r="Y279" s="2">
        <v>18</v>
      </c>
      <c r="Z279" s="2">
        <v>3</v>
      </c>
      <c r="AA279" s="2">
        <v>62</v>
      </c>
      <c r="AB279" s="2">
        <v>57</v>
      </c>
      <c r="AC279" s="2">
        <v>470</v>
      </c>
      <c r="AD279" s="2">
        <v>0</v>
      </c>
      <c r="AE279" s="18">
        <f t="shared" si="4"/>
        <v>1.5</v>
      </c>
    </row>
    <row r="280" spans="1:31" x14ac:dyDescent="0.2">
      <c r="A280" t="s">
        <v>410</v>
      </c>
      <c r="B280" s="2">
        <v>23</v>
      </c>
      <c r="C280" t="s">
        <v>114</v>
      </c>
      <c r="D280" s="2" t="s">
        <v>49</v>
      </c>
      <c r="E280" s="2">
        <v>5</v>
      </c>
      <c r="F280" s="2">
        <v>2</v>
      </c>
      <c r="G280" s="2">
        <v>105</v>
      </c>
      <c r="H280" s="2">
        <v>19</v>
      </c>
      <c r="I280" s="2">
        <v>34</v>
      </c>
      <c r="J280" s="2">
        <v>0.55900000000000005</v>
      </c>
      <c r="K280" s="2">
        <v>5</v>
      </c>
      <c r="L280" s="2">
        <v>12</v>
      </c>
      <c r="M280" s="2">
        <v>0.41699999999999998</v>
      </c>
      <c r="N280" s="2">
        <v>14</v>
      </c>
      <c r="O280" s="2">
        <v>22</v>
      </c>
      <c r="P280" s="2">
        <v>0.63600000000000001</v>
      </c>
      <c r="Q280" s="2">
        <v>0.63200000000000001</v>
      </c>
      <c r="R280" s="2">
        <v>3</v>
      </c>
      <c r="S280" s="2">
        <v>5</v>
      </c>
      <c r="T280" s="2">
        <v>0.6</v>
      </c>
      <c r="U280" s="2">
        <v>10</v>
      </c>
      <c r="V280" s="2">
        <v>13</v>
      </c>
      <c r="W280" s="2">
        <v>23</v>
      </c>
      <c r="X280" s="2">
        <v>5</v>
      </c>
      <c r="Y280" s="2">
        <v>7</v>
      </c>
      <c r="Z280" s="2">
        <v>2</v>
      </c>
      <c r="AA280" s="2">
        <v>5</v>
      </c>
      <c r="AB280" s="2">
        <v>12</v>
      </c>
      <c r="AC280" s="2">
        <v>46</v>
      </c>
      <c r="AD280" s="2">
        <v>0</v>
      </c>
      <c r="AE280" s="18">
        <f t="shared" si="4"/>
        <v>1</v>
      </c>
    </row>
    <row r="281" spans="1:31" x14ac:dyDescent="0.2">
      <c r="A281" t="s">
        <v>524</v>
      </c>
      <c r="B281" s="2">
        <v>21</v>
      </c>
      <c r="C281" t="s">
        <v>122</v>
      </c>
      <c r="D281" s="2" t="s">
        <v>49</v>
      </c>
      <c r="E281" s="2">
        <v>2</v>
      </c>
      <c r="F281" s="2">
        <v>0</v>
      </c>
      <c r="G281" s="2">
        <v>9</v>
      </c>
      <c r="H281" s="2">
        <v>2</v>
      </c>
      <c r="I281" s="2">
        <v>3</v>
      </c>
      <c r="J281" s="2">
        <v>0.66700000000000004</v>
      </c>
      <c r="K281" s="2">
        <v>0</v>
      </c>
      <c r="L281" s="2">
        <v>1</v>
      </c>
      <c r="M281" s="2">
        <v>0</v>
      </c>
      <c r="N281" s="2">
        <v>2</v>
      </c>
      <c r="O281" s="2">
        <v>2</v>
      </c>
      <c r="P281" s="2">
        <v>1</v>
      </c>
      <c r="Q281" s="2">
        <v>0.66700000000000004</v>
      </c>
      <c r="R281" s="2">
        <v>0</v>
      </c>
      <c r="S281" s="2">
        <v>1</v>
      </c>
      <c r="T281" s="2">
        <v>0</v>
      </c>
      <c r="U281" s="2">
        <v>0</v>
      </c>
      <c r="V281" s="2">
        <v>2</v>
      </c>
      <c r="W281" s="2">
        <v>2</v>
      </c>
      <c r="X281" s="2">
        <v>1</v>
      </c>
      <c r="Y281" s="2">
        <v>0</v>
      </c>
      <c r="Z281" s="2">
        <v>0</v>
      </c>
      <c r="AA281" s="2">
        <v>0</v>
      </c>
      <c r="AB281" s="2">
        <v>0</v>
      </c>
      <c r="AC281" s="2">
        <v>4</v>
      </c>
      <c r="AD281" s="2">
        <v>0</v>
      </c>
      <c r="AE281" s="18" t="e">
        <f t="shared" si="4"/>
        <v>#DIV/0!</v>
      </c>
    </row>
    <row r="282" spans="1:31" x14ac:dyDescent="0.2">
      <c r="A282" t="s">
        <v>564</v>
      </c>
      <c r="B282" s="2">
        <v>25</v>
      </c>
      <c r="C282" t="s">
        <v>135</v>
      </c>
      <c r="D282" s="2" t="s">
        <v>49</v>
      </c>
      <c r="E282" s="2">
        <v>1</v>
      </c>
      <c r="F282" s="2">
        <v>0</v>
      </c>
      <c r="G282" s="2">
        <v>6</v>
      </c>
      <c r="H282" s="2">
        <v>0</v>
      </c>
      <c r="I282" s="2">
        <v>0</v>
      </c>
      <c r="J282" s="2"/>
      <c r="K282" s="2">
        <v>0</v>
      </c>
      <c r="L282" s="2">
        <v>0</v>
      </c>
      <c r="M282" s="2"/>
      <c r="N282" s="2">
        <v>0</v>
      </c>
      <c r="O282" s="2">
        <v>0</v>
      </c>
      <c r="P282" s="2"/>
      <c r="Q282" s="2"/>
      <c r="R282" s="2">
        <v>0</v>
      </c>
      <c r="S282" s="2">
        <v>0</v>
      </c>
      <c r="T282" s="2"/>
      <c r="U282" s="2">
        <v>0</v>
      </c>
      <c r="V282" s="2">
        <v>1</v>
      </c>
      <c r="W282" s="2">
        <v>1</v>
      </c>
      <c r="X282" s="2">
        <v>0</v>
      </c>
      <c r="Y282" s="2">
        <v>0</v>
      </c>
      <c r="Z282" s="2">
        <v>0</v>
      </c>
      <c r="AA282" s="2">
        <v>0</v>
      </c>
      <c r="AB282" s="2">
        <v>1</v>
      </c>
      <c r="AC282" s="2">
        <v>0</v>
      </c>
      <c r="AD282" s="2">
        <v>0</v>
      </c>
      <c r="AE282" s="18" t="e">
        <f t="shared" si="4"/>
        <v>#DIV/0!</v>
      </c>
    </row>
    <row r="283" spans="1:31" x14ac:dyDescent="0.2">
      <c r="A283" t="s">
        <v>293</v>
      </c>
      <c r="B283" s="2">
        <v>30</v>
      </c>
      <c r="C283" t="s">
        <v>54</v>
      </c>
      <c r="D283" s="2" t="s">
        <v>42</v>
      </c>
      <c r="E283" s="2">
        <v>16</v>
      </c>
      <c r="F283" s="2">
        <v>16</v>
      </c>
      <c r="G283" s="2">
        <v>385</v>
      </c>
      <c r="H283" s="2">
        <v>47</v>
      </c>
      <c r="I283" s="2">
        <v>112</v>
      </c>
      <c r="J283" s="2">
        <v>0.42</v>
      </c>
      <c r="K283" s="2">
        <v>14</v>
      </c>
      <c r="L283" s="2">
        <v>47</v>
      </c>
      <c r="M283" s="2">
        <v>0.29799999999999999</v>
      </c>
      <c r="N283" s="2">
        <v>33</v>
      </c>
      <c r="O283" s="2">
        <v>65</v>
      </c>
      <c r="P283" s="2">
        <v>0.50800000000000001</v>
      </c>
      <c r="Q283" s="2">
        <v>0.48199999999999998</v>
      </c>
      <c r="R283" s="2">
        <v>35</v>
      </c>
      <c r="S283" s="2">
        <v>52</v>
      </c>
      <c r="T283" s="2">
        <v>0.67300000000000004</v>
      </c>
      <c r="U283" s="2">
        <v>29</v>
      </c>
      <c r="V283" s="2">
        <v>130</v>
      </c>
      <c r="W283" s="2">
        <v>159</v>
      </c>
      <c r="X283" s="2">
        <v>21</v>
      </c>
      <c r="Y283" s="2">
        <v>15</v>
      </c>
      <c r="Z283" s="2">
        <v>10</v>
      </c>
      <c r="AA283" s="2">
        <v>37</v>
      </c>
      <c r="AB283" s="2">
        <v>47</v>
      </c>
      <c r="AC283" s="2">
        <v>143</v>
      </c>
      <c r="AD283" s="2">
        <v>0</v>
      </c>
      <c r="AE283" s="18">
        <f t="shared" si="4"/>
        <v>0.56756756756756754</v>
      </c>
    </row>
    <row r="284" spans="1:31" x14ac:dyDescent="0.2">
      <c r="A284" t="s">
        <v>423</v>
      </c>
      <c r="B284" s="2">
        <v>24</v>
      </c>
      <c r="C284" t="s">
        <v>77</v>
      </c>
      <c r="D284" s="2" t="s">
        <v>42</v>
      </c>
      <c r="E284" s="2">
        <v>16</v>
      </c>
      <c r="F284" s="2">
        <v>0</v>
      </c>
      <c r="G284" s="2">
        <v>139</v>
      </c>
      <c r="H284" s="2">
        <v>15</v>
      </c>
      <c r="I284" s="2">
        <v>20</v>
      </c>
      <c r="J284" s="2">
        <v>0.75</v>
      </c>
      <c r="K284" s="2">
        <v>0</v>
      </c>
      <c r="L284" s="2">
        <v>0</v>
      </c>
      <c r="M284" s="2"/>
      <c r="N284" s="2">
        <v>15</v>
      </c>
      <c r="O284" s="2">
        <v>20</v>
      </c>
      <c r="P284" s="2">
        <v>0.75</v>
      </c>
      <c r="Q284" s="2">
        <v>0.75</v>
      </c>
      <c r="R284" s="2">
        <v>7</v>
      </c>
      <c r="S284" s="2">
        <v>10</v>
      </c>
      <c r="T284" s="2">
        <v>0.7</v>
      </c>
      <c r="U284" s="2">
        <v>11</v>
      </c>
      <c r="V284" s="2">
        <v>20</v>
      </c>
      <c r="W284" s="2">
        <v>31</v>
      </c>
      <c r="X284" s="2">
        <v>6</v>
      </c>
      <c r="Y284" s="2">
        <v>4</v>
      </c>
      <c r="Z284" s="2">
        <v>9</v>
      </c>
      <c r="AA284" s="2">
        <v>7</v>
      </c>
      <c r="AB284" s="2">
        <v>17</v>
      </c>
      <c r="AC284" s="2">
        <v>37</v>
      </c>
      <c r="AD284" s="2">
        <v>0</v>
      </c>
      <c r="AE284" s="18">
        <f t="shared" si="4"/>
        <v>0.8571428571428571</v>
      </c>
    </row>
    <row r="285" spans="1:31" x14ac:dyDescent="0.2">
      <c r="A285" t="s">
        <v>55</v>
      </c>
      <c r="B285" s="2">
        <v>29</v>
      </c>
      <c r="C285" t="s">
        <v>44</v>
      </c>
      <c r="D285" s="2" t="s">
        <v>42</v>
      </c>
      <c r="E285" s="2">
        <v>23</v>
      </c>
      <c r="F285" s="2">
        <v>23</v>
      </c>
      <c r="G285" s="2">
        <v>781</v>
      </c>
      <c r="H285" s="2">
        <v>203</v>
      </c>
      <c r="I285" s="2">
        <v>384</v>
      </c>
      <c r="J285" s="2">
        <v>0.52900000000000003</v>
      </c>
      <c r="K285" s="2">
        <v>53</v>
      </c>
      <c r="L285" s="2">
        <v>120</v>
      </c>
      <c r="M285" s="2">
        <v>0.442</v>
      </c>
      <c r="N285" s="2">
        <v>150</v>
      </c>
      <c r="O285" s="2">
        <v>264</v>
      </c>
      <c r="P285" s="2">
        <v>0.56799999999999995</v>
      </c>
      <c r="Q285" s="2">
        <v>0.59799999999999998</v>
      </c>
      <c r="R285" s="2">
        <v>113</v>
      </c>
      <c r="S285" s="2">
        <v>135</v>
      </c>
      <c r="T285" s="2">
        <v>0.83699999999999997</v>
      </c>
      <c r="U285" s="2">
        <v>67</v>
      </c>
      <c r="V285" s="4">
        <v>245</v>
      </c>
      <c r="W285" s="2">
        <v>312</v>
      </c>
      <c r="X285" s="2">
        <v>74</v>
      </c>
      <c r="Y285" s="2">
        <v>21</v>
      </c>
      <c r="Z285" s="2">
        <v>24</v>
      </c>
      <c r="AA285" s="2">
        <v>55</v>
      </c>
      <c r="AB285" s="2">
        <v>79</v>
      </c>
      <c r="AC285" s="2">
        <v>572</v>
      </c>
      <c r="AD285" s="2">
        <v>0</v>
      </c>
      <c r="AE285" s="18">
        <f t="shared" si="4"/>
        <v>1.3454545454545455</v>
      </c>
    </row>
    <row r="286" spans="1:31" x14ac:dyDescent="0.2">
      <c r="A286" t="s">
        <v>530</v>
      </c>
      <c r="B286" s="2">
        <v>23</v>
      </c>
      <c r="C286" t="s">
        <v>117</v>
      </c>
      <c r="D286" s="2" t="s">
        <v>27</v>
      </c>
      <c r="E286" s="2">
        <v>5</v>
      </c>
      <c r="F286" s="2">
        <v>0</v>
      </c>
      <c r="G286" s="2">
        <v>39</v>
      </c>
      <c r="H286" s="2">
        <v>2</v>
      </c>
      <c r="I286" s="2">
        <v>5</v>
      </c>
      <c r="J286" s="2">
        <v>0.4</v>
      </c>
      <c r="K286" s="2">
        <v>0</v>
      </c>
      <c r="L286" s="2">
        <v>0</v>
      </c>
      <c r="M286" s="2"/>
      <c r="N286" s="2">
        <v>2</v>
      </c>
      <c r="O286" s="2">
        <v>5</v>
      </c>
      <c r="P286" s="2">
        <v>0.4</v>
      </c>
      <c r="Q286" s="2">
        <v>0.4</v>
      </c>
      <c r="R286" s="2">
        <v>0</v>
      </c>
      <c r="S286" s="2">
        <v>0</v>
      </c>
      <c r="T286" s="2"/>
      <c r="U286" s="2">
        <v>6</v>
      </c>
      <c r="V286" s="2">
        <v>4</v>
      </c>
      <c r="W286" s="2">
        <v>10</v>
      </c>
      <c r="X286" s="2">
        <v>0</v>
      </c>
      <c r="Y286" s="2">
        <v>3</v>
      </c>
      <c r="Z286" s="2">
        <v>3</v>
      </c>
      <c r="AA286" s="2">
        <v>4</v>
      </c>
      <c r="AB286" s="2">
        <v>4</v>
      </c>
      <c r="AC286" s="2">
        <v>4</v>
      </c>
      <c r="AD286" s="2">
        <v>0</v>
      </c>
      <c r="AE286" s="18">
        <f t="shared" si="4"/>
        <v>0</v>
      </c>
    </row>
    <row r="287" spans="1:31" x14ac:dyDescent="0.2">
      <c r="A287" t="s">
        <v>396</v>
      </c>
      <c r="B287" s="2">
        <v>25</v>
      </c>
      <c r="C287" t="s">
        <v>72</v>
      </c>
      <c r="D287" s="2" t="s">
        <v>33</v>
      </c>
      <c r="E287" s="2">
        <v>12</v>
      </c>
      <c r="F287" s="2">
        <v>1</v>
      </c>
      <c r="G287" s="2">
        <v>194</v>
      </c>
      <c r="H287" s="2">
        <v>22</v>
      </c>
      <c r="I287" s="2">
        <v>55</v>
      </c>
      <c r="J287" s="2">
        <v>0.4</v>
      </c>
      <c r="K287" s="2">
        <v>8</v>
      </c>
      <c r="L287" s="2">
        <v>26</v>
      </c>
      <c r="M287" s="2">
        <v>0.308</v>
      </c>
      <c r="N287" s="2">
        <v>14</v>
      </c>
      <c r="O287" s="2">
        <v>29</v>
      </c>
      <c r="P287" s="2">
        <v>0.48299999999999998</v>
      </c>
      <c r="Q287" s="2">
        <v>0.47299999999999998</v>
      </c>
      <c r="R287" s="2">
        <v>4</v>
      </c>
      <c r="S287" s="2">
        <v>4</v>
      </c>
      <c r="T287" s="2">
        <v>1</v>
      </c>
      <c r="U287" s="2">
        <v>2</v>
      </c>
      <c r="V287" s="2">
        <v>16</v>
      </c>
      <c r="W287" s="2">
        <v>18</v>
      </c>
      <c r="X287" s="2">
        <v>22</v>
      </c>
      <c r="Y287" s="2">
        <v>10</v>
      </c>
      <c r="Z287" s="2">
        <v>6</v>
      </c>
      <c r="AA287" s="2">
        <v>12</v>
      </c>
      <c r="AB287" s="2">
        <v>13</v>
      </c>
      <c r="AC287" s="2">
        <v>56</v>
      </c>
      <c r="AD287" s="2">
        <v>0</v>
      </c>
      <c r="AE287" s="18">
        <f t="shared" si="4"/>
        <v>1.8333333333333333</v>
      </c>
    </row>
    <row r="288" spans="1:31" x14ac:dyDescent="0.2">
      <c r="A288" t="s">
        <v>147</v>
      </c>
      <c r="B288" s="2">
        <v>24</v>
      </c>
      <c r="C288" t="s">
        <v>37</v>
      </c>
      <c r="D288" s="2" t="s">
        <v>27</v>
      </c>
      <c r="E288" s="2">
        <v>26</v>
      </c>
      <c r="F288" s="2">
        <v>26</v>
      </c>
      <c r="G288" s="2">
        <v>944</v>
      </c>
      <c r="H288" s="2">
        <v>126</v>
      </c>
      <c r="I288" s="2">
        <v>294</v>
      </c>
      <c r="J288" s="2">
        <v>0.42899999999999999</v>
      </c>
      <c r="K288" s="2">
        <v>43</v>
      </c>
      <c r="L288" s="2">
        <v>144</v>
      </c>
      <c r="M288" s="2">
        <v>0.29899999999999999</v>
      </c>
      <c r="N288" s="2">
        <v>83</v>
      </c>
      <c r="O288" s="2">
        <v>150</v>
      </c>
      <c r="P288" s="2">
        <v>0.55300000000000005</v>
      </c>
      <c r="Q288" s="2">
        <v>0.502</v>
      </c>
      <c r="R288" s="2">
        <v>27</v>
      </c>
      <c r="S288" s="2">
        <v>32</v>
      </c>
      <c r="T288" s="2">
        <v>0.84399999999999997</v>
      </c>
      <c r="U288" s="2">
        <v>63</v>
      </c>
      <c r="V288" s="2">
        <v>137</v>
      </c>
      <c r="W288" s="2">
        <v>200</v>
      </c>
      <c r="X288" s="2">
        <v>39</v>
      </c>
      <c r="Y288" s="2">
        <v>18</v>
      </c>
      <c r="Z288" s="2">
        <v>22</v>
      </c>
      <c r="AA288" s="2">
        <v>27</v>
      </c>
      <c r="AB288" s="2">
        <v>80</v>
      </c>
      <c r="AC288" s="2">
        <v>322</v>
      </c>
      <c r="AD288" s="2">
        <v>0</v>
      </c>
      <c r="AE288" s="18">
        <f t="shared" si="4"/>
        <v>1.4444444444444444</v>
      </c>
    </row>
    <row r="289" spans="1:31" x14ac:dyDescent="0.2">
      <c r="A289" t="s">
        <v>455</v>
      </c>
      <c r="B289" s="2">
        <v>20</v>
      </c>
      <c r="C289" t="s">
        <v>61</v>
      </c>
      <c r="D289" s="2" t="s">
        <v>42</v>
      </c>
      <c r="E289" s="2">
        <v>10</v>
      </c>
      <c r="F289" s="2">
        <v>0</v>
      </c>
      <c r="G289" s="2">
        <v>69</v>
      </c>
      <c r="H289" s="2">
        <v>10</v>
      </c>
      <c r="I289" s="2">
        <v>25</v>
      </c>
      <c r="J289" s="2">
        <v>0.4</v>
      </c>
      <c r="K289" s="2">
        <v>2</v>
      </c>
      <c r="L289" s="2">
        <v>7</v>
      </c>
      <c r="M289" s="2">
        <v>0.28599999999999998</v>
      </c>
      <c r="N289" s="2">
        <v>8</v>
      </c>
      <c r="O289" s="2">
        <v>18</v>
      </c>
      <c r="P289" s="2">
        <v>0.44400000000000001</v>
      </c>
      <c r="Q289" s="2">
        <v>0.44</v>
      </c>
      <c r="R289" s="2">
        <v>2</v>
      </c>
      <c r="S289" s="2">
        <v>2</v>
      </c>
      <c r="T289" s="2">
        <v>1</v>
      </c>
      <c r="U289" s="2">
        <v>2</v>
      </c>
      <c r="V289" s="2">
        <v>14</v>
      </c>
      <c r="W289" s="2">
        <v>16</v>
      </c>
      <c r="X289" s="2">
        <v>1</v>
      </c>
      <c r="Y289" s="2">
        <v>3</v>
      </c>
      <c r="Z289" s="2">
        <v>5</v>
      </c>
      <c r="AA289" s="2">
        <v>4</v>
      </c>
      <c r="AB289" s="2">
        <v>6</v>
      </c>
      <c r="AC289" s="2">
        <v>24</v>
      </c>
      <c r="AD289" s="2">
        <v>0</v>
      </c>
      <c r="AE289" s="18">
        <f t="shared" si="4"/>
        <v>0.25</v>
      </c>
    </row>
    <row r="290" spans="1:31" x14ac:dyDescent="0.2">
      <c r="A290" t="s">
        <v>164</v>
      </c>
      <c r="B290" s="2">
        <v>25</v>
      </c>
      <c r="C290" t="s">
        <v>93</v>
      </c>
      <c r="D290" s="2" t="s">
        <v>49</v>
      </c>
      <c r="E290" s="2">
        <v>23</v>
      </c>
      <c r="F290" s="2">
        <v>0</v>
      </c>
      <c r="G290" s="2">
        <v>583</v>
      </c>
      <c r="H290" s="2">
        <v>107</v>
      </c>
      <c r="I290" s="2">
        <v>239</v>
      </c>
      <c r="J290" s="2">
        <v>0.44800000000000001</v>
      </c>
      <c r="K290" s="2">
        <v>26</v>
      </c>
      <c r="L290" s="2">
        <v>91</v>
      </c>
      <c r="M290" s="2">
        <v>0.28599999999999998</v>
      </c>
      <c r="N290" s="2">
        <v>81</v>
      </c>
      <c r="O290" s="2">
        <v>148</v>
      </c>
      <c r="P290" s="2">
        <v>0.54700000000000004</v>
      </c>
      <c r="Q290" s="2">
        <v>0.502</v>
      </c>
      <c r="R290" s="2">
        <v>51</v>
      </c>
      <c r="S290" s="2">
        <v>67</v>
      </c>
      <c r="T290" s="2">
        <v>0.76100000000000001</v>
      </c>
      <c r="U290" s="2">
        <v>26</v>
      </c>
      <c r="V290" s="2">
        <v>97</v>
      </c>
      <c r="W290" s="2">
        <v>123</v>
      </c>
      <c r="X290" s="2">
        <v>37</v>
      </c>
      <c r="Y290" s="2">
        <v>18</v>
      </c>
      <c r="Z290" s="2">
        <v>5</v>
      </c>
      <c r="AA290" s="2">
        <v>18</v>
      </c>
      <c r="AB290" s="2">
        <v>41</v>
      </c>
      <c r="AC290" s="2">
        <v>291</v>
      </c>
      <c r="AD290" s="2">
        <v>0</v>
      </c>
      <c r="AE290" s="18">
        <f t="shared" si="4"/>
        <v>2.0555555555555554</v>
      </c>
    </row>
    <row r="291" spans="1:31" x14ac:dyDescent="0.2">
      <c r="A291" t="s">
        <v>472</v>
      </c>
      <c r="B291" s="2">
        <v>33</v>
      </c>
      <c r="C291" t="s">
        <v>66</v>
      </c>
      <c r="D291" s="2" t="s">
        <v>42</v>
      </c>
      <c r="E291" s="2">
        <v>3</v>
      </c>
      <c r="F291" s="2">
        <v>0</v>
      </c>
      <c r="G291" s="2">
        <v>41</v>
      </c>
      <c r="H291" s="2">
        <v>6</v>
      </c>
      <c r="I291" s="2">
        <v>17</v>
      </c>
      <c r="J291" s="2">
        <v>0.35299999999999998</v>
      </c>
      <c r="K291" s="2">
        <v>3</v>
      </c>
      <c r="L291" s="2">
        <v>7</v>
      </c>
      <c r="M291" s="2">
        <v>0.42899999999999999</v>
      </c>
      <c r="N291" s="2">
        <v>3</v>
      </c>
      <c r="O291" s="2">
        <v>10</v>
      </c>
      <c r="P291" s="2">
        <v>0.3</v>
      </c>
      <c r="Q291" s="2">
        <v>0.441</v>
      </c>
      <c r="R291" s="2">
        <v>4</v>
      </c>
      <c r="S291" s="2">
        <v>6</v>
      </c>
      <c r="T291" s="2">
        <v>0.66700000000000004</v>
      </c>
      <c r="U291" s="2">
        <v>4</v>
      </c>
      <c r="V291" s="2">
        <v>8</v>
      </c>
      <c r="W291" s="2">
        <v>12</v>
      </c>
      <c r="X291" s="2">
        <v>4</v>
      </c>
      <c r="Y291" s="2">
        <v>5</v>
      </c>
      <c r="Z291" s="2">
        <v>1</v>
      </c>
      <c r="AA291" s="2">
        <v>3</v>
      </c>
      <c r="AB291" s="2">
        <v>3</v>
      </c>
      <c r="AC291" s="2">
        <v>19</v>
      </c>
      <c r="AD291" s="2">
        <v>0</v>
      </c>
      <c r="AE291" s="18">
        <f t="shared" si="4"/>
        <v>1.3333333333333333</v>
      </c>
    </row>
    <row r="292" spans="1:31" x14ac:dyDescent="0.2">
      <c r="A292" t="s">
        <v>170</v>
      </c>
      <c r="B292" s="2">
        <v>29</v>
      </c>
      <c r="C292" t="s">
        <v>122</v>
      </c>
      <c r="D292" s="2" t="s">
        <v>49</v>
      </c>
      <c r="E292" s="2">
        <v>22</v>
      </c>
      <c r="F292" s="2">
        <v>19</v>
      </c>
      <c r="G292" s="2">
        <v>691</v>
      </c>
      <c r="H292" s="2">
        <v>108</v>
      </c>
      <c r="I292" s="2">
        <v>243</v>
      </c>
      <c r="J292" s="2">
        <v>0.44400000000000001</v>
      </c>
      <c r="K292" s="2">
        <v>31</v>
      </c>
      <c r="L292" s="2">
        <v>97</v>
      </c>
      <c r="M292" s="2">
        <v>0.32</v>
      </c>
      <c r="N292" s="2">
        <v>77</v>
      </c>
      <c r="O292" s="2">
        <v>146</v>
      </c>
      <c r="P292" s="2">
        <v>0.52700000000000002</v>
      </c>
      <c r="Q292" s="2">
        <v>0.50800000000000001</v>
      </c>
      <c r="R292" s="2">
        <v>36</v>
      </c>
      <c r="S292" s="2">
        <v>48</v>
      </c>
      <c r="T292" s="2">
        <v>0.75</v>
      </c>
      <c r="U292" s="2">
        <v>33</v>
      </c>
      <c r="V292" s="2">
        <v>84</v>
      </c>
      <c r="W292" s="2">
        <v>117</v>
      </c>
      <c r="X292" s="2">
        <v>30</v>
      </c>
      <c r="Y292" s="2">
        <v>28</v>
      </c>
      <c r="Z292" s="2">
        <v>11</v>
      </c>
      <c r="AA292" s="2">
        <v>29</v>
      </c>
      <c r="AB292" s="2">
        <v>68</v>
      </c>
      <c r="AC292" s="2">
        <v>283</v>
      </c>
      <c r="AD292" s="2">
        <v>0</v>
      </c>
      <c r="AE292" s="18">
        <f t="shared" si="4"/>
        <v>1.0344827586206897</v>
      </c>
    </row>
    <row r="293" spans="1:31" x14ac:dyDescent="0.2">
      <c r="A293" t="s">
        <v>364</v>
      </c>
      <c r="B293" s="2">
        <v>30</v>
      </c>
      <c r="C293" t="s">
        <v>32</v>
      </c>
      <c r="D293" s="2" t="s">
        <v>27</v>
      </c>
      <c r="E293" s="2">
        <v>14</v>
      </c>
      <c r="F293" s="2">
        <v>0</v>
      </c>
      <c r="G293" s="2">
        <v>185</v>
      </c>
      <c r="H293" s="2">
        <v>31</v>
      </c>
      <c r="I293" s="2">
        <v>56</v>
      </c>
      <c r="J293" s="2">
        <v>0.55400000000000005</v>
      </c>
      <c r="K293" s="2">
        <v>13</v>
      </c>
      <c r="L293" s="2">
        <v>31</v>
      </c>
      <c r="M293" s="2">
        <v>0.41899999999999998</v>
      </c>
      <c r="N293" s="2">
        <v>18</v>
      </c>
      <c r="O293" s="2">
        <v>25</v>
      </c>
      <c r="P293" s="2">
        <v>0.72</v>
      </c>
      <c r="Q293" s="2">
        <v>0.67</v>
      </c>
      <c r="R293" s="2">
        <v>6</v>
      </c>
      <c r="S293" s="2">
        <v>6</v>
      </c>
      <c r="T293" s="2">
        <v>1</v>
      </c>
      <c r="U293" s="2">
        <v>12</v>
      </c>
      <c r="V293" s="2">
        <v>30</v>
      </c>
      <c r="W293" s="2">
        <v>42</v>
      </c>
      <c r="X293" s="2">
        <v>13</v>
      </c>
      <c r="Y293" s="2">
        <v>9</v>
      </c>
      <c r="Z293" s="2">
        <v>4</v>
      </c>
      <c r="AA293" s="2">
        <v>2</v>
      </c>
      <c r="AB293" s="2">
        <v>22</v>
      </c>
      <c r="AC293" s="2">
        <v>81</v>
      </c>
      <c r="AD293" s="2">
        <v>0</v>
      </c>
      <c r="AE293" s="18">
        <f t="shared" si="4"/>
        <v>6.5</v>
      </c>
    </row>
    <row r="294" spans="1:31" x14ac:dyDescent="0.2">
      <c r="A294" t="s">
        <v>219</v>
      </c>
      <c r="B294" s="2">
        <v>31</v>
      </c>
      <c r="C294" t="s">
        <v>48</v>
      </c>
      <c r="D294" s="2" t="s">
        <v>52</v>
      </c>
      <c r="E294" s="2">
        <v>26</v>
      </c>
      <c r="F294" s="2">
        <v>26</v>
      </c>
      <c r="G294" s="2">
        <v>786</v>
      </c>
      <c r="H294" s="2">
        <v>74</v>
      </c>
      <c r="I294" s="2">
        <v>185</v>
      </c>
      <c r="J294" s="2">
        <v>0.4</v>
      </c>
      <c r="K294" s="2">
        <v>37</v>
      </c>
      <c r="L294" s="2">
        <v>124</v>
      </c>
      <c r="M294" s="2">
        <v>0.29799999999999999</v>
      </c>
      <c r="N294" s="2">
        <v>37</v>
      </c>
      <c r="O294" s="2">
        <v>61</v>
      </c>
      <c r="P294" s="2">
        <v>0.60699999999999998</v>
      </c>
      <c r="Q294" s="2">
        <v>0.5</v>
      </c>
      <c r="R294" s="2">
        <v>29</v>
      </c>
      <c r="S294" s="2">
        <v>33</v>
      </c>
      <c r="T294" s="2">
        <v>0.879</v>
      </c>
      <c r="U294" s="2">
        <v>9</v>
      </c>
      <c r="V294" s="2">
        <v>45</v>
      </c>
      <c r="W294" s="2">
        <v>54</v>
      </c>
      <c r="X294" s="2">
        <v>45</v>
      </c>
      <c r="Y294" s="2">
        <v>43</v>
      </c>
      <c r="Z294" s="2">
        <v>14</v>
      </c>
      <c r="AA294" s="2">
        <v>19</v>
      </c>
      <c r="AB294" s="2">
        <v>55</v>
      </c>
      <c r="AC294" s="2">
        <v>214</v>
      </c>
      <c r="AD294" s="2">
        <v>0</v>
      </c>
      <c r="AE294" s="18">
        <f t="shared" si="4"/>
        <v>2.3684210526315788</v>
      </c>
    </row>
    <row r="295" spans="1:31" x14ac:dyDescent="0.2">
      <c r="A295" t="s">
        <v>277</v>
      </c>
      <c r="B295" s="2">
        <v>25</v>
      </c>
      <c r="C295" t="s">
        <v>37</v>
      </c>
      <c r="D295" s="2" t="s">
        <v>52</v>
      </c>
      <c r="E295" s="2">
        <v>24</v>
      </c>
      <c r="F295" s="2">
        <v>4</v>
      </c>
      <c r="G295" s="2">
        <v>491</v>
      </c>
      <c r="H295" s="2">
        <v>49</v>
      </c>
      <c r="I295" s="2">
        <v>105</v>
      </c>
      <c r="J295" s="2">
        <v>0.46700000000000003</v>
      </c>
      <c r="K295" s="2">
        <v>32</v>
      </c>
      <c r="L295" s="2">
        <v>76</v>
      </c>
      <c r="M295" s="2">
        <v>0.42099999999999999</v>
      </c>
      <c r="N295" s="2">
        <v>17</v>
      </c>
      <c r="O295" s="2">
        <v>29</v>
      </c>
      <c r="P295" s="2">
        <v>0.58599999999999997</v>
      </c>
      <c r="Q295" s="2">
        <v>0.61899999999999999</v>
      </c>
      <c r="R295" s="2">
        <v>22</v>
      </c>
      <c r="S295" s="2">
        <v>27</v>
      </c>
      <c r="T295" s="2">
        <v>0.81499999999999995</v>
      </c>
      <c r="U295" s="2">
        <v>18</v>
      </c>
      <c r="V295" s="2">
        <v>32</v>
      </c>
      <c r="W295" s="2">
        <v>50</v>
      </c>
      <c r="X295" s="2">
        <v>27</v>
      </c>
      <c r="Y295" s="2">
        <v>29</v>
      </c>
      <c r="Z295" s="2">
        <v>19</v>
      </c>
      <c r="AA295" s="2">
        <v>20</v>
      </c>
      <c r="AB295" s="2">
        <v>48</v>
      </c>
      <c r="AC295" s="2">
        <v>152</v>
      </c>
      <c r="AD295" s="2">
        <v>0</v>
      </c>
      <c r="AE295" s="18">
        <f t="shared" si="4"/>
        <v>1.35</v>
      </c>
    </row>
    <row r="296" spans="1:31" x14ac:dyDescent="0.2">
      <c r="A296" t="s">
        <v>309</v>
      </c>
      <c r="B296" s="2">
        <v>22</v>
      </c>
      <c r="C296" t="s">
        <v>103</v>
      </c>
      <c r="D296" s="2" t="s">
        <v>52</v>
      </c>
      <c r="E296" s="2">
        <v>22</v>
      </c>
      <c r="F296" s="2">
        <v>3</v>
      </c>
      <c r="G296" s="2">
        <v>373</v>
      </c>
      <c r="H296" s="2">
        <v>46</v>
      </c>
      <c r="I296" s="2">
        <v>132</v>
      </c>
      <c r="J296" s="2">
        <v>0.34799999999999998</v>
      </c>
      <c r="K296" s="2">
        <v>25</v>
      </c>
      <c r="L296" s="2">
        <v>83</v>
      </c>
      <c r="M296" s="2">
        <v>0.30099999999999999</v>
      </c>
      <c r="N296" s="2">
        <v>21</v>
      </c>
      <c r="O296" s="2">
        <v>49</v>
      </c>
      <c r="P296" s="2">
        <v>0.42899999999999999</v>
      </c>
      <c r="Q296" s="2">
        <v>0.443</v>
      </c>
      <c r="R296" s="2">
        <v>8</v>
      </c>
      <c r="S296" s="2">
        <v>11</v>
      </c>
      <c r="T296" s="2">
        <v>0.72699999999999998</v>
      </c>
      <c r="U296" s="2">
        <v>13</v>
      </c>
      <c r="V296" s="2">
        <v>50</v>
      </c>
      <c r="W296" s="2">
        <v>63</v>
      </c>
      <c r="X296" s="2">
        <v>24</v>
      </c>
      <c r="Y296" s="2">
        <v>12</v>
      </c>
      <c r="Z296" s="2">
        <v>7</v>
      </c>
      <c r="AA296" s="2">
        <v>21</v>
      </c>
      <c r="AB296" s="2">
        <v>46</v>
      </c>
      <c r="AC296" s="2">
        <v>125</v>
      </c>
      <c r="AD296" s="2">
        <v>0</v>
      </c>
      <c r="AE296" s="18">
        <f t="shared" si="4"/>
        <v>1.1428571428571428</v>
      </c>
    </row>
    <row r="297" spans="1:31" x14ac:dyDescent="0.2">
      <c r="A297" t="s">
        <v>546</v>
      </c>
      <c r="B297" s="2">
        <v>23</v>
      </c>
      <c r="C297" t="s">
        <v>61</v>
      </c>
      <c r="D297" s="2" t="s">
        <v>49</v>
      </c>
      <c r="E297" s="2">
        <v>2</v>
      </c>
      <c r="F297" s="2">
        <v>0</v>
      </c>
      <c r="G297" s="2">
        <v>12</v>
      </c>
      <c r="H297" s="2">
        <v>1</v>
      </c>
      <c r="I297" s="2">
        <v>2</v>
      </c>
      <c r="J297" s="2">
        <v>0.5</v>
      </c>
      <c r="K297" s="2">
        <v>0</v>
      </c>
      <c r="L297" s="2">
        <v>1</v>
      </c>
      <c r="M297" s="2">
        <v>0</v>
      </c>
      <c r="N297" s="2">
        <v>1</v>
      </c>
      <c r="O297" s="2">
        <v>1</v>
      </c>
      <c r="P297" s="2">
        <v>1</v>
      </c>
      <c r="Q297" s="2">
        <v>0.5</v>
      </c>
      <c r="R297" s="2">
        <v>0</v>
      </c>
      <c r="S297" s="2">
        <v>0</v>
      </c>
      <c r="T297" s="2"/>
      <c r="U297" s="2">
        <v>0</v>
      </c>
      <c r="V297" s="2">
        <v>2</v>
      </c>
      <c r="W297" s="2">
        <v>2</v>
      </c>
      <c r="X297" s="2">
        <v>0</v>
      </c>
      <c r="Y297" s="2">
        <v>0</v>
      </c>
      <c r="Z297" s="2">
        <v>0</v>
      </c>
      <c r="AA297" s="2">
        <v>0</v>
      </c>
      <c r="AB297" s="2">
        <v>0</v>
      </c>
      <c r="AC297" s="2">
        <v>2</v>
      </c>
      <c r="AD297" s="2">
        <v>0</v>
      </c>
      <c r="AE297" s="18" t="e">
        <f t="shared" si="4"/>
        <v>#DIV/0!</v>
      </c>
    </row>
    <row r="298" spans="1:31" x14ac:dyDescent="0.2">
      <c r="A298" t="s">
        <v>557</v>
      </c>
      <c r="B298" s="2">
        <v>24</v>
      </c>
      <c r="C298" t="s">
        <v>63</v>
      </c>
      <c r="D298" s="2" t="s">
        <v>49</v>
      </c>
      <c r="E298" s="2">
        <v>5</v>
      </c>
      <c r="F298" s="2">
        <v>0</v>
      </c>
      <c r="G298" s="2">
        <v>10</v>
      </c>
      <c r="H298" s="2">
        <v>0</v>
      </c>
      <c r="I298" s="2">
        <v>2</v>
      </c>
      <c r="J298" s="2">
        <v>0</v>
      </c>
      <c r="K298" s="2">
        <v>0</v>
      </c>
      <c r="L298" s="2">
        <v>2</v>
      </c>
      <c r="M298" s="2">
        <v>0</v>
      </c>
      <c r="N298" s="2">
        <v>0</v>
      </c>
      <c r="O298" s="2">
        <v>0</v>
      </c>
      <c r="P298" s="2"/>
      <c r="Q298" s="2">
        <v>0</v>
      </c>
      <c r="R298" s="2">
        <v>0</v>
      </c>
      <c r="S298" s="2">
        <v>0</v>
      </c>
      <c r="T298" s="2"/>
      <c r="U298" s="2">
        <v>0</v>
      </c>
      <c r="V298" s="2">
        <v>0</v>
      </c>
      <c r="W298" s="2">
        <v>0</v>
      </c>
      <c r="X298" s="2">
        <v>0</v>
      </c>
      <c r="Y298" s="2">
        <v>0</v>
      </c>
      <c r="Z298" s="2">
        <v>0</v>
      </c>
      <c r="AA298" s="2">
        <v>1</v>
      </c>
      <c r="AB298" s="2">
        <v>2</v>
      </c>
      <c r="AC298" s="2">
        <v>0</v>
      </c>
      <c r="AD298" s="2">
        <v>0</v>
      </c>
      <c r="AE298" s="18">
        <f t="shared" si="4"/>
        <v>0</v>
      </c>
    </row>
    <row r="299" spans="1:31" x14ac:dyDescent="0.2">
      <c r="A299" t="s">
        <v>140</v>
      </c>
      <c r="B299" s="2">
        <v>36</v>
      </c>
      <c r="C299" t="s">
        <v>54</v>
      </c>
      <c r="D299" s="2" t="s">
        <v>27</v>
      </c>
      <c r="E299" s="2">
        <v>13</v>
      </c>
      <c r="F299" s="2">
        <v>13</v>
      </c>
      <c r="G299" s="2">
        <v>464</v>
      </c>
      <c r="H299" s="2">
        <v>120</v>
      </c>
      <c r="I299" s="2">
        <v>224</v>
      </c>
      <c r="J299" s="2">
        <v>0.53600000000000003</v>
      </c>
      <c r="K299" s="2">
        <v>35</v>
      </c>
      <c r="L299" s="2">
        <v>78</v>
      </c>
      <c r="M299" s="2">
        <v>0.44900000000000001</v>
      </c>
      <c r="N299" s="2">
        <v>85</v>
      </c>
      <c r="O299" s="2">
        <v>146</v>
      </c>
      <c r="P299" s="2">
        <v>0.58199999999999996</v>
      </c>
      <c r="Q299" s="2">
        <v>0.61399999999999999</v>
      </c>
      <c r="R299" s="2">
        <v>60</v>
      </c>
      <c r="S299" s="2">
        <v>75</v>
      </c>
      <c r="T299" s="2">
        <v>0.8</v>
      </c>
      <c r="U299" s="2">
        <v>3</v>
      </c>
      <c r="V299" s="2">
        <v>84</v>
      </c>
      <c r="W299" s="2">
        <v>87</v>
      </c>
      <c r="X299" s="2">
        <v>40</v>
      </c>
      <c r="Y299" s="2">
        <v>7</v>
      </c>
      <c r="Z299" s="2">
        <v>19</v>
      </c>
      <c r="AA299" s="2">
        <v>43</v>
      </c>
      <c r="AB299" s="2">
        <v>22</v>
      </c>
      <c r="AC299" s="2">
        <v>335</v>
      </c>
      <c r="AD299" s="2">
        <v>0</v>
      </c>
      <c r="AE299" s="18">
        <f t="shared" si="4"/>
        <v>0.93023255813953487</v>
      </c>
    </row>
    <row r="300" spans="1:31" x14ac:dyDescent="0.2">
      <c r="A300" t="s">
        <v>208</v>
      </c>
      <c r="B300" s="2">
        <v>26</v>
      </c>
      <c r="C300" t="s">
        <v>37</v>
      </c>
      <c r="D300" s="2" t="s">
        <v>52</v>
      </c>
      <c r="E300" s="2">
        <v>23</v>
      </c>
      <c r="F300" s="2">
        <v>15</v>
      </c>
      <c r="G300" s="2">
        <v>589</v>
      </c>
      <c r="H300" s="2">
        <v>87</v>
      </c>
      <c r="I300" s="2">
        <v>202</v>
      </c>
      <c r="J300" s="2">
        <v>0.43099999999999999</v>
      </c>
      <c r="K300" s="2">
        <v>42</v>
      </c>
      <c r="L300" s="2">
        <v>135</v>
      </c>
      <c r="M300" s="2">
        <v>0.311</v>
      </c>
      <c r="N300" s="2">
        <v>45</v>
      </c>
      <c r="O300" s="2">
        <v>67</v>
      </c>
      <c r="P300" s="2">
        <v>0.67200000000000004</v>
      </c>
      <c r="Q300" s="2">
        <v>0.53500000000000003</v>
      </c>
      <c r="R300" s="2">
        <v>12</v>
      </c>
      <c r="S300" s="2">
        <v>17</v>
      </c>
      <c r="T300" s="2">
        <v>0.70599999999999996</v>
      </c>
      <c r="U300" s="2">
        <v>9</v>
      </c>
      <c r="V300" s="2">
        <v>71</v>
      </c>
      <c r="W300" s="2">
        <v>80</v>
      </c>
      <c r="X300" s="2">
        <v>47</v>
      </c>
      <c r="Y300" s="2">
        <v>25</v>
      </c>
      <c r="Z300" s="2">
        <v>12</v>
      </c>
      <c r="AA300" s="2">
        <v>22</v>
      </c>
      <c r="AB300" s="2">
        <v>53</v>
      </c>
      <c r="AC300" s="2">
        <v>228</v>
      </c>
      <c r="AD300" s="2">
        <v>0</v>
      </c>
      <c r="AE300" s="18">
        <f t="shared" si="4"/>
        <v>2.1363636363636362</v>
      </c>
    </row>
    <row r="301" spans="1:31" x14ac:dyDescent="0.2">
      <c r="A301" t="s">
        <v>358</v>
      </c>
      <c r="B301" s="2">
        <v>36</v>
      </c>
      <c r="C301" t="s">
        <v>61</v>
      </c>
      <c r="D301" s="2" t="s">
        <v>27</v>
      </c>
      <c r="E301" s="2">
        <v>13</v>
      </c>
      <c r="F301" s="2">
        <v>4</v>
      </c>
      <c r="G301" s="2">
        <v>153</v>
      </c>
      <c r="H301" s="2">
        <v>29</v>
      </c>
      <c r="I301" s="2">
        <v>79</v>
      </c>
      <c r="J301" s="2">
        <v>0.36699999999999999</v>
      </c>
      <c r="K301" s="2">
        <v>18</v>
      </c>
      <c r="L301" s="2">
        <v>47</v>
      </c>
      <c r="M301" s="2">
        <v>0.38300000000000001</v>
      </c>
      <c r="N301" s="2">
        <v>11</v>
      </c>
      <c r="O301" s="2">
        <v>32</v>
      </c>
      <c r="P301" s="2">
        <v>0.34399999999999997</v>
      </c>
      <c r="Q301" s="2">
        <v>0.48099999999999998</v>
      </c>
      <c r="R301" s="2">
        <v>10</v>
      </c>
      <c r="S301" s="2">
        <v>15</v>
      </c>
      <c r="T301" s="2">
        <v>0.66700000000000004</v>
      </c>
      <c r="U301" s="2">
        <v>14</v>
      </c>
      <c r="V301" s="2">
        <v>47</v>
      </c>
      <c r="W301" s="2">
        <v>61</v>
      </c>
      <c r="X301" s="2">
        <v>17</v>
      </c>
      <c r="Y301" s="2">
        <v>13</v>
      </c>
      <c r="Z301" s="2">
        <v>2</v>
      </c>
      <c r="AA301" s="2">
        <v>9</v>
      </c>
      <c r="AB301" s="2">
        <v>11</v>
      </c>
      <c r="AC301" s="2">
        <v>86</v>
      </c>
      <c r="AD301" s="2">
        <v>0</v>
      </c>
      <c r="AE301" s="18">
        <f t="shared" si="4"/>
        <v>1.8888888888888888</v>
      </c>
    </row>
    <row r="302" spans="1:31" x14ac:dyDescent="0.2">
      <c r="A302" t="s">
        <v>227</v>
      </c>
      <c r="B302" s="2">
        <v>24</v>
      </c>
      <c r="C302" t="s">
        <v>77</v>
      </c>
      <c r="D302" s="2" t="s">
        <v>52</v>
      </c>
      <c r="E302" s="2">
        <v>22</v>
      </c>
      <c r="F302" s="2">
        <v>1</v>
      </c>
      <c r="G302" s="2">
        <v>429</v>
      </c>
      <c r="H302" s="2">
        <v>85</v>
      </c>
      <c r="I302" s="2">
        <v>204</v>
      </c>
      <c r="J302" s="2">
        <v>0.41699999999999998</v>
      </c>
      <c r="K302" s="2">
        <v>11</v>
      </c>
      <c r="L302" s="2">
        <v>54</v>
      </c>
      <c r="M302" s="2">
        <v>0.20399999999999999</v>
      </c>
      <c r="N302" s="2">
        <v>74</v>
      </c>
      <c r="O302" s="2">
        <v>150</v>
      </c>
      <c r="P302" s="2">
        <v>0.49299999999999999</v>
      </c>
      <c r="Q302" s="2">
        <v>0.44400000000000001</v>
      </c>
      <c r="R302" s="2">
        <v>23</v>
      </c>
      <c r="S302" s="2">
        <v>37</v>
      </c>
      <c r="T302" s="2">
        <v>0.622</v>
      </c>
      <c r="U302" s="2">
        <v>14</v>
      </c>
      <c r="V302" s="2">
        <v>62</v>
      </c>
      <c r="W302" s="2">
        <v>76</v>
      </c>
      <c r="X302" s="2">
        <v>64</v>
      </c>
      <c r="Y302" s="2">
        <v>20</v>
      </c>
      <c r="Z302" s="2">
        <v>7</v>
      </c>
      <c r="AA302" s="2">
        <v>50</v>
      </c>
      <c r="AB302" s="2">
        <v>31</v>
      </c>
      <c r="AC302" s="2">
        <v>204</v>
      </c>
      <c r="AD302" s="2">
        <v>0</v>
      </c>
      <c r="AE302" s="18">
        <f t="shared" si="4"/>
        <v>1.28</v>
      </c>
    </row>
    <row r="303" spans="1:31" x14ac:dyDescent="0.2">
      <c r="A303" t="s">
        <v>315</v>
      </c>
      <c r="B303" s="2">
        <v>28</v>
      </c>
      <c r="C303" t="s">
        <v>100</v>
      </c>
      <c r="D303" s="2" t="s">
        <v>42</v>
      </c>
      <c r="E303" s="2">
        <v>22</v>
      </c>
      <c r="F303" s="2">
        <v>3</v>
      </c>
      <c r="G303" s="2">
        <v>360</v>
      </c>
      <c r="H303" s="2">
        <v>51</v>
      </c>
      <c r="I303" s="2">
        <v>96</v>
      </c>
      <c r="J303" s="2">
        <v>0.53100000000000003</v>
      </c>
      <c r="K303" s="2">
        <v>0</v>
      </c>
      <c r="L303" s="2">
        <v>0</v>
      </c>
      <c r="M303" s="2"/>
      <c r="N303" s="2">
        <v>51</v>
      </c>
      <c r="O303" s="2">
        <v>96</v>
      </c>
      <c r="P303" s="2">
        <v>0.53100000000000003</v>
      </c>
      <c r="Q303" s="2">
        <v>0.53100000000000003</v>
      </c>
      <c r="R303" s="2">
        <v>17</v>
      </c>
      <c r="S303" s="2">
        <v>37</v>
      </c>
      <c r="T303" s="2">
        <v>0.45900000000000002</v>
      </c>
      <c r="U303" s="2">
        <v>78</v>
      </c>
      <c r="V303" s="2">
        <v>95</v>
      </c>
      <c r="W303" s="2">
        <v>173</v>
      </c>
      <c r="X303" s="2">
        <v>37</v>
      </c>
      <c r="Y303" s="2">
        <v>18</v>
      </c>
      <c r="Z303" s="2">
        <v>6</v>
      </c>
      <c r="AA303" s="2">
        <v>15</v>
      </c>
      <c r="AB303" s="2">
        <v>55</v>
      </c>
      <c r="AC303" s="2">
        <v>119</v>
      </c>
      <c r="AD303" s="2">
        <v>0</v>
      </c>
      <c r="AE303" s="18">
        <f t="shared" si="4"/>
        <v>2.4666666666666668</v>
      </c>
    </row>
    <row r="304" spans="1:31" x14ac:dyDescent="0.2">
      <c r="A304" t="s">
        <v>130</v>
      </c>
      <c r="B304" s="2">
        <v>21</v>
      </c>
      <c r="C304" t="s">
        <v>120</v>
      </c>
      <c r="D304" s="2" t="s">
        <v>33</v>
      </c>
      <c r="E304" s="2">
        <v>22</v>
      </c>
      <c r="F304" s="2">
        <v>22</v>
      </c>
      <c r="G304" s="2">
        <v>694</v>
      </c>
      <c r="H304" s="2">
        <v>119</v>
      </c>
      <c r="I304" s="2">
        <v>302</v>
      </c>
      <c r="J304" s="2">
        <v>0.39400000000000002</v>
      </c>
      <c r="K304" s="2">
        <v>57</v>
      </c>
      <c r="L304" s="2">
        <v>170</v>
      </c>
      <c r="M304" s="2">
        <v>0.33500000000000002</v>
      </c>
      <c r="N304" s="2">
        <v>62</v>
      </c>
      <c r="O304" s="2">
        <v>132</v>
      </c>
      <c r="P304" s="2">
        <v>0.47</v>
      </c>
      <c r="Q304" s="2">
        <v>0.48799999999999999</v>
      </c>
      <c r="R304" s="2">
        <v>55</v>
      </c>
      <c r="S304" s="2">
        <v>67</v>
      </c>
      <c r="T304" s="2">
        <v>0.82099999999999995</v>
      </c>
      <c r="U304" s="2">
        <v>12</v>
      </c>
      <c r="V304" s="2">
        <v>59</v>
      </c>
      <c r="W304" s="2">
        <v>71</v>
      </c>
      <c r="X304" s="2">
        <v>124</v>
      </c>
      <c r="Y304" s="2">
        <v>17</v>
      </c>
      <c r="Z304" s="2">
        <v>2</v>
      </c>
      <c r="AA304" s="2">
        <v>72</v>
      </c>
      <c r="AB304" s="2">
        <v>40</v>
      </c>
      <c r="AC304" s="2">
        <v>350</v>
      </c>
      <c r="AD304" s="2">
        <v>0</v>
      </c>
      <c r="AE304" s="18">
        <f t="shared" si="4"/>
        <v>1.7222222222222223</v>
      </c>
    </row>
    <row r="305" spans="1:31" x14ac:dyDescent="0.2">
      <c r="A305" t="s">
        <v>459</v>
      </c>
      <c r="B305" s="2">
        <v>33</v>
      </c>
      <c r="C305" t="s">
        <v>35</v>
      </c>
      <c r="D305" s="2" t="s">
        <v>49</v>
      </c>
      <c r="E305" s="2">
        <v>3</v>
      </c>
      <c r="F305" s="2">
        <v>0</v>
      </c>
      <c r="G305" s="2">
        <v>63</v>
      </c>
      <c r="H305" s="2">
        <v>5</v>
      </c>
      <c r="I305" s="2">
        <v>20</v>
      </c>
      <c r="J305" s="2">
        <v>0.25</v>
      </c>
      <c r="K305" s="2">
        <v>2</v>
      </c>
      <c r="L305" s="2">
        <v>7</v>
      </c>
      <c r="M305" s="2">
        <v>0.28599999999999998</v>
      </c>
      <c r="N305" s="2">
        <v>3</v>
      </c>
      <c r="O305" s="2">
        <v>13</v>
      </c>
      <c r="P305" s="2">
        <v>0.23100000000000001</v>
      </c>
      <c r="Q305" s="2">
        <v>0.3</v>
      </c>
      <c r="R305" s="2">
        <v>10</v>
      </c>
      <c r="S305" s="2">
        <v>10</v>
      </c>
      <c r="T305" s="2">
        <v>1</v>
      </c>
      <c r="U305" s="2">
        <v>0</v>
      </c>
      <c r="V305" s="2">
        <v>9</v>
      </c>
      <c r="W305" s="2">
        <v>9</v>
      </c>
      <c r="X305" s="2">
        <v>19</v>
      </c>
      <c r="Y305" s="2">
        <v>5</v>
      </c>
      <c r="Z305" s="2">
        <v>1</v>
      </c>
      <c r="AA305" s="2">
        <v>3</v>
      </c>
      <c r="AB305" s="2">
        <v>7</v>
      </c>
      <c r="AC305" s="2">
        <v>22</v>
      </c>
      <c r="AD305" s="2">
        <v>0</v>
      </c>
      <c r="AE305" s="18">
        <f t="shared" si="4"/>
        <v>6.333333333333333</v>
      </c>
    </row>
    <row r="306" spans="1:31" x14ac:dyDescent="0.2">
      <c r="A306" t="s">
        <v>306</v>
      </c>
      <c r="B306" s="2">
        <v>24</v>
      </c>
      <c r="C306" t="s">
        <v>122</v>
      </c>
      <c r="D306" s="2" t="s">
        <v>27</v>
      </c>
      <c r="E306" s="2">
        <v>19</v>
      </c>
      <c r="F306" s="2">
        <v>3</v>
      </c>
      <c r="G306" s="2">
        <v>359</v>
      </c>
      <c r="H306" s="2">
        <v>49</v>
      </c>
      <c r="I306" s="2">
        <v>76</v>
      </c>
      <c r="J306" s="2">
        <v>0.64500000000000002</v>
      </c>
      <c r="K306" s="2">
        <v>5</v>
      </c>
      <c r="L306" s="2">
        <v>14</v>
      </c>
      <c r="M306" s="2">
        <v>0.35699999999999998</v>
      </c>
      <c r="N306" s="2">
        <v>44</v>
      </c>
      <c r="O306" s="2">
        <v>62</v>
      </c>
      <c r="P306" s="2">
        <v>0.71</v>
      </c>
      <c r="Q306" s="2">
        <v>0.67800000000000005</v>
      </c>
      <c r="R306" s="2">
        <v>23</v>
      </c>
      <c r="S306" s="2">
        <v>27</v>
      </c>
      <c r="T306" s="2">
        <v>0.85199999999999998</v>
      </c>
      <c r="U306" s="2">
        <v>17</v>
      </c>
      <c r="V306" s="2">
        <v>34</v>
      </c>
      <c r="W306" s="2">
        <v>51</v>
      </c>
      <c r="X306" s="2">
        <v>17</v>
      </c>
      <c r="Y306" s="2">
        <v>7</v>
      </c>
      <c r="Z306" s="2">
        <v>14</v>
      </c>
      <c r="AA306" s="2">
        <v>7</v>
      </c>
      <c r="AB306" s="2">
        <v>46</v>
      </c>
      <c r="AC306" s="2">
        <v>126</v>
      </c>
      <c r="AD306" s="2">
        <v>0</v>
      </c>
      <c r="AE306" s="18">
        <f t="shared" si="4"/>
        <v>2.4285714285714284</v>
      </c>
    </row>
    <row r="307" spans="1:31" x14ac:dyDescent="0.2">
      <c r="A307" t="s">
        <v>427</v>
      </c>
      <c r="B307" s="2">
        <v>22</v>
      </c>
      <c r="C307" t="s">
        <v>59</v>
      </c>
      <c r="D307" s="2" t="s">
        <v>33</v>
      </c>
      <c r="E307" s="2">
        <v>8</v>
      </c>
      <c r="F307" s="2">
        <v>0</v>
      </c>
      <c r="G307" s="2">
        <v>116</v>
      </c>
      <c r="H307" s="2">
        <v>12</v>
      </c>
      <c r="I307" s="2">
        <v>39</v>
      </c>
      <c r="J307" s="2">
        <v>0.308</v>
      </c>
      <c r="K307" s="2">
        <v>3</v>
      </c>
      <c r="L307" s="2">
        <v>19</v>
      </c>
      <c r="M307" s="2">
        <v>0.158</v>
      </c>
      <c r="N307" s="2">
        <v>9</v>
      </c>
      <c r="O307" s="2">
        <v>20</v>
      </c>
      <c r="P307" s="2">
        <v>0.45</v>
      </c>
      <c r="Q307" s="2">
        <v>0.34599999999999997</v>
      </c>
      <c r="R307" s="2">
        <v>8</v>
      </c>
      <c r="S307" s="2">
        <v>10</v>
      </c>
      <c r="T307" s="2">
        <v>0.8</v>
      </c>
      <c r="U307" s="2">
        <v>9</v>
      </c>
      <c r="V307" s="2">
        <v>6</v>
      </c>
      <c r="W307" s="2">
        <v>15</v>
      </c>
      <c r="X307" s="2">
        <v>17</v>
      </c>
      <c r="Y307" s="2">
        <v>5</v>
      </c>
      <c r="Z307" s="2">
        <v>1</v>
      </c>
      <c r="AA307" s="2">
        <v>9</v>
      </c>
      <c r="AB307" s="2">
        <v>12</v>
      </c>
      <c r="AC307" s="2">
        <v>35</v>
      </c>
      <c r="AD307" s="2">
        <v>0</v>
      </c>
      <c r="AE307" s="18">
        <f t="shared" si="4"/>
        <v>1.8888888888888888</v>
      </c>
    </row>
    <row r="308" spans="1:31" x14ac:dyDescent="0.2">
      <c r="A308" t="s">
        <v>173</v>
      </c>
      <c r="B308" s="2">
        <v>34</v>
      </c>
      <c r="C308" t="s">
        <v>63</v>
      </c>
      <c r="D308" s="2" t="s">
        <v>49</v>
      </c>
      <c r="E308" s="2">
        <v>21</v>
      </c>
      <c r="F308" s="2">
        <v>21</v>
      </c>
      <c r="G308" s="2">
        <v>579</v>
      </c>
      <c r="H308" s="2">
        <v>100</v>
      </c>
      <c r="I308" s="2">
        <v>253</v>
      </c>
      <c r="J308" s="2">
        <v>0.39500000000000002</v>
      </c>
      <c r="K308" s="2">
        <v>61</v>
      </c>
      <c r="L308" s="2">
        <v>163</v>
      </c>
      <c r="M308" s="2">
        <v>0.374</v>
      </c>
      <c r="N308" s="2">
        <v>39</v>
      </c>
      <c r="O308" s="2">
        <v>90</v>
      </c>
      <c r="P308" s="2">
        <v>0.433</v>
      </c>
      <c r="Q308" s="2">
        <v>0.51600000000000001</v>
      </c>
      <c r="R308" s="2">
        <v>18</v>
      </c>
      <c r="S308" s="2">
        <v>20</v>
      </c>
      <c r="T308" s="2">
        <v>0.9</v>
      </c>
      <c r="U308" s="2">
        <v>16</v>
      </c>
      <c r="V308" s="2">
        <v>58</v>
      </c>
      <c r="W308" s="2">
        <v>74</v>
      </c>
      <c r="X308" s="2">
        <v>36</v>
      </c>
      <c r="Y308" s="2">
        <v>13</v>
      </c>
      <c r="Z308" s="2">
        <v>7</v>
      </c>
      <c r="AA308" s="2">
        <v>22</v>
      </c>
      <c r="AB308" s="2">
        <v>27</v>
      </c>
      <c r="AC308" s="2">
        <v>279</v>
      </c>
      <c r="AD308" s="2">
        <v>0</v>
      </c>
      <c r="AE308" s="18">
        <f t="shared" si="4"/>
        <v>1.6363636363636365</v>
      </c>
    </row>
    <row r="309" spans="1:31" x14ac:dyDescent="0.2">
      <c r="A309" t="s">
        <v>464</v>
      </c>
      <c r="B309" s="2">
        <v>25</v>
      </c>
      <c r="C309" t="s">
        <v>77</v>
      </c>
      <c r="D309" s="2" t="s">
        <v>27</v>
      </c>
      <c r="E309" s="2">
        <v>7</v>
      </c>
      <c r="F309" s="2">
        <v>0</v>
      </c>
      <c r="G309" s="2">
        <v>47</v>
      </c>
      <c r="H309" s="2">
        <v>9</v>
      </c>
      <c r="I309" s="2">
        <v>20</v>
      </c>
      <c r="J309" s="2">
        <v>0.45</v>
      </c>
      <c r="K309" s="2">
        <v>1</v>
      </c>
      <c r="L309" s="2">
        <v>6</v>
      </c>
      <c r="M309" s="2">
        <v>0.16700000000000001</v>
      </c>
      <c r="N309" s="2">
        <v>8</v>
      </c>
      <c r="O309" s="2">
        <v>14</v>
      </c>
      <c r="P309" s="2">
        <v>0.57099999999999995</v>
      </c>
      <c r="Q309" s="2">
        <v>0.47499999999999998</v>
      </c>
      <c r="R309" s="2">
        <v>1</v>
      </c>
      <c r="S309" s="2">
        <v>2</v>
      </c>
      <c r="T309" s="2">
        <v>0.5</v>
      </c>
      <c r="U309" s="2">
        <v>5</v>
      </c>
      <c r="V309" s="2">
        <v>11</v>
      </c>
      <c r="W309" s="2">
        <v>16</v>
      </c>
      <c r="X309" s="2">
        <v>4</v>
      </c>
      <c r="Y309" s="2">
        <v>1</v>
      </c>
      <c r="Z309" s="2">
        <v>0</v>
      </c>
      <c r="AA309" s="2">
        <v>0</v>
      </c>
      <c r="AB309" s="2">
        <v>5</v>
      </c>
      <c r="AC309" s="2">
        <v>20</v>
      </c>
      <c r="AD309" s="2">
        <v>0</v>
      </c>
      <c r="AE309" s="18" t="e">
        <f t="shared" si="4"/>
        <v>#DIV/0!</v>
      </c>
    </row>
    <row r="310" spans="1:31" x14ac:dyDescent="0.2">
      <c r="A310" t="s">
        <v>401</v>
      </c>
      <c r="B310" s="2">
        <v>21</v>
      </c>
      <c r="C310" t="s">
        <v>72</v>
      </c>
      <c r="D310" s="2" t="s">
        <v>52</v>
      </c>
      <c r="E310" s="2">
        <v>10</v>
      </c>
      <c r="F310" s="2">
        <v>0</v>
      </c>
      <c r="G310" s="2">
        <v>124</v>
      </c>
      <c r="H310" s="2">
        <v>18</v>
      </c>
      <c r="I310" s="2">
        <v>47</v>
      </c>
      <c r="J310" s="2">
        <v>0.38300000000000001</v>
      </c>
      <c r="K310" s="2">
        <v>4</v>
      </c>
      <c r="L310" s="2">
        <v>19</v>
      </c>
      <c r="M310" s="2">
        <v>0.21099999999999999</v>
      </c>
      <c r="N310" s="2">
        <v>14</v>
      </c>
      <c r="O310" s="2">
        <v>28</v>
      </c>
      <c r="P310" s="2">
        <v>0.5</v>
      </c>
      <c r="Q310" s="2">
        <v>0.42599999999999999</v>
      </c>
      <c r="R310" s="2">
        <v>13</v>
      </c>
      <c r="S310" s="2">
        <v>18</v>
      </c>
      <c r="T310" s="2">
        <v>0.72199999999999998</v>
      </c>
      <c r="U310" s="2">
        <v>5</v>
      </c>
      <c r="V310" s="2">
        <v>16</v>
      </c>
      <c r="W310" s="2">
        <v>21</v>
      </c>
      <c r="X310" s="2">
        <v>17</v>
      </c>
      <c r="Y310" s="2">
        <v>3</v>
      </c>
      <c r="Z310" s="2">
        <v>2</v>
      </c>
      <c r="AA310" s="2">
        <v>8</v>
      </c>
      <c r="AB310" s="2">
        <v>9</v>
      </c>
      <c r="AC310" s="2">
        <v>53</v>
      </c>
      <c r="AD310" s="2">
        <v>0</v>
      </c>
      <c r="AE310" s="18">
        <f t="shared" si="4"/>
        <v>2.125</v>
      </c>
    </row>
    <row r="311" spans="1:31" x14ac:dyDescent="0.2">
      <c r="A311" t="s">
        <v>266</v>
      </c>
      <c r="B311" s="2">
        <v>30</v>
      </c>
      <c r="C311" t="s">
        <v>77</v>
      </c>
      <c r="D311" s="2" t="s">
        <v>33</v>
      </c>
      <c r="E311" s="2">
        <v>25</v>
      </c>
      <c r="F311" s="2">
        <v>14</v>
      </c>
      <c r="G311" s="2">
        <v>565</v>
      </c>
      <c r="H311" s="2">
        <v>68</v>
      </c>
      <c r="I311" s="2">
        <v>155</v>
      </c>
      <c r="J311" s="2">
        <v>0.439</v>
      </c>
      <c r="K311" s="2">
        <v>24</v>
      </c>
      <c r="L311" s="2">
        <v>75</v>
      </c>
      <c r="M311" s="2">
        <v>0.32</v>
      </c>
      <c r="N311" s="2">
        <v>44</v>
      </c>
      <c r="O311" s="2">
        <v>80</v>
      </c>
      <c r="P311" s="2">
        <v>0.55000000000000004</v>
      </c>
      <c r="Q311" s="2">
        <v>0.51600000000000001</v>
      </c>
      <c r="R311" s="2">
        <v>5</v>
      </c>
      <c r="S311" s="2">
        <v>10</v>
      </c>
      <c r="T311" s="2">
        <v>0.5</v>
      </c>
      <c r="U311" s="2">
        <v>19</v>
      </c>
      <c r="V311" s="2">
        <v>75</v>
      </c>
      <c r="W311" s="2">
        <v>94</v>
      </c>
      <c r="X311" s="2">
        <v>65</v>
      </c>
      <c r="Y311" s="2">
        <v>41</v>
      </c>
      <c r="Z311" s="2">
        <v>7</v>
      </c>
      <c r="AA311" s="2">
        <v>27</v>
      </c>
      <c r="AB311" s="2">
        <v>67</v>
      </c>
      <c r="AC311" s="2">
        <v>165</v>
      </c>
      <c r="AD311" s="2">
        <v>0</v>
      </c>
      <c r="AE311" s="18">
        <f t="shared" si="4"/>
        <v>2.4074074074074074</v>
      </c>
    </row>
    <row r="312" spans="1:31" x14ac:dyDescent="0.2">
      <c r="A312" t="s">
        <v>345</v>
      </c>
      <c r="B312" s="2">
        <v>24</v>
      </c>
      <c r="C312" t="s">
        <v>135</v>
      </c>
      <c r="D312" s="2" t="s">
        <v>49</v>
      </c>
      <c r="E312" s="2">
        <v>21</v>
      </c>
      <c r="F312" s="2">
        <v>0</v>
      </c>
      <c r="G312" s="2">
        <v>267</v>
      </c>
      <c r="H312" s="2">
        <v>38</v>
      </c>
      <c r="I312" s="2">
        <v>80</v>
      </c>
      <c r="J312" s="2">
        <v>0.47499999999999998</v>
      </c>
      <c r="K312" s="2">
        <v>11</v>
      </c>
      <c r="L312" s="2">
        <v>33</v>
      </c>
      <c r="M312" s="2">
        <v>0.33300000000000002</v>
      </c>
      <c r="N312" s="2">
        <v>27</v>
      </c>
      <c r="O312" s="2">
        <v>47</v>
      </c>
      <c r="P312" s="2">
        <v>0.57399999999999995</v>
      </c>
      <c r="Q312" s="2">
        <v>0.54400000000000004</v>
      </c>
      <c r="R312" s="2">
        <v>8</v>
      </c>
      <c r="S312" s="2">
        <v>20</v>
      </c>
      <c r="T312" s="2">
        <v>0.4</v>
      </c>
      <c r="U312" s="2">
        <v>22</v>
      </c>
      <c r="V312" s="2">
        <v>26</v>
      </c>
      <c r="W312" s="2">
        <v>48</v>
      </c>
      <c r="X312" s="2">
        <v>14</v>
      </c>
      <c r="Y312" s="2">
        <v>9</v>
      </c>
      <c r="Z312" s="2">
        <v>3</v>
      </c>
      <c r="AA312" s="2">
        <v>12</v>
      </c>
      <c r="AB312" s="2">
        <v>21</v>
      </c>
      <c r="AC312" s="2">
        <v>95</v>
      </c>
      <c r="AD312" s="2">
        <v>0</v>
      </c>
      <c r="AE312" s="18">
        <f t="shared" si="4"/>
        <v>1.1666666666666667</v>
      </c>
    </row>
    <row r="313" spans="1:31" x14ac:dyDescent="0.2">
      <c r="A313" t="s">
        <v>313</v>
      </c>
      <c r="B313" s="2">
        <v>29</v>
      </c>
      <c r="C313" t="s">
        <v>39</v>
      </c>
      <c r="D313" s="2" t="s">
        <v>42</v>
      </c>
      <c r="E313" s="2">
        <v>6</v>
      </c>
      <c r="F313" s="2">
        <v>6</v>
      </c>
      <c r="G313" s="2">
        <v>173</v>
      </c>
      <c r="H313" s="2">
        <v>42</v>
      </c>
      <c r="I313" s="2">
        <v>92</v>
      </c>
      <c r="J313" s="2">
        <v>0.45700000000000002</v>
      </c>
      <c r="K313" s="2">
        <v>14</v>
      </c>
      <c r="L313" s="2">
        <v>42</v>
      </c>
      <c r="M313" s="2">
        <v>0.33300000000000002</v>
      </c>
      <c r="N313" s="2">
        <v>28</v>
      </c>
      <c r="O313" s="2">
        <v>50</v>
      </c>
      <c r="P313" s="2">
        <v>0.56000000000000005</v>
      </c>
      <c r="Q313" s="2">
        <v>0.53300000000000003</v>
      </c>
      <c r="R313" s="2">
        <v>24</v>
      </c>
      <c r="S313" s="2">
        <v>31</v>
      </c>
      <c r="T313" s="2">
        <v>0.77400000000000002</v>
      </c>
      <c r="U313" s="2">
        <v>10</v>
      </c>
      <c r="V313" s="2">
        <v>37</v>
      </c>
      <c r="W313" s="2">
        <v>47</v>
      </c>
      <c r="X313" s="2">
        <v>11</v>
      </c>
      <c r="Y313" s="2">
        <v>6</v>
      </c>
      <c r="Z313" s="2">
        <v>9</v>
      </c>
      <c r="AA313" s="2">
        <v>5</v>
      </c>
      <c r="AB313" s="2">
        <v>13</v>
      </c>
      <c r="AC313" s="2">
        <v>122</v>
      </c>
      <c r="AD313" s="2">
        <v>0</v>
      </c>
      <c r="AE313" s="18">
        <f t="shared" si="4"/>
        <v>2.2000000000000002</v>
      </c>
    </row>
    <row r="314" spans="1:31" x14ac:dyDescent="0.2">
      <c r="A314" t="s">
        <v>322</v>
      </c>
      <c r="B314" s="2">
        <v>31</v>
      </c>
      <c r="C314" t="s">
        <v>100</v>
      </c>
      <c r="D314" s="2" t="s">
        <v>27</v>
      </c>
      <c r="E314" s="2">
        <v>23</v>
      </c>
      <c r="F314" s="2">
        <v>0</v>
      </c>
      <c r="G314" s="2">
        <v>327</v>
      </c>
      <c r="H314" s="2">
        <v>44</v>
      </c>
      <c r="I314" s="2">
        <v>107</v>
      </c>
      <c r="J314" s="2">
        <v>0.41099999999999998</v>
      </c>
      <c r="K314" s="2">
        <v>10</v>
      </c>
      <c r="L314" s="2">
        <v>35</v>
      </c>
      <c r="M314" s="2">
        <v>0.28599999999999998</v>
      </c>
      <c r="N314" s="2">
        <v>34</v>
      </c>
      <c r="O314" s="2">
        <v>72</v>
      </c>
      <c r="P314" s="2">
        <v>0.47199999999999998</v>
      </c>
      <c r="Q314" s="2">
        <v>0.45800000000000002</v>
      </c>
      <c r="R314" s="2">
        <v>13</v>
      </c>
      <c r="S314" s="2">
        <v>20</v>
      </c>
      <c r="T314" s="2">
        <v>0.65</v>
      </c>
      <c r="U314" s="2">
        <v>11</v>
      </c>
      <c r="V314" s="2">
        <v>56</v>
      </c>
      <c r="W314" s="2">
        <v>67</v>
      </c>
      <c r="X314" s="2">
        <v>52</v>
      </c>
      <c r="Y314" s="2">
        <v>18</v>
      </c>
      <c r="Z314" s="2">
        <v>10</v>
      </c>
      <c r="AA314" s="2">
        <v>12</v>
      </c>
      <c r="AB314" s="2">
        <v>23</v>
      </c>
      <c r="AC314" s="2">
        <v>111</v>
      </c>
      <c r="AD314" s="2">
        <v>0</v>
      </c>
      <c r="AE314" s="18">
        <f t="shared" si="4"/>
        <v>4.333333333333333</v>
      </c>
    </row>
    <row r="315" spans="1:31" x14ac:dyDescent="0.2">
      <c r="A315" t="s">
        <v>331</v>
      </c>
      <c r="B315" s="2">
        <v>21</v>
      </c>
      <c r="C315" t="s">
        <v>120</v>
      </c>
      <c r="D315" s="2" t="s">
        <v>42</v>
      </c>
      <c r="E315" s="2">
        <v>15</v>
      </c>
      <c r="F315" s="2">
        <v>8</v>
      </c>
      <c r="G315" s="2">
        <v>276</v>
      </c>
      <c r="H315" s="2">
        <v>40</v>
      </c>
      <c r="I315" s="2">
        <v>79</v>
      </c>
      <c r="J315" s="2">
        <v>0.50600000000000001</v>
      </c>
      <c r="K315" s="2">
        <v>9</v>
      </c>
      <c r="L315" s="2">
        <v>31</v>
      </c>
      <c r="M315" s="2">
        <v>0.28999999999999998</v>
      </c>
      <c r="N315" s="2">
        <v>31</v>
      </c>
      <c r="O315" s="2">
        <v>48</v>
      </c>
      <c r="P315" s="2">
        <v>0.64600000000000002</v>
      </c>
      <c r="Q315" s="2">
        <v>0.56299999999999994</v>
      </c>
      <c r="R315" s="2">
        <v>16</v>
      </c>
      <c r="S315" s="2">
        <v>30</v>
      </c>
      <c r="T315" s="2">
        <v>0.53300000000000003</v>
      </c>
      <c r="U315" s="2">
        <v>14</v>
      </c>
      <c r="V315" s="2">
        <v>53</v>
      </c>
      <c r="W315" s="2">
        <v>67</v>
      </c>
      <c r="X315" s="2">
        <v>30</v>
      </c>
      <c r="Y315" s="2">
        <v>8</v>
      </c>
      <c r="Z315" s="2">
        <v>2</v>
      </c>
      <c r="AA315" s="2">
        <v>15</v>
      </c>
      <c r="AB315" s="2">
        <v>26</v>
      </c>
      <c r="AC315" s="2">
        <v>105</v>
      </c>
      <c r="AD315" s="2">
        <v>0</v>
      </c>
      <c r="AE315" s="18">
        <f t="shared" si="4"/>
        <v>2</v>
      </c>
    </row>
    <row r="316" spans="1:31" x14ac:dyDescent="0.2">
      <c r="A316" t="s">
        <v>241</v>
      </c>
      <c r="B316" s="2">
        <v>29</v>
      </c>
      <c r="C316" t="s">
        <v>114</v>
      </c>
      <c r="D316" s="2" t="s">
        <v>27</v>
      </c>
      <c r="E316" s="2">
        <v>12</v>
      </c>
      <c r="F316" s="2">
        <v>12</v>
      </c>
      <c r="G316" s="2">
        <v>330</v>
      </c>
      <c r="H316" s="2">
        <v>76</v>
      </c>
      <c r="I316" s="2">
        <v>181</v>
      </c>
      <c r="J316" s="2">
        <v>0.42</v>
      </c>
      <c r="K316" s="2">
        <v>16</v>
      </c>
      <c r="L316" s="2">
        <v>58</v>
      </c>
      <c r="M316" s="2">
        <v>0.27600000000000002</v>
      </c>
      <c r="N316" s="2">
        <v>60</v>
      </c>
      <c r="O316" s="2">
        <v>123</v>
      </c>
      <c r="P316" s="2">
        <v>0.48799999999999999</v>
      </c>
      <c r="Q316" s="2">
        <v>0.46400000000000002</v>
      </c>
      <c r="R316" s="2">
        <v>22</v>
      </c>
      <c r="S316" s="2">
        <v>32</v>
      </c>
      <c r="T316" s="2">
        <v>0.68799999999999994</v>
      </c>
      <c r="U316" s="2">
        <v>8</v>
      </c>
      <c r="V316" s="2">
        <v>59</v>
      </c>
      <c r="W316" s="2">
        <v>67</v>
      </c>
      <c r="X316" s="2">
        <v>23</v>
      </c>
      <c r="Y316" s="2">
        <v>5</v>
      </c>
      <c r="Z316" s="2">
        <v>3</v>
      </c>
      <c r="AA316" s="2">
        <v>29</v>
      </c>
      <c r="AB316" s="2">
        <v>23</v>
      </c>
      <c r="AC316" s="2">
        <v>190</v>
      </c>
      <c r="AD316" s="2">
        <v>0</v>
      </c>
      <c r="AE316" s="18">
        <f t="shared" si="4"/>
        <v>0.7931034482758621</v>
      </c>
    </row>
    <row r="317" spans="1:31" x14ac:dyDescent="0.2">
      <c r="A317" t="s">
        <v>362</v>
      </c>
      <c r="B317" s="2">
        <v>38</v>
      </c>
      <c r="C317" t="s">
        <v>122</v>
      </c>
      <c r="D317" s="2" t="s">
        <v>33</v>
      </c>
      <c r="E317" s="2">
        <v>16</v>
      </c>
      <c r="F317" s="2">
        <v>10</v>
      </c>
      <c r="G317" s="2">
        <v>350</v>
      </c>
      <c r="H317" s="2">
        <v>25</v>
      </c>
      <c r="I317" s="2">
        <v>67</v>
      </c>
      <c r="J317" s="2">
        <v>0.373</v>
      </c>
      <c r="K317" s="2">
        <v>18</v>
      </c>
      <c r="L317" s="2">
        <v>51</v>
      </c>
      <c r="M317" s="2">
        <v>0.35299999999999998</v>
      </c>
      <c r="N317" s="2">
        <v>7</v>
      </c>
      <c r="O317" s="2">
        <v>16</v>
      </c>
      <c r="P317" s="2">
        <v>0.438</v>
      </c>
      <c r="Q317" s="2">
        <v>0.50700000000000001</v>
      </c>
      <c r="R317" s="2">
        <v>15</v>
      </c>
      <c r="S317" s="2">
        <v>19</v>
      </c>
      <c r="T317" s="2">
        <v>0.78900000000000003</v>
      </c>
      <c r="U317" s="2">
        <v>6</v>
      </c>
      <c r="V317" s="2">
        <v>27</v>
      </c>
      <c r="W317" s="2">
        <v>33</v>
      </c>
      <c r="X317" s="2">
        <v>47</v>
      </c>
      <c r="Y317" s="2">
        <v>17</v>
      </c>
      <c r="Z317" s="2">
        <v>5</v>
      </c>
      <c r="AA317" s="2">
        <v>13</v>
      </c>
      <c r="AB317" s="2">
        <v>30</v>
      </c>
      <c r="AC317" s="2">
        <v>83</v>
      </c>
      <c r="AD317" s="2">
        <v>0</v>
      </c>
      <c r="AE317" s="18">
        <f t="shared" si="4"/>
        <v>3.6153846153846154</v>
      </c>
    </row>
    <row r="318" spans="1:31" x14ac:dyDescent="0.2">
      <c r="A318" t="s">
        <v>62</v>
      </c>
      <c r="B318" s="2">
        <v>32</v>
      </c>
      <c r="C318" t="s">
        <v>63</v>
      </c>
      <c r="D318" s="2" t="s">
        <v>52</v>
      </c>
      <c r="E318" s="2">
        <v>23</v>
      </c>
      <c r="F318" s="2">
        <v>23</v>
      </c>
      <c r="G318" s="2">
        <v>813</v>
      </c>
      <c r="H318" s="2">
        <v>205</v>
      </c>
      <c r="I318" s="2">
        <v>407</v>
      </c>
      <c r="J318" s="2">
        <v>0.504</v>
      </c>
      <c r="K318" s="2">
        <v>73</v>
      </c>
      <c r="L318" s="2">
        <v>154</v>
      </c>
      <c r="M318" s="2">
        <v>0.47399999999999998</v>
      </c>
      <c r="N318" s="2">
        <v>132</v>
      </c>
      <c r="O318" s="2">
        <v>253</v>
      </c>
      <c r="P318" s="2">
        <v>0.52200000000000002</v>
      </c>
      <c r="Q318" s="2">
        <v>0.59299999999999997</v>
      </c>
      <c r="R318" s="2">
        <v>69</v>
      </c>
      <c r="S318" s="2">
        <v>78</v>
      </c>
      <c r="T318" s="2">
        <v>0.88500000000000001</v>
      </c>
      <c r="U318" s="2">
        <v>26</v>
      </c>
      <c r="V318" s="2">
        <v>84</v>
      </c>
      <c r="W318" s="2">
        <v>110</v>
      </c>
      <c r="X318" s="2">
        <v>120</v>
      </c>
      <c r="Y318" s="2">
        <v>29</v>
      </c>
      <c r="Z318" s="2">
        <v>6</v>
      </c>
      <c r="AA318" s="2">
        <v>50</v>
      </c>
      <c r="AB318" s="2">
        <v>54</v>
      </c>
      <c r="AC318" s="2">
        <v>552</v>
      </c>
      <c r="AD318" s="2">
        <v>0</v>
      </c>
      <c r="AE318" s="18">
        <f t="shared" si="4"/>
        <v>2.4</v>
      </c>
    </row>
    <row r="319" spans="1:31" x14ac:dyDescent="0.2">
      <c r="A319" t="s">
        <v>292</v>
      </c>
      <c r="B319" s="2">
        <v>21</v>
      </c>
      <c r="C319" t="s">
        <v>114</v>
      </c>
      <c r="D319" s="2" t="s">
        <v>52</v>
      </c>
      <c r="E319" s="2">
        <v>19</v>
      </c>
      <c r="F319" s="2">
        <v>6</v>
      </c>
      <c r="G319" s="2">
        <v>497</v>
      </c>
      <c r="H319" s="2">
        <v>50</v>
      </c>
      <c r="I319" s="2">
        <v>149</v>
      </c>
      <c r="J319" s="2">
        <v>0.33600000000000002</v>
      </c>
      <c r="K319" s="2">
        <v>24</v>
      </c>
      <c r="L319" s="2">
        <v>97</v>
      </c>
      <c r="M319" s="2">
        <v>0.247</v>
      </c>
      <c r="N319" s="2">
        <v>26</v>
      </c>
      <c r="O319" s="2">
        <v>52</v>
      </c>
      <c r="P319" s="2">
        <v>0.5</v>
      </c>
      <c r="Q319" s="2">
        <v>0.41599999999999998</v>
      </c>
      <c r="R319" s="2">
        <v>19</v>
      </c>
      <c r="S319" s="2">
        <v>26</v>
      </c>
      <c r="T319" s="2">
        <v>0.73099999999999998</v>
      </c>
      <c r="U319" s="2">
        <v>13</v>
      </c>
      <c r="V319" s="2">
        <v>65</v>
      </c>
      <c r="W319" s="2">
        <v>78</v>
      </c>
      <c r="X319" s="2">
        <v>50</v>
      </c>
      <c r="Y319" s="2">
        <v>13</v>
      </c>
      <c r="Z319" s="2">
        <v>13</v>
      </c>
      <c r="AA319" s="2">
        <v>19</v>
      </c>
      <c r="AB319" s="2">
        <v>60</v>
      </c>
      <c r="AC319" s="2">
        <v>143</v>
      </c>
      <c r="AD319" s="2">
        <v>0</v>
      </c>
      <c r="AE319" s="18">
        <f t="shared" si="4"/>
        <v>2.6315789473684212</v>
      </c>
    </row>
    <row r="320" spans="1:31" x14ac:dyDescent="0.2">
      <c r="A320" t="s">
        <v>58</v>
      </c>
      <c r="B320" s="2">
        <v>23</v>
      </c>
      <c r="C320" t="s">
        <v>59</v>
      </c>
      <c r="D320" s="2" t="s">
        <v>33</v>
      </c>
      <c r="E320" s="2">
        <v>18</v>
      </c>
      <c r="F320" s="2">
        <v>18</v>
      </c>
      <c r="G320" s="2">
        <v>614</v>
      </c>
      <c r="H320" s="2">
        <v>193</v>
      </c>
      <c r="I320" s="2">
        <v>449</v>
      </c>
      <c r="J320" s="2">
        <v>0.43</v>
      </c>
      <c r="K320" s="2">
        <v>84</v>
      </c>
      <c r="L320" s="2">
        <v>236</v>
      </c>
      <c r="M320" s="2">
        <v>0.35599999999999998</v>
      </c>
      <c r="N320" s="2">
        <v>109</v>
      </c>
      <c r="O320" s="2">
        <v>213</v>
      </c>
      <c r="P320" s="2">
        <v>0.51200000000000001</v>
      </c>
      <c r="Q320" s="2">
        <v>0.52300000000000002</v>
      </c>
      <c r="R320" s="2">
        <v>89</v>
      </c>
      <c r="S320" s="2">
        <v>105</v>
      </c>
      <c r="T320" s="2">
        <v>0.84799999999999998</v>
      </c>
      <c r="U320" s="2">
        <v>17</v>
      </c>
      <c r="V320" s="2">
        <v>80</v>
      </c>
      <c r="W320" s="2">
        <v>97</v>
      </c>
      <c r="X320" s="2">
        <v>125</v>
      </c>
      <c r="Y320" s="2">
        <v>20</v>
      </c>
      <c r="Z320" s="2">
        <v>4</v>
      </c>
      <c r="AA320" s="2">
        <v>81</v>
      </c>
      <c r="AB320" s="2">
        <v>73</v>
      </c>
      <c r="AC320" s="2">
        <v>559</v>
      </c>
      <c r="AD320" s="2">
        <v>0</v>
      </c>
      <c r="AE320" s="18">
        <f t="shared" si="4"/>
        <v>1.5432098765432098</v>
      </c>
    </row>
    <row r="321" spans="1:31" x14ac:dyDescent="0.2">
      <c r="A321" t="s">
        <v>357</v>
      </c>
      <c r="B321" s="2">
        <v>32</v>
      </c>
      <c r="C321" t="s">
        <v>72</v>
      </c>
      <c r="D321" s="2" t="s">
        <v>27</v>
      </c>
      <c r="E321" s="2">
        <v>10</v>
      </c>
      <c r="F321" s="2">
        <v>2</v>
      </c>
      <c r="G321" s="2">
        <v>165</v>
      </c>
      <c r="H321" s="2">
        <v>34</v>
      </c>
      <c r="I321" s="2">
        <v>54</v>
      </c>
      <c r="J321" s="2">
        <v>0.63</v>
      </c>
      <c r="K321" s="2">
        <v>16</v>
      </c>
      <c r="L321" s="2">
        <v>29</v>
      </c>
      <c r="M321" s="2">
        <v>0.55200000000000005</v>
      </c>
      <c r="N321" s="2">
        <v>18</v>
      </c>
      <c r="O321" s="2">
        <v>25</v>
      </c>
      <c r="P321" s="2">
        <v>0.72</v>
      </c>
      <c r="Q321" s="2">
        <v>0.77800000000000002</v>
      </c>
      <c r="R321" s="2">
        <v>3</v>
      </c>
      <c r="S321" s="2">
        <v>4</v>
      </c>
      <c r="T321" s="2">
        <v>0.75</v>
      </c>
      <c r="U321" s="2">
        <v>10</v>
      </c>
      <c r="V321" s="2">
        <v>16</v>
      </c>
      <c r="W321" s="2">
        <v>26</v>
      </c>
      <c r="X321" s="2">
        <v>14</v>
      </c>
      <c r="Y321" s="2">
        <v>9</v>
      </c>
      <c r="Z321" s="2">
        <v>3</v>
      </c>
      <c r="AA321" s="2">
        <v>4</v>
      </c>
      <c r="AB321" s="2">
        <v>13</v>
      </c>
      <c r="AC321" s="2">
        <v>87</v>
      </c>
      <c r="AD321" s="2">
        <v>0</v>
      </c>
      <c r="AE321" s="18">
        <f t="shared" si="4"/>
        <v>3.5</v>
      </c>
    </row>
    <row r="322" spans="1:31" x14ac:dyDescent="0.2">
      <c r="A322" t="s">
        <v>142</v>
      </c>
      <c r="B322" s="2">
        <v>27</v>
      </c>
      <c r="C322" t="s">
        <v>120</v>
      </c>
      <c r="D322" s="2" t="s">
        <v>27</v>
      </c>
      <c r="E322" s="2">
        <v>18</v>
      </c>
      <c r="F322" s="2">
        <v>18</v>
      </c>
      <c r="G322" s="2">
        <v>572</v>
      </c>
      <c r="H322" s="2">
        <v>105</v>
      </c>
      <c r="I322" s="2">
        <v>237</v>
      </c>
      <c r="J322" s="2">
        <v>0.443</v>
      </c>
      <c r="K322" s="2">
        <v>45</v>
      </c>
      <c r="L322" s="2">
        <v>121</v>
      </c>
      <c r="M322" s="2">
        <v>0.372</v>
      </c>
      <c r="N322" s="2">
        <v>60</v>
      </c>
      <c r="O322" s="2">
        <v>116</v>
      </c>
      <c r="P322" s="2">
        <v>0.51700000000000002</v>
      </c>
      <c r="Q322" s="2">
        <v>0.53800000000000003</v>
      </c>
      <c r="R322" s="2">
        <v>80</v>
      </c>
      <c r="S322" s="2">
        <v>93</v>
      </c>
      <c r="T322" s="2">
        <v>0.86</v>
      </c>
      <c r="U322" s="2">
        <v>28</v>
      </c>
      <c r="V322" s="2">
        <v>85</v>
      </c>
      <c r="W322" s="2">
        <v>113</v>
      </c>
      <c r="X322" s="2">
        <v>42</v>
      </c>
      <c r="Y322" s="2">
        <v>12</v>
      </c>
      <c r="Z322" s="2">
        <v>2</v>
      </c>
      <c r="AA322" s="2">
        <v>26</v>
      </c>
      <c r="AB322" s="2">
        <v>31</v>
      </c>
      <c r="AC322" s="2">
        <v>335</v>
      </c>
      <c r="AD322" s="2">
        <v>0</v>
      </c>
      <c r="AE322" s="18">
        <f t="shared" si="4"/>
        <v>1.6153846153846154</v>
      </c>
    </row>
    <row r="323" spans="1:31" x14ac:dyDescent="0.2">
      <c r="A323" t="s">
        <v>68</v>
      </c>
      <c r="B323" s="2">
        <v>40</v>
      </c>
      <c r="C323" t="s">
        <v>41</v>
      </c>
      <c r="D323" s="2" t="s">
        <v>49</v>
      </c>
      <c r="E323" s="2">
        <v>23</v>
      </c>
      <c r="F323" s="2">
        <v>23</v>
      </c>
      <c r="G323" s="2">
        <v>806</v>
      </c>
      <c r="H323" s="2">
        <v>201</v>
      </c>
      <c r="I323" s="2">
        <v>406</v>
      </c>
      <c r="J323" s="2">
        <v>0.495</v>
      </c>
      <c r="K323" s="2">
        <v>47</v>
      </c>
      <c r="L323" s="2">
        <v>131</v>
      </c>
      <c r="M323" s="2">
        <v>0.35899999999999999</v>
      </c>
      <c r="N323" s="2">
        <v>154</v>
      </c>
      <c r="O323" s="2">
        <v>275</v>
      </c>
      <c r="P323" s="2">
        <v>0.56000000000000005</v>
      </c>
      <c r="Q323" s="2">
        <v>0.55300000000000005</v>
      </c>
      <c r="R323" s="2">
        <v>80</v>
      </c>
      <c r="S323" s="2">
        <v>105</v>
      </c>
      <c r="T323" s="2">
        <v>0.76200000000000001</v>
      </c>
      <c r="U323" s="2">
        <v>21</v>
      </c>
      <c r="V323" s="2">
        <v>163</v>
      </c>
      <c r="W323" s="2">
        <v>184</v>
      </c>
      <c r="X323" s="2">
        <v>210</v>
      </c>
      <c r="Y323" s="2">
        <v>16</v>
      </c>
      <c r="Z323" s="2">
        <v>13</v>
      </c>
      <c r="AA323" s="2">
        <v>94</v>
      </c>
      <c r="AB323" s="2">
        <v>28</v>
      </c>
      <c r="AC323" s="2">
        <v>529</v>
      </c>
      <c r="AD323" s="2">
        <v>7</v>
      </c>
      <c r="AE323" s="18">
        <f t="shared" ref="AE323:AE386" si="5">X323/AA323</f>
        <v>2.2340425531914891</v>
      </c>
    </row>
    <row r="324" spans="1:31" x14ac:dyDescent="0.2">
      <c r="A324" t="s">
        <v>500</v>
      </c>
      <c r="B324" s="2">
        <v>24</v>
      </c>
      <c r="C324" t="s">
        <v>122</v>
      </c>
      <c r="D324" s="2" t="s">
        <v>52</v>
      </c>
      <c r="E324" s="2">
        <v>4</v>
      </c>
      <c r="F324" s="2">
        <v>0</v>
      </c>
      <c r="G324" s="2">
        <v>17</v>
      </c>
      <c r="H324" s="2">
        <v>4</v>
      </c>
      <c r="I324" s="2">
        <v>8</v>
      </c>
      <c r="J324" s="2">
        <v>0.5</v>
      </c>
      <c r="K324" s="2">
        <v>0</v>
      </c>
      <c r="L324" s="2">
        <v>3</v>
      </c>
      <c r="M324" s="2">
        <v>0</v>
      </c>
      <c r="N324" s="2">
        <v>4</v>
      </c>
      <c r="O324" s="2">
        <v>5</v>
      </c>
      <c r="P324" s="2">
        <v>0.8</v>
      </c>
      <c r="Q324" s="2">
        <v>0.5</v>
      </c>
      <c r="R324" s="2">
        <v>1</v>
      </c>
      <c r="S324" s="2">
        <v>1</v>
      </c>
      <c r="T324" s="2">
        <v>1</v>
      </c>
      <c r="U324" s="2">
        <v>3</v>
      </c>
      <c r="V324" s="2">
        <v>1</v>
      </c>
      <c r="W324" s="2">
        <v>4</v>
      </c>
      <c r="X324" s="2">
        <v>1</v>
      </c>
      <c r="Y324" s="2">
        <v>0</v>
      </c>
      <c r="Z324" s="2">
        <v>0</v>
      </c>
      <c r="AA324" s="2">
        <v>4</v>
      </c>
      <c r="AB324" s="2">
        <v>0</v>
      </c>
      <c r="AC324" s="2">
        <v>9</v>
      </c>
      <c r="AD324" s="2">
        <v>0</v>
      </c>
      <c r="AE324" s="18">
        <f t="shared" si="5"/>
        <v>0.25</v>
      </c>
    </row>
    <row r="325" spans="1:31" x14ac:dyDescent="0.2">
      <c r="A325" t="s">
        <v>520</v>
      </c>
      <c r="B325" s="2">
        <v>25</v>
      </c>
      <c r="C325" t="s">
        <v>35</v>
      </c>
      <c r="D325" s="2" t="s">
        <v>42</v>
      </c>
      <c r="E325" s="2">
        <v>5</v>
      </c>
      <c r="F325" s="2">
        <v>0</v>
      </c>
      <c r="G325" s="2">
        <v>20</v>
      </c>
      <c r="H325" s="2">
        <v>2</v>
      </c>
      <c r="I325" s="2">
        <v>3</v>
      </c>
      <c r="J325" s="2">
        <v>0.66700000000000004</v>
      </c>
      <c r="K325" s="2">
        <v>0</v>
      </c>
      <c r="L325" s="2">
        <v>1</v>
      </c>
      <c r="M325" s="2">
        <v>0</v>
      </c>
      <c r="N325" s="2">
        <v>2</v>
      </c>
      <c r="O325" s="2">
        <v>2</v>
      </c>
      <c r="P325" s="2">
        <v>1</v>
      </c>
      <c r="Q325" s="2">
        <v>0.66700000000000004</v>
      </c>
      <c r="R325" s="2">
        <v>1</v>
      </c>
      <c r="S325" s="2">
        <v>4</v>
      </c>
      <c r="T325" s="2">
        <v>0.25</v>
      </c>
      <c r="U325" s="2">
        <v>2</v>
      </c>
      <c r="V325" s="2">
        <v>1</v>
      </c>
      <c r="W325" s="2">
        <v>3</v>
      </c>
      <c r="X325" s="2">
        <v>0</v>
      </c>
      <c r="Y325" s="2">
        <v>0</v>
      </c>
      <c r="Z325" s="2">
        <v>0</v>
      </c>
      <c r="AA325" s="2">
        <v>0</v>
      </c>
      <c r="AB325" s="2">
        <v>3</v>
      </c>
      <c r="AC325" s="2">
        <v>5</v>
      </c>
      <c r="AD325" s="2">
        <v>0</v>
      </c>
      <c r="AE325" s="18" t="e">
        <f t="shared" si="5"/>
        <v>#DIV/0!</v>
      </c>
    </row>
    <row r="326" spans="1:31" x14ac:dyDescent="0.2">
      <c r="A326" t="s">
        <v>319</v>
      </c>
      <c r="B326" s="2">
        <v>27</v>
      </c>
      <c r="C326" t="s">
        <v>100</v>
      </c>
      <c r="D326" s="2" t="s">
        <v>52</v>
      </c>
      <c r="E326" s="2">
        <v>20</v>
      </c>
      <c r="F326" s="2">
        <v>8</v>
      </c>
      <c r="G326" s="2">
        <v>356</v>
      </c>
      <c r="H326" s="2">
        <v>42</v>
      </c>
      <c r="I326" s="2">
        <v>108</v>
      </c>
      <c r="J326" s="2">
        <v>0.38900000000000001</v>
      </c>
      <c r="K326" s="2">
        <v>26</v>
      </c>
      <c r="L326" s="2">
        <v>76</v>
      </c>
      <c r="M326" s="2">
        <v>0.34200000000000003</v>
      </c>
      <c r="N326" s="2">
        <v>16</v>
      </c>
      <c r="O326" s="2">
        <v>32</v>
      </c>
      <c r="P326" s="2">
        <v>0.5</v>
      </c>
      <c r="Q326" s="2">
        <v>0.50900000000000001</v>
      </c>
      <c r="R326" s="2">
        <v>4</v>
      </c>
      <c r="S326" s="2">
        <v>5</v>
      </c>
      <c r="T326" s="2">
        <v>0.8</v>
      </c>
      <c r="U326" s="2">
        <v>9</v>
      </c>
      <c r="V326" s="2">
        <v>42</v>
      </c>
      <c r="W326" s="2">
        <v>51</v>
      </c>
      <c r="X326" s="2">
        <v>27</v>
      </c>
      <c r="Y326" s="2">
        <v>10</v>
      </c>
      <c r="Z326" s="2">
        <v>5</v>
      </c>
      <c r="AA326" s="2">
        <v>8</v>
      </c>
      <c r="AB326" s="2">
        <v>32</v>
      </c>
      <c r="AC326" s="2">
        <v>114</v>
      </c>
      <c r="AD326" s="2">
        <v>0</v>
      </c>
      <c r="AE326" s="18">
        <f t="shared" si="5"/>
        <v>3.375</v>
      </c>
    </row>
    <row r="327" spans="1:31" x14ac:dyDescent="0.2">
      <c r="A327" t="s">
        <v>421</v>
      </c>
      <c r="B327" s="2">
        <v>27</v>
      </c>
      <c r="C327" t="s">
        <v>70</v>
      </c>
      <c r="D327" s="2" t="s">
        <v>33</v>
      </c>
      <c r="E327" s="2">
        <v>8</v>
      </c>
      <c r="F327" s="2">
        <v>0</v>
      </c>
      <c r="G327" s="2">
        <v>134</v>
      </c>
      <c r="H327" s="2">
        <v>14</v>
      </c>
      <c r="I327" s="2">
        <v>38</v>
      </c>
      <c r="J327" s="2">
        <v>0.36799999999999999</v>
      </c>
      <c r="K327" s="2">
        <v>11</v>
      </c>
      <c r="L327" s="2">
        <v>31</v>
      </c>
      <c r="M327" s="2">
        <v>0.35499999999999998</v>
      </c>
      <c r="N327" s="2">
        <v>3</v>
      </c>
      <c r="O327" s="2">
        <v>7</v>
      </c>
      <c r="P327" s="2">
        <v>0.42899999999999999</v>
      </c>
      <c r="Q327" s="2">
        <v>0.51300000000000001</v>
      </c>
      <c r="R327" s="2">
        <v>0</v>
      </c>
      <c r="S327" s="2">
        <v>0</v>
      </c>
      <c r="T327" s="2"/>
      <c r="U327" s="2">
        <v>1</v>
      </c>
      <c r="V327" s="2">
        <v>18</v>
      </c>
      <c r="W327" s="2">
        <v>19</v>
      </c>
      <c r="X327" s="2">
        <v>27</v>
      </c>
      <c r="Y327" s="2">
        <v>9</v>
      </c>
      <c r="Z327" s="2">
        <v>4</v>
      </c>
      <c r="AA327" s="2">
        <v>5</v>
      </c>
      <c r="AB327" s="2">
        <v>8</v>
      </c>
      <c r="AC327" s="2">
        <v>39</v>
      </c>
      <c r="AD327" s="2">
        <v>0</v>
      </c>
      <c r="AE327" s="18">
        <f t="shared" si="5"/>
        <v>5.4</v>
      </c>
    </row>
    <row r="328" spans="1:31" x14ac:dyDescent="0.2">
      <c r="A328" t="s">
        <v>204</v>
      </c>
      <c r="B328" s="2">
        <v>25</v>
      </c>
      <c r="C328" t="s">
        <v>32</v>
      </c>
      <c r="D328" s="2" t="s">
        <v>49</v>
      </c>
      <c r="E328" s="2">
        <v>24</v>
      </c>
      <c r="F328" s="2">
        <v>24</v>
      </c>
      <c r="G328" s="2">
        <v>705</v>
      </c>
      <c r="H328" s="2">
        <v>81</v>
      </c>
      <c r="I328" s="2">
        <v>198</v>
      </c>
      <c r="J328" s="2">
        <v>0.40899999999999997</v>
      </c>
      <c r="K328" s="2">
        <v>51</v>
      </c>
      <c r="L328" s="2">
        <v>130</v>
      </c>
      <c r="M328" s="2">
        <v>0.39200000000000002</v>
      </c>
      <c r="N328" s="2">
        <v>30</v>
      </c>
      <c r="O328" s="2">
        <v>68</v>
      </c>
      <c r="P328" s="2">
        <v>0.441</v>
      </c>
      <c r="Q328" s="2">
        <v>0.53800000000000003</v>
      </c>
      <c r="R328" s="2">
        <v>24</v>
      </c>
      <c r="S328" s="2">
        <v>29</v>
      </c>
      <c r="T328" s="2">
        <v>0.82799999999999996</v>
      </c>
      <c r="U328" s="2">
        <v>36</v>
      </c>
      <c r="V328" s="2">
        <v>75</v>
      </c>
      <c r="W328" s="2">
        <v>111</v>
      </c>
      <c r="X328" s="2">
        <v>44</v>
      </c>
      <c r="Y328" s="2">
        <v>28</v>
      </c>
      <c r="Z328" s="2">
        <v>21</v>
      </c>
      <c r="AA328" s="2">
        <v>14</v>
      </c>
      <c r="AB328" s="2">
        <v>73</v>
      </c>
      <c r="AC328" s="2">
        <v>237</v>
      </c>
      <c r="AD328" s="2">
        <v>0</v>
      </c>
      <c r="AE328" s="18">
        <f t="shared" si="5"/>
        <v>3.1428571428571428</v>
      </c>
    </row>
    <row r="329" spans="1:31" x14ac:dyDescent="0.2">
      <c r="A329" t="s">
        <v>67</v>
      </c>
      <c r="B329" s="2">
        <v>25</v>
      </c>
      <c r="C329" t="s">
        <v>63</v>
      </c>
      <c r="D329" s="2" t="s">
        <v>33</v>
      </c>
      <c r="E329" s="2">
        <v>19</v>
      </c>
      <c r="F329" s="2">
        <v>19</v>
      </c>
      <c r="G329" s="2">
        <v>701</v>
      </c>
      <c r="H329" s="2">
        <v>185</v>
      </c>
      <c r="I329" s="2">
        <v>415</v>
      </c>
      <c r="J329" s="2">
        <v>0.44600000000000001</v>
      </c>
      <c r="K329" s="2">
        <v>65</v>
      </c>
      <c r="L329" s="2">
        <v>189</v>
      </c>
      <c r="M329" s="2">
        <v>0.34399999999999997</v>
      </c>
      <c r="N329" s="2">
        <v>120</v>
      </c>
      <c r="O329" s="2">
        <v>226</v>
      </c>
      <c r="P329" s="2">
        <v>0.53100000000000003</v>
      </c>
      <c r="Q329" s="2">
        <v>0.52400000000000002</v>
      </c>
      <c r="R329" s="2">
        <v>98</v>
      </c>
      <c r="S329" s="2">
        <v>128</v>
      </c>
      <c r="T329" s="2">
        <v>0.76600000000000001</v>
      </c>
      <c r="U329" s="2">
        <v>12</v>
      </c>
      <c r="V329" s="2">
        <v>148</v>
      </c>
      <c r="W329" s="2">
        <v>160</v>
      </c>
      <c r="X329" s="2">
        <v>150</v>
      </c>
      <c r="Y329" s="2">
        <v>39</v>
      </c>
      <c r="Z329" s="2">
        <v>7</v>
      </c>
      <c r="AA329" s="2">
        <v>66</v>
      </c>
      <c r="AB329" s="2">
        <v>54</v>
      </c>
      <c r="AC329" s="2">
        <v>533</v>
      </c>
      <c r="AD329" s="2">
        <v>2</v>
      </c>
      <c r="AE329" s="18">
        <f t="shared" si="5"/>
        <v>2.2727272727272729</v>
      </c>
    </row>
    <row r="330" spans="1:31" x14ac:dyDescent="0.2">
      <c r="A330" t="s">
        <v>448</v>
      </c>
      <c r="B330" s="2">
        <v>26</v>
      </c>
      <c r="C330" t="s">
        <v>51</v>
      </c>
      <c r="D330" s="2" t="s">
        <v>42</v>
      </c>
      <c r="E330" s="2">
        <v>7</v>
      </c>
      <c r="F330" s="2">
        <v>0</v>
      </c>
      <c r="G330" s="2">
        <v>33</v>
      </c>
      <c r="H330" s="2">
        <v>11</v>
      </c>
      <c r="I330" s="2">
        <v>20</v>
      </c>
      <c r="J330" s="2">
        <v>0.55000000000000004</v>
      </c>
      <c r="K330" s="2">
        <v>1</v>
      </c>
      <c r="L330" s="2">
        <v>6</v>
      </c>
      <c r="M330" s="2">
        <v>0.16700000000000001</v>
      </c>
      <c r="N330" s="2">
        <v>10</v>
      </c>
      <c r="O330" s="2">
        <v>14</v>
      </c>
      <c r="P330" s="2">
        <v>0.71399999999999997</v>
      </c>
      <c r="Q330" s="2">
        <v>0.57499999999999996</v>
      </c>
      <c r="R330" s="2">
        <v>3</v>
      </c>
      <c r="S330" s="2">
        <v>6</v>
      </c>
      <c r="T330" s="2">
        <v>0.5</v>
      </c>
      <c r="U330" s="2">
        <v>4</v>
      </c>
      <c r="V330" s="2">
        <v>5</v>
      </c>
      <c r="W330" s="2">
        <v>9</v>
      </c>
      <c r="X330" s="2">
        <v>0</v>
      </c>
      <c r="Y330" s="2">
        <v>1</v>
      </c>
      <c r="Z330" s="2">
        <v>0</v>
      </c>
      <c r="AA330" s="2">
        <v>2</v>
      </c>
      <c r="AB330" s="2">
        <v>3</v>
      </c>
      <c r="AC330" s="2">
        <v>26</v>
      </c>
      <c r="AD330" s="2">
        <v>0</v>
      </c>
      <c r="AE330" s="18">
        <f t="shared" si="5"/>
        <v>0</v>
      </c>
    </row>
    <row r="331" spans="1:31" x14ac:dyDescent="0.2">
      <c r="A331" t="s">
        <v>346</v>
      </c>
      <c r="B331" s="2">
        <v>28</v>
      </c>
      <c r="C331" t="s">
        <v>80</v>
      </c>
      <c r="D331" s="2" t="s">
        <v>52</v>
      </c>
      <c r="E331" s="2">
        <v>14</v>
      </c>
      <c r="F331" s="2">
        <v>0</v>
      </c>
      <c r="G331" s="2">
        <v>276</v>
      </c>
      <c r="H331" s="2">
        <v>31</v>
      </c>
      <c r="I331" s="2">
        <v>72</v>
      </c>
      <c r="J331" s="2">
        <v>0.43099999999999999</v>
      </c>
      <c r="K331" s="2">
        <v>21</v>
      </c>
      <c r="L331" s="2">
        <v>52</v>
      </c>
      <c r="M331" s="2">
        <v>0.40400000000000003</v>
      </c>
      <c r="N331" s="2">
        <v>10</v>
      </c>
      <c r="O331" s="2">
        <v>20</v>
      </c>
      <c r="P331" s="2">
        <v>0.5</v>
      </c>
      <c r="Q331" s="2">
        <v>0.57599999999999996</v>
      </c>
      <c r="R331" s="2">
        <v>11</v>
      </c>
      <c r="S331" s="2">
        <v>14</v>
      </c>
      <c r="T331" s="2">
        <v>0.78600000000000003</v>
      </c>
      <c r="U331" s="2">
        <v>7</v>
      </c>
      <c r="V331" s="2">
        <v>27</v>
      </c>
      <c r="W331" s="2">
        <v>34</v>
      </c>
      <c r="X331" s="2">
        <v>41</v>
      </c>
      <c r="Y331" s="2">
        <v>8</v>
      </c>
      <c r="Z331" s="2">
        <v>2</v>
      </c>
      <c r="AA331" s="2">
        <v>10</v>
      </c>
      <c r="AB331" s="2">
        <v>9</v>
      </c>
      <c r="AC331" s="2">
        <v>94</v>
      </c>
      <c r="AD331" s="2">
        <v>0</v>
      </c>
      <c r="AE331" s="18">
        <f t="shared" si="5"/>
        <v>4.0999999999999996</v>
      </c>
    </row>
    <row r="332" spans="1:31" x14ac:dyDescent="0.2">
      <c r="A332" t="s">
        <v>350</v>
      </c>
      <c r="B332" s="2">
        <v>29</v>
      </c>
      <c r="C332" t="s">
        <v>39</v>
      </c>
      <c r="D332" s="2" t="s">
        <v>42</v>
      </c>
      <c r="E332" s="2">
        <v>19</v>
      </c>
      <c r="F332" s="2">
        <v>3</v>
      </c>
      <c r="G332" s="2">
        <v>320</v>
      </c>
      <c r="H332" s="2">
        <v>35</v>
      </c>
      <c r="I332" s="2">
        <v>53</v>
      </c>
      <c r="J332" s="2">
        <v>0.66</v>
      </c>
      <c r="K332" s="2">
        <v>0</v>
      </c>
      <c r="L332" s="2">
        <v>0</v>
      </c>
      <c r="M332" s="2"/>
      <c r="N332" s="2">
        <v>35</v>
      </c>
      <c r="O332" s="2">
        <v>53</v>
      </c>
      <c r="P332" s="2">
        <v>0.66</v>
      </c>
      <c r="Q332" s="2">
        <v>0.66</v>
      </c>
      <c r="R332" s="2">
        <v>22</v>
      </c>
      <c r="S332" s="2">
        <v>26</v>
      </c>
      <c r="T332" s="2">
        <v>0.84599999999999997</v>
      </c>
      <c r="U332" s="2">
        <v>35</v>
      </c>
      <c r="V332" s="2">
        <v>49</v>
      </c>
      <c r="W332" s="2">
        <v>84</v>
      </c>
      <c r="X332" s="2">
        <v>28</v>
      </c>
      <c r="Y332" s="2">
        <v>10</v>
      </c>
      <c r="Z332" s="2">
        <v>21</v>
      </c>
      <c r="AA332" s="2">
        <v>8</v>
      </c>
      <c r="AB332" s="2">
        <v>26</v>
      </c>
      <c r="AC332" s="2">
        <v>92</v>
      </c>
      <c r="AD332" s="2">
        <v>0</v>
      </c>
      <c r="AE332" s="18">
        <f t="shared" si="5"/>
        <v>3.5</v>
      </c>
    </row>
    <row r="333" spans="1:31" x14ac:dyDescent="0.2">
      <c r="A333" t="s">
        <v>504</v>
      </c>
      <c r="B333" s="2">
        <v>23</v>
      </c>
      <c r="C333" t="s">
        <v>57</v>
      </c>
      <c r="D333" s="2" t="s">
        <v>52</v>
      </c>
      <c r="E333" s="2">
        <v>6</v>
      </c>
      <c r="F333" s="2">
        <v>0</v>
      </c>
      <c r="G333" s="2">
        <v>42</v>
      </c>
      <c r="H333" s="2">
        <v>3</v>
      </c>
      <c r="I333" s="2">
        <v>7</v>
      </c>
      <c r="J333" s="2">
        <v>0.42899999999999999</v>
      </c>
      <c r="K333" s="2">
        <v>0</v>
      </c>
      <c r="L333" s="2">
        <v>3</v>
      </c>
      <c r="M333" s="2">
        <v>0</v>
      </c>
      <c r="N333" s="2">
        <v>3</v>
      </c>
      <c r="O333" s="2">
        <v>4</v>
      </c>
      <c r="P333" s="2">
        <v>0.75</v>
      </c>
      <c r="Q333" s="2">
        <v>0.42899999999999999</v>
      </c>
      <c r="R333" s="2">
        <v>2</v>
      </c>
      <c r="S333" s="2">
        <v>2</v>
      </c>
      <c r="T333" s="2">
        <v>1</v>
      </c>
      <c r="U333" s="2">
        <v>1</v>
      </c>
      <c r="V333" s="2">
        <v>5</v>
      </c>
      <c r="W333" s="2">
        <v>6</v>
      </c>
      <c r="X333" s="2">
        <v>5</v>
      </c>
      <c r="Y333" s="2">
        <v>1</v>
      </c>
      <c r="Z333" s="2">
        <v>1</v>
      </c>
      <c r="AA333" s="2">
        <v>2</v>
      </c>
      <c r="AB333" s="2">
        <v>3</v>
      </c>
      <c r="AC333" s="2">
        <v>8</v>
      </c>
      <c r="AD333" s="2">
        <v>0</v>
      </c>
      <c r="AE333" s="18">
        <f t="shared" si="5"/>
        <v>2.5</v>
      </c>
    </row>
    <row r="334" spans="1:31" x14ac:dyDescent="0.2">
      <c r="A334" t="s">
        <v>563</v>
      </c>
      <c r="B334" s="2">
        <v>26</v>
      </c>
      <c r="C334" t="s">
        <v>48</v>
      </c>
      <c r="D334" s="2" t="s">
        <v>52</v>
      </c>
      <c r="E334" s="2">
        <v>1</v>
      </c>
      <c r="F334" s="2">
        <v>0</v>
      </c>
      <c r="G334" s="2">
        <v>5</v>
      </c>
      <c r="H334" s="2">
        <v>0</v>
      </c>
      <c r="I334" s="2">
        <v>0</v>
      </c>
      <c r="J334" s="2"/>
      <c r="K334" s="2">
        <v>0</v>
      </c>
      <c r="L334" s="2">
        <v>0</v>
      </c>
      <c r="M334" s="2"/>
      <c r="N334" s="2">
        <v>0</v>
      </c>
      <c r="O334" s="2">
        <v>0</v>
      </c>
      <c r="P334" s="2"/>
      <c r="Q334" s="2"/>
      <c r="R334" s="2">
        <v>0</v>
      </c>
      <c r="S334" s="2">
        <v>0</v>
      </c>
      <c r="T334" s="2"/>
      <c r="U334" s="2">
        <v>0</v>
      </c>
      <c r="V334" s="2">
        <v>1</v>
      </c>
      <c r="W334" s="2">
        <v>1</v>
      </c>
      <c r="X334" s="2">
        <v>2</v>
      </c>
      <c r="Y334" s="2">
        <v>0</v>
      </c>
      <c r="Z334" s="2">
        <v>0</v>
      </c>
      <c r="AA334" s="2">
        <v>0</v>
      </c>
      <c r="AB334" s="2">
        <v>0</v>
      </c>
      <c r="AC334" s="2">
        <v>0</v>
      </c>
      <c r="AD334" s="2">
        <v>0</v>
      </c>
      <c r="AE334" s="18" t="e">
        <f t="shared" si="5"/>
        <v>#DIV/0!</v>
      </c>
    </row>
    <row r="335" spans="1:31" x14ac:dyDescent="0.2">
      <c r="A335" t="s">
        <v>314</v>
      </c>
      <c r="B335" s="2">
        <v>21</v>
      </c>
      <c r="C335" t="s">
        <v>93</v>
      </c>
      <c r="D335" s="2" t="s">
        <v>52</v>
      </c>
      <c r="E335" s="2">
        <v>18</v>
      </c>
      <c r="F335" s="2">
        <v>0</v>
      </c>
      <c r="G335" s="2">
        <v>233</v>
      </c>
      <c r="H335" s="2">
        <v>43</v>
      </c>
      <c r="I335" s="2">
        <v>96</v>
      </c>
      <c r="J335" s="2">
        <v>0.44800000000000001</v>
      </c>
      <c r="K335" s="2">
        <v>17</v>
      </c>
      <c r="L335" s="2">
        <v>41</v>
      </c>
      <c r="M335" s="2">
        <v>0.41499999999999998</v>
      </c>
      <c r="N335" s="2">
        <v>26</v>
      </c>
      <c r="O335" s="2">
        <v>55</v>
      </c>
      <c r="P335" s="2">
        <v>0.47299999999999998</v>
      </c>
      <c r="Q335" s="2">
        <v>0.53600000000000003</v>
      </c>
      <c r="R335" s="2">
        <v>17</v>
      </c>
      <c r="S335" s="2">
        <v>20</v>
      </c>
      <c r="T335" s="2">
        <v>0.85</v>
      </c>
      <c r="U335" s="2">
        <v>3</v>
      </c>
      <c r="V335" s="2">
        <v>26</v>
      </c>
      <c r="W335" s="2">
        <v>29</v>
      </c>
      <c r="X335" s="2">
        <v>21</v>
      </c>
      <c r="Y335" s="2">
        <v>7</v>
      </c>
      <c r="Z335" s="2">
        <v>2</v>
      </c>
      <c r="AA335" s="2">
        <v>23</v>
      </c>
      <c r="AB335" s="2">
        <v>13</v>
      </c>
      <c r="AC335" s="2">
        <v>120</v>
      </c>
      <c r="AD335" s="2">
        <v>0</v>
      </c>
      <c r="AE335" s="18">
        <f t="shared" si="5"/>
        <v>0.91304347826086951</v>
      </c>
    </row>
    <row r="336" spans="1:31" x14ac:dyDescent="0.2">
      <c r="A336" t="s">
        <v>310</v>
      </c>
      <c r="B336" s="2">
        <v>32</v>
      </c>
      <c r="C336" t="s">
        <v>114</v>
      </c>
      <c r="D336" s="2" t="s">
        <v>33</v>
      </c>
      <c r="E336" s="2">
        <v>9</v>
      </c>
      <c r="F336" s="2">
        <v>8</v>
      </c>
      <c r="G336" s="2">
        <v>214</v>
      </c>
      <c r="H336" s="2">
        <v>45</v>
      </c>
      <c r="I336" s="2">
        <v>91</v>
      </c>
      <c r="J336" s="2">
        <v>0.495</v>
      </c>
      <c r="K336" s="2">
        <v>7</v>
      </c>
      <c r="L336" s="2">
        <v>21</v>
      </c>
      <c r="M336" s="2">
        <v>0.33300000000000002</v>
      </c>
      <c r="N336" s="2">
        <v>38</v>
      </c>
      <c r="O336" s="2">
        <v>70</v>
      </c>
      <c r="P336" s="2">
        <v>0.54300000000000004</v>
      </c>
      <c r="Q336" s="2">
        <v>0.53300000000000003</v>
      </c>
      <c r="R336" s="2">
        <v>27</v>
      </c>
      <c r="S336" s="2">
        <v>32</v>
      </c>
      <c r="T336" s="2">
        <v>0.84399999999999997</v>
      </c>
      <c r="U336" s="2">
        <v>9</v>
      </c>
      <c r="V336" s="2">
        <v>30</v>
      </c>
      <c r="W336" s="2">
        <v>39</v>
      </c>
      <c r="X336" s="2">
        <v>23</v>
      </c>
      <c r="Y336" s="2">
        <v>4</v>
      </c>
      <c r="Z336" s="2">
        <v>3</v>
      </c>
      <c r="AA336" s="2">
        <v>14</v>
      </c>
      <c r="AB336" s="2">
        <v>19</v>
      </c>
      <c r="AC336" s="2">
        <v>124</v>
      </c>
      <c r="AD336" s="2">
        <v>0</v>
      </c>
      <c r="AE336" s="18">
        <f t="shared" si="5"/>
        <v>1.6428571428571428</v>
      </c>
    </row>
    <row r="337" spans="1:31" x14ac:dyDescent="0.2">
      <c r="A337" t="s">
        <v>547</v>
      </c>
      <c r="B337" s="2">
        <v>25</v>
      </c>
      <c r="C337" t="s">
        <v>32</v>
      </c>
      <c r="D337" s="2" t="s">
        <v>49</v>
      </c>
      <c r="E337" s="2">
        <v>6</v>
      </c>
      <c r="F337" s="2">
        <v>0</v>
      </c>
      <c r="G337" s="2">
        <v>21</v>
      </c>
      <c r="H337" s="2">
        <v>0</v>
      </c>
      <c r="I337" s="2">
        <v>2</v>
      </c>
      <c r="J337" s="2">
        <v>0</v>
      </c>
      <c r="K337" s="2">
        <v>0</v>
      </c>
      <c r="L337" s="2">
        <v>1</v>
      </c>
      <c r="M337" s="2">
        <v>0</v>
      </c>
      <c r="N337" s="2">
        <v>0</v>
      </c>
      <c r="O337" s="2">
        <v>1</v>
      </c>
      <c r="P337" s="2">
        <v>0</v>
      </c>
      <c r="Q337" s="2">
        <v>0</v>
      </c>
      <c r="R337" s="2">
        <v>2</v>
      </c>
      <c r="S337" s="2">
        <v>4</v>
      </c>
      <c r="T337" s="2">
        <v>0.5</v>
      </c>
      <c r="U337" s="2">
        <v>1</v>
      </c>
      <c r="V337" s="2">
        <v>2</v>
      </c>
      <c r="W337" s="2">
        <v>3</v>
      </c>
      <c r="X337" s="2">
        <v>1</v>
      </c>
      <c r="Y337" s="2">
        <v>0</v>
      </c>
      <c r="Z337" s="2">
        <v>0</v>
      </c>
      <c r="AA337" s="2">
        <v>1</v>
      </c>
      <c r="AB337" s="2">
        <v>4</v>
      </c>
      <c r="AC337" s="2">
        <v>2</v>
      </c>
      <c r="AD337" s="2">
        <v>0</v>
      </c>
      <c r="AE337" s="18">
        <f t="shared" si="5"/>
        <v>1</v>
      </c>
    </row>
    <row r="338" spans="1:31" x14ac:dyDescent="0.2">
      <c r="A338" t="s">
        <v>115</v>
      </c>
      <c r="B338" s="2">
        <v>28</v>
      </c>
      <c r="C338" t="s">
        <v>75</v>
      </c>
      <c r="D338" s="2" t="s">
        <v>52</v>
      </c>
      <c r="E338" s="2">
        <v>26</v>
      </c>
      <c r="F338" s="2">
        <v>7</v>
      </c>
      <c r="G338" s="2">
        <v>727</v>
      </c>
      <c r="H338" s="2">
        <v>143</v>
      </c>
      <c r="I338" s="2">
        <v>330</v>
      </c>
      <c r="J338" s="2">
        <v>0.433</v>
      </c>
      <c r="K338" s="2">
        <v>92</v>
      </c>
      <c r="L338" s="2">
        <v>226</v>
      </c>
      <c r="M338" s="2">
        <v>0.40699999999999997</v>
      </c>
      <c r="N338" s="2">
        <v>51</v>
      </c>
      <c r="O338" s="2">
        <v>104</v>
      </c>
      <c r="P338" s="2">
        <v>0.49</v>
      </c>
      <c r="Q338" s="2">
        <v>0.57299999999999995</v>
      </c>
      <c r="R338" s="2">
        <v>26</v>
      </c>
      <c r="S338" s="2">
        <v>36</v>
      </c>
      <c r="T338" s="2">
        <v>0.72199999999999998</v>
      </c>
      <c r="U338" s="2">
        <v>16</v>
      </c>
      <c r="V338" s="2">
        <v>65</v>
      </c>
      <c r="W338" s="2">
        <v>81</v>
      </c>
      <c r="X338" s="2">
        <v>49</v>
      </c>
      <c r="Y338" s="2">
        <v>19</v>
      </c>
      <c r="Z338" s="2">
        <v>1</v>
      </c>
      <c r="AA338" s="2">
        <v>28</v>
      </c>
      <c r="AB338" s="2">
        <v>34</v>
      </c>
      <c r="AC338" s="2">
        <v>404</v>
      </c>
      <c r="AD338" s="2">
        <v>0</v>
      </c>
      <c r="AE338" s="18">
        <f t="shared" si="5"/>
        <v>1.75</v>
      </c>
    </row>
    <row r="339" spans="1:31" x14ac:dyDescent="0.2">
      <c r="A339" t="s">
        <v>156</v>
      </c>
      <c r="B339" s="2">
        <v>26</v>
      </c>
      <c r="C339" t="s">
        <v>37</v>
      </c>
      <c r="D339" s="2" t="s">
        <v>52</v>
      </c>
      <c r="E339" s="2">
        <v>19</v>
      </c>
      <c r="F339" s="2">
        <v>6</v>
      </c>
      <c r="G339" s="2">
        <v>545</v>
      </c>
      <c r="H339" s="2">
        <v>106</v>
      </c>
      <c r="I339" s="2">
        <v>234</v>
      </c>
      <c r="J339" s="2">
        <v>0.45300000000000001</v>
      </c>
      <c r="K339" s="2">
        <v>44</v>
      </c>
      <c r="L339" s="2">
        <v>117</v>
      </c>
      <c r="M339" s="2">
        <v>0.376</v>
      </c>
      <c r="N339" s="2">
        <v>62</v>
      </c>
      <c r="O339" s="2">
        <v>117</v>
      </c>
      <c r="P339" s="2">
        <v>0.53</v>
      </c>
      <c r="Q339" s="2">
        <v>0.54700000000000004</v>
      </c>
      <c r="R339" s="2">
        <v>42</v>
      </c>
      <c r="S339" s="2">
        <v>50</v>
      </c>
      <c r="T339" s="2">
        <v>0.84</v>
      </c>
      <c r="U339" s="2">
        <v>4</v>
      </c>
      <c r="V339" s="2">
        <v>62</v>
      </c>
      <c r="W339" s="2">
        <v>66</v>
      </c>
      <c r="X339" s="2">
        <v>90</v>
      </c>
      <c r="Y339" s="2">
        <v>15</v>
      </c>
      <c r="Z339" s="2">
        <v>9</v>
      </c>
      <c r="AA339" s="2">
        <v>24</v>
      </c>
      <c r="AB339" s="2">
        <v>42</v>
      </c>
      <c r="AC339" s="2">
        <v>298</v>
      </c>
      <c r="AD339" s="2">
        <v>0</v>
      </c>
      <c r="AE339" s="18">
        <f t="shared" si="5"/>
        <v>3.75</v>
      </c>
    </row>
    <row r="340" spans="1:31" x14ac:dyDescent="0.2">
      <c r="A340" t="s">
        <v>326</v>
      </c>
      <c r="B340" s="2">
        <v>24</v>
      </c>
      <c r="C340" t="s">
        <v>75</v>
      </c>
      <c r="D340" s="2" t="s">
        <v>33</v>
      </c>
      <c r="E340" s="2">
        <v>17</v>
      </c>
      <c r="F340" s="2">
        <v>0</v>
      </c>
      <c r="G340" s="2">
        <v>227</v>
      </c>
      <c r="H340" s="2">
        <v>45</v>
      </c>
      <c r="I340" s="2">
        <v>83</v>
      </c>
      <c r="J340" s="2">
        <v>0.54200000000000004</v>
      </c>
      <c r="K340" s="2">
        <v>14</v>
      </c>
      <c r="L340" s="2">
        <v>36</v>
      </c>
      <c r="M340" s="2">
        <v>0.38900000000000001</v>
      </c>
      <c r="N340" s="2">
        <v>31</v>
      </c>
      <c r="O340" s="2">
        <v>47</v>
      </c>
      <c r="P340" s="2">
        <v>0.66</v>
      </c>
      <c r="Q340" s="2">
        <v>0.627</v>
      </c>
      <c r="R340" s="2">
        <v>6</v>
      </c>
      <c r="S340" s="2">
        <v>6</v>
      </c>
      <c r="T340" s="2">
        <v>1</v>
      </c>
      <c r="U340" s="2">
        <v>7</v>
      </c>
      <c r="V340" s="2">
        <v>11</v>
      </c>
      <c r="W340" s="2">
        <v>18</v>
      </c>
      <c r="X340" s="2">
        <v>28</v>
      </c>
      <c r="Y340" s="2">
        <v>15</v>
      </c>
      <c r="Z340" s="2">
        <v>3</v>
      </c>
      <c r="AA340" s="2">
        <v>13</v>
      </c>
      <c r="AB340" s="2">
        <v>13</v>
      </c>
      <c r="AC340" s="2">
        <v>110</v>
      </c>
      <c r="AD340" s="2">
        <v>0</v>
      </c>
      <c r="AE340" s="18">
        <f t="shared" si="5"/>
        <v>2.1538461538461537</v>
      </c>
    </row>
    <row r="341" spans="1:31" x14ac:dyDescent="0.2">
      <c r="A341" t="s">
        <v>291</v>
      </c>
      <c r="B341" s="2">
        <v>30</v>
      </c>
      <c r="C341" t="s">
        <v>80</v>
      </c>
      <c r="D341" s="2" t="s">
        <v>33</v>
      </c>
      <c r="E341" s="2">
        <v>15</v>
      </c>
      <c r="F341" s="2">
        <v>6</v>
      </c>
      <c r="G341" s="2">
        <v>320</v>
      </c>
      <c r="H341" s="2">
        <v>45</v>
      </c>
      <c r="I341" s="2">
        <v>122</v>
      </c>
      <c r="J341" s="2">
        <v>0.36899999999999999</v>
      </c>
      <c r="K341" s="2">
        <v>25</v>
      </c>
      <c r="L341" s="2">
        <v>77</v>
      </c>
      <c r="M341" s="2">
        <v>0.32500000000000001</v>
      </c>
      <c r="N341" s="2">
        <v>20</v>
      </c>
      <c r="O341" s="2">
        <v>45</v>
      </c>
      <c r="P341" s="2">
        <v>0.44400000000000001</v>
      </c>
      <c r="Q341" s="2">
        <v>0.47099999999999997</v>
      </c>
      <c r="R341" s="2">
        <v>29</v>
      </c>
      <c r="S341" s="2">
        <v>35</v>
      </c>
      <c r="T341" s="2">
        <v>0.82899999999999996</v>
      </c>
      <c r="U341" s="2">
        <v>13</v>
      </c>
      <c r="V341" s="2">
        <v>25</v>
      </c>
      <c r="W341" s="2">
        <v>38</v>
      </c>
      <c r="X341" s="2">
        <v>61</v>
      </c>
      <c r="Y341" s="2">
        <v>22</v>
      </c>
      <c r="Z341" s="2">
        <v>6</v>
      </c>
      <c r="AA341" s="2">
        <v>32</v>
      </c>
      <c r="AB341" s="2">
        <v>26</v>
      </c>
      <c r="AC341" s="2">
        <v>144</v>
      </c>
      <c r="AD341" s="2">
        <v>0</v>
      </c>
      <c r="AE341" s="18">
        <f t="shared" si="5"/>
        <v>1.90625</v>
      </c>
    </row>
    <row r="342" spans="1:31" x14ac:dyDescent="0.2">
      <c r="A342" t="s">
        <v>474</v>
      </c>
      <c r="B342" s="2">
        <v>24</v>
      </c>
      <c r="C342" t="s">
        <v>35</v>
      </c>
      <c r="D342" s="2" t="s">
        <v>49</v>
      </c>
      <c r="E342" s="2">
        <v>11</v>
      </c>
      <c r="F342" s="2">
        <v>0</v>
      </c>
      <c r="G342" s="2">
        <v>35</v>
      </c>
      <c r="H342" s="2">
        <v>6</v>
      </c>
      <c r="I342" s="2">
        <v>16</v>
      </c>
      <c r="J342" s="2">
        <v>0.375</v>
      </c>
      <c r="K342" s="2">
        <v>2</v>
      </c>
      <c r="L342" s="2">
        <v>8</v>
      </c>
      <c r="M342" s="2">
        <v>0.25</v>
      </c>
      <c r="N342" s="2">
        <v>4</v>
      </c>
      <c r="O342" s="2">
        <v>8</v>
      </c>
      <c r="P342" s="2">
        <v>0.5</v>
      </c>
      <c r="Q342" s="2">
        <v>0.438</v>
      </c>
      <c r="R342" s="2">
        <v>4</v>
      </c>
      <c r="S342" s="2">
        <v>4</v>
      </c>
      <c r="T342" s="2">
        <v>1</v>
      </c>
      <c r="U342" s="2">
        <v>2</v>
      </c>
      <c r="V342" s="2">
        <v>7</v>
      </c>
      <c r="W342" s="2">
        <v>9</v>
      </c>
      <c r="X342" s="2">
        <v>1</v>
      </c>
      <c r="Y342" s="2">
        <v>1</v>
      </c>
      <c r="Z342" s="2">
        <v>0</v>
      </c>
      <c r="AA342" s="2">
        <v>7</v>
      </c>
      <c r="AB342" s="2">
        <v>3</v>
      </c>
      <c r="AC342" s="2">
        <v>18</v>
      </c>
      <c r="AD342" s="2">
        <v>0</v>
      </c>
      <c r="AE342" s="18">
        <f t="shared" si="5"/>
        <v>0.14285714285714285</v>
      </c>
    </row>
    <row r="343" spans="1:31" x14ac:dyDescent="0.2">
      <c r="A343" t="s">
        <v>460</v>
      </c>
      <c r="B343" s="2">
        <v>23</v>
      </c>
      <c r="C343" t="s">
        <v>59</v>
      </c>
      <c r="D343" s="2" t="s">
        <v>42</v>
      </c>
      <c r="E343" s="2">
        <v>3</v>
      </c>
      <c r="F343" s="2">
        <v>0</v>
      </c>
      <c r="G343" s="2">
        <v>30</v>
      </c>
      <c r="H343" s="2">
        <v>9</v>
      </c>
      <c r="I343" s="2">
        <v>15</v>
      </c>
      <c r="J343" s="2">
        <v>0.6</v>
      </c>
      <c r="K343" s="2">
        <v>0</v>
      </c>
      <c r="L343" s="2">
        <v>0</v>
      </c>
      <c r="M343" s="2"/>
      <c r="N343" s="2">
        <v>9</v>
      </c>
      <c r="O343" s="2">
        <v>15</v>
      </c>
      <c r="P343" s="2">
        <v>0.6</v>
      </c>
      <c r="Q343" s="2">
        <v>0.6</v>
      </c>
      <c r="R343" s="2">
        <v>4</v>
      </c>
      <c r="S343" s="2">
        <v>5</v>
      </c>
      <c r="T343" s="2">
        <v>0.8</v>
      </c>
      <c r="U343" s="2">
        <v>6</v>
      </c>
      <c r="V343" s="2">
        <v>7</v>
      </c>
      <c r="W343" s="2">
        <v>13</v>
      </c>
      <c r="X343" s="2">
        <v>3</v>
      </c>
      <c r="Y343" s="2">
        <v>1</v>
      </c>
      <c r="Z343" s="2">
        <v>1</v>
      </c>
      <c r="AA343" s="2">
        <v>2</v>
      </c>
      <c r="AB343" s="2">
        <v>2</v>
      </c>
      <c r="AC343" s="2">
        <v>22</v>
      </c>
      <c r="AD343" s="2">
        <v>0</v>
      </c>
      <c r="AE343" s="18">
        <f t="shared" si="5"/>
        <v>1.5</v>
      </c>
    </row>
    <row r="344" spans="1:31" x14ac:dyDescent="0.2">
      <c r="A344" t="s">
        <v>518</v>
      </c>
      <c r="B344" s="2">
        <v>35</v>
      </c>
      <c r="C344" t="s">
        <v>63</v>
      </c>
      <c r="D344" s="2" t="s">
        <v>27</v>
      </c>
      <c r="E344" s="2">
        <v>3</v>
      </c>
      <c r="F344" s="2">
        <v>0</v>
      </c>
      <c r="G344" s="2">
        <v>18</v>
      </c>
      <c r="H344" s="2">
        <v>2</v>
      </c>
      <c r="I344" s="2">
        <v>9</v>
      </c>
      <c r="J344" s="2">
        <v>0.222</v>
      </c>
      <c r="K344" s="2">
        <v>1</v>
      </c>
      <c r="L344" s="2">
        <v>3</v>
      </c>
      <c r="M344" s="2">
        <v>0.33300000000000002</v>
      </c>
      <c r="N344" s="2">
        <v>1</v>
      </c>
      <c r="O344" s="2">
        <v>6</v>
      </c>
      <c r="P344" s="2">
        <v>0.16700000000000001</v>
      </c>
      <c r="Q344" s="2">
        <v>0.27800000000000002</v>
      </c>
      <c r="R344" s="2">
        <v>0</v>
      </c>
      <c r="S344" s="2">
        <v>0</v>
      </c>
      <c r="T344" s="2"/>
      <c r="U344" s="2">
        <v>0</v>
      </c>
      <c r="V344" s="2">
        <v>5</v>
      </c>
      <c r="W344" s="2">
        <v>5</v>
      </c>
      <c r="X344" s="2">
        <v>2</v>
      </c>
      <c r="Y344" s="2">
        <v>0</v>
      </c>
      <c r="Z344" s="2">
        <v>1</v>
      </c>
      <c r="AA344" s="2">
        <v>2</v>
      </c>
      <c r="AB344" s="2">
        <v>0</v>
      </c>
      <c r="AC344" s="2">
        <v>5</v>
      </c>
      <c r="AD344" s="2">
        <v>0</v>
      </c>
      <c r="AE344" s="18">
        <f t="shared" si="5"/>
        <v>1</v>
      </c>
    </row>
    <row r="345" spans="1:31" x14ac:dyDescent="0.2">
      <c r="A345" t="s">
        <v>366</v>
      </c>
      <c r="B345" s="2">
        <v>25</v>
      </c>
      <c r="C345" t="s">
        <v>114</v>
      </c>
      <c r="D345" s="2" t="s">
        <v>42</v>
      </c>
      <c r="E345" s="2">
        <v>16</v>
      </c>
      <c r="F345" s="2">
        <v>1</v>
      </c>
      <c r="G345" s="2">
        <v>135</v>
      </c>
      <c r="H345" s="2">
        <v>33</v>
      </c>
      <c r="I345" s="2">
        <v>61</v>
      </c>
      <c r="J345" s="2">
        <v>0.54100000000000004</v>
      </c>
      <c r="K345" s="2">
        <v>2</v>
      </c>
      <c r="L345" s="2">
        <v>10</v>
      </c>
      <c r="M345" s="2">
        <v>0.2</v>
      </c>
      <c r="N345" s="2">
        <v>31</v>
      </c>
      <c r="O345" s="2">
        <v>51</v>
      </c>
      <c r="P345" s="2">
        <v>0.60799999999999998</v>
      </c>
      <c r="Q345" s="2">
        <v>0.55700000000000005</v>
      </c>
      <c r="R345" s="2">
        <v>10</v>
      </c>
      <c r="S345" s="2">
        <v>15</v>
      </c>
      <c r="T345" s="2">
        <v>0.66700000000000004</v>
      </c>
      <c r="U345" s="2">
        <v>21</v>
      </c>
      <c r="V345" s="2">
        <v>23</v>
      </c>
      <c r="W345" s="2">
        <v>44</v>
      </c>
      <c r="X345" s="2">
        <v>6</v>
      </c>
      <c r="Y345" s="2">
        <v>5</v>
      </c>
      <c r="Z345" s="2">
        <v>5</v>
      </c>
      <c r="AA345" s="2">
        <v>10</v>
      </c>
      <c r="AB345" s="2">
        <v>10</v>
      </c>
      <c r="AC345" s="2">
        <v>78</v>
      </c>
      <c r="AD345" s="2">
        <v>0</v>
      </c>
      <c r="AE345" s="18">
        <f t="shared" si="5"/>
        <v>0.6</v>
      </c>
    </row>
    <row r="346" spans="1:31" x14ac:dyDescent="0.2">
      <c r="A346" t="s">
        <v>561</v>
      </c>
      <c r="B346" s="2">
        <v>26</v>
      </c>
      <c r="C346" t="s">
        <v>37</v>
      </c>
      <c r="D346" s="2" t="s">
        <v>52</v>
      </c>
      <c r="E346" s="2">
        <v>3</v>
      </c>
      <c r="F346" s="2">
        <v>0</v>
      </c>
      <c r="G346" s="2">
        <v>13</v>
      </c>
      <c r="H346" s="2">
        <v>0</v>
      </c>
      <c r="I346" s="2">
        <v>2</v>
      </c>
      <c r="J346" s="2">
        <v>0</v>
      </c>
      <c r="K346" s="2">
        <v>0</v>
      </c>
      <c r="L346" s="2">
        <v>2</v>
      </c>
      <c r="M346" s="2">
        <v>0</v>
      </c>
      <c r="N346" s="2">
        <v>0</v>
      </c>
      <c r="O346" s="2">
        <v>0</v>
      </c>
      <c r="P346" s="2"/>
      <c r="Q346" s="2">
        <v>0</v>
      </c>
      <c r="R346" s="2">
        <v>0</v>
      </c>
      <c r="S346" s="2">
        <v>0</v>
      </c>
      <c r="T346" s="2"/>
      <c r="U346" s="2">
        <v>1</v>
      </c>
      <c r="V346" s="2">
        <v>3</v>
      </c>
      <c r="W346" s="2">
        <v>4</v>
      </c>
      <c r="X346" s="2">
        <v>7</v>
      </c>
      <c r="Y346" s="2">
        <v>0</v>
      </c>
      <c r="Z346" s="2">
        <v>0</v>
      </c>
      <c r="AA346" s="2">
        <v>0</v>
      </c>
      <c r="AB346" s="2">
        <v>1</v>
      </c>
      <c r="AC346" s="2">
        <v>0</v>
      </c>
      <c r="AD346" s="2">
        <v>0</v>
      </c>
      <c r="AE346" s="18" t="e">
        <f t="shared" si="5"/>
        <v>#DIV/0!</v>
      </c>
    </row>
    <row r="347" spans="1:31" x14ac:dyDescent="0.2">
      <c r="A347" t="s">
        <v>335</v>
      </c>
      <c r="B347" s="2">
        <v>34</v>
      </c>
      <c r="C347" t="s">
        <v>54</v>
      </c>
      <c r="D347" s="2" t="s">
        <v>42</v>
      </c>
      <c r="E347" s="2">
        <v>22</v>
      </c>
      <c r="F347" s="2">
        <v>7</v>
      </c>
      <c r="G347" s="2">
        <v>397</v>
      </c>
      <c r="H347" s="2">
        <v>39</v>
      </c>
      <c r="I347" s="2">
        <v>70</v>
      </c>
      <c r="J347" s="2">
        <v>0.55700000000000005</v>
      </c>
      <c r="K347" s="2">
        <v>0</v>
      </c>
      <c r="L347" s="2">
        <v>0</v>
      </c>
      <c r="M347" s="2"/>
      <c r="N347" s="2">
        <v>39</v>
      </c>
      <c r="O347" s="2">
        <v>70</v>
      </c>
      <c r="P347" s="2">
        <v>0.55700000000000005</v>
      </c>
      <c r="Q347" s="2">
        <v>0.55700000000000005</v>
      </c>
      <c r="R347" s="2">
        <v>23</v>
      </c>
      <c r="S347" s="2">
        <v>42</v>
      </c>
      <c r="T347" s="2">
        <v>0.54800000000000004</v>
      </c>
      <c r="U347" s="2">
        <v>34</v>
      </c>
      <c r="V347" s="2">
        <v>100</v>
      </c>
      <c r="W347" s="2">
        <v>134</v>
      </c>
      <c r="X347" s="2">
        <v>37</v>
      </c>
      <c r="Y347" s="2">
        <v>8</v>
      </c>
      <c r="Z347" s="2">
        <v>18</v>
      </c>
      <c r="AA347" s="2">
        <v>20</v>
      </c>
      <c r="AB347" s="2">
        <v>44</v>
      </c>
      <c r="AC347" s="2">
        <v>101</v>
      </c>
      <c r="AD347" s="2">
        <v>0</v>
      </c>
      <c r="AE347" s="18">
        <f t="shared" si="5"/>
        <v>1.85</v>
      </c>
    </row>
    <row r="348" spans="1:31" x14ac:dyDescent="0.2">
      <c r="A348" t="s">
        <v>304</v>
      </c>
      <c r="B348" s="2">
        <v>20</v>
      </c>
      <c r="C348" t="s">
        <v>70</v>
      </c>
      <c r="D348" s="2" t="s">
        <v>49</v>
      </c>
      <c r="E348" s="2">
        <v>24</v>
      </c>
      <c r="F348" s="2">
        <v>0</v>
      </c>
      <c r="G348" s="2">
        <v>304</v>
      </c>
      <c r="H348" s="2">
        <v>44</v>
      </c>
      <c r="I348" s="2">
        <v>110</v>
      </c>
      <c r="J348" s="2">
        <v>0.4</v>
      </c>
      <c r="K348" s="2">
        <v>21</v>
      </c>
      <c r="L348" s="2">
        <v>58</v>
      </c>
      <c r="M348" s="2">
        <v>0.36199999999999999</v>
      </c>
      <c r="N348" s="2">
        <v>23</v>
      </c>
      <c r="O348" s="2">
        <v>52</v>
      </c>
      <c r="P348" s="2">
        <v>0.442</v>
      </c>
      <c r="Q348" s="2">
        <v>0.495</v>
      </c>
      <c r="R348" s="2">
        <v>19</v>
      </c>
      <c r="S348" s="2">
        <v>24</v>
      </c>
      <c r="T348" s="2">
        <v>0.79200000000000004</v>
      </c>
      <c r="U348" s="2">
        <v>11</v>
      </c>
      <c r="V348" s="2">
        <v>50</v>
      </c>
      <c r="W348" s="2">
        <v>61</v>
      </c>
      <c r="X348" s="2">
        <v>9</v>
      </c>
      <c r="Y348" s="2">
        <v>8</v>
      </c>
      <c r="Z348" s="2">
        <v>17</v>
      </c>
      <c r="AA348" s="2">
        <v>17</v>
      </c>
      <c r="AB348" s="2">
        <v>35</v>
      </c>
      <c r="AC348" s="2">
        <v>128</v>
      </c>
      <c r="AD348" s="2">
        <v>0</v>
      </c>
      <c r="AE348" s="18">
        <f t="shared" si="5"/>
        <v>0.52941176470588236</v>
      </c>
    </row>
    <row r="349" spans="1:31" x14ac:dyDescent="0.2">
      <c r="A349" t="s">
        <v>495</v>
      </c>
      <c r="B349" s="2">
        <v>27</v>
      </c>
      <c r="C349" t="s">
        <v>44</v>
      </c>
      <c r="D349" s="2" t="s">
        <v>49</v>
      </c>
      <c r="E349" s="2">
        <v>8</v>
      </c>
      <c r="F349" s="2">
        <v>0</v>
      </c>
      <c r="G349" s="2">
        <v>41</v>
      </c>
      <c r="H349" s="2">
        <v>4</v>
      </c>
      <c r="I349" s="2">
        <v>16</v>
      </c>
      <c r="J349" s="2">
        <v>0.25</v>
      </c>
      <c r="K349" s="2">
        <v>3</v>
      </c>
      <c r="L349" s="2">
        <v>12</v>
      </c>
      <c r="M349" s="2">
        <v>0.25</v>
      </c>
      <c r="N349" s="2">
        <v>1</v>
      </c>
      <c r="O349" s="2">
        <v>4</v>
      </c>
      <c r="P349" s="2">
        <v>0.25</v>
      </c>
      <c r="Q349" s="2">
        <v>0.34399999999999997</v>
      </c>
      <c r="R349" s="2">
        <v>0</v>
      </c>
      <c r="S349" s="2">
        <v>0</v>
      </c>
      <c r="T349" s="2"/>
      <c r="U349" s="2">
        <v>0</v>
      </c>
      <c r="V349" s="2">
        <v>1</v>
      </c>
      <c r="W349" s="2">
        <v>1</v>
      </c>
      <c r="X349" s="2">
        <v>0</v>
      </c>
      <c r="Y349" s="2">
        <v>0</v>
      </c>
      <c r="Z349" s="2">
        <v>0</v>
      </c>
      <c r="AA349" s="2">
        <v>3</v>
      </c>
      <c r="AB349" s="2">
        <v>0</v>
      </c>
      <c r="AC349" s="2">
        <v>11</v>
      </c>
      <c r="AD349" s="2">
        <v>0</v>
      </c>
      <c r="AE349" s="18">
        <f t="shared" si="5"/>
        <v>0</v>
      </c>
    </row>
    <row r="350" spans="1:31" x14ac:dyDescent="0.2">
      <c r="A350" t="s">
        <v>302</v>
      </c>
      <c r="B350" s="2">
        <v>21</v>
      </c>
      <c r="C350" t="s">
        <v>41</v>
      </c>
      <c r="D350" s="2" t="s">
        <v>52</v>
      </c>
      <c r="E350" s="2">
        <v>23</v>
      </c>
      <c r="F350" s="2">
        <v>2</v>
      </c>
      <c r="G350" s="2">
        <v>442</v>
      </c>
      <c r="H350" s="2">
        <v>42</v>
      </c>
      <c r="I350" s="2">
        <v>103</v>
      </c>
      <c r="J350" s="2">
        <v>0.40799999999999997</v>
      </c>
      <c r="K350" s="2">
        <v>14</v>
      </c>
      <c r="L350" s="2">
        <v>48</v>
      </c>
      <c r="M350" s="2">
        <v>0.29199999999999998</v>
      </c>
      <c r="N350" s="2">
        <v>28</v>
      </c>
      <c r="O350" s="2">
        <v>55</v>
      </c>
      <c r="P350" s="2">
        <v>0.50900000000000001</v>
      </c>
      <c r="Q350" s="2">
        <v>0.47599999999999998</v>
      </c>
      <c r="R350" s="2">
        <v>34</v>
      </c>
      <c r="S350" s="2">
        <v>41</v>
      </c>
      <c r="T350" s="2">
        <v>0.82899999999999996</v>
      </c>
      <c r="U350" s="2">
        <v>14</v>
      </c>
      <c r="V350" s="2">
        <v>36</v>
      </c>
      <c r="W350" s="2">
        <v>50</v>
      </c>
      <c r="X350" s="2">
        <v>29</v>
      </c>
      <c r="Y350" s="2">
        <v>18</v>
      </c>
      <c r="Z350" s="2">
        <v>9</v>
      </c>
      <c r="AA350" s="2">
        <v>15</v>
      </c>
      <c r="AB350" s="2">
        <v>30</v>
      </c>
      <c r="AC350" s="2">
        <v>132</v>
      </c>
      <c r="AD350" s="2">
        <v>0</v>
      </c>
      <c r="AE350" s="18">
        <f t="shared" si="5"/>
        <v>1.9333333333333333</v>
      </c>
    </row>
    <row r="351" spans="1:31" x14ac:dyDescent="0.2">
      <c r="A351" t="s">
        <v>453</v>
      </c>
      <c r="B351" s="2">
        <v>33</v>
      </c>
      <c r="C351" t="s">
        <v>63</v>
      </c>
      <c r="D351" s="2" t="s">
        <v>27</v>
      </c>
      <c r="E351" s="2">
        <v>14</v>
      </c>
      <c r="F351" s="2">
        <v>2</v>
      </c>
      <c r="G351" s="2">
        <v>238</v>
      </c>
      <c r="H351" s="2">
        <v>9</v>
      </c>
      <c r="I351" s="2">
        <v>26</v>
      </c>
      <c r="J351" s="2">
        <v>0.34599999999999997</v>
      </c>
      <c r="K351" s="2">
        <v>2</v>
      </c>
      <c r="L351" s="2">
        <v>9</v>
      </c>
      <c r="M351" s="2">
        <v>0.222</v>
      </c>
      <c r="N351" s="2">
        <v>7</v>
      </c>
      <c r="O351" s="2">
        <v>17</v>
      </c>
      <c r="P351" s="2">
        <v>0.41199999999999998</v>
      </c>
      <c r="Q351" s="2">
        <v>0.38500000000000001</v>
      </c>
      <c r="R351" s="2">
        <v>4</v>
      </c>
      <c r="S351" s="2">
        <v>6</v>
      </c>
      <c r="T351" s="2">
        <v>0.66700000000000004</v>
      </c>
      <c r="U351" s="2">
        <v>6</v>
      </c>
      <c r="V351" s="2">
        <v>36</v>
      </c>
      <c r="W351" s="2">
        <v>42</v>
      </c>
      <c r="X351" s="2">
        <v>8</v>
      </c>
      <c r="Y351" s="2">
        <v>2</v>
      </c>
      <c r="Z351" s="2">
        <v>7</v>
      </c>
      <c r="AA351" s="2">
        <v>10</v>
      </c>
      <c r="AB351" s="2">
        <v>29</v>
      </c>
      <c r="AC351" s="2">
        <v>24</v>
      </c>
      <c r="AD351" s="2">
        <v>0</v>
      </c>
      <c r="AE351" s="18">
        <f t="shared" si="5"/>
        <v>0.8</v>
      </c>
    </row>
    <row r="352" spans="1:31" x14ac:dyDescent="0.2">
      <c r="A352" t="s">
        <v>529</v>
      </c>
      <c r="B352" s="2">
        <v>22</v>
      </c>
      <c r="C352" t="s">
        <v>41</v>
      </c>
      <c r="D352" s="2" t="s">
        <v>49</v>
      </c>
      <c r="E352" s="2">
        <v>7</v>
      </c>
      <c r="F352" s="2">
        <v>0</v>
      </c>
      <c r="G352" s="2">
        <v>29</v>
      </c>
      <c r="H352" s="2">
        <v>2</v>
      </c>
      <c r="I352" s="2">
        <v>6</v>
      </c>
      <c r="J352" s="2">
        <v>0.33300000000000002</v>
      </c>
      <c r="K352" s="2">
        <v>0</v>
      </c>
      <c r="L352" s="2">
        <v>0</v>
      </c>
      <c r="M352" s="2"/>
      <c r="N352" s="2">
        <v>2</v>
      </c>
      <c r="O352" s="2">
        <v>6</v>
      </c>
      <c r="P352" s="2">
        <v>0.33300000000000002</v>
      </c>
      <c r="Q352" s="2">
        <v>0.33300000000000002</v>
      </c>
      <c r="R352" s="2">
        <v>0</v>
      </c>
      <c r="S352" s="2">
        <v>0</v>
      </c>
      <c r="T352" s="2"/>
      <c r="U352" s="2">
        <v>2</v>
      </c>
      <c r="V352" s="2">
        <v>0</v>
      </c>
      <c r="W352" s="2">
        <v>2</v>
      </c>
      <c r="X352" s="2">
        <v>2</v>
      </c>
      <c r="Y352" s="2">
        <v>1</v>
      </c>
      <c r="Z352" s="2">
        <v>0</v>
      </c>
      <c r="AA352" s="2">
        <v>2</v>
      </c>
      <c r="AB352" s="2">
        <v>1</v>
      </c>
      <c r="AC352" s="2">
        <v>4</v>
      </c>
      <c r="AD352" s="2">
        <v>0</v>
      </c>
      <c r="AE352" s="18">
        <f t="shared" si="5"/>
        <v>1</v>
      </c>
    </row>
    <row r="353" spans="1:31" x14ac:dyDescent="0.2">
      <c r="A353" t="s">
        <v>468</v>
      </c>
      <c r="B353" s="2">
        <v>26</v>
      </c>
      <c r="C353" t="s">
        <v>120</v>
      </c>
      <c r="D353" s="2" t="s">
        <v>42</v>
      </c>
      <c r="E353" s="2">
        <v>5</v>
      </c>
      <c r="F353" s="2">
        <v>1</v>
      </c>
      <c r="G353" s="2">
        <v>101</v>
      </c>
      <c r="H353" s="2">
        <v>7</v>
      </c>
      <c r="I353" s="2">
        <v>19</v>
      </c>
      <c r="J353" s="2">
        <v>0.36799999999999999</v>
      </c>
      <c r="K353" s="2">
        <v>6</v>
      </c>
      <c r="L353" s="2">
        <v>16</v>
      </c>
      <c r="M353" s="2">
        <v>0.375</v>
      </c>
      <c r="N353" s="2">
        <v>1</v>
      </c>
      <c r="O353" s="2">
        <v>3</v>
      </c>
      <c r="P353" s="2">
        <v>0.33300000000000002</v>
      </c>
      <c r="Q353" s="2">
        <v>0.52600000000000002</v>
      </c>
      <c r="R353" s="2">
        <v>0</v>
      </c>
      <c r="S353" s="2">
        <v>0</v>
      </c>
      <c r="T353" s="2"/>
      <c r="U353" s="2">
        <v>10</v>
      </c>
      <c r="V353" s="2">
        <v>23</v>
      </c>
      <c r="W353" s="2">
        <v>33</v>
      </c>
      <c r="X353" s="2">
        <v>5</v>
      </c>
      <c r="Y353" s="2">
        <v>1</v>
      </c>
      <c r="Z353" s="2">
        <v>3</v>
      </c>
      <c r="AA353" s="2">
        <v>5</v>
      </c>
      <c r="AB353" s="2">
        <v>6</v>
      </c>
      <c r="AC353" s="2">
        <v>20</v>
      </c>
      <c r="AD353" s="2">
        <v>0</v>
      </c>
      <c r="AE353" s="18">
        <f t="shared" si="5"/>
        <v>1</v>
      </c>
    </row>
    <row r="354" spans="1:31" x14ac:dyDescent="0.2">
      <c r="A354" t="s">
        <v>109</v>
      </c>
      <c r="B354" s="2">
        <v>26</v>
      </c>
      <c r="C354" t="s">
        <v>46</v>
      </c>
      <c r="D354" s="2" t="s">
        <v>49</v>
      </c>
      <c r="E354" s="2">
        <v>22</v>
      </c>
      <c r="F354" s="2">
        <v>22</v>
      </c>
      <c r="G354" s="2">
        <v>784</v>
      </c>
      <c r="H354" s="2">
        <v>165</v>
      </c>
      <c r="I354" s="2">
        <v>322</v>
      </c>
      <c r="J354" s="2">
        <v>0.51200000000000001</v>
      </c>
      <c r="K354" s="2">
        <v>52</v>
      </c>
      <c r="L354" s="2">
        <v>134</v>
      </c>
      <c r="M354" s="2">
        <v>0.38800000000000001</v>
      </c>
      <c r="N354" s="2">
        <v>113</v>
      </c>
      <c r="O354" s="2">
        <v>188</v>
      </c>
      <c r="P354" s="2">
        <v>0.60099999999999998</v>
      </c>
      <c r="Q354" s="2">
        <v>0.59299999999999997</v>
      </c>
      <c r="R354" s="2">
        <v>35</v>
      </c>
      <c r="S354" s="2">
        <v>52</v>
      </c>
      <c r="T354" s="2">
        <v>0.67300000000000004</v>
      </c>
      <c r="U354" s="2">
        <v>35</v>
      </c>
      <c r="V354" s="2">
        <v>121</v>
      </c>
      <c r="W354" s="2">
        <v>156</v>
      </c>
      <c r="X354" s="2">
        <v>63</v>
      </c>
      <c r="Y354" s="2">
        <v>19</v>
      </c>
      <c r="Z354" s="2">
        <v>9</v>
      </c>
      <c r="AA354" s="2">
        <v>29</v>
      </c>
      <c r="AB354" s="2">
        <v>49</v>
      </c>
      <c r="AC354" s="2">
        <v>417</v>
      </c>
      <c r="AD354" s="2">
        <v>0</v>
      </c>
      <c r="AE354" s="18">
        <f t="shared" si="5"/>
        <v>2.1724137931034484</v>
      </c>
    </row>
    <row r="355" spans="1:31" x14ac:dyDescent="0.2">
      <c r="A355" t="s">
        <v>105</v>
      </c>
      <c r="B355" s="2">
        <v>28</v>
      </c>
      <c r="C355" t="s">
        <v>44</v>
      </c>
      <c r="D355" s="2" t="s">
        <v>49</v>
      </c>
      <c r="E355" s="2">
        <v>25</v>
      </c>
      <c r="F355" s="2">
        <v>25</v>
      </c>
      <c r="G355" s="2">
        <v>958</v>
      </c>
      <c r="H355" s="2">
        <v>177</v>
      </c>
      <c r="I355" s="2">
        <v>368</v>
      </c>
      <c r="J355" s="2">
        <v>0.48099999999999998</v>
      </c>
      <c r="K355" s="2">
        <v>58</v>
      </c>
      <c r="L355" s="2">
        <v>171</v>
      </c>
      <c r="M355" s="2">
        <v>0.33900000000000002</v>
      </c>
      <c r="N355" s="2">
        <v>119</v>
      </c>
      <c r="O355" s="2">
        <v>197</v>
      </c>
      <c r="P355" s="2">
        <v>0.60399999999999998</v>
      </c>
      <c r="Q355" s="2">
        <v>0.56000000000000005</v>
      </c>
      <c r="R355" s="2">
        <v>13</v>
      </c>
      <c r="S355" s="2">
        <v>21</v>
      </c>
      <c r="T355" s="2">
        <v>0.61899999999999999</v>
      </c>
      <c r="U355" s="2">
        <v>24</v>
      </c>
      <c r="V355" s="2">
        <v>66</v>
      </c>
      <c r="W355" s="2">
        <v>90</v>
      </c>
      <c r="X355" s="2">
        <v>83</v>
      </c>
      <c r="Y355" s="2">
        <v>26</v>
      </c>
      <c r="Z355" s="2">
        <v>13</v>
      </c>
      <c r="AA355" s="2">
        <v>38</v>
      </c>
      <c r="AB355" s="2">
        <v>33</v>
      </c>
      <c r="AC355" s="2">
        <v>425</v>
      </c>
      <c r="AD355" s="2">
        <v>0</v>
      </c>
      <c r="AE355" s="18">
        <f t="shared" si="5"/>
        <v>2.1842105263157894</v>
      </c>
    </row>
    <row r="356" spans="1:31" x14ac:dyDescent="0.2">
      <c r="A356" t="s">
        <v>258</v>
      </c>
      <c r="B356" s="2">
        <v>37</v>
      </c>
      <c r="C356" t="s">
        <v>51</v>
      </c>
      <c r="D356" s="2" t="s">
        <v>33</v>
      </c>
      <c r="E356" s="2">
        <v>19</v>
      </c>
      <c r="F356" s="2">
        <v>19</v>
      </c>
      <c r="G356" s="2">
        <v>485</v>
      </c>
      <c r="H356" s="2">
        <v>53</v>
      </c>
      <c r="I356" s="2">
        <v>146</v>
      </c>
      <c r="J356" s="2">
        <v>0.36299999999999999</v>
      </c>
      <c r="K356" s="2">
        <v>38</v>
      </c>
      <c r="L356" s="2">
        <v>103</v>
      </c>
      <c r="M356" s="2">
        <v>0.36899999999999999</v>
      </c>
      <c r="N356" s="2">
        <v>15</v>
      </c>
      <c r="O356" s="2">
        <v>43</v>
      </c>
      <c r="P356" s="2">
        <v>0.34899999999999998</v>
      </c>
      <c r="Q356" s="2">
        <v>0.49299999999999999</v>
      </c>
      <c r="R356" s="2">
        <v>28</v>
      </c>
      <c r="S356" s="2">
        <v>31</v>
      </c>
      <c r="T356" s="2">
        <v>0.90300000000000002</v>
      </c>
      <c r="U356" s="2">
        <v>9</v>
      </c>
      <c r="V356" s="2">
        <v>47</v>
      </c>
      <c r="W356" s="2">
        <v>56</v>
      </c>
      <c r="X356" s="2">
        <v>84</v>
      </c>
      <c r="Y356" s="2">
        <v>30</v>
      </c>
      <c r="Z356" s="2">
        <v>4</v>
      </c>
      <c r="AA356" s="2">
        <v>27</v>
      </c>
      <c r="AB356" s="2">
        <v>32</v>
      </c>
      <c r="AC356" s="2">
        <v>172</v>
      </c>
      <c r="AD356" s="2">
        <v>0</v>
      </c>
      <c r="AE356" s="18">
        <f t="shared" si="5"/>
        <v>3.1111111111111112</v>
      </c>
    </row>
    <row r="357" spans="1:31" x14ac:dyDescent="0.2">
      <c r="A357" t="s">
        <v>252</v>
      </c>
      <c r="B357" s="2">
        <v>26</v>
      </c>
      <c r="C357" t="s">
        <v>59</v>
      </c>
      <c r="D357" s="2" t="s">
        <v>27</v>
      </c>
      <c r="E357" s="2">
        <v>11</v>
      </c>
      <c r="F357" s="2">
        <v>11</v>
      </c>
      <c r="G357" s="2">
        <v>331</v>
      </c>
      <c r="H357" s="2">
        <v>62</v>
      </c>
      <c r="I357" s="2">
        <v>146</v>
      </c>
      <c r="J357" s="2">
        <v>0.42499999999999999</v>
      </c>
      <c r="K357" s="2">
        <v>24</v>
      </c>
      <c r="L357" s="2">
        <v>69</v>
      </c>
      <c r="M357" s="2">
        <v>0.34799999999999998</v>
      </c>
      <c r="N357" s="2">
        <v>38</v>
      </c>
      <c r="O357" s="2">
        <v>77</v>
      </c>
      <c r="P357" s="2">
        <v>0.49399999999999999</v>
      </c>
      <c r="Q357" s="2">
        <v>0.50700000000000001</v>
      </c>
      <c r="R357" s="2">
        <v>28</v>
      </c>
      <c r="S357" s="2">
        <v>33</v>
      </c>
      <c r="T357" s="2">
        <v>0.84799999999999998</v>
      </c>
      <c r="U357" s="2">
        <v>8</v>
      </c>
      <c r="V357" s="2">
        <v>64</v>
      </c>
      <c r="W357" s="2">
        <v>72</v>
      </c>
      <c r="X357" s="2">
        <v>33</v>
      </c>
      <c r="Y357" s="2">
        <v>7</v>
      </c>
      <c r="Z357" s="2">
        <v>5</v>
      </c>
      <c r="AA357" s="2">
        <v>15</v>
      </c>
      <c r="AB357" s="2">
        <v>15</v>
      </c>
      <c r="AC357" s="2">
        <v>176</v>
      </c>
      <c r="AD357" s="2">
        <v>0</v>
      </c>
      <c r="AE357" s="18">
        <f t="shared" si="5"/>
        <v>2.2000000000000002</v>
      </c>
    </row>
    <row r="358" spans="1:31" x14ac:dyDescent="0.2">
      <c r="A358" t="s">
        <v>220</v>
      </c>
      <c r="B358" s="2">
        <v>24</v>
      </c>
      <c r="C358" t="s">
        <v>44</v>
      </c>
      <c r="D358" s="2" t="s">
        <v>33</v>
      </c>
      <c r="E358" s="2">
        <v>20</v>
      </c>
      <c r="F358" s="2">
        <v>0</v>
      </c>
      <c r="G358" s="2">
        <v>508</v>
      </c>
      <c r="H358" s="2">
        <v>75</v>
      </c>
      <c r="I358" s="2">
        <v>166</v>
      </c>
      <c r="J358" s="2">
        <v>0.45200000000000001</v>
      </c>
      <c r="K358" s="2">
        <v>41</v>
      </c>
      <c r="L358" s="2">
        <v>100</v>
      </c>
      <c r="M358" s="2">
        <v>0.41</v>
      </c>
      <c r="N358" s="2">
        <v>34</v>
      </c>
      <c r="O358" s="2">
        <v>66</v>
      </c>
      <c r="P358" s="2">
        <v>0.51500000000000001</v>
      </c>
      <c r="Q358" s="2">
        <v>0.57499999999999996</v>
      </c>
      <c r="R358" s="2">
        <v>21</v>
      </c>
      <c r="S358" s="2">
        <v>24</v>
      </c>
      <c r="T358" s="2">
        <v>0.875</v>
      </c>
      <c r="U358" s="2">
        <v>11</v>
      </c>
      <c r="V358" s="2">
        <v>40</v>
      </c>
      <c r="W358" s="2">
        <v>51</v>
      </c>
      <c r="X358" s="2">
        <v>57</v>
      </c>
      <c r="Y358" s="2">
        <v>18</v>
      </c>
      <c r="Z358" s="2">
        <v>5</v>
      </c>
      <c r="AA358" s="2">
        <v>21</v>
      </c>
      <c r="AB358" s="2">
        <v>34</v>
      </c>
      <c r="AC358" s="2">
        <v>212</v>
      </c>
      <c r="AD358" s="2">
        <v>0</v>
      </c>
      <c r="AE358" s="18">
        <f t="shared" si="5"/>
        <v>2.7142857142857144</v>
      </c>
    </row>
    <row r="359" spans="1:31" x14ac:dyDescent="0.2">
      <c r="A359" t="s">
        <v>405</v>
      </c>
      <c r="B359" s="2">
        <v>26</v>
      </c>
      <c r="C359" t="s">
        <v>77</v>
      </c>
      <c r="D359" s="2" t="s">
        <v>42</v>
      </c>
      <c r="E359" s="2">
        <v>10</v>
      </c>
      <c r="F359" s="2">
        <v>0</v>
      </c>
      <c r="G359" s="2">
        <v>136</v>
      </c>
      <c r="H359" s="2">
        <v>19</v>
      </c>
      <c r="I359" s="2">
        <v>43</v>
      </c>
      <c r="J359" s="2">
        <v>0.442</v>
      </c>
      <c r="K359" s="2">
        <v>5</v>
      </c>
      <c r="L359" s="2">
        <v>20</v>
      </c>
      <c r="M359" s="2">
        <v>0.25</v>
      </c>
      <c r="N359" s="2">
        <v>14</v>
      </c>
      <c r="O359" s="2">
        <v>23</v>
      </c>
      <c r="P359" s="2">
        <v>0.60899999999999999</v>
      </c>
      <c r="Q359" s="2">
        <v>0.5</v>
      </c>
      <c r="R359" s="2">
        <v>6</v>
      </c>
      <c r="S359" s="2">
        <v>9</v>
      </c>
      <c r="T359" s="2">
        <v>0.66700000000000004</v>
      </c>
      <c r="U359" s="2">
        <v>7</v>
      </c>
      <c r="V359" s="2">
        <v>32</v>
      </c>
      <c r="W359" s="2">
        <v>39</v>
      </c>
      <c r="X359" s="2">
        <v>8</v>
      </c>
      <c r="Y359" s="2">
        <v>7</v>
      </c>
      <c r="Z359" s="2">
        <v>12</v>
      </c>
      <c r="AA359" s="2">
        <v>7</v>
      </c>
      <c r="AB359" s="2">
        <v>22</v>
      </c>
      <c r="AC359" s="2">
        <v>49</v>
      </c>
      <c r="AD359" s="2">
        <v>0</v>
      </c>
      <c r="AE359" s="18">
        <f t="shared" si="5"/>
        <v>1.1428571428571428</v>
      </c>
    </row>
    <row r="360" spans="1:31" x14ac:dyDescent="0.2">
      <c r="A360" t="s">
        <v>341</v>
      </c>
      <c r="B360" s="2">
        <v>29</v>
      </c>
      <c r="C360" t="s">
        <v>54</v>
      </c>
      <c r="D360" s="2" t="s">
        <v>33</v>
      </c>
      <c r="E360" s="2">
        <v>18</v>
      </c>
      <c r="F360" s="2">
        <v>0</v>
      </c>
      <c r="G360" s="2">
        <v>214</v>
      </c>
      <c r="H360" s="2">
        <v>35</v>
      </c>
      <c r="I360" s="2">
        <v>75</v>
      </c>
      <c r="J360" s="2">
        <v>0.46700000000000003</v>
      </c>
      <c r="K360" s="2">
        <v>14</v>
      </c>
      <c r="L360" s="2">
        <v>38</v>
      </c>
      <c r="M360" s="2">
        <v>0.36799999999999999</v>
      </c>
      <c r="N360" s="2">
        <v>21</v>
      </c>
      <c r="O360" s="2">
        <v>37</v>
      </c>
      <c r="P360" s="2">
        <v>0.56799999999999995</v>
      </c>
      <c r="Q360" s="2">
        <v>0.56000000000000005</v>
      </c>
      <c r="R360" s="2">
        <v>14</v>
      </c>
      <c r="S360" s="2">
        <v>16</v>
      </c>
      <c r="T360" s="2">
        <v>0.875</v>
      </c>
      <c r="U360" s="2">
        <v>4</v>
      </c>
      <c r="V360" s="2">
        <v>21</v>
      </c>
      <c r="W360" s="2">
        <v>25</v>
      </c>
      <c r="X360" s="2">
        <v>30</v>
      </c>
      <c r="Y360" s="2">
        <v>7</v>
      </c>
      <c r="Z360" s="2">
        <v>3</v>
      </c>
      <c r="AA360" s="2">
        <v>8</v>
      </c>
      <c r="AB360" s="2">
        <v>10</v>
      </c>
      <c r="AC360" s="2">
        <v>98</v>
      </c>
      <c r="AD360" s="2">
        <v>0</v>
      </c>
      <c r="AE360" s="18">
        <f t="shared" si="5"/>
        <v>3.75</v>
      </c>
    </row>
    <row r="361" spans="1:31" x14ac:dyDescent="0.2">
      <c r="A361" t="s">
        <v>136</v>
      </c>
      <c r="B361" s="2">
        <v>27</v>
      </c>
      <c r="C361" t="s">
        <v>48</v>
      </c>
      <c r="D361" s="2" t="s">
        <v>42</v>
      </c>
      <c r="E361" s="4">
        <v>27</v>
      </c>
      <c r="F361" s="2">
        <v>1</v>
      </c>
      <c r="G361" s="2">
        <v>518</v>
      </c>
      <c r="H361" s="2">
        <v>126</v>
      </c>
      <c r="I361" s="2">
        <v>227</v>
      </c>
      <c r="J361" s="2">
        <v>0.55500000000000005</v>
      </c>
      <c r="K361" s="2">
        <v>23</v>
      </c>
      <c r="L361" s="2">
        <v>67</v>
      </c>
      <c r="M361" s="2">
        <v>0.34300000000000003</v>
      </c>
      <c r="N361" s="2">
        <v>103</v>
      </c>
      <c r="O361" s="2">
        <v>160</v>
      </c>
      <c r="P361" s="2">
        <v>0.64400000000000002</v>
      </c>
      <c r="Q361" s="2">
        <v>0.60599999999999998</v>
      </c>
      <c r="R361" s="2">
        <v>69</v>
      </c>
      <c r="S361" s="2">
        <v>95</v>
      </c>
      <c r="T361" s="2">
        <v>0.72599999999999998</v>
      </c>
      <c r="U361" s="2">
        <v>40</v>
      </c>
      <c r="V361" s="2">
        <v>102</v>
      </c>
      <c r="W361" s="2">
        <v>142</v>
      </c>
      <c r="X361" s="2">
        <v>39</v>
      </c>
      <c r="Y361" s="2">
        <v>22</v>
      </c>
      <c r="Z361" s="2">
        <v>12</v>
      </c>
      <c r="AA361" s="2">
        <v>44</v>
      </c>
      <c r="AB361" s="2">
        <v>50</v>
      </c>
      <c r="AC361" s="2">
        <v>344</v>
      </c>
      <c r="AD361" s="2">
        <v>0</v>
      </c>
      <c r="AE361" s="18">
        <f t="shared" si="5"/>
        <v>0.88636363636363635</v>
      </c>
    </row>
    <row r="362" spans="1:31" x14ac:dyDescent="0.2">
      <c r="A362" t="s">
        <v>444</v>
      </c>
      <c r="B362" s="2">
        <v>25</v>
      </c>
      <c r="C362" t="s">
        <v>82</v>
      </c>
      <c r="D362" s="2" t="s">
        <v>42</v>
      </c>
      <c r="E362" s="2">
        <v>9</v>
      </c>
      <c r="F362" s="2">
        <v>0</v>
      </c>
      <c r="G362" s="2">
        <v>46</v>
      </c>
      <c r="H362" s="2">
        <v>13</v>
      </c>
      <c r="I362" s="2">
        <v>20</v>
      </c>
      <c r="J362" s="2">
        <v>0.65</v>
      </c>
      <c r="K362" s="2">
        <v>0</v>
      </c>
      <c r="L362" s="2">
        <v>0</v>
      </c>
      <c r="M362" s="2"/>
      <c r="N362" s="2">
        <v>13</v>
      </c>
      <c r="O362" s="2">
        <v>20</v>
      </c>
      <c r="P362" s="2">
        <v>0.65</v>
      </c>
      <c r="Q362" s="2">
        <v>0.65</v>
      </c>
      <c r="R362" s="2">
        <v>3</v>
      </c>
      <c r="S362" s="2">
        <v>5</v>
      </c>
      <c r="T362" s="2">
        <v>0.6</v>
      </c>
      <c r="U362" s="2">
        <v>4</v>
      </c>
      <c r="V362" s="2">
        <v>9</v>
      </c>
      <c r="W362" s="2">
        <v>13</v>
      </c>
      <c r="X362" s="2">
        <v>0</v>
      </c>
      <c r="Y362" s="2">
        <v>2</v>
      </c>
      <c r="Z362" s="2">
        <v>1</v>
      </c>
      <c r="AA362" s="2">
        <v>6</v>
      </c>
      <c r="AB362" s="2">
        <v>6</v>
      </c>
      <c r="AC362" s="2">
        <v>29</v>
      </c>
      <c r="AD362" s="2">
        <v>0</v>
      </c>
      <c r="AE362" s="18">
        <f t="shared" si="5"/>
        <v>0</v>
      </c>
    </row>
    <row r="363" spans="1:31" x14ac:dyDescent="0.2">
      <c r="A363" t="s">
        <v>260</v>
      </c>
      <c r="B363" s="2">
        <v>22</v>
      </c>
      <c r="C363" t="s">
        <v>100</v>
      </c>
      <c r="D363" s="2" t="s">
        <v>52</v>
      </c>
      <c r="E363" s="2">
        <v>23</v>
      </c>
      <c r="F363" s="2">
        <v>4</v>
      </c>
      <c r="G363" s="2">
        <v>358</v>
      </c>
      <c r="H363" s="2">
        <v>58</v>
      </c>
      <c r="I363" s="2">
        <v>138</v>
      </c>
      <c r="J363" s="2">
        <v>0.42</v>
      </c>
      <c r="K363" s="2">
        <v>30</v>
      </c>
      <c r="L363" s="2">
        <v>82</v>
      </c>
      <c r="M363" s="2">
        <v>0.36599999999999999</v>
      </c>
      <c r="N363" s="2">
        <v>28</v>
      </c>
      <c r="O363" s="2">
        <v>56</v>
      </c>
      <c r="P363" s="2">
        <v>0.5</v>
      </c>
      <c r="Q363" s="2">
        <v>0.52900000000000003</v>
      </c>
      <c r="R363" s="2">
        <v>25</v>
      </c>
      <c r="S363" s="2">
        <v>35</v>
      </c>
      <c r="T363" s="2">
        <v>0.71399999999999997</v>
      </c>
      <c r="U363" s="2">
        <v>10</v>
      </c>
      <c r="V363" s="2">
        <v>33</v>
      </c>
      <c r="W363" s="2">
        <v>43</v>
      </c>
      <c r="X363" s="2">
        <v>20</v>
      </c>
      <c r="Y363" s="2">
        <v>6</v>
      </c>
      <c r="Z363" s="2">
        <v>6</v>
      </c>
      <c r="AA363" s="2">
        <v>18</v>
      </c>
      <c r="AB363" s="2">
        <v>26</v>
      </c>
      <c r="AC363" s="2">
        <v>171</v>
      </c>
      <c r="AD363" s="2">
        <v>0</v>
      </c>
      <c r="AE363" s="18">
        <f t="shared" si="5"/>
        <v>1.1111111111111112</v>
      </c>
    </row>
    <row r="364" spans="1:31" x14ac:dyDescent="0.2">
      <c r="A364" t="s">
        <v>545</v>
      </c>
      <c r="B364" s="2">
        <v>22</v>
      </c>
      <c r="C364" t="s">
        <v>72</v>
      </c>
      <c r="D364" s="2" t="s">
        <v>27</v>
      </c>
      <c r="E364" s="2">
        <v>2</v>
      </c>
      <c r="F364" s="2">
        <v>0</v>
      </c>
      <c r="G364" s="2">
        <v>11</v>
      </c>
      <c r="H364" s="2">
        <v>1</v>
      </c>
      <c r="I364" s="2">
        <v>4</v>
      </c>
      <c r="J364" s="2">
        <v>0.25</v>
      </c>
      <c r="K364" s="2">
        <v>0</v>
      </c>
      <c r="L364" s="2">
        <v>2</v>
      </c>
      <c r="M364" s="2">
        <v>0</v>
      </c>
      <c r="N364" s="2">
        <v>1</v>
      </c>
      <c r="O364" s="2">
        <v>2</v>
      </c>
      <c r="P364" s="2">
        <v>0.5</v>
      </c>
      <c r="Q364" s="2">
        <v>0.25</v>
      </c>
      <c r="R364" s="2">
        <v>0</v>
      </c>
      <c r="S364" s="2">
        <v>0</v>
      </c>
      <c r="T364" s="2"/>
      <c r="U364" s="2">
        <v>0</v>
      </c>
      <c r="V364" s="2">
        <v>2</v>
      </c>
      <c r="W364" s="2">
        <v>2</v>
      </c>
      <c r="X364" s="2">
        <v>0</v>
      </c>
      <c r="Y364" s="2">
        <v>0</v>
      </c>
      <c r="Z364" s="2">
        <v>0</v>
      </c>
      <c r="AA364" s="2">
        <v>1</v>
      </c>
      <c r="AB364" s="2">
        <v>0</v>
      </c>
      <c r="AC364" s="2">
        <v>2</v>
      </c>
      <c r="AD364" s="2">
        <v>0</v>
      </c>
      <c r="AE364" s="18">
        <f t="shared" si="5"/>
        <v>0</v>
      </c>
    </row>
    <row r="365" spans="1:31" x14ac:dyDescent="0.2">
      <c r="A365" t="s">
        <v>377</v>
      </c>
      <c r="B365" s="2">
        <v>23</v>
      </c>
      <c r="C365" t="s">
        <v>59</v>
      </c>
      <c r="D365" s="2" t="s">
        <v>42</v>
      </c>
      <c r="E365" s="2">
        <v>22</v>
      </c>
      <c r="F365" s="2">
        <v>4</v>
      </c>
      <c r="G365" s="2">
        <v>439</v>
      </c>
      <c r="H365" s="2">
        <v>32</v>
      </c>
      <c r="I365" s="2">
        <v>58</v>
      </c>
      <c r="J365" s="2">
        <v>0.55200000000000005</v>
      </c>
      <c r="K365" s="2">
        <v>0</v>
      </c>
      <c r="L365" s="2">
        <v>0</v>
      </c>
      <c r="M365" s="2"/>
      <c r="N365" s="2">
        <v>32</v>
      </c>
      <c r="O365" s="2">
        <v>58</v>
      </c>
      <c r="P365" s="2">
        <v>0.55200000000000005</v>
      </c>
      <c r="Q365" s="2">
        <v>0.55200000000000005</v>
      </c>
      <c r="R365" s="2">
        <v>5</v>
      </c>
      <c r="S365" s="2">
        <v>15</v>
      </c>
      <c r="T365" s="2">
        <v>0.33300000000000002</v>
      </c>
      <c r="U365" s="2">
        <v>79</v>
      </c>
      <c r="V365" s="2">
        <v>92</v>
      </c>
      <c r="W365" s="2">
        <v>171</v>
      </c>
      <c r="X365" s="2">
        <v>16</v>
      </c>
      <c r="Y365" s="2">
        <v>15</v>
      </c>
      <c r="Z365" s="2">
        <v>21</v>
      </c>
      <c r="AA365" s="2">
        <v>21</v>
      </c>
      <c r="AB365" s="2">
        <v>40</v>
      </c>
      <c r="AC365" s="2">
        <v>69</v>
      </c>
      <c r="AD365" s="2">
        <v>0</v>
      </c>
      <c r="AE365" s="18">
        <f t="shared" si="5"/>
        <v>0.76190476190476186</v>
      </c>
    </row>
    <row r="366" spans="1:31" x14ac:dyDescent="0.2">
      <c r="A366" t="s">
        <v>129</v>
      </c>
      <c r="B366" s="2">
        <v>28</v>
      </c>
      <c r="C366" t="s">
        <v>82</v>
      </c>
      <c r="D366" s="2" t="s">
        <v>42</v>
      </c>
      <c r="E366" s="2">
        <v>23</v>
      </c>
      <c r="F366" s="2">
        <v>23</v>
      </c>
      <c r="G366" s="2">
        <v>734</v>
      </c>
      <c r="H366" s="2">
        <v>127</v>
      </c>
      <c r="I366" s="2">
        <v>268</v>
      </c>
      <c r="J366" s="2">
        <v>0.47399999999999998</v>
      </c>
      <c r="K366" s="2">
        <v>49</v>
      </c>
      <c r="L366" s="2">
        <v>117</v>
      </c>
      <c r="M366" s="2">
        <v>0.41899999999999998</v>
      </c>
      <c r="N366" s="2">
        <v>78</v>
      </c>
      <c r="O366" s="2">
        <v>151</v>
      </c>
      <c r="P366" s="2">
        <v>0.51700000000000002</v>
      </c>
      <c r="Q366" s="2">
        <v>0.56499999999999995</v>
      </c>
      <c r="R366" s="2">
        <v>48</v>
      </c>
      <c r="S366" s="2">
        <v>67</v>
      </c>
      <c r="T366" s="2">
        <v>0.71599999999999997</v>
      </c>
      <c r="U366" s="2">
        <v>28</v>
      </c>
      <c r="V366" s="2">
        <v>135</v>
      </c>
      <c r="W366" s="2">
        <v>163</v>
      </c>
      <c r="X366" s="2">
        <v>37</v>
      </c>
      <c r="Y366" s="2">
        <v>19</v>
      </c>
      <c r="Z366" s="2">
        <v>47</v>
      </c>
      <c r="AA366" s="2">
        <v>60</v>
      </c>
      <c r="AB366" s="2">
        <v>70</v>
      </c>
      <c r="AC366" s="2">
        <v>351</v>
      </c>
      <c r="AD366" s="2">
        <v>0</v>
      </c>
      <c r="AE366" s="18">
        <f t="shared" si="5"/>
        <v>0.6166666666666667</v>
      </c>
    </row>
    <row r="367" spans="1:31" x14ac:dyDescent="0.2">
      <c r="A367" t="s">
        <v>189</v>
      </c>
      <c r="B367" s="2">
        <v>27</v>
      </c>
      <c r="C367" t="s">
        <v>63</v>
      </c>
      <c r="D367" s="2" t="s">
        <v>49</v>
      </c>
      <c r="E367" s="2">
        <v>21</v>
      </c>
      <c r="F367" s="2">
        <v>7</v>
      </c>
      <c r="G367" s="2">
        <v>511</v>
      </c>
      <c r="H367" s="2">
        <v>100</v>
      </c>
      <c r="I367" s="2">
        <v>182</v>
      </c>
      <c r="J367" s="2">
        <v>0.54900000000000004</v>
      </c>
      <c r="K367" s="2">
        <v>17</v>
      </c>
      <c r="L367" s="2">
        <v>55</v>
      </c>
      <c r="M367" s="2">
        <v>0.309</v>
      </c>
      <c r="N367" s="2">
        <v>83</v>
      </c>
      <c r="O367" s="2">
        <v>127</v>
      </c>
      <c r="P367" s="2">
        <v>0.65400000000000003</v>
      </c>
      <c r="Q367" s="2">
        <v>0.59599999999999997</v>
      </c>
      <c r="R367" s="2">
        <v>33</v>
      </c>
      <c r="S367" s="2">
        <v>38</v>
      </c>
      <c r="T367" s="2">
        <v>0.86799999999999999</v>
      </c>
      <c r="U367" s="2">
        <v>23</v>
      </c>
      <c r="V367" s="2">
        <v>48</v>
      </c>
      <c r="W367" s="2">
        <v>71</v>
      </c>
      <c r="X367" s="2">
        <v>50</v>
      </c>
      <c r="Y367" s="2">
        <v>20</v>
      </c>
      <c r="Z367" s="2">
        <v>2</v>
      </c>
      <c r="AA367" s="2">
        <v>31</v>
      </c>
      <c r="AB367" s="2">
        <v>32</v>
      </c>
      <c r="AC367" s="2">
        <v>250</v>
      </c>
      <c r="AD367" s="2">
        <v>0</v>
      </c>
      <c r="AE367" s="18">
        <f t="shared" si="5"/>
        <v>1.6129032258064515</v>
      </c>
    </row>
    <row r="368" spans="1:31" x14ac:dyDescent="0.2">
      <c r="A368" t="s">
        <v>162</v>
      </c>
      <c r="B368" s="2">
        <v>25</v>
      </c>
      <c r="C368" t="s">
        <v>51</v>
      </c>
      <c r="D368" s="2" t="s">
        <v>42</v>
      </c>
      <c r="E368" s="2">
        <v>23</v>
      </c>
      <c r="F368" s="2">
        <v>0</v>
      </c>
      <c r="G368" s="2">
        <v>568</v>
      </c>
      <c r="H368" s="2">
        <v>106</v>
      </c>
      <c r="I368" s="2">
        <v>224</v>
      </c>
      <c r="J368" s="2">
        <v>0.47299999999999998</v>
      </c>
      <c r="K368" s="2">
        <v>41</v>
      </c>
      <c r="L368" s="2">
        <v>117</v>
      </c>
      <c r="M368" s="2">
        <v>0.35</v>
      </c>
      <c r="N368" s="2">
        <v>65</v>
      </c>
      <c r="O368" s="2">
        <v>107</v>
      </c>
      <c r="P368" s="2">
        <v>0.60699999999999998</v>
      </c>
      <c r="Q368" s="2">
        <v>0.56499999999999995</v>
      </c>
      <c r="R368" s="2">
        <v>39</v>
      </c>
      <c r="S368" s="2">
        <v>45</v>
      </c>
      <c r="T368" s="2">
        <v>0.86699999999999999</v>
      </c>
      <c r="U368" s="2">
        <v>15</v>
      </c>
      <c r="V368" s="2">
        <v>105</v>
      </c>
      <c r="W368" s="2">
        <v>120</v>
      </c>
      <c r="X368" s="2">
        <v>37</v>
      </c>
      <c r="Y368" s="2">
        <v>19</v>
      </c>
      <c r="Z368" s="2">
        <v>19</v>
      </c>
      <c r="AA368" s="2">
        <v>28</v>
      </c>
      <c r="AB368" s="2">
        <v>51</v>
      </c>
      <c r="AC368" s="2">
        <v>292</v>
      </c>
      <c r="AD368" s="2">
        <v>0</v>
      </c>
      <c r="AE368" s="18">
        <f t="shared" si="5"/>
        <v>1.3214285714285714</v>
      </c>
    </row>
    <row r="369" spans="1:31" x14ac:dyDescent="0.2">
      <c r="A369" t="s">
        <v>311</v>
      </c>
      <c r="B369" s="2">
        <v>25</v>
      </c>
      <c r="C369" t="s">
        <v>39</v>
      </c>
      <c r="D369" s="2" t="s">
        <v>42</v>
      </c>
      <c r="E369" s="2">
        <v>21</v>
      </c>
      <c r="F369" s="2">
        <v>5</v>
      </c>
      <c r="G369" s="2">
        <v>375</v>
      </c>
      <c r="H369" s="2">
        <v>53</v>
      </c>
      <c r="I369" s="2">
        <v>82</v>
      </c>
      <c r="J369" s="2">
        <v>0.64600000000000002</v>
      </c>
      <c r="K369" s="2">
        <v>0</v>
      </c>
      <c r="L369" s="2">
        <v>2</v>
      </c>
      <c r="M369" s="2">
        <v>0</v>
      </c>
      <c r="N369" s="2">
        <v>53</v>
      </c>
      <c r="O369" s="2">
        <v>80</v>
      </c>
      <c r="P369" s="2">
        <v>0.66300000000000003</v>
      </c>
      <c r="Q369" s="2">
        <v>0.64600000000000002</v>
      </c>
      <c r="R369" s="2">
        <v>18</v>
      </c>
      <c r="S369" s="2">
        <v>24</v>
      </c>
      <c r="T369" s="2">
        <v>0.75</v>
      </c>
      <c r="U369" s="2">
        <v>37</v>
      </c>
      <c r="V369" s="2">
        <v>69</v>
      </c>
      <c r="W369" s="2">
        <v>106</v>
      </c>
      <c r="X369" s="2">
        <v>16</v>
      </c>
      <c r="Y369" s="2">
        <v>5</v>
      </c>
      <c r="Z369" s="2">
        <v>21</v>
      </c>
      <c r="AA369" s="2">
        <v>15</v>
      </c>
      <c r="AB369" s="2">
        <v>45</v>
      </c>
      <c r="AC369" s="2">
        <v>124</v>
      </c>
      <c r="AD369" s="2">
        <v>0</v>
      </c>
      <c r="AE369" s="18">
        <f t="shared" si="5"/>
        <v>1.0666666666666667</v>
      </c>
    </row>
    <row r="370" spans="1:31" x14ac:dyDescent="0.2">
      <c r="A370" t="s">
        <v>253</v>
      </c>
      <c r="B370" s="2">
        <v>25</v>
      </c>
      <c r="C370" t="s">
        <v>103</v>
      </c>
      <c r="D370" s="2" t="s">
        <v>42</v>
      </c>
      <c r="E370" s="2">
        <v>18</v>
      </c>
      <c r="F370" s="2">
        <v>10</v>
      </c>
      <c r="G370" s="2">
        <v>455</v>
      </c>
      <c r="H370" s="2">
        <v>78</v>
      </c>
      <c r="I370" s="2">
        <v>120</v>
      </c>
      <c r="J370" s="2">
        <v>0.65</v>
      </c>
      <c r="K370" s="2">
        <v>1</v>
      </c>
      <c r="L370" s="2">
        <v>3</v>
      </c>
      <c r="M370" s="2">
        <v>0.33300000000000002</v>
      </c>
      <c r="N370" s="2">
        <v>77</v>
      </c>
      <c r="O370" s="2">
        <v>117</v>
      </c>
      <c r="P370" s="2">
        <v>0.65800000000000003</v>
      </c>
      <c r="Q370" s="2">
        <v>0.65400000000000003</v>
      </c>
      <c r="R370" s="2">
        <v>19</v>
      </c>
      <c r="S370" s="2">
        <v>41</v>
      </c>
      <c r="T370" s="2">
        <v>0.46300000000000002</v>
      </c>
      <c r="U370" s="2">
        <v>35</v>
      </c>
      <c r="V370" s="2">
        <v>105</v>
      </c>
      <c r="W370" s="2">
        <v>140</v>
      </c>
      <c r="X370" s="2">
        <v>42</v>
      </c>
      <c r="Y370" s="2">
        <v>13</v>
      </c>
      <c r="Z370" s="2">
        <v>23</v>
      </c>
      <c r="AA370" s="2">
        <v>22</v>
      </c>
      <c r="AB370" s="2">
        <v>46</v>
      </c>
      <c r="AC370" s="2">
        <v>176</v>
      </c>
      <c r="AD370" s="2">
        <v>0</v>
      </c>
      <c r="AE370" s="18">
        <f t="shared" si="5"/>
        <v>1.9090909090909092</v>
      </c>
    </row>
    <row r="371" spans="1:31" x14ac:dyDescent="0.2">
      <c r="A371" t="s">
        <v>334</v>
      </c>
      <c r="B371" s="2">
        <v>27</v>
      </c>
      <c r="C371" t="s">
        <v>59</v>
      </c>
      <c r="D371" s="2" t="s">
        <v>42</v>
      </c>
      <c r="E371" s="2">
        <v>9</v>
      </c>
      <c r="F371" s="2">
        <v>8</v>
      </c>
      <c r="G371" s="2">
        <v>241</v>
      </c>
      <c r="H371" s="2">
        <v>36</v>
      </c>
      <c r="I371" s="2">
        <v>58</v>
      </c>
      <c r="J371" s="2">
        <v>0.621</v>
      </c>
      <c r="K371" s="2">
        <v>0</v>
      </c>
      <c r="L371" s="2">
        <v>1</v>
      </c>
      <c r="M371" s="2">
        <v>0</v>
      </c>
      <c r="N371" s="2">
        <v>36</v>
      </c>
      <c r="O371" s="2">
        <v>57</v>
      </c>
      <c r="P371" s="2">
        <v>0.63200000000000001</v>
      </c>
      <c r="Q371" s="2">
        <v>0.621</v>
      </c>
      <c r="R371" s="2">
        <v>32</v>
      </c>
      <c r="S371" s="2">
        <v>46</v>
      </c>
      <c r="T371" s="2">
        <v>0.69599999999999995</v>
      </c>
      <c r="U371" s="2">
        <v>28</v>
      </c>
      <c r="V371" s="2">
        <v>64</v>
      </c>
      <c r="W371" s="2">
        <v>92</v>
      </c>
      <c r="X371" s="2">
        <v>16</v>
      </c>
      <c r="Y371" s="2">
        <v>4</v>
      </c>
      <c r="Z371" s="2">
        <v>17</v>
      </c>
      <c r="AA371" s="2">
        <v>17</v>
      </c>
      <c r="AB371" s="2">
        <v>28</v>
      </c>
      <c r="AC371" s="2">
        <v>104</v>
      </c>
      <c r="AD371" s="2">
        <v>0</v>
      </c>
      <c r="AE371" s="18">
        <f t="shared" si="5"/>
        <v>0.94117647058823528</v>
      </c>
    </row>
    <row r="372" spans="1:31" x14ac:dyDescent="0.2">
      <c r="A372" t="s">
        <v>420</v>
      </c>
      <c r="B372" s="2">
        <v>20</v>
      </c>
      <c r="C372" t="s">
        <v>59</v>
      </c>
      <c r="D372" s="2" t="s">
        <v>52</v>
      </c>
      <c r="E372" s="2">
        <v>13</v>
      </c>
      <c r="F372" s="2">
        <v>0</v>
      </c>
      <c r="G372" s="2">
        <v>121</v>
      </c>
      <c r="H372" s="2">
        <v>16</v>
      </c>
      <c r="I372" s="2">
        <v>48</v>
      </c>
      <c r="J372" s="2">
        <v>0.33300000000000002</v>
      </c>
      <c r="K372" s="2">
        <v>8</v>
      </c>
      <c r="L372" s="2">
        <v>26</v>
      </c>
      <c r="M372" s="2">
        <v>0.308</v>
      </c>
      <c r="N372" s="2">
        <v>8</v>
      </c>
      <c r="O372" s="2">
        <v>22</v>
      </c>
      <c r="P372" s="2">
        <v>0.36399999999999999</v>
      </c>
      <c r="Q372" s="2">
        <v>0.41699999999999998</v>
      </c>
      <c r="R372" s="2">
        <v>0</v>
      </c>
      <c r="S372" s="2">
        <v>0</v>
      </c>
      <c r="T372" s="2"/>
      <c r="U372" s="2">
        <v>1</v>
      </c>
      <c r="V372" s="2">
        <v>10</v>
      </c>
      <c r="W372" s="2">
        <v>11</v>
      </c>
      <c r="X372" s="2">
        <v>10</v>
      </c>
      <c r="Y372" s="2">
        <v>4</v>
      </c>
      <c r="Z372" s="2">
        <v>1</v>
      </c>
      <c r="AA372" s="2">
        <v>3</v>
      </c>
      <c r="AB372" s="2">
        <v>8</v>
      </c>
      <c r="AC372" s="2">
        <v>40</v>
      </c>
      <c r="AD372" s="2">
        <v>0</v>
      </c>
      <c r="AE372" s="18">
        <f t="shared" si="5"/>
        <v>3.3333333333333335</v>
      </c>
    </row>
    <row r="373" spans="1:31" x14ac:dyDescent="0.2">
      <c r="A373" t="s">
        <v>213</v>
      </c>
      <c r="B373" s="2">
        <v>26</v>
      </c>
      <c r="C373" t="s">
        <v>51</v>
      </c>
      <c r="D373" s="2" t="s">
        <v>52</v>
      </c>
      <c r="E373" s="2">
        <v>23</v>
      </c>
      <c r="F373" s="2">
        <v>2</v>
      </c>
      <c r="G373" s="2">
        <v>553</v>
      </c>
      <c r="H373" s="2">
        <v>80</v>
      </c>
      <c r="I373" s="2">
        <v>155</v>
      </c>
      <c r="J373" s="2">
        <v>0.51600000000000001</v>
      </c>
      <c r="K373" s="2">
        <v>40</v>
      </c>
      <c r="L373" s="2">
        <v>87</v>
      </c>
      <c r="M373" s="2">
        <v>0.46</v>
      </c>
      <c r="N373" s="2">
        <v>40</v>
      </c>
      <c r="O373" s="2">
        <v>68</v>
      </c>
      <c r="P373" s="2">
        <v>0.58799999999999997</v>
      </c>
      <c r="Q373" s="2">
        <v>0.64500000000000002</v>
      </c>
      <c r="R373" s="2">
        <v>22</v>
      </c>
      <c r="S373" s="2">
        <v>30</v>
      </c>
      <c r="T373" s="2">
        <v>0.73299999999999998</v>
      </c>
      <c r="U373" s="2">
        <v>16</v>
      </c>
      <c r="V373" s="2">
        <v>45</v>
      </c>
      <c r="W373" s="2">
        <v>61</v>
      </c>
      <c r="X373" s="2">
        <v>58</v>
      </c>
      <c r="Y373" s="2">
        <v>20</v>
      </c>
      <c r="Z373" s="2">
        <v>9</v>
      </c>
      <c r="AA373" s="2">
        <v>34</v>
      </c>
      <c r="AB373" s="2">
        <v>38</v>
      </c>
      <c r="AC373" s="2">
        <v>222</v>
      </c>
      <c r="AD373" s="2">
        <v>0</v>
      </c>
      <c r="AE373" s="18">
        <f t="shared" si="5"/>
        <v>1.7058823529411764</v>
      </c>
    </row>
    <row r="374" spans="1:31" x14ac:dyDescent="0.2">
      <c r="A374" t="s">
        <v>355</v>
      </c>
      <c r="B374" s="2">
        <v>36</v>
      </c>
      <c r="C374" t="s">
        <v>77</v>
      </c>
      <c r="D374" s="2" t="s">
        <v>27</v>
      </c>
      <c r="E374" s="2">
        <v>25</v>
      </c>
      <c r="F374" s="2">
        <v>0</v>
      </c>
      <c r="G374" s="2">
        <v>449</v>
      </c>
      <c r="H374" s="2">
        <v>30</v>
      </c>
      <c r="I374" s="2">
        <v>82</v>
      </c>
      <c r="J374" s="2">
        <v>0.36599999999999999</v>
      </c>
      <c r="K374" s="2">
        <v>23</v>
      </c>
      <c r="L374" s="2">
        <v>64</v>
      </c>
      <c r="M374" s="2">
        <v>0.35899999999999999</v>
      </c>
      <c r="N374" s="2">
        <v>7</v>
      </c>
      <c r="O374" s="2">
        <v>18</v>
      </c>
      <c r="P374" s="2">
        <v>0.38900000000000001</v>
      </c>
      <c r="Q374" s="2">
        <v>0.50600000000000001</v>
      </c>
      <c r="R374" s="2">
        <v>6</v>
      </c>
      <c r="S374" s="2">
        <v>8</v>
      </c>
      <c r="T374" s="2">
        <v>0.75</v>
      </c>
      <c r="U374" s="2">
        <v>19</v>
      </c>
      <c r="V374" s="2">
        <v>49</v>
      </c>
      <c r="W374" s="2">
        <v>68</v>
      </c>
      <c r="X374" s="2">
        <v>38</v>
      </c>
      <c r="Y374" s="2">
        <v>8</v>
      </c>
      <c r="Z374" s="2">
        <v>11</v>
      </c>
      <c r="AA374" s="2">
        <v>10</v>
      </c>
      <c r="AB374" s="2">
        <v>32</v>
      </c>
      <c r="AC374" s="2">
        <v>89</v>
      </c>
      <c r="AD374" s="2">
        <v>0</v>
      </c>
      <c r="AE374" s="18">
        <f t="shared" si="5"/>
        <v>3.8</v>
      </c>
    </row>
    <row r="375" spans="1:31" x14ac:dyDescent="0.2">
      <c r="A375" t="s">
        <v>45</v>
      </c>
      <c r="B375" s="2">
        <v>29</v>
      </c>
      <c r="C375" t="s">
        <v>46</v>
      </c>
      <c r="D375" s="2" t="s">
        <v>42</v>
      </c>
      <c r="E375" s="2">
        <v>19</v>
      </c>
      <c r="F375" s="2">
        <v>19</v>
      </c>
      <c r="G375" s="2">
        <v>714</v>
      </c>
      <c r="H375" s="2">
        <v>233</v>
      </c>
      <c r="I375" s="2">
        <v>415</v>
      </c>
      <c r="J375" s="2">
        <v>0.56100000000000005</v>
      </c>
      <c r="K375" s="2">
        <v>42</v>
      </c>
      <c r="L375" s="2">
        <v>84</v>
      </c>
      <c r="M375" s="2">
        <v>0.5</v>
      </c>
      <c r="N375" s="2">
        <v>191</v>
      </c>
      <c r="O375" s="2">
        <v>331</v>
      </c>
      <c r="P375" s="2">
        <v>0.57699999999999996</v>
      </c>
      <c r="Q375" s="2">
        <v>0.61199999999999999</v>
      </c>
      <c r="R375" s="2">
        <v>105</v>
      </c>
      <c r="S375" s="2">
        <v>130</v>
      </c>
      <c r="T375" s="2">
        <v>0.80800000000000005</v>
      </c>
      <c r="U375" s="2">
        <v>77</v>
      </c>
      <c r="V375" s="2">
        <v>181</v>
      </c>
      <c r="W375" s="2">
        <v>258</v>
      </c>
      <c r="X375" s="2">
        <v>193</v>
      </c>
      <c r="Y375" s="2">
        <v>34</v>
      </c>
      <c r="Z375" s="2">
        <v>14</v>
      </c>
      <c r="AA375" s="2">
        <v>71</v>
      </c>
      <c r="AB375" s="2">
        <v>39</v>
      </c>
      <c r="AC375" s="2">
        <v>613</v>
      </c>
      <c r="AD375" s="2">
        <v>9</v>
      </c>
      <c r="AE375" s="18">
        <f t="shared" si="5"/>
        <v>2.7183098591549295</v>
      </c>
    </row>
    <row r="376" spans="1:31" x14ac:dyDescent="0.2">
      <c r="A376" t="s">
        <v>312</v>
      </c>
      <c r="B376" s="2">
        <v>21</v>
      </c>
      <c r="C376" t="s">
        <v>61</v>
      </c>
      <c r="D376" s="2" t="s">
        <v>27</v>
      </c>
      <c r="E376" s="2">
        <v>15</v>
      </c>
      <c r="F376" s="2">
        <v>8</v>
      </c>
      <c r="G376" s="2">
        <v>279</v>
      </c>
      <c r="H376" s="2">
        <v>43</v>
      </c>
      <c r="I376" s="2">
        <v>92</v>
      </c>
      <c r="J376" s="2">
        <v>0.46700000000000003</v>
      </c>
      <c r="K376" s="2">
        <v>16</v>
      </c>
      <c r="L376" s="2">
        <v>46</v>
      </c>
      <c r="M376" s="2">
        <v>0.34799999999999998</v>
      </c>
      <c r="N376" s="2">
        <v>27</v>
      </c>
      <c r="O376" s="2">
        <v>46</v>
      </c>
      <c r="P376" s="2">
        <v>0.58699999999999997</v>
      </c>
      <c r="Q376" s="2">
        <v>0.55400000000000005</v>
      </c>
      <c r="R376" s="2">
        <v>20</v>
      </c>
      <c r="S376" s="2">
        <v>27</v>
      </c>
      <c r="T376" s="2">
        <v>0.74099999999999999</v>
      </c>
      <c r="U376" s="2">
        <v>8</v>
      </c>
      <c r="V376" s="2">
        <v>48</v>
      </c>
      <c r="W376" s="2">
        <v>56</v>
      </c>
      <c r="X376" s="2">
        <v>19</v>
      </c>
      <c r="Y376" s="2">
        <v>14</v>
      </c>
      <c r="Z376" s="2">
        <v>2</v>
      </c>
      <c r="AA376" s="2">
        <v>8</v>
      </c>
      <c r="AB376" s="2">
        <v>21</v>
      </c>
      <c r="AC376" s="2">
        <v>122</v>
      </c>
      <c r="AD376" s="2">
        <v>0</v>
      </c>
      <c r="AE376" s="18">
        <f t="shared" si="5"/>
        <v>2.375</v>
      </c>
    </row>
    <row r="377" spans="1:31" x14ac:dyDescent="0.2">
      <c r="A377" t="s">
        <v>69</v>
      </c>
      <c r="B377" s="2">
        <v>34</v>
      </c>
      <c r="C377" t="s">
        <v>70</v>
      </c>
      <c r="D377" s="2" t="s">
        <v>42</v>
      </c>
      <c r="E377" s="2">
        <v>25</v>
      </c>
      <c r="F377" s="2">
        <v>25</v>
      </c>
      <c r="G377" s="2">
        <v>793</v>
      </c>
      <c r="H377" s="2">
        <v>209</v>
      </c>
      <c r="I377" s="2">
        <v>356</v>
      </c>
      <c r="J377" s="2">
        <v>0.58699999999999997</v>
      </c>
      <c r="K377" s="2">
        <v>55</v>
      </c>
      <c r="L377" s="2">
        <v>116</v>
      </c>
      <c r="M377" s="2">
        <v>0.47399999999999998</v>
      </c>
      <c r="N377" s="2">
        <v>154</v>
      </c>
      <c r="O377" s="2">
        <v>240</v>
      </c>
      <c r="P377" s="2">
        <v>0.64200000000000002</v>
      </c>
      <c r="Q377" s="2">
        <v>0.66400000000000003</v>
      </c>
      <c r="R377" s="2">
        <v>52</v>
      </c>
      <c r="S377" s="2">
        <v>61</v>
      </c>
      <c r="T377" s="2">
        <v>0.85199999999999998</v>
      </c>
      <c r="U377" s="2">
        <v>49</v>
      </c>
      <c r="V377" s="2">
        <v>195</v>
      </c>
      <c r="W377" s="2">
        <v>244</v>
      </c>
      <c r="X377" s="2">
        <v>81</v>
      </c>
      <c r="Y377" s="2">
        <v>20</v>
      </c>
      <c r="Z377" s="2">
        <v>19</v>
      </c>
      <c r="AA377" s="2">
        <v>45</v>
      </c>
      <c r="AB377" s="2">
        <v>60</v>
      </c>
      <c r="AC377" s="2">
        <v>525</v>
      </c>
      <c r="AD377" s="2">
        <v>0</v>
      </c>
      <c r="AE377" s="18">
        <f t="shared" si="5"/>
        <v>1.8</v>
      </c>
    </row>
    <row r="378" spans="1:31" x14ac:dyDescent="0.2">
      <c r="A378" t="s">
        <v>320</v>
      </c>
      <c r="B378" s="2">
        <v>20</v>
      </c>
      <c r="C378" t="s">
        <v>103</v>
      </c>
      <c r="D378" s="2" t="s">
        <v>27</v>
      </c>
      <c r="E378" s="2">
        <v>15</v>
      </c>
      <c r="F378" s="2">
        <v>1</v>
      </c>
      <c r="G378" s="2">
        <v>248</v>
      </c>
      <c r="H378" s="2">
        <v>37</v>
      </c>
      <c r="I378" s="2">
        <v>94</v>
      </c>
      <c r="J378" s="2">
        <v>0.39400000000000002</v>
      </c>
      <c r="K378" s="2">
        <v>23</v>
      </c>
      <c r="L378" s="2">
        <v>61</v>
      </c>
      <c r="M378" s="2">
        <v>0.377</v>
      </c>
      <c r="N378" s="2">
        <v>14</v>
      </c>
      <c r="O378" s="2">
        <v>33</v>
      </c>
      <c r="P378" s="2">
        <v>0.42399999999999999</v>
      </c>
      <c r="Q378" s="2">
        <v>0.51600000000000001</v>
      </c>
      <c r="R378" s="2">
        <v>15</v>
      </c>
      <c r="S378" s="2">
        <v>21</v>
      </c>
      <c r="T378" s="2">
        <v>0.71399999999999997</v>
      </c>
      <c r="U378" s="2">
        <v>14</v>
      </c>
      <c r="V378" s="2">
        <v>33</v>
      </c>
      <c r="W378" s="2">
        <v>47</v>
      </c>
      <c r="X378" s="2">
        <v>10</v>
      </c>
      <c r="Y378" s="2">
        <v>5</v>
      </c>
      <c r="Z378" s="2">
        <v>9</v>
      </c>
      <c r="AA378" s="2">
        <v>11</v>
      </c>
      <c r="AB378" s="2">
        <v>36</v>
      </c>
      <c r="AC378" s="2">
        <v>112</v>
      </c>
      <c r="AD378" s="2">
        <v>0</v>
      </c>
      <c r="AE378" s="18">
        <f t="shared" si="5"/>
        <v>0.90909090909090906</v>
      </c>
    </row>
    <row r="379" spans="1:31" x14ac:dyDescent="0.2">
      <c r="A379" t="s">
        <v>106</v>
      </c>
      <c r="B379" s="2">
        <v>31</v>
      </c>
      <c r="C379" t="s">
        <v>77</v>
      </c>
      <c r="D379" s="2" t="s">
        <v>52</v>
      </c>
      <c r="E379" s="2">
        <v>18</v>
      </c>
      <c r="F379" s="2">
        <v>18</v>
      </c>
      <c r="G379" s="2">
        <v>586</v>
      </c>
      <c r="H379" s="2">
        <v>146</v>
      </c>
      <c r="I379" s="2">
        <v>297</v>
      </c>
      <c r="J379" s="2">
        <v>0.49199999999999999</v>
      </c>
      <c r="K379" s="2">
        <v>69</v>
      </c>
      <c r="L379" s="2">
        <v>142</v>
      </c>
      <c r="M379" s="2">
        <v>0.48599999999999999</v>
      </c>
      <c r="N379" s="2">
        <v>77</v>
      </c>
      <c r="O379" s="2">
        <v>155</v>
      </c>
      <c r="P379" s="2">
        <v>0.497</v>
      </c>
      <c r="Q379" s="2">
        <v>0.60799999999999998</v>
      </c>
      <c r="R379" s="2">
        <v>63</v>
      </c>
      <c r="S379" s="2">
        <v>75</v>
      </c>
      <c r="T379" s="2">
        <v>0.84</v>
      </c>
      <c r="U379" s="2">
        <v>5</v>
      </c>
      <c r="V379" s="2">
        <v>49</v>
      </c>
      <c r="W379" s="2">
        <v>54</v>
      </c>
      <c r="X379" s="2">
        <v>45</v>
      </c>
      <c r="Y379" s="2">
        <v>20</v>
      </c>
      <c r="Z379" s="2">
        <v>3</v>
      </c>
      <c r="AA379" s="2">
        <v>38</v>
      </c>
      <c r="AB379" s="2">
        <v>33</v>
      </c>
      <c r="AC379" s="2">
        <v>424</v>
      </c>
      <c r="AD379" s="2">
        <v>0</v>
      </c>
      <c r="AE379" s="18">
        <f t="shared" si="5"/>
        <v>1.1842105263157894</v>
      </c>
    </row>
    <row r="380" spans="1:31" x14ac:dyDescent="0.2">
      <c r="A380" t="s">
        <v>200</v>
      </c>
      <c r="B380" s="2">
        <v>26</v>
      </c>
      <c r="C380" t="s">
        <v>82</v>
      </c>
      <c r="D380" s="2" t="s">
        <v>27</v>
      </c>
      <c r="E380" s="2">
        <v>24</v>
      </c>
      <c r="F380" s="2">
        <v>0</v>
      </c>
      <c r="G380" s="2">
        <v>483</v>
      </c>
      <c r="H380" s="2">
        <v>96</v>
      </c>
      <c r="I380" s="2">
        <v>180</v>
      </c>
      <c r="J380" s="2">
        <v>0.53300000000000003</v>
      </c>
      <c r="K380" s="2">
        <v>28</v>
      </c>
      <c r="L380" s="2">
        <v>85</v>
      </c>
      <c r="M380" s="2">
        <v>0.32900000000000001</v>
      </c>
      <c r="N380" s="2">
        <v>68</v>
      </c>
      <c r="O380" s="2">
        <v>95</v>
      </c>
      <c r="P380" s="2">
        <v>0.71599999999999997</v>
      </c>
      <c r="Q380" s="2">
        <v>0.61099999999999999</v>
      </c>
      <c r="R380" s="2">
        <v>22</v>
      </c>
      <c r="S380" s="2">
        <v>25</v>
      </c>
      <c r="T380" s="2">
        <v>0.88</v>
      </c>
      <c r="U380" s="2">
        <v>17</v>
      </c>
      <c r="V380" s="2">
        <v>74</v>
      </c>
      <c r="W380" s="2">
        <v>91</v>
      </c>
      <c r="X380" s="2">
        <v>43</v>
      </c>
      <c r="Y380" s="2">
        <v>14</v>
      </c>
      <c r="Z380" s="2">
        <v>10</v>
      </c>
      <c r="AA380" s="2">
        <v>17</v>
      </c>
      <c r="AB380" s="2">
        <v>34</v>
      </c>
      <c r="AC380" s="2">
        <v>242</v>
      </c>
      <c r="AD380" s="2">
        <v>0</v>
      </c>
      <c r="AE380" s="18">
        <f t="shared" si="5"/>
        <v>2.5294117647058822</v>
      </c>
    </row>
    <row r="381" spans="1:31" x14ac:dyDescent="0.2">
      <c r="A381" t="s">
        <v>159</v>
      </c>
      <c r="B381" s="2">
        <v>24</v>
      </c>
      <c r="C381" t="s">
        <v>66</v>
      </c>
      <c r="D381" s="2" t="s">
        <v>52</v>
      </c>
      <c r="E381" s="2">
        <v>26</v>
      </c>
      <c r="F381" s="2">
        <v>24</v>
      </c>
      <c r="G381" s="2">
        <v>801</v>
      </c>
      <c r="H381" s="2">
        <v>117</v>
      </c>
      <c r="I381" s="2">
        <v>222</v>
      </c>
      <c r="J381" s="2">
        <v>0.52700000000000002</v>
      </c>
      <c r="K381" s="2">
        <v>46</v>
      </c>
      <c r="L381" s="2">
        <v>101</v>
      </c>
      <c r="M381" s="2">
        <v>0.45500000000000002</v>
      </c>
      <c r="N381" s="2">
        <v>71</v>
      </c>
      <c r="O381" s="2">
        <v>121</v>
      </c>
      <c r="P381" s="2">
        <v>0.58699999999999997</v>
      </c>
      <c r="Q381" s="2">
        <v>0.63100000000000001</v>
      </c>
      <c r="R381" s="2">
        <v>14</v>
      </c>
      <c r="S381" s="2">
        <v>20</v>
      </c>
      <c r="T381" s="2">
        <v>0.7</v>
      </c>
      <c r="U381" s="2">
        <v>25</v>
      </c>
      <c r="V381" s="2">
        <v>83</v>
      </c>
      <c r="W381" s="2">
        <v>108</v>
      </c>
      <c r="X381" s="2">
        <v>52</v>
      </c>
      <c r="Y381" s="2">
        <v>26</v>
      </c>
      <c r="Z381" s="2">
        <v>14</v>
      </c>
      <c r="AA381" s="2">
        <v>23</v>
      </c>
      <c r="AB381" s="2">
        <v>65</v>
      </c>
      <c r="AC381" s="2">
        <v>294</v>
      </c>
      <c r="AD381" s="2">
        <v>0</v>
      </c>
      <c r="AE381" s="18">
        <f t="shared" si="5"/>
        <v>2.2608695652173911</v>
      </c>
    </row>
    <row r="382" spans="1:31" x14ac:dyDescent="0.2">
      <c r="A382" t="s">
        <v>98</v>
      </c>
      <c r="B382" s="2">
        <v>27</v>
      </c>
      <c r="C382" t="s">
        <v>44</v>
      </c>
      <c r="D382" s="2" t="s">
        <v>27</v>
      </c>
      <c r="E382" s="2">
        <v>25</v>
      </c>
      <c r="F382" s="2">
        <v>25</v>
      </c>
      <c r="G382" s="2">
        <v>920</v>
      </c>
      <c r="H382" s="2">
        <v>163</v>
      </c>
      <c r="I382" s="2">
        <v>341</v>
      </c>
      <c r="J382" s="2">
        <v>0.47799999999999998</v>
      </c>
      <c r="K382" s="2">
        <v>55</v>
      </c>
      <c r="L382" s="2">
        <v>154</v>
      </c>
      <c r="M382" s="2">
        <v>0.35699999999999998</v>
      </c>
      <c r="N382" s="2">
        <v>108</v>
      </c>
      <c r="O382" s="2">
        <v>187</v>
      </c>
      <c r="P382" s="2">
        <v>0.57799999999999996</v>
      </c>
      <c r="Q382" s="2">
        <v>0.55900000000000005</v>
      </c>
      <c r="R382" s="2">
        <v>53</v>
      </c>
      <c r="S382" s="2">
        <v>66</v>
      </c>
      <c r="T382" s="2">
        <v>0.80300000000000005</v>
      </c>
      <c r="U382" s="2">
        <v>27</v>
      </c>
      <c r="V382" s="2">
        <v>99</v>
      </c>
      <c r="W382" s="2">
        <v>126</v>
      </c>
      <c r="X382" s="2">
        <v>50</v>
      </c>
      <c r="Y382" s="2">
        <v>39</v>
      </c>
      <c r="Z382" s="2">
        <v>30</v>
      </c>
      <c r="AA382" s="2">
        <v>33</v>
      </c>
      <c r="AB382" s="2">
        <v>64</v>
      </c>
      <c r="AC382" s="2">
        <v>434</v>
      </c>
      <c r="AD382" s="2">
        <v>0</v>
      </c>
      <c r="AE382" s="18">
        <f t="shared" si="5"/>
        <v>1.5151515151515151</v>
      </c>
    </row>
    <row r="383" spans="1:31" x14ac:dyDescent="0.2">
      <c r="A383" t="s">
        <v>442</v>
      </c>
      <c r="B383" s="2">
        <v>22</v>
      </c>
      <c r="C383" t="s">
        <v>63</v>
      </c>
      <c r="D383" s="2" t="s">
        <v>27</v>
      </c>
      <c r="E383" s="2">
        <v>15</v>
      </c>
      <c r="F383" s="2">
        <v>0</v>
      </c>
      <c r="G383" s="2">
        <v>97</v>
      </c>
      <c r="H383" s="2">
        <v>11</v>
      </c>
      <c r="I383" s="2">
        <v>29</v>
      </c>
      <c r="J383" s="2">
        <v>0.379</v>
      </c>
      <c r="K383" s="2">
        <v>3</v>
      </c>
      <c r="L383" s="2">
        <v>9</v>
      </c>
      <c r="M383" s="2">
        <v>0.33300000000000002</v>
      </c>
      <c r="N383" s="2">
        <v>8</v>
      </c>
      <c r="O383" s="2">
        <v>20</v>
      </c>
      <c r="P383" s="2">
        <v>0.4</v>
      </c>
      <c r="Q383" s="2">
        <v>0.43099999999999999</v>
      </c>
      <c r="R383" s="2">
        <v>5</v>
      </c>
      <c r="S383" s="2">
        <v>9</v>
      </c>
      <c r="T383" s="2">
        <v>0.55600000000000005</v>
      </c>
      <c r="U383" s="2">
        <v>11</v>
      </c>
      <c r="V383" s="2">
        <v>15</v>
      </c>
      <c r="W383" s="2">
        <v>26</v>
      </c>
      <c r="X383" s="2">
        <v>4</v>
      </c>
      <c r="Y383" s="2">
        <v>3</v>
      </c>
      <c r="Z383" s="2">
        <v>2</v>
      </c>
      <c r="AA383" s="2">
        <v>1</v>
      </c>
      <c r="AB383" s="2">
        <v>7</v>
      </c>
      <c r="AC383" s="2">
        <v>30</v>
      </c>
      <c r="AD383" s="2">
        <v>0</v>
      </c>
      <c r="AE383" s="18">
        <f t="shared" si="5"/>
        <v>4</v>
      </c>
    </row>
    <row r="384" spans="1:31" x14ac:dyDescent="0.2">
      <c r="A384" t="s">
        <v>179</v>
      </c>
      <c r="B384" s="2">
        <v>24</v>
      </c>
      <c r="C384" t="s">
        <v>72</v>
      </c>
      <c r="D384" s="2" t="s">
        <v>42</v>
      </c>
      <c r="E384" s="2">
        <v>24</v>
      </c>
      <c r="F384" s="2">
        <v>0</v>
      </c>
      <c r="G384" s="2">
        <v>574</v>
      </c>
      <c r="H384" s="2">
        <v>108</v>
      </c>
      <c r="I384" s="2">
        <v>198</v>
      </c>
      <c r="J384" s="2">
        <v>0.54500000000000004</v>
      </c>
      <c r="K384" s="2">
        <v>8</v>
      </c>
      <c r="L384" s="2">
        <v>39</v>
      </c>
      <c r="M384" s="2">
        <v>0.20499999999999999</v>
      </c>
      <c r="N384" s="2">
        <v>100</v>
      </c>
      <c r="O384" s="2">
        <v>159</v>
      </c>
      <c r="P384" s="2">
        <v>0.629</v>
      </c>
      <c r="Q384" s="2">
        <v>0.56599999999999995</v>
      </c>
      <c r="R384" s="2">
        <v>51</v>
      </c>
      <c r="S384" s="2">
        <v>66</v>
      </c>
      <c r="T384" s="2">
        <v>0.77300000000000002</v>
      </c>
      <c r="U384" s="2">
        <v>63</v>
      </c>
      <c r="V384" s="2">
        <v>100</v>
      </c>
      <c r="W384" s="2">
        <v>163</v>
      </c>
      <c r="X384" s="2">
        <v>35</v>
      </c>
      <c r="Y384" s="2">
        <v>17</v>
      </c>
      <c r="Z384" s="2">
        <v>17</v>
      </c>
      <c r="AA384" s="2">
        <v>21</v>
      </c>
      <c r="AB384" s="2">
        <v>55</v>
      </c>
      <c r="AC384" s="2">
        <v>275</v>
      </c>
      <c r="AD384" s="2">
        <v>0</v>
      </c>
      <c r="AE384" s="18">
        <f t="shared" si="5"/>
        <v>1.6666666666666667</v>
      </c>
    </row>
    <row r="385" spans="1:31" x14ac:dyDescent="0.2">
      <c r="A385" t="s">
        <v>491</v>
      </c>
      <c r="B385" s="2">
        <v>24</v>
      </c>
      <c r="C385" t="s">
        <v>37</v>
      </c>
      <c r="D385" s="2" t="s">
        <v>42</v>
      </c>
      <c r="E385" s="2">
        <v>6</v>
      </c>
      <c r="F385" s="2">
        <v>0</v>
      </c>
      <c r="G385" s="2">
        <v>45</v>
      </c>
      <c r="H385" s="2">
        <v>5</v>
      </c>
      <c r="I385" s="2">
        <v>11</v>
      </c>
      <c r="J385" s="2">
        <v>0.45500000000000002</v>
      </c>
      <c r="K385" s="2">
        <v>1</v>
      </c>
      <c r="L385" s="2">
        <v>4</v>
      </c>
      <c r="M385" s="2">
        <v>0.25</v>
      </c>
      <c r="N385" s="2">
        <v>4</v>
      </c>
      <c r="O385" s="2">
        <v>7</v>
      </c>
      <c r="P385" s="2">
        <v>0.57099999999999995</v>
      </c>
      <c r="Q385" s="2">
        <v>0.5</v>
      </c>
      <c r="R385" s="2">
        <v>3</v>
      </c>
      <c r="S385" s="2">
        <v>6</v>
      </c>
      <c r="T385" s="2">
        <v>0.5</v>
      </c>
      <c r="U385" s="2">
        <v>2</v>
      </c>
      <c r="V385" s="2">
        <v>9</v>
      </c>
      <c r="W385" s="2">
        <v>11</v>
      </c>
      <c r="X385" s="2">
        <v>7</v>
      </c>
      <c r="Y385" s="2">
        <v>2</v>
      </c>
      <c r="Z385" s="2">
        <v>1</v>
      </c>
      <c r="AA385" s="2">
        <v>3</v>
      </c>
      <c r="AB385" s="2">
        <v>6</v>
      </c>
      <c r="AC385" s="2">
        <v>14</v>
      </c>
      <c r="AD385" s="2">
        <v>0</v>
      </c>
      <c r="AE385" s="18">
        <f t="shared" si="5"/>
        <v>2.3333333333333335</v>
      </c>
    </row>
    <row r="386" spans="1:31" x14ac:dyDescent="0.2">
      <c r="A386" t="s">
        <v>541</v>
      </c>
      <c r="B386" s="2">
        <v>25</v>
      </c>
      <c r="C386" t="s">
        <v>120</v>
      </c>
      <c r="D386" s="2" t="s">
        <v>27</v>
      </c>
      <c r="E386" s="2">
        <v>1</v>
      </c>
      <c r="F386" s="2">
        <v>0</v>
      </c>
      <c r="G386" s="2">
        <v>16</v>
      </c>
      <c r="H386" s="2">
        <v>0</v>
      </c>
      <c r="I386" s="2">
        <v>0</v>
      </c>
      <c r="J386" s="2"/>
      <c r="K386" s="2">
        <v>0</v>
      </c>
      <c r="L386" s="2">
        <v>0</v>
      </c>
      <c r="M386" s="2"/>
      <c r="N386" s="2">
        <v>0</v>
      </c>
      <c r="O386" s="2">
        <v>0</v>
      </c>
      <c r="P386" s="2"/>
      <c r="Q386" s="2"/>
      <c r="R386" s="2">
        <v>3</v>
      </c>
      <c r="S386" s="2">
        <v>4</v>
      </c>
      <c r="T386" s="2">
        <v>0.75</v>
      </c>
      <c r="U386" s="2">
        <v>3</v>
      </c>
      <c r="V386" s="2">
        <v>6</v>
      </c>
      <c r="W386" s="2">
        <v>9</v>
      </c>
      <c r="X386" s="2">
        <v>0</v>
      </c>
      <c r="Y386" s="2">
        <v>2</v>
      </c>
      <c r="Z386" s="2">
        <v>0</v>
      </c>
      <c r="AA386" s="2">
        <v>1</v>
      </c>
      <c r="AB386" s="2">
        <v>3</v>
      </c>
      <c r="AC386" s="2">
        <v>3</v>
      </c>
      <c r="AD386" s="2">
        <v>0</v>
      </c>
      <c r="AE386" s="18">
        <f t="shared" si="5"/>
        <v>0</v>
      </c>
    </row>
    <row r="387" spans="1:31" x14ac:dyDescent="0.2">
      <c r="A387" t="s">
        <v>365</v>
      </c>
      <c r="B387" s="2">
        <v>22</v>
      </c>
      <c r="C387" t="s">
        <v>54</v>
      </c>
      <c r="D387" s="2" t="s">
        <v>27</v>
      </c>
      <c r="E387" s="2">
        <v>18</v>
      </c>
      <c r="F387" s="2">
        <v>2</v>
      </c>
      <c r="G387" s="2">
        <v>319</v>
      </c>
      <c r="H387" s="2">
        <v>35</v>
      </c>
      <c r="I387" s="2">
        <v>57</v>
      </c>
      <c r="J387" s="2">
        <v>0.61399999999999999</v>
      </c>
      <c r="K387" s="2">
        <v>0</v>
      </c>
      <c r="L387" s="2">
        <v>0</v>
      </c>
      <c r="M387" s="2"/>
      <c r="N387" s="2">
        <v>35</v>
      </c>
      <c r="O387" s="2">
        <v>57</v>
      </c>
      <c r="P387" s="2">
        <v>0.61399999999999999</v>
      </c>
      <c r="Q387" s="2">
        <v>0.61399999999999999</v>
      </c>
      <c r="R387" s="2">
        <v>10</v>
      </c>
      <c r="S387" s="2">
        <v>13</v>
      </c>
      <c r="T387" s="2">
        <v>0.76900000000000002</v>
      </c>
      <c r="U387" s="2">
        <v>22</v>
      </c>
      <c r="V387" s="2">
        <v>52</v>
      </c>
      <c r="W387" s="2">
        <v>74</v>
      </c>
      <c r="X387" s="2">
        <v>19</v>
      </c>
      <c r="Y387" s="2">
        <v>7</v>
      </c>
      <c r="Z387" s="2">
        <v>6</v>
      </c>
      <c r="AA387" s="2">
        <v>12</v>
      </c>
      <c r="AB387" s="2">
        <v>35</v>
      </c>
      <c r="AC387" s="2">
        <v>80</v>
      </c>
      <c r="AD387" s="2">
        <v>0</v>
      </c>
      <c r="AE387" s="18">
        <f t="shared" ref="AE387:AE450" si="6">X387/AA387</f>
        <v>1.5833333333333333</v>
      </c>
    </row>
    <row r="388" spans="1:31" x14ac:dyDescent="0.2">
      <c r="A388" t="s">
        <v>395</v>
      </c>
      <c r="B388" s="2">
        <v>21</v>
      </c>
      <c r="C388" t="s">
        <v>32</v>
      </c>
      <c r="D388" s="2" t="s">
        <v>27</v>
      </c>
      <c r="E388" s="2">
        <v>16</v>
      </c>
      <c r="F388" s="2">
        <v>0</v>
      </c>
      <c r="G388" s="2">
        <v>186</v>
      </c>
      <c r="H388" s="2">
        <v>20</v>
      </c>
      <c r="I388" s="2">
        <v>59</v>
      </c>
      <c r="J388" s="2">
        <v>0.33900000000000002</v>
      </c>
      <c r="K388" s="2">
        <v>9</v>
      </c>
      <c r="L388" s="2">
        <v>36</v>
      </c>
      <c r="M388" s="2">
        <v>0.25</v>
      </c>
      <c r="N388" s="2">
        <v>11</v>
      </c>
      <c r="O388" s="2">
        <v>23</v>
      </c>
      <c r="P388" s="2">
        <v>0.47799999999999998</v>
      </c>
      <c r="Q388" s="2">
        <v>0.41499999999999998</v>
      </c>
      <c r="R388" s="2">
        <v>7</v>
      </c>
      <c r="S388" s="2">
        <v>11</v>
      </c>
      <c r="T388" s="2">
        <v>0.63600000000000001</v>
      </c>
      <c r="U388" s="2">
        <v>9</v>
      </c>
      <c r="V388" s="2">
        <v>33</v>
      </c>
      <c r="W388" s="2">
        <v>42</v>
      </c>
      <c r="X388" s="2">
        <v>13</v>
      </c>
      <c r="Y388" s="2">
        <v>11</v>
      </c>
      <c r="Z388" s="2">
        <v>4</v>
      </c>
      <c r="AA388" s="2">
        <v>4</v>
      </c>
      <c r="AB388" s="2">
        <v>18</v>
      </c>
      <c r="AC388" s="2">
        <v>56</v>
      </c>
      <c r="AD388" s="2">
        <v>0</v>
      </c>
      <c r="AE388" s="18">
        <f t="shared" si="6"/>
        <v>3.25</v>
      </c>
    </row>
    <row r="389" spans="1:31" x14ac:dyDescent="0.2">
      <c r="A389" t="s">
        <v>201</v>
      </c>
      <c r="B389" s="2">
        <v>26</v>
      </c>
      <c r="C389" t="s">
        <v>63</v>
      </c>
      <c r="D389" s="2" t="s">
        <v>27</v>
      </c>
      <c r="E389" s="2">
        <v>19</v>
      </c>
      <c r="F389" s="2">
        <v>18</v>
      </c>
      <c r="G389" s="2">
        <v>619</v>
      </c>
      <c r="H389" s="2">
        <v>88</v>
      </c>
      <c r="I389" s="2">
        <v>195</v>
      </c>
      <c r="J389" s="2">
        <v>0.45100000000000001</v>
      </c>
      <c r="K389" s="2">
        <v>27</v>
      </c>
      <c r="L389" s="2">
        <v>75</v>
      </c>
      <c r="M389" s="2">
        <v>0.36</v>
      </c>
      <c r="N389" s="2">
        <v>61</v>
      </c>
      <c r="O389" s="2">
        <v>120</v>
      </c>
      <c r="P389" s="2">
        <v>0.50800000000000001</v>
      </c>
      <c r="Q389" s="2">
        <v>0.52100000000000002</v>
      </c>
      <c r="R389" s="2">
        <v>38</v>
      </c>
      <c r="S389" s="2">
        <v>50</v>
      </c>
      <c r="T389" s="2">
        <v>0.76</v>
      </c>
      <c r="U389" s="2">
        <v>30</v>
      </c>
      <c r="V389" s="2">
        <v>128</v>
      </c>
      <c r="W389" s="2">
        <v>158</v>
      </c>
      <c r="X389" s="2">
        <v>47</v>
      </c>
      <c r="Y389" s="2">
        <v>25</v>
      </c>
      <c r="Z389" s="2">
        <v>23</v>
      </c>
      <c r="AA389" s="2">
        <v>31</v>
      </c>
      <c r="AB389" s="2">
        <v>38</v>
      </c>
      <c r="AC389" s="2">
        <v>241</v>
      </c>
      <c r="AD389" s="2">
        <v>0</v>
      </c>
      <c r="AE389" s="18">
        <f t="shared" si="6"/>
        <v>1.5161290322580645</v>
      </c>
    </row>
    <row r="390" spans="1:31" x14ac:dyDescent="0.2">
      <c r="A390" t="s">
        <v>470</v>
      </c>
      <c r="B390" s="2">
        <v>19</v>
      </c>
      <c r="C390" t="s">
        <v>44</v>
      </c>
      <c r="D390" s="2" t="s">
        <v>52</v>
      </c>
      <c r="E390" s="2">
        <v>11</v>
      </c>
      <c r="F390" s="2">
        <v>0</v>
      </c>
      <c r="G390" s="2">
        <v>77</v>
      </c>
      <c r="H390" s="2">
        <v>6</v>
      </c>
      <c r="I390" s="2">
        <v>18</v>
      </c>
      <c r="J390" s="2">
        <v>0.33300000000000002</v>
      </c>
      <c r="K390" s="2">
        <v>5</v>
      </c>
      <c r="L390" s="2">
        <v>12</v>
      </c>
      <c r="M390" s="2">
        <v>0.41699999999999998</v>
      </c>
      <c r="N390" s="2">
        <v>1</v>
      </c>
      <c r="O390" s="2">
        <v>6</v>
      </c>
      <c r="P390" s="2">
        <v>0.16700000000000001</v>
      </c>
      <c r="Q390" s="2">
        <v>0.47199999999999998</v>
      </c>
      <c r="R390" s="2">
        <v>2</v>
      </c>
      <c r="S390" s="2">
        <v>2</v>
      </c>
      <c r="T390" s="2">
        <v>1</v>
      </c>
      <c r="U390" s="2">
        <v>0</v>
      </c>
      <c r="V390" s="2">
        <v>13</v>
      </c>
      <c r="W390" s="2">
        <v>13</v>
      </c>
      <c r="X390" s="2">
        <v>5</v>
      </c>
      <c r="Y390" s="2">
        <v>1</v>
      </c>
      <c r="Z390" s="2">
        <v>2</v>
      </c>
      <c r="AA390" s="2">
        <v>1</v>
      </c>
      <c r="AB390" s="2">
        <v>5</v>
      </c>
      <c r="AC390" s="2">
        <v>19</v>
      </c>
      <c r="AD390" s="2">
        <v>0</v>
      </c>
      <c r="AE390" s="18">
        <f t="shared" si="6"/>
        <v>5</v>
      </c>
    </row>
    <row r="391" spans="1:31" x14ac:dyDescent="0.2">
      <c r="A391" t="s">
        <v>286</v>
      </c>
      <c r="B391" s="2">
        <v>22</v>
      </c>
      <c r="C391" t="s">
        <v>48</v>
      </c>
      <c r="D391" s="2" t="s">
        <v>27</v>
      </c>
      <c r="E391" s="2">
        <v>5</v>
      </c>
      <c r="F391" s="2">
        <v>5</v>
      </c>
      <c r="G391" s="2">
        <v>182</v>
      </c>
      <c r="H391" s="2">
        <v>48</v>
      </c>
      <c r="I391" s="2">
        <v>97</v>
      </c>
      <c r="J391" s="2">
        <v>0.495</v>
      </c>
      <c r="K391" s="2">
        <v>11</v>
      </c>
      <c r="L391" s="2">
        <v>32</v>
      </c>
      <c r="M391" s="2">
        <v>0.34399999999999997</v>
      </c>
      <c r="N391" s="2">
        <v>37</v>
      </c>
      <c r="O391" s="2">
        <v>65</v>
      </c>
      <c r="P391" s="2">
        <v>0.56899999999999995</v>
      </c>
      <c r="Q391" s="2">
        <v>0.55200000000000005</v>
      </c>
      <c r="R391" s="2">
        <v>38</v>
      </c>
      <c r="S391" s="2">
        <v>59</v>
      </c>
      <c r="T391" s="2">
        <v>0.64400000000000002</v>
      </c>
      <c r="U391" s="2">
        <v>12</v>
      </c>
      <c r="V391" s="2">
        <v>32</v>
      </c>
      <c r="W391" s="2">
        <v>44</v>
      </c>
      <c r="X391" s="2">
        <v>28</v>
      </c>
      <c r="Y391" s="2">
        <v>3</v>
      </c>
      <c r="Z391" s="2">
        <v>4</v>
      </c>
      <c r="AA391" s="2">
        <v>11</v>
      </c>
      <c r="AB391" s="2">
        <v>13</v>
      </c>
      <c r="AC391" s="2">
        <v>145</v>
      </c>
      <c r="AD391" s="2">
        <v>0</v>
      </c>
      <c r="AE391" s="18">
        <f t="shared" si="6"/>
        <v>2.5454545454545454</v>
      </c>
    </row>
    <row r="392" spans="1:31" x14ac:dyDescent="0.2">
      <c r="A392" t="s">
        <v>81</v>
      </c>
      <c r="B392" s="2">
        <v>30</v>
      </c>
      <c r="C392" t="s">
        <v>82</v>
      </c>
      <c r="D392" s="2" t="s">
        <v>27</v>
      </c>
      <c r="E392" s="2">
        <v>25</v>
      </c>
      <c r="F392" s="2">
        <v>25</v>
      </c>
      <c r="G392" s="2">
        <v>861</v>
      </c>
      <c r="H392" s="2">
        <v>189</v>
      </c>
      <c r="I392" s="2">
        <v>360</v>
      </c>
      <c r="J392" s="2">
        <v>0.52500000000000002</v>
      </c>
      <c r="K392" s="2">
        <v>44</v>
      </c>
      <c r="L392" s="2">
        <v>107</v>
      </c>
      <c r="M392" s="2">
        <v>0.41099999999999998</v>
      </c>
      <c r="N392" s="2">
        <v>145</v>
      </c>
      <c r="O392" s="2">
        <v>253</v>
      </c>
      <c r="P392" s="2">
        <v>0.57299999999999995</v>
      </c>
      <c r="Q392" s="2">
        <v>0.58599999999999997</v>
      </c>
      <c r="R392" s="2">
        <v>71</v>
      </c>
      <c r="S392" s="2">
        <v>89</v>
      </c>
      <c r="T392" s="2">
        <v>0.79800000000000004</v>
      </c>
      <c r="U392" s="2">
        <v>44</v>
      </c>
      <c r="V392" s="2">
        <v>120</v>
      </c>
      <c r="W392" s="2">
        <v>164</v>
      </c>
      <c r="X392" s="2">
        <v>89</v>
      </c>
      <c r="Y392" s="2">
        <v>23</v>
      </c>
      <c r="Z392" s="2">
        <v>6</v>
      </c>
      <c r="AA392" s="2">
        <v>38</v>
      </c>
      <c r="AB392" s="2">
        <v>74</v>
      </c>
      <c r="AC392" s="2">
        <v>493</v>
      </c>
      <c r="AD392" s="2">
        <v>0</v>
      </c>
      <c r="AE392" s="18">
        <f t="shared" si="6"/>
        <v>2.3421052631578947</v>
      </c>
    </row>
    <row r="393" spans="1:31" x14ac:dyDescent="0.2">
      <c r="A393" t="s">
        <v>373</v>
      </c>
      <c r="B393" s="2">
        <v>32</v>
      </c>
      <c r="C393" t="s">
        <v>35</v>
      </c>
      <c r="D393" s="2" t="s">
        <v>52</v>
      </c>
      <c r="E393" s="2">
        <v>15</v>
      </c>
      <c r="F393" s="2">
        <v>0</v>
      </c>
      <c r="G393" s="2">
        <v>255</v>
      </c>
      <c r="H393" s="2">
        <v>26</v>
      </c>
      <c r="I393" s="2">
        <v>70</v>
      </c>
      <c r="J393" s="2">
        <v>0.371</v>
      </c>
      <c r="K393" s="2">
        <v>13</v>
      </c>
      <c r="L393" s="2">
        <v>44</v>
      </c>
      <c r="M393" s="2">
        <v>0.29499999999999998</v>
      </c>
      <c r="N393" s="2">
        <v>13</v>
      </c>
      <c r="O393" s="2">
        <v>26</v>
      </c>
      <c r="P393" s="2">
        <v>0.5</v>
      </c>
      <c r="Q393" s="2">
        <v>0.46400000000000002</v>
      </c>
      <c r="R393" s="2">
        <v>9</v>
      </c>
      <c r="S393" s="2">
        <v>12</v>
      </c>
      <c r="T393" s="2">
        <v>0.75</v>
      </c>
      <c r="U393" s="2">
        <v>8</v>
      </c>
      <c r="V393" s="2">
        <v>37</v>
      </c>
      <c r="W393" s="2">
        <v>45</v>
      </c>
      <c r="X393" s="2">
        <v>26</v>
      </c>
      <c r="Y393" s="2">
        <v>3</v>
      </c>
      <c r="Z393" s="2">
        <v>5</v>
      </c>
      <c r="AA393" s="2">
        <v>11</v>
      </c>
      <c r="AB393" s="2">
        <v>19</v>
      </c>
      <c r="AC393" s="2">
        <v>74</v>
      </c>
      <c r="AD393" s="2">
        <v>0</v>
      </c>
      <c r="AE393" s="18">
        <f t="shared" si="6"/>
        <v>2.3636363636363638</v>
      </c>
    </row>
    <row r="394" spans="1:31" x14ac:dyDescent="0.2">
      <c r="A394" t="s">
        <v>492</v>
      </c>
      <c r="B394" s="2">
        <v>28</v>
      </c>
      <c r="C394" t="s">
        <v>100</v>
      </c>
      <c r="D394" s="2" t="s">
        <v>33</v>
      </c>
      <c r="E394" s="2">
        <v>8</v>
      </c>
      <c r="F394" s="2">
        <v>0</v>
      </c>
      <c r="G394" s="2">
        <v>44</v>
      </c>
      <c r="H394" s="2">
        <v>6</v>
      </c>
      <c r="I394" s="2">
        <v>16</v>
      </c>
      <c r="J394" s="2">
        <v>0.375</v>
      </c>
      <c r="K394" s="2">
        <v>0</v>
      </c>
      <c r="L394" s="2">
        <v>3</v>
      </c>
      <c r="M394" s="2">
        <v>0</v>
      </c>
      <c r="N394" s="2">
        <v>6</v>
      </c>
      <c r="O394" s="2">
        <v>13</v>
      </c>
      <c r="P394" s="2">
        <v>0.46200000000000002</v>
      </c>
      <c r="Q394" s="2">
        <v>0.375</v>
      </c>
      <c r="R394" s="2">
        <v>2</v>
      </c>
      <c r="S394" s="2">
        <v>2</v>
      </c>
      <c r="T394" s="2">
        <v>1</v>
      </c>
      <c r="U394" s="2">
        <v>4</v>
      </c>
      <c r="V394" s="2">
        <v>3</v>
      </c>
      <c r="W394" s="2">
        <v>7</v>
      </c>
      <c r="X394" s="2">
        <v>12</v>
      </c>
      <c r="Y394" s="2">
        <v>5</v>
      </c>
      <c r="Z394" s="2">
        <v>0</v>
      </c>
      <c r="AA394" s="2">
        <v>4</v>
      </c>
      <c r="AB394" s="2">
        <v>4</v>
      </c>
      <c r="AC394" s="2">
        <v>14</v>
      </c>
      <c r="AD394" s="2">
        <v>0</v>
      </c>
      <c r="AE394" s="18">
        <f t="shared" si="6"/>
        <v>3</v>
      </c>
    </row>
    <row r="395" spans="1:31" x14ac:dyDescent="0.2">
      <c r="A395" t="s">
        <v>452</v>
      </c>
      <c r="B395" s="2">
        <v>22</v>
      </c>
      <c r="C395" t="s">
        <v>114</v>
      </c>
      <c r="D395" s="2" t="s">
        <v>49</v>
      </c>
      <c r="E395" s="2">
        <v>11</v>
      </c>
      <c r="F395" s="2">
        <v>0</v>
      </c>
      <c r="G395" s="2">
        <v>56</v>
      </c>
      <c r="H395" s="2">
        <v>9</v>
      </c>
      <c r="I395" s="2">
        <v>19</v>
      </c>
      <c r="J395" s="2">
        <v>0.47399999999999998</v>
      </c>
      <c r="K395" s="2">
        <v>5</v>
      </c>
      <c r="L395" s="2">
        <v>11</v>
      </c>
      <c r="M395" s="2">
        <v>0.45500000000000002</v>
      </c>
      <c r="N395" s="2">
        <v>4</v>
      </c>
      <c r="O395" s="2">
        <v>8</v>
      </c>
      <c r="P395" s="2">
        <v>0.5</v>
      </c>
      <c r="Q395" s="2">
        <v>0.60499999999999998</v>
      </c>
      <c r="R395" s="2">
        <v>2</v>
      </c>
      <c r="S395" s="2">
        <v>4</v>
      </c>
      <c r="T395" s="2">
        <v>0.5</v>
      </c>
      <c r="U395" s="2">
        <v>3</v>
      </c>
      <c r="V395" s="2">
        <v>9</v>
      </c>
      <c r="W395" s="2">
        <v>12</v>
      </c>
      <c r="X395" s="2">
        <v>1</v>
      </c>
      <c r="Y395" s="2">
        <v>2</v>
      </c>
      <c r="Z395" s="2">
        <v>2</v>
      </c>
      <c r="AA395" s="2">
        <v>2</v>
      </c>
      <c r="AB395" s="2">
        <v>4</v>
      </c>
      <c r="AC395" s="2">
        <v>25</v>
      </c>
      <c r="AD395" s="2">
        <v>0</v>
      </c>
      <c r="AE395" s="18">
        <f t="shared" si="6"/>
        <v>0.5</v>
      </c>
    </row>
    <row r="396" spans="1:31" x14ac:dyDescent="0.2">
      <c r="A396" t="s">
        <v>283</v>
      </c>
      <c r="B396" s="2">
        <v>23</v>
      </c>
      <c r="C396" t="s">
        <v>70</v>
      </c>
      <c r="D396" s="2" t="s">
        <v>27</v>
      </c>
      <c r="E396" s="2">
        <v>15</v>
      </c>
      <c r="F396" s="2">
        <v>15</v>
      </c>
      <c r="G396" s="2">
        <v>433</v>
      </c>
      <c r="H396" s="2">
        <v>50</v>
      </c>
      <c r="I396" s="2">
        <v>133</v>
      </c>
      <c r="J396" s="2">
        <v>0.376</v>
      </c>
      <c r="K396" s="2">
        <v>28</v>
      </c>
      <c r="L396" s="2">
        <v>71</v>
      </c>
      <c r="M396" s="2">
        <v>0.39400000000000002</v>
      </c>
      <c r="N396" s="2">
        <v>22</v>
      </c>
      <c r="O396" s="2">
        <v>62</v>
      </c>
      <c r="P396" s="2">
        <v>0.35499999999999998</v>
      </c>
      <c r="Q396" s="2">
        <v>0.48099999999999998</v>
      </c>
      <c r="R396" s="2">
        <v>21</v>
      </c>
      <c r="S396" s="2">
        <v>25</v>
      </c>
      <c r="T396" s="2">
        <v>0.84</v>
      </c>
      <c r="U396" s="2">
        <v>16</v>
      </c>
      <c r="V396" s="2">
        <v>59</v>
      </c>
      <c r="W396" s="2">
        <v>75</v>
      </c>
      <c r="X396" s="2">
        <v>35</v>
      </c>
      <c r="Y396" s="2">
        <v>15</v>
      </c>
      <c r="Z396" s="2">
        <v>8</v>
      </c>
      <c r="AA396" s="2">
        <v>29</v>
      </c>
      <c r="AB396" s="2">
        <v>21</v>
      </c>
      <c r="AC396" s="2">
        <v>149</v>
      </c>
      <c r="AD396" s="2">
        <v>0</v>
      </c>
      <c r="AE396" s="18">
        <f t="shared" si="6"/>
        <v>1.2068965517241379</v>
      </c>
    </row>
    <row r="397" spans="1:31" x14ac:dyDescent="0.2">
      <c r="A397" t="s">
        <v>436</v>
      </c>
      <c r="B397" s="2">
        <v>36</v>
      </c>
      <c r="C397" t="s">
        <v>120</v>
      </c>
      <c r="D397" s="2" t="s">
        <v>33</v>
      </c>
      <c r="E397" s="2">
        <v>9</v>
      </c>
      <c r="F397" s="2">
        <v>0</v>
      </c>
      <c r="G397" s="2">
        <v>138</v>
      </c>
      <c r="H397" s="2">
        <v>11</v>
      </c>
      <c r="I397" s="2">
        <v>31</v>
      </c>
      <c r="J397" s="2">
        <v>0.35499999999999998</v>
      </c>
      <c r="K397" s="2">
        <v>7</v>
      </c>
      <c r="L397" s="2">
        <v>24</v>
      </c>
      <c r="M397" s="2">
        <v>0.29199999999999998</v>
      </c>
      <c r="N397" s="2">
        <v>4</v>
      </c>
      <c r="O397" s="2">
        <v>7</v>
      </c>
      <c r="P397" s="2">
        <v>0.57099999999999995</v>
      </c>
      <c r="Q397" s="2">
        <v>0.46800000000000003</v>
      </c>
      <c r="R397" s="2">
        <v>3</v>
      </c>
      <c r="S397" s="2">
        <v>3</v>
      </c>
      <c r="T397" s="2">
        <v>1</v>
      </c>
      <c r="U397" s="2">
        <v>1</v>
      </c>
      <c r="V397" s="2">
        <v>7</v>
      </c>
      <c r="W397" s="2">
        <v>8</v>
      </c>
      <c r="X397" s="2">
        <v>13</v>
      </c>
      <c r="Y397" s="2">
        <v>6</v>
      </c>
      <c r="Z397" s="2">
        <v>2</v>
      </c>
      <c r="AA397" s="2">
        <v>8</v>
      </c>
      <c r="AB397" s="2">
        <v>8</v>
      </c>
      <c r="AC397" s="2">
        <v>32</v>
      </c>
      <c r="AD397" s="2">
        <v>0</v>
      </c>
      <c r="AE397" s="18">
        <f t="shared" si="6"/>
        <v>1.625</v>
      </c>
    </row>
    <row r="398" spans="1:31" x14ac:dyDescent="0.2">
      <c r="A398" t="s">
        <v>239</v>
      </c>
      <c r="B398" s="2">
        <v>34</v>
      </c>
      <c r="C398" t="s">
        <v>122</v>
      </c>
      <c r="D398" s="2" t="s">
        <v>27</v>
      </c>
      <c r="E398" s="2">
        <v>12</v>
      </c>
      <c r="F398" s="2">
        <v>12</v>
      </c>
      <c r="G398" s="2">
        <v>367</v>
      </c>
      <c r="H398" s="2">
        <v>69</v>
      </c>
      <c r="I398" s="2">
        <v>167</v>
      </c>
      <c r="J398" s="2">
        <v>0.41299999999999998</v>
      </c>
      <c r="K398" s="2">
        <v>24</v>
      </c>
      <c r="L398" s="2">
        <v>77</v>
      </c>
      <c r="M398" s="2">
        <v>0.312</v>
      </c>
      <c r="N398" s="2">
        <v>45</v>
      </c>
      <c r="O398" s="2">
        <v>90</v>
      </c>
      <c r="P398" s="2">
        <v>0.5</v>
      </c>
      <c r="Q398" s="2">
        <v>0.48499999999999999</v>
      </c>
      <c r="R398" s="2">
        <v>30</v>
      </c>
      <c r="S398" s="2">
        <v>37</v>
      </c>
      <c r="T398" s="2">
        <v>0.81100000000000005</v>
      </c>
      <c r="U398" s="2">
        <v>9</v>
      </c>
      <c r="V398" s="2">
        <v>55</v>
      </c>
      <c r="W398" s="2">
        <v>64</v>
      </c>
      <c r="X398" s="2">
        <v>62</v>
      </c>
      <c r="Y398" s="2">
        <v>22</v>
      </c>
      <c r="Z398" s="2">
        <v>4</v>
      </c>
      <c r="AA398" s="2">
        <v>33</v>
      </c>
      <c r="AB398" s="2">
        <v>29</v>
      </c>
      <c r="AC398" s="2">
        <v>192</v>
      </c>
      <c r="AD398" s="2">
        <v>0</v>
      </c>
      <c r="AE398" s="18">
        <f t="shared" si="6"/>
        <v>1.8787878787878789</v>
      </c>
    </row>
    <row r="399" spans="1:31" x14ac:dyDescent="0.2">
      <c r="A399" t="s">
        <v>392</v>
      </c>
      <c r="B399" s="2">
        <v>25</v>
      </c>
      <c r="C399" t="s">
        <v>75</v>
      </c>
      <c r="D399" s="2" t="s">
        <v>42</v>
      </c>
      <c r="E399" s="2">
        <v>12</v>
      </c>
      <c r="F399" s="2">
        <v>0</v>
      </c>
      <c r="G399" s="2">
        <v>125</v>
      </c>
      <c r="H399" s="2">
        <v>21</v>
      </c>
      <c r="I399" s="2">
        <v>39</v>
      </c>
      <c r="J399" s="2">
        <v>0.53800000000000003</v>
      </c>
      <c r="K399" s="2">
        <v>4</v>
      </c>
      <c r="L399" s="2">
        <v>11</v>
      </c>
      <c r="M399" s="2">
        <v>0.36399999999999999</v>
      </c>
      <c r="N399" s="2">
        <v>17</v>
      </c>
      <c r="O399" s="2">
        <v>28</v>
      </c>
      <c r="P399" s="2">
        <v>0.60699999999999998</v>
      </c>
      <c r="Q399" s="2">
        <v>0.59</v>
      </c>
      <c r="R399" s="2">
        <v>12</v>
      </c>
      <c r="S399" s="2">
        <v>15</v>
      </c>
      <c r="T399" s="2">
        <v>0.8</v>
      </c>
      <c r="U399" s="2">
        <v>7</v>
      </c>
      <c r="V399" s="2">
        <v>16</v>
      </c>
      <c r="W399" s="2">
        <v>23</v>
      </c>
      <c r="X399" s="2">
        <v>8</v>
      </c>
      <c r="Y399" s="2">
        <v>10</v>
      </c>
      <c r="Z399" s="2">
        <v>6</v>
      </c>
      <c r="AA399" s="2">
        <v>9</v>
      </c>
      <c r="AB399" s="2">
        <v>21</v>
      </c>
      <c r="AC399" s="2">
        <v>58</v>
      </c>
      <c r="AD399" s="2">
        <v>0</v>
      </c>
      <c r="AE399" s="18">
        <f t="shared" si="6"/>
        <v>0.88888888888888884</v>
      </c>
    </row>
    <row r="400" spans="1:31" x14ac:dyDescent="0.2">
      <c r="A400" t="s">
        <v>111</v>
      </c>
      <c r="B400" s="2">
        <v>27</v>
      </c>
      <c r="C400" t="s">
        <v>39</v>
      </c>
      <c r="D400" s="2" t="s">
        <v>33</v>
      </c>
      <c r="E400" s="2">
        <v>25</v>
      </c>
      <c r="F400" s="2">
        <v>0</v>
      </c>
      <c r="G400" s="2">
        <v>709</v>
      </c>
      <c r="H400" s="2">
        <v>140</v>
      </c>
      <c r="I400" s="2">
        <v>287</v>
      </c>
      <c r="J400" s="2">
        <v>0.48799999999999999</v>
      </c>
      <c r="K400" s="2">
        <v>96</v>
      </c>
      <c r="L400" s="2">
        <v>222</v>
      </c>
      <c r="M400" s="2">
        <v>0.432</v>
      </c>
      <c r="N400" s="2">
        <v>44</v>
      </c>
      <c r="O400" s="2">
        <v>65</v>
      </c>
      <c r="P400" s="2">
        <v>0.67700000000000005</v>
      </c>
      <c r="Q400" s="2">
        <v>0.65500000000000003</v>
      </c>
      <c r="R400" s="2">
        <v>37</v>
      </c>
      <c r="S400" s="2">
        <v>44</v>
      </c>
      <c r="T400" s="2">
        <v>0.84099999999999997</v>
      </c>
      <c r="U400" s="2">
        <v>27</v>
      </c>
      <c r="V400" s="2">
        <v>56</v>
      </c>
      <c r="W400" s="2">
        <v>83</v>
      </c>
      <c r="X400" s="2">
        <v>79</v>
      </c>
      <c r="Y400" s="2">
        <v>25</v>
      </c>
      <c r="Z400" s="2">
        <v>3</v>
      </c>
      <c r="AA400" s="2">
        <v>26</v>
      </c>
      <c r="AB400" s="2">
        <v>41</v>
      </c>
      <c r="AC400" s="2">
        <v>413</v>
      </c>
      <c r="AD400" s="2">
        <v>0</v>
      </c>
      <c r="AE400" s="18">
        <f t="shared" si="6"/>
        <v>3.0384615384615383</v>
      </c>
    </row>
    <row r="401" spans="1:31" x14ac:dyDescent="0.2">
      <c r="A401" t="s">
        <v>354</v>
      </c>
      <c r="B401" s="2">
        <v>23</v>
      </c>
      <c r="C401" t="s">
        <v>61</v>
      </c>
      <c r="D401" s="2" t="s">
        <v>52</v>
      </c>
      <c r="E401" s="2">
        <v>15</v>
      </c>
      <c r="F401" s="2">
        <v>0</v>
      </c>
      <c r="G401" s="2">
        <v>245</v>
      </c>
      <c r="H401" s="2">
        <v>34</v>
      </c>
      <c r="I401" s="2">
        <v>63</v>
      </c>
      <c r="J401" s="2">
        <v>0.54</v>
      </c>
      <c r="K401" s="2">
        <v>11</v>
      </c>
      <c r="L401" s="2">
        <v>29</v>
      </c>
      <c r="M401" s="2">
        <v>0.379</v>
      </c>
      <c r="N401" s="2">
        <v>23</v>
      </c>
      <c r="O401" s="2">
        <v>34</v>
      </c>
      <c r="P401" s="2">
        <v>0.67600000000000005</v>
      </c>
      <c r="Q401" s="2">
        <v>0.627</v>
      </c>
      <c r="R401" s="2">
        <v>11</v>
      </c>
      <c r="S401" s="2">
        <v>20</v>
      </c>
      <c r="T401" s="2">
        <v>0.55000000000000004</v>
      </c>
      <c r="U401" s="2">
        <v>10</v>
      </c>
      <c r="V401" s="2">
        <v>20</v>
      </c>
      <c r="W401" s="2">
        <v>30</v>
      </c>
      <c r="X401" s="2">
        <v>22</v>
      </c>
      <c r="Y401" s="2">
        <v>9</v>
      </c>
      <c r="Z401" s="2">
        <v>0</v>
      </c>
      <c r="AA401" s="2">
        <v>8</v>
      </c>
      <c r="AB401" s="2">
        <v>32</v>
      </c>
      <c r="AC401" s="2">
        <v>90</v>
      </c>
      <c r="AD401" s="2">
        <v>0</v>
      </c>
      <c r="AE401" s="18">
        <f t="shared" si="6"/>
        <v>2.75</v>
      </c>
    </row>
    <row r="402" spans="1:31" x14ac:dyDescent="0.2">
      <c r="A402" t="s">
        <v>238</v>
      </c>
      <c r="B402" s="2">
        <v>22</v>
      </c>
      <c r="C402" t="s">
        <v>46</v>
      </c>
      <c r="D402" s="2" t="s">
        <v>49</v>
      </c>
      <c r="E402" s="2">
        <v>22</v>
      </c>
      <c r="F402" s="2">
        <v>12</v>
      </c>
      <c r="G402" s="2">
        <v>547</v>
      </c>
      <c r="H402" s="2">
        <v>72</v>
      </c>
      <c r="I402" s="2">
        <v>149</v>
      </c>
      <c r="J402" s="2">
        <v>0.48299999999999998</v>
      </c>
      <c r="K402" s="2">
        <v>18</v>
      </c>
      <c r="L402" s="2">
        <v>50</v>
      </c>
      <c r="M402" s="2">
        <v>0.36</v>
      </c>
      <c r="N402" s="2">
        <v>54</v>
      </c>
      <c r="O402" s="2">
        <v>99</v>
      </c>
      <c r="P402" s="2">
        <v>0.54500000000000004</v>
      </c>
      <c r="Q402" s="2">
        <v>0.54400000000000004</v>
      </c>
      <c r="R402" s="2">
        <v>33</v>
      </c>
      <c r="S402" s="2">
        <v>43</v>
      </c>
      <c r="T402" s="2">
        <v>0.76700000000000002</v>
      </c>
      <c r="U402" s="2">
        <v>20</v>
      </c>
      <c r="V402" s="2">
        <v>52</v>
      </c>
      <c r="W402" s="2">
        <v>72</v>
      </c>
      <c r="X402" s="2">
        <v>28</v>
      </c>
      <c r="Y402" s="2">
        <v>18</v>
      </c>
      <c r="Z402" s="2">
        <v>22</v>
      </c>
      <c r="AA402" s="2">
        <v>18</v>
      </c>
      <c r="AB402" s="2">
        <v>48</v>
      </c>
      <c r="AC402" s="2">
        <v>195</v>
      </c>
      <c r="AD402" s="2">
        <v>0</v>
      </c>
      <c r="AE402" s="18">
        <f t="shared" si="6"/>
        <v>1.5555555555555556</v>
      </c>
    </row>
    <row r="403" spans="1:31" x14ac:dyDescent="0.2">
      <c r="A403" t="s">
        <v>506</v>
      </c>
      <c r="B403" s="2">
        <v>28</v>
      </c>
      <c r="C403" t="s">
        <v>51</v>
      </c>
      <c r="D403" s="2" t="s">
        <v>52</v>
      </c>
      <c r="E403" s="2">
        <v>7</v>
      </c>
      <c r="F403" s="2">
        <v>0</v>
      </c>
      <c r="G403" s="2">
        <v>30</v>
      </c>
      <c r="H403" s="2">
        <v>2</v>
      </c>
      <c r="I403" s="2">
        <v>3</v>
      </c>
      <c r="J403" s="2">
        <v>0.66700000000000004</v>
      </c>
      <c r="K403" s="2">
        <v>2</v>
      </c>
      <c r="L403" s="2">
        <v>3</v>
      </c>
      <c r="M403" s="2">
        <v>0.66700000000000004</v>
      </c>
      <c r="N403" s="2">
        <v>0</v>
      </c>
      <c r="O403" s="2">
        <v>0</v>
      </c>
      <c r="P403" s="2"/>
      <c r="Q403" s="2">
        <v>1</v>
      </c>
      <c r="R403" s="2">
        <v>1</v>
      </c>
      <c r="S403" s="2">
        <v>6</v>
      </c>
      <c r="T403" s="2">
        <v>0.16700000000000001</v>
      </c>
      <c r="U403" s="2">
        <v>1</v>
      </c>
      <c r="V403" s="2">
        <v>4</v>
      </c>
      <c r="W403" s="2">
        <v>5</v>
      </c>
      <c r="X403" s="2">
        <v>5</v>
      </c>
      <c r="Y403" s="2">
        <v>1</v>
      </c>
      <c r="Z403" s="2">
        <v>0</v>
      </c>
      <c r="AA403" s="2">
        <v>1</v>
      </c>
      <c r="AB403" s="2">
        <v>3</v>
      </c>
      <c r="AC403" s="2">
        <v>7</v>
      </c>
      <c r="AD403" s="2">
        <v>0</v>
      </c>
      <c r="AE403" s="18">
        <f t="shared" si="6"/>
        <v>5</v>
      </c>
    </row>
    <row r="404" spans="1:31" x14ac:dyDescent="0.2">
      <c r="A404" t="s">
        <v>525</v>
      </c>
      <c r="B404" s="2">
        <v>22</v>
      </c>
      <c r="C404" t="s">
        <v>46</v>
      </c>
      <c r="D404" s="2" t="s">
        <v>42</v>
      </c>
      <c r="E404" s="2">
        <v>5</v>
      </c>
      <c r="F404" s="2">
        <v>0</v>
      </c>
      <c r="G404" s="2">
        <v>11</v>
      </c>
      <c r="H404" s="2">
        <v>2</v>
      </c>
      <c r="I404" s="2">
        <v>5</v>
      </c>
      <c r="J404" s="2">
        <v>0.4</v>
      </c>
      <c r="K404" s="2">
        <v>0</v>
      </c>
      <c r="L404" s="2">
        <v>2</v>
      </c>
      <c r="M404" s="2">
        <v>0</v>
      </c>
      <c r="N404" s="2">
        <v>2</v>
      </c>
      <c r="O404" s="2">
        <v>3</v>
      </c>
      <c r="P404" s="2">
        <v>0.66700000000000004</v>
      </c>
      <c r="Q404" s="2">
        <v>0.4</v>
      </c>
      <c r="R404" s="2">
        <v>0</v>
      </c>
      <c r="S404" s="2">
        <v>0</v>
      </c>
      <c r="T404" s="2"/>
      <c r="U404" s="2">
        <v>0</v>
      </c>
      <c r="V404" s="2">
        <v>1</v>
      </c>
      <c r="W404" s="2">
        <v>1</v>
      </c>
      <c r="X404" s="2">
        <v>0</v>
      </c>
      <c r="Y404" s="2">
        <v>0</v>
      </c>
      <c r="Z404" s="2">
        <v>0</v>
      </c>
      <c r="AA404" s="2">
        <v>0</v>
      </c>
      <c r="AB404" s="2">
        <v>1</v>
      </c>
      <c r="AC404" s="2">
        <v>4</v>
      </c>
      <c r="AD404" s="2">
        <v>0</v>
      </c>
      <c r="AE404" s="18" t="e">
        <f t="shared" si="6"/>
        <v>#DIV/0!</v>
      </c>
    </row>
    <row r="405" spans="1:31" x14ac:dyDescent="0.2">
      <c r="A405" t="s">
        <v>479</v>
      </c>
      <c r="B405" s="2">
        <v>25</v>
      </c>
      <c r="C405" t="s">
        <v>44</v>
      </c>
      <c r="D405" s="2" t="s">
        <v>27</v>
      </c>
      <c r="E405" s="2">
        <v>4</v>
      </c>
      <c r="F405" s="2">
        <v>0</v>
      </c>
      <c r="G405" s="2">
        <v>75</v>
      </c>
      <c r="H405" s="2">
        <v>7</v>
      </c>
      <c r="I405" s="2">
        <v>16</v>
      </c>
      <c r="J405" s="2">
        <v>0.438</v>
      </c>
      <c r="K405" s="2">
        <v>0</v>
      </c>
      <c r="L405" s="2">
        <v>2</v>
      </c>
      <c r="M405" s="2">
        <v>0</v>
      </c>
      <c r="N405" s="2">
        <v>7</v>
      </c>
      <c r="O405" s="2">
        <v>14</v>
      </c>
      <c r="P405" s="2">
        <v>0.5</v>
      </c>
      <c r="Q405" s="2">
        <v>0.438</v>
      </c>
      <c r="R405" s="2">
        <v>3</v>
      </c>
      <c r="S405" s="2">
        <v>8</v>
      </c>
      <c r="T405" s="2">
        <v>0.375</v>
      </c>
      <c r="U405" s="2">
        <v>6</v>
      </c>
      <c r="V405" s="2">
        <v>19</v>
      </c>
      <c r="W405" s="2">
        <v>25</v>
      </c>
      <c r="X405" s="2">
        <v>6</v>
      </c>
      <c r="Y405" s="2">
        <v>3</v>
      </c>
      <c r="Z405" s="2">
        <v>5</v>
      </c>
      <c r="AA405" s="2">
        <v>4</v>
      </c>
      <c r="AB405" s="2">
        <v>4</v>
      </c>
      <c r="AC405" s="2">
        <v>17</v>
      </c>
      <c r="AD405" s="2">
        <v>0</v>
      </c>
      <c r="AE405" s="18">
        <f t="shared" si="6"/>
        <v>1.5</v>
      </c>
    </row>
    <row r="406" spans="1:31" x14ac:dyDescent="0.2">
      <c r="A406" t="s">
        <v>237</v>
      </c>
      <c r="B406" s="2">
        <v>24</v>
      </c>
      <c r="C406" t="s">
        <v>63</v>
      </c>
      <c r="D406" s="2" t="s">
        <v>52</v>
      </c>
      <c r="E406" s="2">
        <v>23</v>
      </c>
      <c r="F406" s="2">
        <v>8</v>
      </c>
      <c r="G406" s="2">
        <v>468</v>
      </c>
      <c r="H406" s="2">
        <v>67</v>
      </c>
      <c r="I406" s="2">
        <v>140</v>
      </c>
      <c r="J406" s="2">
        <v>0.47899999999999998</v>
      </c>
      <c r="K406" s="2">
        <v>33</v>
      </c>
      <c r="L406" s="2">
        <v>81</v>
      </c>
      <c r="M406" s="2">
        <v>0.40699999999999997</v>
      </c>
      <c r="N406" s="2">
        <v>34</v>
      </c>
      <c r="O406" s="2">
        <v>59</v>
      </c>
      <c r="P406" s="2">
        <v>0.57599999999999996</v>
      </c>
      <c r="Q406" s="2">
        <v>0.59599999999999997</v>
      </c>
      <c r="R406" s="2">
        <v>28</v>
      </c>
      <c r="S406" s="2">
        <v>40</v>
      </c>
      <c r="T406" s="2">
        <v>0.7</v>
      </c>
      <c r="U406" s="2">
        <v>14</v>
      </c>
      <c r="V406" s="2">
        <v>68</v>
      </c>
      <c r="W406" s="2">
        <v>82</v>
      </c>
      <c r="X406" s="2">
        <v>34</v>
      </c>
      <c r="Y406" s="2">
        <v>17</v>
      </c>
      <c r="Z406" s="2">
        <v>5</v>
      </c>
      <c r="AA406" s="2">
        <v>29</v>
      </c>
      <c r="AB406" s="2">
        <v>42</v>
      </c>
      <c r="AC406" s="2">
        <v>195</v>
      </c>
      <c r="AD406" s="2">
        <v>0</v>
      </c>
      <c r="AE406" s="18">
        <f t="shared" si="6"/>
        <v>1.1724137931034482</v>
      </c>
    </row>
    <row r="407" spans="1:31" x14ac:dyDescent="0.2">
      <c r="A407" t="s">
        <v>344</v>
      </c>
      <c r="B407" s="2">
        <v>26</v>
      </c>
      <c r="C407" t="s">
        <v>82</v>
      </c>
      <c r="D407" s="2" t="s">
        <v>33</v>
      </c>
      <c r="E407" s="2">
        <v>14</v>
      </c>
      <c r="F407" s="2">
        <v>7</v>
      </c>
      <c r="G407" s="2">
        <v>240</v>
      </c>
      <c r="H407" s="2">
        <v>38</v>
      </c>
      <c r="I407" s="2">
        <v>73</v>
      </c>
      <c r="J407" s="2">
        <v>0.52100000000000002</v>
      </c>
      <c r="K407" s="2">
        <v>9</v>
      </c>
      <c r="L407" s="2">
        <v>23</v>
      </c>
      <c r="M407" s="2">
        <v>0.39100000000000001</v>
      </c>
      <c r="N407" s="2">
        <v>29</v>
      </c>
      <c r="O407" s="2">
        <v>50</v>
      </c>
      <c r="P407" s="2">
        <v>0.57999999999999996</v>
      </c>
      <c r="Q407" s="2">
        <v>0.58199999999999996</v>
      </c>
      <c r="R407" s="2">
        <v>12</v>
      </c>
      <c r="S407" s="2">
        <v>17</v>
      </c>
      <c r="T407" s="2">
        <v>0.70599999999999996</v>
      </c>
      <c r="U407" s="2">
        <v>10</v>
      </c>
      <c r="V407" s="2">
        <v>17</v>
      </c>
      <c r="W407" s="2">
        <v>27</v>
      </c>
      <c r="X407" s="2">
        <v>28</v>
      </c>
      <c r="Y407" s="2">
        <v>9</v>
      </c>
      <c r="Z407" s="2">
        <v>5</v>
      </c>
      <c r="AA407" s="2">
        <v>11</v>
      </c>
      <c r="AB407" s="2">
        <v>28</v>
      </c>
      <c r="AC407" s="2">
        <v>97</v>
      </c>
      <c r="AD407" s="2">
        <v>0</v>
      </c>
      <c r="AE407" s="18">
        <f t="shared" si="6"/>
        <v>2.5454545454545454</v>
      </c>
    </row>
    <row r="408" spans="1:31" x14ac:dyDescent="0.2">
      <c r="A408" t="s">
        <v>539</v>
      </c>
      <c r="B408" s="2">
        <v>23</v>
      </c>
      <c r="C408" t="s">
        <v>41</v>
      </c>
      <c r="D408" s="2" t="s">
        <v>33</v>
      </c>
      <c r="E408" s="2">
        <v>1</v>
      </c>
      <c r="F408" s="2">
        <v>0</v>
      </c>
      <c r="G408" s="2">
        <v>8</v>
      </c>
      <c r="H408" s="2">
        <v>1</v>
      </c>
      <c r="I408" s="2">
        <v>3</v>
      </c>
      <c r="J408" s="2">
        <v>0.33300000000000002</v>
      </c>
      <c r="K408" s="2">
        <v>1</v>
      </c>
      <c r="L408" s="2">
        <v>3</v>
      </c>
      <c r="M408" s="2">
        <v>0.33300000000000002</v>
      </c>
      <c r="N408" s="2">
        <v>0</v>
      </c>
      <c r="O408" s="2">
        <v>0</v>
      </c>
      <c r="P408" s="2"/>
      <c r="Q408" s="2">
        <v>0.5</v>
      </c>
      <c r="R408" s="2">
        <v>0</v>
      </c>
      <c r="S408" s="2">
        <v>0</v>
      </c>
      <c r="T408" s="2"/>
      <c r="U408" s="2">
        <v>0</v>
      </c>
      <c r="V408" s="2">
        <v>0</v>
      </c>
      <c r="W408" s="2">
        <v>0</v>
      </c>
      <c r="X408" s="2">
        <v>0</v>
      </c>
      <c r="Y408" s="2">
        <v>0</v>
      </c>
      <c r="Z408" s="2">
        <v>0</v>
      </c>
      <c r="AA408" s="2">
        <v>1</v>
      </c>
      <c r="AB408" s="2">
        <v>0</v>
      </c>
      <c r="AC408" s="2">
        <v>3</v>
      </c>
      <c r="AD408" s="2">
        <v>0</v>
      </c>
      <c r="AE408" s="18">
        <f t="shared" si="6"/>
        <v>0</v>
      </c>
    </row>
    <row r="409" spans="1:31" x14ac:dyDescent="0.2">
      <c r="A409" t="s">
        <v>374</v>
      </c>
      <c r="B409" s="2">
        <v>20</v>
      </c>
      <c r="C409" t="s">
        <v>135</v>
      </c>
      <c r="D409" s="2" t="s">
        <v>52</v>
      </c>
      <c r="E409" s="2">
        <v>21</v>
      </c>
      <c r="F409" s="2">
        <v>0</v>
      </c>
      <c r="G409" s="2">
        <v>223</v>
      </c>
      <c r="H409" s="2">
        <v>28</v>
      </c>
      <c r="I409" s="2">
        <v>64</v>
      </c>
      <c r="J409" s="2">
        <v>0.438</v>
      </c>
      <c r="K409" s="2">
        <v>9</v>
      </c>
      <c r="L409" s="2">
        <v>29</v>
      </c>
      <c r="M409" s="2">
        <v>0.31</v>
      </c>
      <c r="N409" s="2">
        <v>19</v>
      </c>
      <c r="O409" s="2">
        <v>35</v>
      </c>
      <c r="P409" s="2">
        <v>0.54300000000000004</v>
      </c>
      <c r="Q409" s="2">
        <v>0.50800000000000001</v>
      </c>
      <c r="R409" s="2">
        <v>8</v>
      </c>
      <c r="S409" s="2">
        <v>12</v>
      </c>
      <c r="T409" s="2">
        <v>0.66700000000000004</v>
      </c>
      <c r="U409" s="2">
        <v>17</v>
      </c>
      <c r="V409" s="2">
        <v>17</v>
      </c>
      <c r="W409" s="2">
        <v>34</v>
      </c>
      <c r="X409" s="2">
        <v>11</v>
      </c>
      <c r="Y409" s="2">
        <v>7</v>
      </c>
      <c r="Z409" s="2">
        <v>2</v>
      </c>
      <c r="AA409" s="2">
        <v>12</v>
      </c>
      <c r="AB409" s="2">
        <v>16</v>
      </c>
      <c r="AC409" s="2">
        <v>73</v>
      </c>
      <c r="AD409" s="2">
        <v>0</v>
      </c>
      <c r="AE409" s="18">
        <f t="shared" si="6"/>
        <v>0.91666666666666663</v>
      </c>
    </row>
    <row r="410" spans="1:31" x14ac:dyDescent="0.2">
      <c r="A410" t="s">
        <v>543</v>
      </c>
      <c r="B410" s="2">
        <v>23</v>
      </c>
      <c r="C410" t="s">
        <v>100</v>
      </c>
      <c r="D410" s="2" t="s">
        <v>33</v>
      </c>
      <c r="E410" s="2">
        <v>2</v>
      </c>
      <c r="F410" s="2">
        <v>0</v>
      </c>
      <c r="G410" s="2">
        <v>4</v>
      </c>
      <c r="H410" s="2">
        <v>1</v>
      </c>
      <c r="I410" s="2">
        <v>1</v>
      </c>
      <c r="J410" s="2">
        <v>1</v>
      </c>
      <c r="K410" s="2">
        <v>0</v>
      </c>
      <c r="L410" s="2">
        <v>0</v>
      </c>
      <c r="M410" s="2"/>
      <c r="N410" s="2">
        <v>1</v>
      </c>
      <c r="O410" s="2">
        <v>1</v>
      </c>
      <c r="P410" s="2">
        <v>1</v>
      </c>
      <c r="Q410" s="2">
        <v>1</v>
      </c>
      <c r="R410" s="2">
        <v>0</v>
      </c>
      <c r="S410" s="2">
        <v>0</v>
      </c>
      <c r="T410" s="2"/>
      <c r="U410" s="2">
        <v>1</v>
      </c>
      <c r="V410" s="2">
        <v>0</v>
      </c>
      <c r="W410" s="2">
        <v>1</v>
      </c>
      <c r="X410" s="2">
        <v>1</v>
      </c>
      <c r="Y410" s="2">
        <v>1</v>
      </c>
      <c r="Z410" s="2">
        <v>0</v>
      </c>
      <c r="AA410" s="2">
        <v>0</v>
      </c>
      <c r="AB410" s="2">
        <v>1</v>
      </c>
      <c r="AC410" s="2">
        <v>2</v>
      </c>
      <c r="AD410" s="2">
        <v>0</v>
      </c>
      <c r="AE410" s="18" t="e">
        <f t="shared" si="6"/>
        <v>#DIV/0!</v>
      </c>
    </row>
    <row r="411" spans="1:31" x14ac:dyDescent="0.2">
      <c r="A411" t="s">
        <v>352</v>
      </c>
      <c r="B411" s="2">
        <v>20</v>
      </c>
      <c r="C411" t="s">
        <v>87</v>
      </c>
      <c r="D411" s="2" t="s">
        <v>33</v>
      </c>
      <c r="E411" s="2">
        <v>24</v>
      </c>
      <c r="F411" s="2">
        <v>0</v>
      </c>
      <c r="G411" s="2">
        <v>282</v>
      </c>
      <c r="H411" s="2">
        <v>35</v>
      </c>
      <c r="I411" s="2">
        <v>98</v>
      </c>
      <c r="J411" s="2">
        <v>0.35699999999999998</v>
      </c>
      <c r="K411" s="2">
        <v>17</v>
      </c>
      <c r="L411" s="2">
        <v>56</v>
      </c>
      <c r="M411" s="2">
        <v>0.30399999999999999</v>
      </c>
      <c r="N411" s="2">
        <v>18</v>
      </c>
      <c r="O411" s="2">
        <v>42</v>
      </c>
      <c r="P411" s="2">
        <v>0.42899999999999999</v>
      </c>
      <c r="Q411" s="2">
        <v>0.44400000000000001</v>
      </c>
      <c r="R411" s="2">
        <v>4</v>
      </c>
      <c r="S411" s="2">
        <v>4</v>
      </c>
      <c r="T411" s="2">
        <v>1</v>
      </c>
      <c r="U411" s="2">
        <v>7</v>
      </c>
      <c r="V411" s="2">
        <v>18</v>
      </c>
      <c r="W411" s="2">
        <v>25</v>
      </c>
      <c r="X411" s="2">
        <v>31</v>
      </c>
      <c r="Y411" s="2">
        <v>12</v>
      </c>
      <c r="Z411" s="2">
        <v>8</v>
      </c>
      <c r="AA411" s="2">
        <v>14</v>
      </c>
      <c r="AB411" s="2">
        <v>23</v>
      </c>
      <c r="AC411" s="2">
        <v>91</v>
      </c>
      <c r="AD411" s="2">
        <v>0</v>
      </c>
      <c r="AE411" s="18">
        <f t="shared" si="6"/>
        <v>2.2142857142857144</v>
      </c>
    </row>
    <row r="412" spans="1:31" x14ac:dyDescent="0.2">
      <c r="A412" t="s">
        <v>416</v>
      </c>
      <c r="B412" s="2">
        <v>34</v>
      </c>
      <c r="C412" t="s">
        <v>122</v>
      </c>
      <c r="D412" s="2" t="s">
        <v>33</v>
      </c>
      <c r="E412" s="2">
        <v>10</v>
      </c>
      <c r="F412" s="2">
        <v>0</v>
      </c>
      <c r="G412" s="2">
        <v>119</v>
      </c>
      <c r="H412" s="2">
        <v>16</v>
      </c>
      <c r="I412" s="2">
        <v>39</v>
      </c>
      <c r="J412" s="2">
        <v>0.41</v>
      </c>
      <c r="K412" s="2">
        <v>11</v>
      </c>
      <c r="L412" s="2">
        <v>25</v>
      </c>
      <c r="M412" s="2">
        <v>0.44</v>
      </c>
      <c r="N412" s="2">
        <v>5</v>
      </c>
      <c r="O412" s="2">
        <v>14</v>
      </c>
      <c r="P412" s="2">
        <v>0.35699999999999998</v>
      </c>
      <c r="Q412" s="2">
        <v>0.55100000000000005</v>
      </c>
      <c r="R412" s="2">
        <v>0</v>
      </c>
      <c r="S412" s="2">
        <v>0</v>
      </c>
      <c r="T412" s="2"/>
      <c r="U412" s="2">
        <v>1</v>
      </c>
      <c r="V412" s="2">
        <v>8</v>
      </c>
      <c r="W412" s="2">
        <v>9</v>
      </c>
      <c r="X412" s="2">
        <v>21</v>
      </c>
      <c r="Y412" s="2">
        <v>6</v>
      </c>
      <c r="Z412" s="2">
        <v>3</v>
      </c>
      <c r="AA412" s="2">
        <v>7</v>
      </c>
      <c r="AB412" s="2">
        <v>8</v>
      </c>
      <c r="AC412" s="2">
        <v>43</v>
      </c>
      <c r="AD412" s="2">
        <v>0</v>
      </c>
      <c r="AE412" s="18">
        <f t="shared" si="6"/>
        <v>3</v>
      </c>
    </row>
    <row r="413" spans="1:31" x14ac:dyDescent="0.2">
      <c r="A413" t="s">
        <v>493</v>
      </c>
      <c r="B413" s="2">
        <v>31</v>
      </c>
      <c r="C413" t="s">
        <v>114</v>
      </c>
      <c r="D413" s="2" t="s">
        <v>27</v>
      </c>
      <c r="E413" s="2">
        <v>3</v>
      </c>
      <c r="F413" s="2">
        <v>0</v>
      </c>
      <c r="G413" s="2">
        <v>20</v>
      </c>
      <c r="H413" s="2">
        <v>5</v>
      </c>
      <c r="I413" s="2">
        <v>10</v>
      </c>
      <c r="J413" s="2">
        <v>0.5</v>
      </c>
      <c r="K413" s="2">
        <v>0</v>
      </c>
      <c r="L413" s="2">
        <v>1</v>
      </c>
      <c r="M413" s="2">
        <v>0</v>
      </c>
      <c r="N413" s="2">
        <v>5</v>
      </c>
      <c r="O413" s="2">
        <v>9</v>
      </c>
      <c r="P413" s="2">
        <v>0.55600000000000005</v>
      </c>
      <c r="Q413" s="2">
        <v>0.5</v>
      </c>
      <c r="R413" s="2">
        <v>2</v>
      </c>
      <c r="S413" s="2">
        <v>2</v>
      </c>
      <c r="T413" s="2">
        <v>1</v>
      </c>
      <c r="U413" s="2">
        <v>2</v>
      </c>
      <c r="V413" s="2">
        <v>3</v>
      </c>
      <c r="W413" s="2">
        <v>5</v>
      </c>
      <c r="X413" s="2">
        <v>0</v>
      </c>
      <c r="Y413" s="2">
        <v>0</v>
      </c>
      <c r="Z413" s="2">
        <v>2</v>
      </c>
      <c r="AA413" s="2">
        <v>2</v>
      </c>
      <c r="AB413" s="2">
        <v>1</v>
      </c>
      <c r="AC413" s="2">
        <v>12</v>
      </c>
      <c r="AD413" s="2">
        <v>0</v>
      </c>
      <c r="AE413" s="18">
        <f t="shared" si="6"/>
        <v>0</v>
      </c>
    </row>
    <row r="414" spans="1:31" x14ac:dyDescent="0.2">
      <c r="A414" t="s">
        <v>369</v>
      </c>
      <c r="B414" s="2">
        <v>23</v>
      </c>
      <c r="C414" t="s">
        <v>122</v>
      </c>
      <c r="D414" s="2" t="s">
        <v>49</v>
      </c>
      <c r="E414" s="2">
        <v>17</v>
      </c>
      <c r="F414" s="2">
        <v>0</v>
      </c>
      <c r="G414" s="2">
        <v>200</v>
      </c>
      <c r="H414" s="2">
        <v>25</v>
      </c>
      <c r="I414" s="2">
        <v>61</v>
      </c>
      <c r="J414" s="2">
        <v>0.41</v>
      </c>
      <c r="K414" s="2">
        <v>7</v>
      </c>
      <c r="L414" s="2">
        <v>27</v>
      </c>
      <c r="M414" s="2">
        <v>0.25900000000000001</v>
      </c>
      <c r="N414" s="2">
        <v>18</v>
      </c>
      <c r="O414" s="2">
        <v>34</v>
      </c>
      <c r="P414" s="2">
        <v>0.52900000000000003</v>
      </c>
      <c r="Q414" s="2">
        <v>0.46700000000000003</v>
      </c>
      <c r="R414" s="2">
        <v>18</v>
      </c>
      <c r="S414" s="2">
        <v>21</v>
      </c>
      <c r="T414" s="2">
        <v>0.85699999999999998</v>
      </c>
      <c r="U414" s="2">
        <v>5</v>
      </c>
      <c r="V414" s="2">
        <v>21</v>
      </c>
      <c r="W414" s="2">
        <v>26</v>
      </c>
      <c r="X414" s="2">
        <v>14</v>
      </c>
      <c r="Y414" s="2">
        <v>3</v>
      </c>
      <c r="Z414" s="2">
        <v>3</v>
      </c>
      <c r="AA414" s="2">
        <v>4</v>
      </c>
      <c r="AB414" s="2">
        <v>12</v>
      </c>
      <c r="AC414" s="2">
        <v>75</v>
      </c>
      <c r="AD414" s="2">
        <v>0</v>
      </c>
      <c r="AE414" s="18">
        <f t="shared" si="6"/>
        <v>3.5</v>
      </c>
    </row>
    <row r="415" spans="1:31" x14ac:dyDescent="0.2">
      <c r="A415" t="s">
        <v>565</v>
      </c>
      <c r="B415" s="2">
        <v>24</v>
      </c>
      <c r="C415" t="s">
        <v>93</v>
      </c>
      <c r="D415" s="2" t="s">
        <v>49</v>
      </c>
      <c r="E415" s="2">
        <v>1</v>
      </c>
      <c r="F415" s="2">
        <v>0</v>
      </c>
      <c r="G415" s="2">
        <v>7</v>
      </c>
      <c r="H415" s="2">
        <v>0</v>
      </c>
      <c r="I415" s="2">
        <v>1</v>
      </c>
      <c r="J415" s="2">
        <v>0</v>
      </c>
      <c r="K415" s="2">
        <v>0</v>
      </c>
      <c r="L415" s="2">
        <v>1</v>
      </c>
      <c r="M415" s="2">
        <v>0</v>
      </c>
      <c r="N415" s="2">
        <v>0</v>
      </c>
      <c r="O415" s="2">
        <v>0</v>
      </c>
      <c r="P415" s="2"/>
      <c r="Q415" s="2">
        <v>0</v>
      </c>
      <c r="R415" s="2">
        <v>0</v>
      </c>
      <c r="S415" s="2">
        <v>0</v>
      </c>
      <c r="T415" s="2"/>
      <c r="U415" s="2">
        <v>0</v>
      </c>
      <c r="V415" s="2">
        <v>2</v>
      </c>
      <c r="W415" s="2">
        <v>2</v>
      </c>
      <c r="X415" s="2">
        <v>0</v>
      </c>
      <c r="Y415" s="2">
        <v>0</v>
      </c>
      <c r="Z415" s="2">
        <v>0</v>
      </c>
      <c r="AA415" s="2">
        <v>0</v>
      </c>
      <c r="AB415" s="2">
        <v>0</v>
      </c>
      <c r="AC415" s="2">
        <v>0</v>
      </c>
      <c r="AD415" s="2">
        <v>0</v>
      </c>
      <c r="AE415" s="18" t="e">
        <f t="shared" si="6"/>
        <v>#DIV/0!</v>
      </c>
    </row>
    <row r="416" spans="1:31" x14ac:dyDescent="0.2">
      <c r="A416" t="s">
        <v>65</v>
      </c>
      <c r="B416" s="2">
        <v>24</v>
      </c>
      <c r="C416" t="s">
        <v>66</v>
      </c>
      <c r="D416" s="2" t="s">
        <v>52</v>
      </c>
      <c r="E416" s="2">
        <v>23</v>
      </c>
      <c r="F416" s="2">
        <v>23</v>
      </c>
      <c r="G416" s="2">
        <v>787</v>
      </c>
      <c r="H416" s="2">
        <v>196</v>
      </c>
      <c r="I416" s="2">
        <v>431</v>
      </c>
      <c r="J416" s="2">
        <v>0.45500000000000002</v>
      </c>
      <c r="K416" s="2">
        <v>46</v>
      </c>
      <c r="L416" s="2">
        <v>133</v>
      </c>
      <c r="M416" s="2">
        <v>0.34599999999999997</v>
      </c>
      <c r="N416" s="2">
        <v>150</v>
      </c>
      <c r="O416" s="2">
        <v>298</v>
      </c>
      <c r="P416" s="2">
        <v>0.503</v>
      </c>
      <c r="Q416" s="2">
        <v>0.50800000000000001</v>
      </c>
      <c r="R416" s="2">
        <v>95</v>
      </c>
      <c r="S416" s="2">
        <v>133</v>
      </c>
      <c r="T416" s="2">
        <v>0.71399999999999997</v>
      </c>
      <c r="U416" s="2">
        <v>21</v>
      </c>
      <c r="V416" s="2">
        <v>136</v>
      </c>
      <c r="W416" s="2">
        <v>157</v>
      </c>
      <c r="X416" s="2">
        <v>138</v>
      </c>
      <c r="Y416" s="2">
        <v>17</v>
      </c>
      <c r="Z416" s="2">
        <v>9</v>
      </c>
      <c r="AA416" s="2">
        <v>77</v>
      </c>
      <c r="AB416" s="2">
        <v>61</v>
      </c>
      <c r="AC416" s="2">
        <v>533</v>
      </c>
      <c r="AD416" s="2">
        <v>2</v>
      </c>
      <c r="AE416" s="18">
        <f t="shared" si="6"/>
        <v>1.7922077922077921</v>
      </c>
    </row>
    <row r="417" spans="1:31" x14ac:dyDescent="0.2">
      <c r="A417" t="s">
        <v>417</v>
      </c>
      <c r="B417" s="2">
        <v>20</v>
      </c>
      <c r="C417" t="s">
        <v>51</v>
      </c>
      <c r="D417" s="2" t="s">
        <v>33</v>
      </c>
      <c r="E417" s="2">
        <v>11</v>
      </c>
      <c r="F417" s="2">
        <v>0</v>
      </c>
      <c r="G417" s="2">
        <v>92</v>
      </c>
      <c r="H417" s="2">
        <v>18</v>
      </c>
      <c r="I417" s="2">
        <v>36</v>
      </c>
      <c r="J417" s="2">
        <v>0.5</v>
      </c>
      <c r="K417" s="2">
        <v>6</v>
      </c>
      <c r="L417" s="2">
        <v>12</v>
      </c>
      <c r="M417" s="2">
        <v>0.5</v>
      </c>
      <c r="N417" s="2">
        <v>12</v>
      </c>
      <c r="O417" s="2">
        <v>24</v>
      </c>
      <c r="P417" s="2">
        <v>0.5</v>
      </c>
      <c r="Q417" s="2">
        <v>0.58299999999999996</v>
      </c>
      <c r="R417" s="2">
        <v>0</v>
      </c>
      <c r="S417" s="2">
        <v>0</v>
      </c>
      <c r="T417" s="2"/>
      <c r="U417" s="2">
        <v>1</v>
      </c>
      <c r="V417" s="2">
        <v>8</v>
      </c>
      <c r="W417" s="2">
        <v>9</v>
      </c>
      <c r="X417" s="2">
        <v>16</v>
      </c>
      <c r="Y417" s="2">
        <v>0</v>
      </c>
      <c r="Z417" s="2">
        <v>0</v>
      </c>
      <c r="AA417" s="2">
        <v>12</v>
      </c>
      <c r="AB417" s="2">
        <v>4</v>
      </c>
      <c r="AC417" s="2">
        <v>42</v>
      </c>
      <c r="AD417" s="2">
        <v>0</v>
      </c>
      <c r="AE417" s="18">
        <f t="shared" si="6"/>
        <v>1.3333333333333333</v>
      </c>
    </row>
    <row r="418" spans="1:31" x14ac:dyDescent="0.2">
      <c r="A418" t="s">
        <v>381</v>
      </c>
      <c r="B418" s="2">
        <v>27</v>
      </c>
      <c r="C418" t="s">
        <v>135</v>
      </c>
      <c r="D418" s="2" t="s">
        <v>42</v>
      </c>
      <c r="E418" s="2">
        <v>7</v>
      </c>
      <c r="F418" s="2">
        <v>1</v>
      </c>
      <c r="G418" s="2">
        <v>131</v>
      </c>
      <c r="H418" s="2">
        <v>27</v>
      </c>
      <c r="I418" s="2">
        <v>38</v>
      </c>
      <c r="J418" s="2">
        <v>0.71099999999999997</v>
      </c>
      <c r="K418" s="2">
        <v>1</v>
      </c>
      <c r="L418" s="2">
        <v>2</v>
      </c>
      <c r="M418" s="2">
        <v>0.5</v>
      </c>
      <c r="N418" s="2">
        <v>26</v>
      </c>
      <c r="O418" s="2">
        <v>36</v>
      </c>
      <c r="P418" s="2">
        <v>0.72199999999999998</v>
      </c>
      <c r="Q418" s="2">
        <v>0.72399999999999998</v>
      </c>
      <c r="R418" s="2">
        <v>12</v>
      </c>
      <c r="S418" s="2">
        <v>13</v>
      </c>
      <c r="T418" s="2">
        <v>0.92300000000000004</v>
      </c>
      <c r="U418" s="2">
        <v>15</v>
      </c>
      <c r="V418" s="2">
        <v>27</v>
      </c>
      <c r="W418" s="2">
        <v>42</v>
      </c>
      <c r="X418" s="2">
        <v>10</v>
      </c>
      <c r="Y418" s="2">
        <v>8</v>
      </c>
      <c r="Z418" s="2">
        <v>13</v>
      </c>
      <c r="AA418" s="2">
        <v>7</v>
      </c>
      <c r="AB418" s="2">
        <v>7</v>
      </c>
      <c r="AC418" s="2">
        <v>67</v>
      </c>
      <c r="AD418" s="2">
        <v>0</v>
      </c>
      <c r="AE418" s="18">
        <f t="shared" si="6"/>
        <v>1.4285714285714286</v>
      </c>
    </row>
    <row r="419" spans="1:31" x14ac:dyDescent="0.2">
      <c r="A419" t="s">
        <v>267</v>
      </c>
      <c r="B419" s="2">
        <v>19</v>
      </c>
      <c r="C419" t="s">
        <v>75</v>
      </c>
      <c r="D419" s="2" t="s">
        <v>49</v>
      </c>
      <c r="E419" s="2">
        <v>26</v>
      </c>
      <c r="F419" s="2">
        <v>1</v>
      </c>
      <c r="G419" s="2">
        <v>418</v>
      </c>
      <c r="H419" s="2">
        <v>65</v>
      </c>
      <c r="I419" s="2">
        <v>141</v>
      </c>
      <c r="J419" s="2">
        <v>0.46100000000000002</v>
      </c>
      <c r="K419" s="2">
        <v>11</v>
      </c>
      <c r="L419" s="2">
        <v>55</v>
      </c>
      <c r="M419" s="2">
        <v>0.2</v>
      </c>
      <c r="N419" s="2">
        <v>54</v>
      </c>
      <c r="O419" s="2">
        <v>86</v>
      </c>
      <c r="P419" s="2">
        <v>0.628</v>
      </c>
      <c r="Q419" s="2">
        <v>0.5</v>
      </c>
      <c r="R419" s="2">
        <v>24</v>
      </c>
      <c r="S419" s="2">
        <v>30</v>
      </c>
      <c r="T419" s="2">
        <v>0.8</v>
      </c>
      <c r="U419" s="2">
        <v>15</v>
      </c>
      <c r="V419" s="2">
        <v>64</v>
      </c>
      <c r="W419" s="2">
        <v>79</v>
      </c>
      <c r="X419" s="2">
        <v>19</v>
      </c>
      <c r="Y419" s="2">
        <v>12</v>
      </c>
      <c r="Z419" s="2">
        <v>5</v>
      </c>
      <c r="AA419" s="2">
        <v>27</v>
      </c>
      <c r="AB419" s="2">
        <v>42</v>
      </c>
      <c r="AC419" s="2">
        <v>165</v>
      </c>
      <c r="AD419" s="2">
        <v>0</v>
      </c>
      <c r="AE419" s="18">
        <f t="shared" si="6"/>
        <v>0.70370370370370372</v>
      </c>
    </row>
    <row r="420" spans="1:31" x14ac:dyDescent="0.2">
      <c r="A420" t="s">
        <v>190</v>
      </c>
      <c r="B420" s="2">
        <v>31</v>
      </c>
      <c r="C420" t="s">
        <v>54</v>
      </c>
      <c r="D420" s="2" t="s">
        <v>49</v>
      </c>
      <c r="E420" s="2">
        <v>23</v>
      </c>
      <c r="F420" s="2">
        <v>5</v>
      </c>
      <c r="G420" s="2">
        <v>595</v>
      </c>
      <c r="H420" s="2">
        <v>88</v>
      </c>
      <c r="I420" s="2">
        <v>196</v>
      </c>
      <c r="J420" s="2">
        <v>0.44900000000000001</v>
      </c>
      <c r="K420" s="2">
        <v>57</v>
      </c>
      <c r="L420" s="2">
        <v>127</v>
      </c>
      <c r="M420" s="2">
        <v>0.44900000000000001</v>
      </c>
      <c r="N420" s="2">
        <v>31</v>
      </c>
      <c r="O420" s="2">
        <v>69</v>
      </c>
      <c r="P420" s="2">
        <v>0.44900000000000001</v>
      </c>
      <c r="Q420" s="2">
        <v>0.59399999999999997</v>
      </c>
      <c r="R420" s="2">
        <v>16</v>
      </c>
      <c r="S420" s="2">
        <v>21</v>
      </c>
      <c r="T420" s="2">
        <v>0.76200000000000001</v>
      </c>
      <c r="U420" s="2">
        <v>29</v>
      </c>
      <c r="V420" s="2">
        <v>111</v>
      </c>
      <c r="W420" s="2">
        <v>140</v>
      </c>
      <c r="X420" s="2">
        <v>47</v>
      </c>
      <c r="Y420" s="2">
        <v>22</v>
      </c>
      <c r="Z420" s="2">
        <v>14</v>
      </c>
      <c r="AA420" s="2">
        <v>24</v>
      </c>
      <c r="AB420" s="2">
        <v>52</v>
      </c>
      <c r="AC420" s="2">
        <v>249</v>
      </c>
      <c r="AD420" s="2">
        <v>0</v>
      </c>
      <c r="AE420" s="18">
        <f t="shared" si="6"/>
        <v>1.9583333333333333</v>
      </c>
    </row>
    <row r="421" spans="1:31" x14ac:dyDescent="0.2">
      <c r="A421" t="s">
        <v>197</v>
      </c>
      <c r="B421" s="2">
        <v>32</v>
      </c>
      <c r="C421" t="s">
        <v>51</v>
      </c>
      <c r="D421" s="2" t="s">
        <v>42</v>
      </c>
      <c r="E421" s="2">
        <v>23</v>
      </c>
      <c r="F421" s="2">
        <v>23</v>
      </c>
      <c r="G421" s="2">
        <v>788</v>
      </c>
      <c r="H421" s="2">
        <v>90</v>
      </c>
      <c r="I421" s="2">
        <v>139</v>
      </c>
      <c r="J421" s="2">
        <v>0.64700000000000002</v>
      </c>
      <c r="K421" s="2">
        <v>0</v>
      </c>
      <c r="L421" s="2">
        <v>0</v>
      </c>
      <c r="M421" s="2"/>
      <c r="N421" s="2">
        <v>90</v>
      </c>
      <c r="O421" s="2">
        <v>139</v>
      </c>
      <c r="P421" s="2">
        <v>0.64700000000000002</v>
      </c>
      <c r="Q421" s="2">
        <v>0.64700000000000002</v>
      </c>
      <c r="R421" s="2">
        <v>63</v>
      </c>
      <c r="S421" s="2">
        <v>80</v>
      </c>
      <c r="T421" s="2">
        <v>0.78800000000000003</v>
      </c>
      <c r="U421" s="2">
        <v>75</v>
      </c>
      <c r="V421" s="2">
        <v>178</v>
      </c>
      <c r="W421" s="2">
        <v>253</v>
      </c>
      <c r="X421" s="2">
        <v>46</v>
      </c>
      <c r="Y421" s="2">
        <v>16</v>
      </c>
      <c r="Z421" s="2">
        <v>34</v>
      </c>
      <c r="AA421" s="2">
        <v>39</v>
      </c>
      <c r="AB421" s="2">
        <v>67</v>
      </c>
      <c r="AC421" s="2">
        <v>243</v>
      </c>
      <c r="AD421" s="2">
        <v>0</v>
      </c>
      <c r="AE421" s="18">
        <f t="shared" si="6"/>
        <v>1.1794871794871795</v>
      </c>
    </row>
    <row r="422" spans="1:31" x14ac:dyDescent="0.2">
      <c r="A422" t="s">
        <v>202</v>
      </c>
      <c r="B422" s="2">
        <v>26</v>
      </c>
      <c r="C422" t="s">
        <v>41</v>
      </c>
      <c r="D422" s="2" t="s">
        <v>27</v>
      </c>
      <c r="E422" s="2">
        <v>19</v>
      </c>
      <c r="F422" s="2">
        <v>19</v>
      </c>
      <c r="G422" s="2">
        <v>616</v>
      </c>
      <c r="H422" s="2">
        <v>90</v>
      </c>
      <c r="I422" s="2">
        <v>180</v>
      </c>
      <c r="J422" s="2">
        <v>0.5</v>
      </c>
      <c r="K422" s="2">
        <v>31</v>
      </c>
      <c r="L422" s="2">
        <v>67</v>
      </c>
      <c r="M422" s="2">
        <v>0.46300000000000002</v>
      </c>
      <c r="N422" s="2">
        <v>59</v>
      </c>
      <c r="O422" s="2">
        <v>113</v>
      </c>
      <c r="P422" s="2">
        <v>0.52200000000000002</v>
      </c>
      <c r="Q422" s="2">
        <v>0.58599999999999997</v>
      </c>
      <c r="R422" s="2">
        <v>29</v>
      </c>
      <c r="S422" s="2">
        <v>34</v>
      </c>
      <c r="T422" s="2">
        <v>0.85299999999999998</v>
      </c>
      <c r="U422" s="2">
        <v>35</v>
      </c>
      <c r="V422" s="2">
        <v>67</v>
      </c>
      <c r="W422" s="2">
        <v>102</v>
      </c>
      <c r="X422" s="2">
        <v>32</v>
      </c>
      <c r="Y422" s="2">
        <v>19</v>
      </c>
      <c r="Z422" s="2">
        <v>12</v>
      </c>
      <c r="AA422" s="2">
        <v>12</v>
      </c>
      <c r="AB422" s="2">
        <v>37</v>
      </c>
      <c r="AC422" s="2">
        <v>240</v>
      </c>
      <c r="AD422" s="2">
        <v>0</v>
      </c>
      <c r="AE422" s="18">
        <f t="shared" si="6"/>
        <v>2.6666666666666665</v>
      </c>
    </row>
    <row r="423" spans="1:31" x14ac:dyDescent="0.2">
      <c r="A423" t="s">
        <v>191</v>
      </c>
      <c r="B423" s="2">
        <v>36</v>
      </c>
      <c r="C423" t="s">
        <v>46</v>
      </c>
      <c r="D423" s="2" t="s">
        <v>33</v>
      </c>
      <c r="E423" s="2">
        <v>22</v>
      </c>
      <c r="F423" s="2">
        <v>5</v>
      </c>
      <c r="G423" s="2">
        <v>545</v>
      </c>
      <c r="H423" s="2">
        <v>85</v>
      </c>
      <c r="I423" s="2">
        <v>213</v>
      </c>
      <c r="J423" s="2">
        <v>0.39900000000000002</v>
      </c>
      <c r="K423" s="2">
        <v>28</v>
      </c>
      <c r="L423" s="2">
        <v>80</v>
      </c>
      <c r="M423" s="2">
        <v>0.35</v>
      </c>
      <c r="N423" s="2">
        <v>57</v>
      </c>
      <c r="O423" s="2">
        <v>133</v>
      </c>
      <c r="P423" s="2">
        <v>0.42899999999999999</v>
      </c>
      <c r="Q423" s="2">
        <v>0.46500000000000002</v>
      </c>
      <c r="R423" s="2">
        <v>51</v>
      </c>
      <c r="S423" s="2">
        <v>80</v>
      </c>
      <c r="T423" s="2">
        <v>0.63800000000000001</v>
      </c>
      <c r="U423" s="2">
        <v>17</v>
      </c>
      <c r="V423" s="2">
        <v>71</v>
      </c>
      <c r="W423" s="2">
        <v>88</v>
      </c>
      <c r="X423" s="2">
        <v>140</v>
      </c>
      <c r="Y423" s="2">
        <v>34</v>
      </c>
      <c r="Z423" s="2">
        <v>14</v>
      </c>
      <c r="AA423" s="2">
        <v>53</v>
      </c>
      <c r="AB423" s="2">
        <v>55</v>
      </c>
      <c r="AC423" s="2">
        <v>249</v>
      </c>
      <c r="AD423" s="2">
        <v>1</v>
      </c>
      <c r="AE423" s="18">
        <f t="shared" si="6"/>
        <v>2.641509433962264</v>
      </c>
    </row>
    <row r="424" spans="1:31" x14ac:dyDescent="0.2">
      <c r="A424" t="s">
        <v>318</v>
      </c>
      <c r="B424" s="2">
        <v>22</v>
      </c>
      <c r="C424" t="s">
        <v>54</v>
      </c>
      <c r="D424" s="2" t="s">
        <v>49</v>
      </c>
      <c r="E424" s="2">
        <v>19</v>
      </c>
      <c r="F424" s="2">
        <v>9</v>
      </c>
      <c r="G424" s="2">
        <v>339</v>
      </c>
      <c r="H424" s="2">
        <v>45</v>
      </c>
      <c r="I424" s="2">
        <v>110</v>
      </c>
      <c r="J424" s="2">
        <v>0.40899999999999997</v>
      </c>
      <c r="K424" s="2">
        <v>22</v>
      </c>
      <c r="L424" s="2">
        <v>71</v>
      </c>
      <c r="M424" s="2">
        <v>0.31</v>
      </c>
      <c r="N424" s="2">
        <v>23</v>
      </c>
      <c r="O424" s="2">
        <v>39</v>
      </c>
      <c r="P424" s="2">
        <v>0.59</v>
      </c>
      <c r="Q424" s="2">
        <v>0.50900000000000001</v>
      </c>
      <c r="R424" s="2">
        <v>2</v>
      </c>
      <c r="S424" s="2">
        <v>8</v>
      </c>
      <c r="T424" s="2">
        <v>0.25</v>
      </c>
      <c r="U424" s="2">
        <v>12</v>
      </c>
      <c r="V424" s="2">
        <v>39</v>
      </c>
      <c r="W424" s="2">
        <v>51</v>
      </c>
      <c r="X424" s="2">
        <v>15</v>
      </c>
      <c r="Y424" s="2">
        <v>10</v>
      </c>
      <c r="Z424" s="2">
        <v>10</v>
      </c>
      <c r="AA424" s="2">
        <v>10</v>
      </c>
      <c r="AB424" s="2">
        <v>47</v>
      </c>
      <c r="AC424" s="2">
        <v>114</v>
      </c>
      <c r="AD424" s="2">
        <v>0</v>
      </c>
      <c r="AE424" s="18">
        <f t="shared" si="6"/>
        <v>1.5</v>
      </c>
    </row>
    <row r="425" spans="1:31" x14ac:dyDescent="0.2">
      <c r="A425" t="s">
        <v>439</v>
      </c>
      <c r="B425" s="2">
        <v>22</v>
      </c>
      <c r="C425" t="s">
        <v>35</v>
      </c>
      <c r="D425" s="2" t="s">
        <v>33</v>
      </c>
      <c r="E425" s="2">
        <v>11</v>
      </c>
      <c r="F425" s="2">
        <v>1</v>
      </c>
      <c r="G425" s="2">
        <v>72</v>
      </c>
      <c r="H425" s="2">
        <v>10</v>
      </c>
      <c r="I425" s="2">
        <v>25</v>
      </c>
      <c r="J425" s="2">
        <v>0.4</v>
      </c>
      <c r="K425" s="2">
        <v>6</v>
      </c>
      <c r="L425" s="2">
        <v>12</v>
      </c>
      <c r="M425" s="2">
        <v>0.5</v>
      </c>
      <c r="N425" s="2">
        <v>4</v>
      </c>
      <c r="O425" s="2">
        <v>13</v>
      </c>
      <c r="P425" s="2">
        <v>0.308</v>
      </c>
      <c r="Q425" s="2">
        <v>0.52</v>
      </c>
      <c r="R425" s="2">
        <v>5</v>
      </c>
      <c r="S425" s="2">
        <v>6</v>
      </c>
      <c r="T425" s="2">
        <v>0.83299999999999996</v>
      </c>
      <c r="U425" s="2">
        <v>3</v>
      </c>
      <c r="V425" s="2">
        <v>8</v>
      </c>
      <c r="W425" s="2">
        <v>11</v>
      </c>
      <c r="X425" s="2">
        <v>9</v>
      </c>
      <c r="Y425" s="2">
        <v>7</v>
      </c>
      <c r="Z425" s="2">
        <v>4</v>
      </c>
      <c r="AA425" s="2">
        <v>7</v>
      </c>
      <c r="AB425" s="2">
        <v>10</v>
      </c>
      <c r="AC425" s="2">
        <v>31</v>
      </c>
      <c r="AD425" s="2">
        <v>0</v>
      </c>
      <c r="AE425" s="18">
        <f t="shared" si="6"/>
        <v>1.2857142857142858</v>
      </c>
    </row>
    <row r="426" spans="1:31" x14ac:dyDescent="0.2">
      <c r="A426" t="s">
        <v>262</v>
      </c>
      <c r="B426" s="2">
        <v>27</v>
      </c>
      <c r="C426" t="s">
        <v>39</v>
      </c>
      <c r="D426" s="2" t="s">
        <v>27</v>
      </c>
      <c r="E426" s="2">
        <v>20</v>
      </c>
      <c r="F426" s="2">
        <v>2</v>
      </c>
      <c r="G426" s="2">
        <v>443</v>
      </c>
      <c r="H426" s="2">
        <v>62</v>
      </c>
      <c r="I426" s="2">
        <v>141</v>
      </c>
      <c r="J426" s="2">
        <v>0.44</v>
      </c>
      <c r="K426" s="2">
        <v>43</v>
      </c>
      <c r="L426" s="2">
        <v>117</v>
      </c>
      <c r="M426" s="2">
        <v>0.36799999999999999</v>
      </c>
      <c r="N426" s="2">
        <v>19</v>
      </c>
      <c r="O426" s="2">
        <v>24</v>
      </c>
      <c r="P426" s="2">
        <v>0.79200000000000004</v>
      </c>
      <c r="Q426" s="2">
        <v>0.59199999999999997</v>
      </c>
      <c r="R426" s="2">
        <v>2</v>
      </c>
      <c r="S426" s="2">
        <v>2</v>
      </c>
      <c r="T426" s="2">
        <v>1</v>
      </c>
      <c r="U426" s="2">
        <v>16</v>
      </c>
      <c r="V426" s="2">
        <v>51</v>
      </c>
      <c r="W426" s="2">
        <v>67</v>
      </c>
      <c r="X426" s="2">
        <v>21</v>
      </c>
      <c r="Y426" s="2">
        <v>16</v>
      </c>
      <c r="Z426" s="2">
        <v>5</v>
      </c>
      <c r="AA426" s="2">
        <v>8</v>
      </c>
      <c r="AB426" s="2">
        <v>25</v>
      </c>
      <c r="AC426" s="2">
        <v>169</v>
      </c>
      <c r="AD426" s="2">
        <v>0</v>
      </c>
      <c r="AE426" s="18">
        <f t="shared" si="6"/>
        <v>2.625</v>
      </c>
    </row>
    <row r="427" spans="1:31" x14ac:dyDescent="0.2">
      <c r="A427" t="s">
        <v>281</v>
      </c>
      <c r="B427" s="2">
        <v>28</v>
      </c>
      <c r="C427" t="s">
        <v>57</v>
      </c>
      <c r="D427" s="2" t="s">
        <v>52</v>
      </c>
      <c r="E427" s="2">
        <v>21</v>
      </c>
      <c r="F427" s="2">
        <v>1</v>
      </c>
      <c r="G427" s="2">
        <v>417</v>
      </c>
      <c r="H427" s="2">
        <v>50</v>
      </c>
      <c r="I427" s="2">
        <v>126</v>
      </c>
      <c r="J427" s="2">
        <v>0.39700000000000002</v>
      </c>
      <c r="K427" s="2">
        <v>38</v>
      </c>
      <c r="L427" s="2">
        <v>109</v>
      </c>
      <c r="M427" s="2">
        <v>0.34899999999999998</v>
      </c>
      <c r="N427" s="2">
        <v>12</v>
      </c>
      <c r="O427" s="2">
        <v>17</v>
      </c>
      <c r="P427" s="2">
        <v>0.70599999999999996</v>
      </c>
      <c r="Q427" s="2">
        <v>0.54800000000000004</v>
      </c>
      <c r="R427" s="2">
        <v>11</v>
      </c>
      <c r="S427" s="2">
        <v>12</v>
      </c>
      <c r="T427" s="2">
        <v>0.91700000000000004</v>
      </c>
      <c r="U427" s="2">
        <v>6</v>
      </c>
      <c r="V427" s="2">
        <v>31</v>
      </c>
      <c r="W427" s="2">
        <v>37</v>
      </c>
      <c r="X427" s="2">
        <v>36</v>
      </c>
      <c r="Y427" s="2">
        <v>12</v>
      </c>
      <c r="Z427" s="2">
        <v>5</v>
      </c>
      <c r="AA427" s="2">
        <v>10</v>
      </c>
      <c r="AB427" s="2">
        <v>43</v>
      </c>
      <c r="AC427" s="2">
        <v>149</v>
      </c>
      <c r="AD427" s="2">
        <v>0</v>
      </c>
      <c r="AE427" s="18">
        <f t="shared" si="6"/>
        <v>3.6</v>
      </c>
    </row>
    <row r="428" spans="1:31" x14ac:dyDescent="0.2">
      <c r="A428" t="s">
        <v>360</v>
      </c>
      <c r="B428" s="2">
        <v>25</v>
      </c>
      <c r="C428" t="s">
        <v>93</v>
      </c>
      <c r="D428" s="2" t="s">
        <v>27</v>
      </c>
      <c r="E428" s="2">
        <v>17</v>
      </c>
      <c r="F428" s="2">
        <v>0</v>
      </c>
      <c r="G428" s="2">
        <v>160</v>
      </c>
      <c r="H428" s="2">
        <v>29</v>
      </c>
      <c r="I428" s="2">
        <v>51</v>
      </c>
      <c r="J428" s="2">
        <v>0.56899999999999995</v>
      </c>
      <c r="K428" s="2">
        <v>16</v>
      </c>
      <c r="L428" s="2">
        <v>35</v>
      </c>
      <c r="M428" s="2">
        <v>0.45700000000000002</v>
      </c>
      <c r="N428" s="2">
        <v>13</v>
      </c>
      <c r="O428" s="2">
        <v>16</v>
      </c>
      <c r="P428" s="2">
        <v>0.81299999999999994</v>
      </c>
      <c r="Q428" s="2">
        <v>0.72499999999999998</v>
      </c>
      <c r="R428" s="2">
        <v>11</v>
      </c>
      <c r="S428" s="2">
        <v>15</v>
      </c>
      <c r="T428" s="2">
        <v>0.73299999999999998</v>
      </c>
      <c r="U428" s="2">
        <v>10</v>
      </c>
      <c r="V428" s="2">
        <v>39</v>
      </c>
      <c r="W428" s="2">
        <v>49</v>
      </c>
      <c r="X428" s="2">
        <v>6</v>
      </c>
      <c r="Y428" s="2">
        <v>3</v>
      </c>
      <c r="Z428" s="2">
        <v>5</v>
      </c>
      <c r="AA428" s="2">
        <v>9</v>
      </c>
      <c r="AB428" s="2">
        <v>11</v>
      </c>
      <c r="AC428" s="2">
        <v>85</v>
      </c>
      <c r="AD428" s="2">
        <v>0</v>
      </c>
      <c r="AE428" s="18">
        <f t="shared" si="6"/>
        <v>0.66666666666666663</v>
      </c>
    </row>
    <row r="429" spans="1:31" x14ac:dyDescent="0.2">
      <c r="A429" t="s">
        <v>145</v>
      </c>
      <c r="B429" s="2">
        <v>24</v>
      </c>
      <c r="C429" t="s">
        <v>80</v>
      </c>
      <c r="D429" s="2" t="s">
        <v>27</v>
      </c>
      <c r="E429" s="2">
        <v>25</v>
      </c>
      <c r="F429" s="2">
        <v>11</v>
      </c>
      <c r="G429" s="2">
        <v>672</v>
      </c>
      <c r="H429" s="2">
        <v>134</v>
      </c>
      <c r="I429" s="2">
        <v>255</v>
      </c>
      <c r="J429" s="2">
        <v>0.52500000000000002</v>
      </c>
      <c r="K429" s="2">
        <v>39</v>
      </c>
      <c r="L429" s="2">
        <v>104</v>
      </c>
      <c r="M429" s="2">
        <v>0.375</v>
      </c>
      <c r="N429" s="2">
        <v>95</v>
      </c>
      <c r="O429" s="2">
        <v>151</v>
      </c>
      <c r="P429" s="2">
        <v>0.629</v>
      </c>
      <c r="Q429" s="2">
        <v>0.60199999999999998</v>
      </c>
      <c r="R429" s="2">
        <v>24</v>
      </c>
      <c r="S429" s="2">
        <v>31</v>
      </c>
      <c r="T429" s="2">
        <v>0.77400000000000002</v>
      </c>
      <c r="U429" s="2">
        <v>42</v>
      </c>
      <c r="V429" s="2">
        <v>145</v>
      </c>
      <c r="W429" s="2">
        <v>187</v>
      </c>
      <c r="X429" s="2">
        <v>81</v>
      </c>
      <c r="Y429" s="2">
        <v>23</v>
      </c>
      <c r="Z429" s="2">
        <v>13</v>
      </c>
      <c r="AA429" s="2">
        <v>32</v>
      </c>
      <c r="AB429" s="2">
        <v>29</v>
      </c>
      <c r="AC429" s="2">
        <v>331</v>
      </c>
      <c r="AD429" s="2">
        <v>0</v>
      </c>
      <c r="AE429" s="18">
        <f t="shared" si="6"/>
        <v>2.53125</v>
      </c>
    </row>
    <row r="430" spans="1:31" x14ac:dyDescent="0.2">
      <c r="A430" t="s">
        <v>231</v>
      </c>
      <c r="B430" s="2">
        <v>20</v>
      </c>
      <c r="C430" t="s">
        <v>135</v>
      </c>
      <c r="D430" s="2" t="s">
        <v>33</v>
      </c>
      <c r="E430" s="2">
        <v>17</v>
      </c>
      <c r="F430" s="2">
        <v>3</v>
      </c>
      <c r="G430" s="2">
        <v>445</v>
      </c>
      <c r="H430" s="2">
        <v>72</v>
      </c>
      <c r="I430" s="2">
        <v>172</v>
      </c>
      <c r="J430" s="2">
        <v>0.41899999999999998</v>
      </c>
      <c r="K430" s="2">
        <v>17</v>
      </c>
      <c r="L430" s="2">
        <v>53</v>
      </c>
      <c r="M430" s="2">
        <v>0.32100000000000001</v>
      </c>
      <c r="N430" s="2">
        <v>55</v>
      </c>
      <c r="O430" s="2">
        <v>119</v>
      </c>
      <c r="P430" s="2">
        <v>0.46200000000000002</v>
      </c>
      <c r="Q430" s="2">
        <v>0.46800000000000003</v>
      </c>
      <c r="R430" s="2">
        <v>39</v>
      </c>
      <c r="S430" s="2">
        <v>50</v>
      </c>
      <c r="T430" s="2">
        <v>0.78</v>
      </c>
      <c r="U430" s="2">
        <v>12</v>
      </c>
      <c r="V430" s="2">
        <v>36</v>
      </c>
      <c r="W430" s="2">
        <v>48</v>
      </c>
      <c r="X430" s="2">
        <v>87</v>
      </c>
      <c r="Y430" s="2">
        <v>16</v>
      </c>
      <c r="Z430" s="2">
        <v>2</v>
      </c>
      <c r="AA430" s="2">
        <v>52</v>
      </c>
      <c r="AB430" s="2">
        <v>43</v>
      </c>
      <c r="AC430" s="2">
        <v>200</v>
      </c>
      <c r="AD430" s="2">
        <v>0</v>
      </c>
      <c r="AE430" s="18">
        <f t="shared" si="6"/>
        <v>1.6730769230769231</v>
      </c>
    </row>
    <row r="431" spans="1:31" x14ac:dyDescent="0.2">
      <c r="A431" t="s">
        <v>167</v>
      </c>
      <c r="B431" s="2">
        <v>23</v>
      </c>
      <c r="C431" t="s">
        <v>66</v>
      </c>
      <c r="D431" s="2" t="s">
        <v>27</v>
      </c>
      <c r="E431" s="2">
        <v>14</v>
      </c>
      <c r="F431" s="2">
        <v>14</v>
      </c>
      <c r="G431" s="2">
        <v>465</v>
      </c>
      <c r="H431" s="2">
        <v>106</v>
      </c>
      <c r="I431" s="2">
        <v>230</v>
      </c>
      <c r="J431" s="2">
        <v>0.46100000000000002</v>
      </c>
      <c r="K431" s="2">
        <v>26</v>
      </c>
      <c r="L431" s="2">
        <v>84</v>
      </c>
      <c r="M431" s="2">
        <v>0.31</v>
      </c>
      <c r="N431" s="2">
        <v>80</v>
      </c>
      <c r="O431" s="2">
        <v>146</v>
      </c>
      <c r="P431" s="2">
        <v>0.54800000000000004</v>
      </c>
      <c r="Q431" s="2">
        <v>0.51700000000000002</v>
      </c>
      <c r="R431" s="2">
        <v>50</v>
      </c>
      <c r="S431" s="2">
        <v>69</v>
      </c>
      <c r="T431" s="2">
        <v>0.72499999999999998</v>
      </c>
      <c r="U431" s="2">
        <v>29</v>
      </c>
      <c r="V431" s="2">
        <v>89</v>
      </c>
      <c r="W431" s="2">
        <v>118</v>
      </c>
      <c r="X431" s="2">
        <v>104</v>
      </c>
      <c r="Y431" s="2">
        <v>18</v>
      </c>
      <c r="Z431" s="2">
        <v>10</v>
      </c>
      <c r="AA431" s="2">
        <v>50</v>
      </c>
      <c r="AB431" s="2">
        <v>27</v>
      </c>
      <c r="AC431" s="2">
        <v>288</v>
      </c>
      <c r="AD431" s="2">
        <v>1</v>
      </c>
      <c r="AE431" s="18">
        <f t="shared" si="6"/>
        <v>2.08</v>
      </c>
    </row>
    <row r="432" spans="1:31" x14ac:dyDescent="0.2">
      <c r="A432" t="s">
        <v>181</v>
      </c>
      <c r="B432" s="2">
        <v>24</v>
      </c>
      <c r="C432" t="s">
        <v>80</v>
      </c>
      <c r="D432" s="2" t="s">
        <v>33</v>
      </c>
      <c r="E432" s="2">
        <v>25</v>
      </c>
      <c r="F432" s="2">
        <v>10</v>
      </c>
      <c r="G432" s="2">
        <v>583</v>
      </c>
      <c r="H432" s="2">
        <v>103</v>
      </c>
      <c r="I432" s="2">
        <v>218</v>
      </c>
      <c r="J432" s="2">
        <v>0.47199999999999998</v>
      </c>
      <c r="K432" s="2">
        <v>24</v>
      </c>
      <c r="L432" s="2">
        <v>72</v>
      </c>
      <c r="M432" s="2">
        <v>0.33300000000000002</v>
      </c>
      <c r="N432" s="2">
        <v>79</v>
      </c>
      <c r="O432" s="2">
        <v>146</v>
      </c>
      <c r="P432" s="2">
        <v>0.54100000000000004</v>
      </c>
      <c r="Q432" s="2">
        <v>0.52800000000000002</v>
      </c>
      <c r="R432" s="2">
        <v>38</v>
      </c>
      <c r="S432" s="2">
        <v>53</v>
      </c>
      <c r="T432" s="2">
        <v>0.71699999999999997</v>
      </c>
      <c r="U432" s="2">
        <v>15</v>
      </c>
      <c r="V432" s="2">
        <v>75</v>
      </c>
      <c r="W432" s="2">
        <v>90</v>
      </c>
      <c r="X432" s="2">
        <v>136</v>
      </c>
      <c r="Y432" s="2">
        <v>28</v>
      </c>
      <c r="Z432" s="2">
        <v>8</v>
      </c>
      <c r="AA432" s="2">
        <v>51</v>
      </c>
      <c r="AB432" s="2">
        <v>63</v>
      </c>
      <c r="AC432" s="2">
        <v>268</v>
      </c>
      <c r="AD432" s="2">
        <v>1</v>
      </c>
      <c r="AE432" s="18">
        <f t="shared" si="6"/>
        <v>2.6666666666666665</v>
      </c>
    </row>
    <row r="433" spans="1:31" x14ac:dyDescent="0.2">
      <c r="A433" t="s">
        <v>323</v>
      </c>
      <c r="B433" s="2">
        <v>34</v>
      </c>
      <c r="C433" t="s">
        <v>59</v>
      </c>
      <c r="D433" s="2" t="s">
        <v>52</v>
      </c>
      <c r="E433" s="2">
        <v>23</v>
      </c>
      <c r="F433" s="2">
        <v>4</v>
      </c>
      <c r="G433" s="2">
        <v>285</v>
      </c>
      <c r="H433" s="2">
        <v>41</v>
      </c>
      <c r="I433" s="2">
        <v>86</v>
      </c>
      <c r="J433" s="2">
        <v>0.47699999999999998</v>
      </c>
      <c r="K433" s="2">
        <v>20</v>
      </c>
      <c r="L433" s="2">
        <v>45</v>
      </c>
      <c r="M433" s="2">
        <v>0.44400000000000001</v>
      </c>
      <c r="N433" s="2">
        <v>21</v>
      </c>
      <c r="O433" s="2">
        <v>41</v>
      </c>
      <c r="P433" s="2">
        <v>0.51200000000000001</v>
      </c>
      <c r="Q433" s="2">
        <v>0.59299999999999997</v>
      </c>
      <c r="R433" s="2">
        <v>9</v>
      </c>
      <c r="S433" s="2">
        <v>11</v>
      </c>
      <c r="T433" s="2">
        <v>0.81799999999999995</v>
      </c>
      <c r="U433" s="2">
        <v>9</v>
      </c>
      <c r="V433" s="2">
        <v>22</v>
      </c>
      <c r="W433" s="2">
        <v>31</v>
      </c>
      <c r="X433" s="2">
        <v>8</v>
      </c>
      <c r="Y433" s="2">
        <v>10</v>
      </c>
      <c r="Z433" s="2">
        <v>4</v>
      </c>
      <c r="AA433" s="2">
        <v>6</v>
      </c>
      <c r="AB433" s="2">
        <v>23</v>
      </c>
      <c r="AC433" s="2">
        <v>111</v>
      </c>
      <c r="AD433" s="2">
        <v>0</v>
      </c>
      <c r="AE433" s="18">
        <f t="shared" si="6"/>
        <v>1.3333333333333333</v>
      </c>
    </row>
    <row r="434" spans="1:31" x14ac:dyDescent="0.2">
      <c r="A434" t="s">
        <v>174</v>
      </c>
      <c r="B434" s="2">
        <v>21</v>
      </c>
      <c r="C434" t="s">
        <v>135</v>
      </c>
      <c r="D434" s="2" t="s">
        <v>52</v>
      </c>
      <c r="E434" s="2">
        <v>16</v>
      </c>
      <c r="F434" s="2">
        <v>14</v>
      </c>
      <c r="G434" s="2">
        <v>489</v>
      </c>
      <c r="H434" s="2">
        <v>99</v>
      </c>
      <c r="I434" s="2">
        <v>229</v>
      </c>
      <c r="J434" s="2">
        <v>0.432</v>
      </c>
      <c r="K434" s="2">
        <v>28</v>
      </c>
      <c r="L434" s="2">
        <v>99</v>
      </c>
      <c r="M434" s="2">
        <v>0.28299999999999997</v>
      </c>
      <c r="N434" s="2">
        <v>71</v>
      </c>
      <c r="O434" s="2">
        <v>130</v>
      </c>
      <c r="P434" s="2">
        <v>0.54600000000000004</v>
      </c>
      <c r="Q434" s="2">
        <v>0.49299999999999999</v>
      </c>
      <c r="R434" s="2">
        <v>52</v>
      </c>
      <c r="S434" s="2">
        <v>65</v>
      </c>
      <c r="T434" s="2">
        <v>0.8</v>
      </c>
      <c r="U434" s="2">
        <v>12</v>
      </c>
      <c r="V434" s="2">
        <v>41</v>
      </c>
      <c r="W434" s="2">
        <v>53</v>
      </c>
      <c r="X434" s="2">
        <v>38</v>
      </c>
      <c r="Y434" s="2">
        <v>13</v>
      </c>
      <c r="Z434" s="2">
        <v>3</v>
      </c>
      <c r="AA434" s="2">
        <v>32</v>
      </c>
      <c r="AB434" s="2">
        <v>28</v>
      </c>
      <c r="AC434" s="2">
        <v>278</v>
      </c>
      <c r="AD434" s="2">
        <v>0</v>
      </c>
      <c r="AE434" s="18">
        <f t="shared" si="6"/>
        <v>1.1875</v>
      </c>
    </row>
    <row r="435" spans="1:31" x14ac:dyDescent="0.2">
      <c r="A435" t="s">
        <v>31</v>
      </c>
      <c r="B435" s="2">
        <v>26</v>
      </c>
      <c r="C435" t="s">
        <v>32</v>
      </c>
      <c r="D435" s="2" t="s">
        <v>33</v>
      </c>
      <c r="E435" s="2">
        <v>24</v>
      </c>
      <c r="F435" s="2">
        <v>24</v>
      </c>
      <c r="G435" s="2">
        <v>823</v>
      </c>
      <c r="H435" s="2">
        <v>255</v>
      </c>
      <c r="I435" s="2">
        <v>495</v>
      </c>
      <c r="J435" s="2">
        <v>0.51500000000000001</v>
      </c>
      <c r="K435" s="2">
        <v>51</v>
      </c>
      <c r="L435" s="2">
        <v>150</v>
      </c>
      <c r="M435" s="2">
        <v>0.34</v>
      </c>
      <c r="N435" s="2">
        <v>204</v>
      </c>
      <c r="O435" s="2">
        <v>345</v>
      </c>
      <c r="P435" s="2">
        <v>0.59099999999999997</v>
      </c>
      <c r="Q435" s="2">
        <v>0.56699999999999995</v>
      </c>
      <c r="R435" s="4">
        <v>164</v>
      </c>
      <c r="S435" s="2">
        <v>191</v>
      </c>
      <c r="T435" s="2">
        <v>0.85899999999999999</v>
      </c>
      <c r="U435" s="2">
        <v>20</v>
      </c>
      <c r="V435" s="2">
        <v>109</v>
      </c>
      <c r="W435" s="2">
        <v>129</v>
      </c>
      <c r="X435" s="2">
        <v>151</v>
      </c>
      <c r="Y435" s="2">
        <v>42</v>
      </c>
      <c r="Z435" s="2">
        <v>24</v>
      </c>
      <c r="AA435" s="2">
        <v>64</v>
      </c>
      <c r="AB435" s="2">
        <v>52</v>
      </c>
      <c r="AC435" s="4">
        <v>725</v>
      </c>
      <c r="AD435" s="2">
        <v>0</v>
      </c>
      <c r="AE435" s="18">
        <f t="shared" si="6"/>
        <v>2.359375</v>
      </c>
    </row>
    <row r="436" spans="1:31" x14ac:dyDescent="0.2">
      <c r="A436" t="s">
        <v>316</v>
      </c>
      <c r="B436" s="2">
        <v>28</v>
      </c>
      <c r="C436" t="s">
        <v>103</v>
      </c>
      <c r="D436" s="2" t="s">
        <v>52</v>
      </c>
      <c r="E436" s="2">
        <v>20</v>
      </c>
      <c r="F436" s="2">
        <v>0</v>
      </c>
      <c r="G436" s="2">
        <v>327</v>
      </c>
      <c r="H436" s="2">
        <v>44</v>
      </c>
      <c r="I436" s="2">
        <v>93</v>
      </c>
      <c r="J436" s="2">
        <v>0.47299999999999998</v>
      </c>
      <c r="K436" s="2">
        <v>19</v>
      </c>
      <c r="L436" s="2">
        <v>45</v>
      </c>
      <c r="M436" s="2">
        <v>0.42199999999999999</v>
      </c>
      <c r="N436" s="2">
        <v>25</v>
      </c>
      <c r="O436" s="2">
        <v>48</v>
      </c>
      <c r="P436" s="2">
        <v>0.52100000000000002</v>
      </c>
      <c r="Q436" s="2">
        <v>0.57499999999999996</v>
      </c>
      <c r="R436" s="2">
        <v>12</v>
      </c>
      <c r="S436" s="2">
        <v>17</v>
      </c>
      <c r="T436" s="2">
        <v>0.70599999999999996</v>
      </c>
      <c r="U436" s="2">
        <v>9</v>
      </c>
      <c r="V436" s="2">
        <v>21</v>
      </c>
      <c r="W436" s="2">
        <v>30</v>
      </c>
      <c r="X436" s="2">
        <v>41</v>
      </c>
      <c r="Y436" s="2">
        <v>8</v>
      </c>
      <c r="Z436" s="2">
        <v>1</v>
      </c>
      <c r="AA436" s="2">
        <v>13</v>
      </c>
      <c r="AB436" s="2">
        <v>23</v>
      </c>
      <c r="AC436" s="2">
        <v>119</v>
      </c>
      <c r="AD436" s="2">
        <v>0</v>
      </c>
      <c r="AE436" s="18">
        <f t="shared" si="6"/>
        <v>3.1538461538461537</v>
      </c>
    </row>
    <row r="437" spans="1:31" x14ac:dyDescent="0.2">
      <c r="A437" t="s">
        <v>517</v>
      </c>
      <c r="B437" s="2">
        <v>20</v>
      </c>
      <c r="C437" t="s">
        <v>93</v>
      </c>
      <c r="D437" s="2" t="s">
        <v>49</v>
      </c>
      <c r="E437" s="2">
        <v>10</v>
      </c>
      <c r="F437" s="2">
        <v>0</v>
      </c>
      <c r="G437" s="2">
        <v>30</v>
      </c>
      <c r="H437" s="2">
        <v>2</v>
      </c>
      <c r="I437" s="2">
        <v>7</v>
      </c>
      <c r="J437" s="2">
        <v>0.28599999999999998</v>
      </c>
      <c r="K437" s="2">
        <v>1</v>
      </c>
      <c r="L437" s="2">
        <v>2</v>
      </c>
      <c r="M437" s="2">
        <v>0.5</v>
      </c>
      <c r="N437" s="2">
        <v>1</v>
      </c>
      <c r="O437" s="2">
        <v>5</v>
      </c>
      <c r="P437" s="2">
        <v>0.2</v>
      </c>
      <c r="Q437" s="2">
        <v>0.35699999999999998</v>
      </c>
      <c r="R437" s="2">
        <v>0</v>
      </c>
      <c r="S437" s="2">
        <v>4</v>
      </c>
      <c r="T437" s="2">
        <v>0</v>
      </c>
      <c r="U437" s="2">
        <v>2</v>
      </c>
      <c r="V437" s="2">
        <v>6</v>
      </c>
      <c r="W437" s="2">
        <v>8</v>
      </c>
      <c r="X437" s="2">
        <v>5</v>
      </c>
      <c r="Y437" s="2">
        <v>0</v>
      </c>
      <c r="Z437" s="2">
        <v>0</v>
      </c>
      <c r="AA437" s="2">
        <v>1</v>
      </c>
      <c r="AB437" s="2">
        <v>4</v>
      </c>
      <c r="AC437" s="2">
        <v>5</v>
      </c>
      <c r="AD437" s="2">
        <v>0</v>
      </c>
      <c r="AE437" s="18">
        <f t="shared" si="6"/>
        <v>5</v>
      </c>
    </row>
    <row r="438" spans="1:31" x14ac:dyDescent="0.2">
      <c r="A438" t="s">
        <v>278</v>
      </c>
      <c r="B438" s="2">
        <v>29</v>
      </c>
      <c r="C438" t="s">
        <v>75</v>
      </c>
      <c r="D438" s="2" t="s">
        <v>49</v>
      </c>
      <c r="E438" s="2">
        <v>24</v>
      </c>
      <c r="F438" s="2">
        <v>0</v>
      </c>
      <c r="G438" s="2">
        <v>432</v>
      </c>
      <c r="H438" s="2">
        <v>49</v>
      </c>
      <c r="I438" s="2">
        <v>124</v>
      </c>
      <c r="J438" s="2">
        <v>0.39500000000000002</v>
      </c>
      <c r="K438" s="2">
        <v>29</v>
      </c>
      <c r="L438" s="2">
        <v>84</v>
      </c>
      <c r="M438" s="2">
        <v>0.34499999999999997</v>
      </c>
      <c r="N438" s="2">
        <v>20</v>
      </c>
      <c r="O438" s="2">
        <v>40</v>
      </c>
      <c r="P438" s="2">
        <v>0.5</v>
      </c>
      <c r="Q438" s="2">
        <v>0.51200000000000001</v>
      </c>
      <c r="R438" s="2">
        <v>25</v>
      </c>
      <c r="S438" s="2">
        <v>32</v>
      </c>
      <c r="T438" s="2">
        <v>0.78100000000000003</v>
      </c>
      <c r="U438" s="2">
        <v>12</v>
      </c>
      <c r="V438" s="2">
        <v>59</v>
      </c>
      <c r="W438" s="2">
        <v>71</v>
      </c>
      <c r="X438" s="2">
        <v>21</v>
      </c>
      <c r="Y438" s="2">
        <v>6</v>
      </c>
      <c r="Z438" s="2">
        <v>5</v>
      </c>
      <c r="AA438" s="2">
        <v>17</v>
      </c>
      <c r="AB438" s="2">
        <v>33</v>
      </c>
      <c r="AC438" s="2">
        <v>152</v>
      </c>
      <c r="AD438" s="2">
        <v>0</v>
      </c>
      <c r="AE438" s="18">
        <f t="shared" si="6"/>
        <v>1.2352941176470589</v>
      </c>
    </row>
    <row r="439" spans="1:31" x14ac:dyDescent="0.2">
      <c r="A439" t="s">
        <v>243</v>
      </c>
      <c r="B439" s="2">
        <v>31</v>
      </c>
      <c r="C439" t="s">
        <v>63</v>
      </c>
      <c r="D439" s="2" t="s">
        <v>33</v>
      </c>
      <c r="E439" s="2">
        <v>23</v>
      </c>
      <c r="F439" s="2">
        <v>0</v>
      </c>
      <c r="G439" s="2">
        <v>492</v>
      </c>
      <c r="H439" s="2">
        <v>55</v>
      </c>
      <c r="I439" s="2">
        <v>137</v>
      </c>
      <c r="J439" s="2">
        <v>0.40100000000000002</v>
      </c>
      <c r="K439" s="2">
        <v>32</v>
      </c>
      <c r="L439" s="2">
        <v>84</v>
      </c>
      <c r="M439" s="2">
        <v>0.38100000000000001</v>
      </c>
      <c r="N439" s="2">
        <v>23</v>
      </c>
      <c r="O439" s="2">
        <v>53</v>
      </c>
      <c r="P439" s="2">
        <v>0.434</v>
      </c>
      <c r="Q439" s="2">
        <v>0.51800000000000002</v>
      </c>
      <c r="R439" s="2">
        <v>46</v>
      </c>
      <c r="S439" s="2">
        <v>53</v>
      </c>
      <c r="T439" s="2">
        <v>0.86799999999999999</v>
      </c>
      <c r="U439" s="2">
        <v>4</v>
      </c>
      <c r="V439" s="2">
        <v>37</v>
      </c>
      <c r="W439" s="2">
        <v>41</v>
      </c>
      <c r="X439" s="2">
        <v>70</v>
      </c>
      <c r="Y439" s="2">
        <v>16</v>
      </c>
      <c r="Z439" s="2">
        <v>6</v>
      </c>
      <c r="AA439" s="2">
        <v>18</v>
      </c>
      <c r="AB439" s="2">
        <v>37</v>
      </c>
      <c r="AC439" s="2">
        <v>188</v>
      </c>
      <c r="AD439" s="2">
        <v>0</v>
      </c>
      <c r="AE439" s="18">
        <f t="shared" si="6"/>
        <v>3.8888888888888888</v>
      </c>
    </row>
    <row r="440" spans="1:31" x14ac:dyDescent="0.2">
      <c r="A440" t="s">
        <v>562</v>
      </c>
      <c r="B440" s="2">
        <v>23</v>
      </c>
      <c r="C440" t="s">
        <v>46</v>
      </c>
      <c r="D440" s="2" t="s">
        <v>49</v>
      </c>
      <c r="E440" s="2">
        <v>2</v>
      </c>
      <c r="F440" s="2">
        <v>0</v>
      </c>
      <c r="G440" s="2">
        <v>4</v>
      </c>
      <c r="H440" s="2">
        <v>0</v>
      </c>
      <c r="I440" s="2">
        <v>1</v>
      </c>
      <c r="J440" s="2">
        <v>0</v>
      </c>
      <c r="K440" s="2">
        <v>0</v>
      </c>
      <c r="L440" s="2">
        <v>1</v>
      </c>
      <c r="M440" s="2">
        <v>0</v>
      </c>
      <c r="N440" s="2">
        <v>0</v>
      </c>
      <c r="O440" s="2">
        <v>0</v>
      </c>
      <c r="P440" s="2"/>
      <c r="Q440" s="2">
        <v>0</v>
      </c>
      <c r="R440" s="2">
        <v>0</v>
      </c>
      <c r="S440" s="2">
        <v>0</v>
      </c>
      <c r="T440" s="2"/>
      <c r="U440" s="2">
        <v>0</v>
      </c>
      <c r="V440" s="2">
        <v>1</v>
      </c>
      <c r="W440" s="2">
        <v>1</v>
      </c>
      <c r="X440" s="2">
        <v>0</v>
      </c>
      <c r="Y440" s="2">
        <v>2</v>
      </c>
      <c r="Z440" s="2">
        <v>0</v>
      </c>
      <c r="AA440" s="2">
        <v>0</v>
      </c>
      <c r="AB440" s="2">
        <v>0</v>
      </c>
      <c r="AC440" s="2">
        <v>0</v>
      </c>
      <c r="AD440" s="2">
        <v>0</v>
      </c>
      <c r="AE440" s="18" t="e">
        <f t="shared" si="6"/>
        <v>#DIV/0!</v>
      </c>
    </row>
    <row r="441" spans="1:31" x14ac:dyDescent="0.2">
      <c r="A441" t="s">
        <v>542</v>
      </c>
      <c r="B441" s="2">
        <v>25</v>
      </c>
      <c r="C441" t="s">
        <v>35</v>
      </c>
      <c r="D441" s="2" t="s">
        <v>52</v>
      </c>
      <c r="E441" s="2">
        <v>6</v>
      </c>
      <c r="F441" s="2">
        <v>0</v>
      </c>
      <c r="G441" s="2">
        <v>17</v>
      </c>
      <c r="H441" s="2">
        <v>1</v>
      </c>
      <c r="I441" s="2">
        <v>3</v>
      </c>
      <c r="J441" s="2">
        <v>0.33300000000000002</v>
      </c>
      <c r="K441" s="2">
        <v>1</v>
      </c>
      <c r="L441" s="2">
        <v>3</v>
      </c>
      <c r="M441" s="2">
        <v>0.33300000000000002</v>
      </c>
      <c r="N441" s="2">
        <v>0</v>
      </c>
      <c r="O441" s="2">
        <v>0</v>
      </c>
      <c r="P441" s="2"/>
      <c r="Q441" s="2">
        <v>0.5</v>
      </c>
      <c r="R441" s="2">
        <v>0</v>
      </c>
      <c r="S441" s="2">
        <v>2</v>
      </c>
      <c r="T441" s="2">
        <v>0</v>
      </c>
      <c r="U441" s="2">
        <v>0</v>
      </c>
      <c r="V441" s="2">
        <v>3</v>
      </c>
      <c r="W441" s="2">
        <v>3</v>
      </c>
      <c r="X441" s="2">
        <v>1</v>
      </c>
      <c r="Y441" s="2">
        <v>0</v>
      </c>
      <c r="Z441" s="2">
        <v>1</v>
      </c>
      <c r="AA441" s="2">
        <v>0</v>
      </c>
      <c r="AB441" s="2">
        <v>0</v>
      </c>
      <c r="AC441" s="2">
        <v>3</v>
      </c>
      <c r="AD441" s="2">
        <v>0</v>
      </c>
      <c r="AE441" s="18" t="e">
        <f t="shared" si="6"/>
        <v>#DIV/0!</v>
      </c>
    </row>
    <row r="442" spans="1:31" x14ac:dyDescent="0.2">
      <c r="A442" t="s">
        <v>99</v>
      </c>
      <c r="B442" s="2">
        <v>36</v>
      </c>
      <c r="C442" t="s">
        <v>100</v>
      </c>
      <c r="D442" s="2" t="s">
        <v>33</v>
      </c>
      <c r="E442" s="2">
        <v>19</v>
      </c>
      <c r="F442" s="2">
        <v>19</v>
      </c>
      <c r="G442" s="2">
        <v>583</v>
      </c>
      <c r="H442" s="2">
        <v>142</v>
      </c>
      <c r="I442" s="2">
        <v>315</v>
      </c>
      <c r="J442" s="2">
        <v>0.45100000000000001</v>
      </c>
      <c r="K442" s="2">
        <v>78</v>
      </c>
      <c r="L442" s="2">
        <v>189</v>
      </c>
      <c r="M442" s="2">
        <v>0.41299999999999998</v>
      </c>
      <c r="N442" s="2">
        <v>64</v>
      </c>
      <c r="O442" s="2">
        <v>126</v>
      </c>
      <c r="P442" s="2">
        <v>0.50800000000000001</v>
      </c>
      <c r="Q442" s="2">
        <v>0.57499999999999996</v>
      </c>
      <c r="R442" s="2">
        <v>71</v>
      </c>
      <c r="S442" s="2">
        <v>77</v>
      </c>
      <c r="T442" s="2">
        <v>0.92200000000000004</v>
      </c>
      <c r="U442" s="2">
        <v>10</v>
      </c>
      <c r="V442" s="2">
        <v>88</v>
      </c>
      <c r="W442" s="2">
        <v>98</v>
      </c>
      <c r="X442" s="2">
        <v>123</v>
      </c>
      <c r="Y442" s="2">
        <v>25</v>
      </c>
      <c r="Z442" s="2">
        <v>9</v>
      </c>
      <c r="AA442" s="2">
        <v>62</v>
      </c>
      <c r="AB442" s="2">
        <v>19</v>
      </c>
      <c r="AC442" s="2">
        <v>433</v>
      </c>
      <c r="AD442" s="2">
        <v>0</v>
      </c>
      <c r="AE442" s="18">
        <f t="shared" si="6"/>
        <v>1.9838709677419355</v>
      </c>
    </row>
    <row r="443" spans="1:31" x14ac:dyDescent="0.2">
      <c r="A443" t="s">
        <v>163</v>
      </c>
      <c r="B443" s="2">
        <v>20</v>
      </c>
      <c r="C443" t="s">
        <v>93</v>
      </c>
      <c r="D443" s="2" t="s">
        <v>33</v>
      </c>
      <c r="E443" s="2">
        <v>24</v>
      </c>
      <c r="F443" s="2">
        <v>17</v>
      </c>
      <c r="G443" s="2">
        <v>658</v>
      </c>
      <c r="H443" s="2">
        <v>100</v>
      </c>
      <c r="I443" s="2">
        <v>259</v>
      </c>
      <c r="J443" s="2">
        <v>0.38600000000000001</v>
      </c>
      <c r="K443" s="2">
        <v>29</v>
      </c>
      <c r="L443" s="2">
        <v>103</v>
      </c>
      <c r="M443" s="2">
        <v>0.28199999999999997</v>
      </c>
      <c r="N443" s="2">
        <v>71</v>
      </c>
      <c r="O443" s="2">
        <v>156</v>
      </c>
      <c r="P443" s="2">
        <v>0.45500000000000002</v>
      </c>
      <c r="Q443" s="2">
        <v>0.442</v>
      </c>
      <c r="R443" s="2">
        <v>62</v>
      </c>
      <c r="S443" s="2">
        <v>84</v>
      </c>
      <c r="T443" s="2">
        <v>0.73799999999999999</v>
      </c>
      <c r="U443" s="2">
        <v>19</v>
      </c>
      <c r="V443" s="2">
        <v>44</v>
      </c>
      <c r="W443" s="2">
        <v>63</v>
      </c>
      <c r="X443" s="2">
        <v>92</v>
      </c>
      <c r="Y443" s="2">
        <v>22</v>
      </c>
      <c r="Z443" s="2">
        <v>10</v>
      </c>
      <c r="AA443" s="2">
        <v>45</v>
      </c>
      <c r="AB443" s="2">
        <v>40</v>
      </c>
      <c r="AC443" s="2">
        <v>291</v>
      </c>
      <c r="AD443" s="2">
        <v>0</v>
      </c>
      <c r="AE443" s="18">
        <f t="shared" si="6"/>
        <v>2.0444444444444443</v>
      </c>
    </row>
    <row r="444" spans="1:31" x14ac:dyDescent="0.2">
      <c r="A444" t="s">
        <v>428</v>
      </c>
      <c r="B444" s="2">
        <v>31</v>
      </c>
      <c r="C444" t="s">
        <v>87</v>
      </c>
      <c r="D444" s="2" t="s">
        <v>42</v>
      </c>
      <c r="E444" s="2">
        <v>13</v>
      </c>
      <c r="F444" s="2">
        <v>0</v>
      </c>
      <c r="G444" s="2">
        <v>144</v>
      </c>
      <c r="H444" s="2">
        <v>13</v>
      </c>
      <c r="I444" s="2">
        <v>22</v>
      </c>
      <c r="J444" s="2">
        <v>0.59099999999999997</v>
      </c>
      <c r="K444" s="2">
        <v>0</v>
      </c>
      <c r="L444" s="2">
        <v>0</v>
      </c>
      <c r="M444" s="2"/>
      <c r="N444" s="2">
        <v>13</v>
      </c>
      <c r="O444" s="2">
        <v>22</v>
      </c>
      <c r="P444" s="2">
        <v>0.59099999999999997</v>
      </c>
      <c r="Q444" s="2">
        <v>0.59099999999999997</v>
      </c>
      <c r="R444" s="2">
        <v>8</v>
      </c>
      <c r="S444" s="2">
        <v>20</v>
      </c>
      <c r="T444" s="2">
        <v>0.4</v>
      </c>
      <c r="U444" s="2">
        <v>19</v>
      </c>
      <c r="V444" s="2">
        <v>23</v>
      </c>
      <c r="W444" s="2">
        <v>42</v>
      </c>
      <c r="X444" s="2">
        <v>14</v>
      </c>
      <c r="Y444" s="2">
        <v>3</v>
      </c>
      <c r="Z444" s="2">
        <v>2</v>
      </c>
      <c r="AA444" s="2">
        <v>17</v>
      </c>
      <c r="AB444" s="2">
        <v>16</v>
      </c>
      <c r="AC444" s="2">
        <v>34</v>
      </c>
      <c r="AD444" s="2">
        <v>0</v>
      </c>
      <c r="AE444" s="18">
        <f t="shared" si="6"/>
        <v>0.82352941176470584</v>
      </c>
    </row>
    <row r="445" spans="1:31" x14ac:dyDescent="0.2">
      <c r="A445" t="s">
        <v>441</v>
      </c>
      <c r="B445" s="2">
        <v>27</v>
      </c>
      <c r="C445" t="s">
        <v>120</v>
      </c>
      <c r="D445" s="2" t="s">
        <v>49</v>
      </c>
      <c r="E445" s="2">
        <v>6</v>
      </c>
      <c r="F445" s="2">
        <v>2</v>
      </c>
      <c r="G445" s="2">
        <v>81</v>
      </c>
      <c r="H445" s="2">
        <v>10</v>
      </c>
      <c r="I445" s="2">
        <v>27</v>
      </c>
      <c r="J445" s="2">
        <v>0.37</v>
      </c>
      <c r="K445" s="2">
        <v>7</v>
      </c>
      <c r="L445" s="2">
        <v>22</v>
      </c>
      <c r="M445" s="2">
        <v>0.318</v>
      </c>
      <c r="N445" s="2">
        <v>3</v>
      </c>
      <c r="O445" s="2">
        <v>5</v>
      </c>
      <c r="P445" s="2">
        <v>0.6</v>
      </c>
      <c r="Q445" s="2">
        <v>0.5</v>
      </c>
      <c r="R445" s="2">
        <v>3</v>
      </c>
      <c r="S445" s="2">
        <v>4</v>
      </c>
      <c r="T445" s="2">
        <v>0.75</v>
      </c>
      <c r="U445" s="2">
        <v>1</v>
      </c>
      <c r="V445" s="2">
        <v>9</v>
      </c>
      <c r="W445" s="2">
        <v>10</v>
      </c>
      <c r="X445" s="2">
        <v>8</v>
      </c>
      <c r="Y445" s="2">
        <v>5</v>
      </c>
      <c r="Z445" s="2">
        <v>1</v>
      </c>
      <c r="AA445" s="2">
        <v>10</v>
      </c>
      <c r="AB445" s="2">
        <v>8</v>
      </c>
      <c r="AC445" s="2">
        <v>30</v>
      </c>
      <c r="AD445" s="2">
        <v>0</v>
      </c>
      <c r="AE445" s="18">
        <f t="shared" si="6"/>
        <v>0.8</v>
      </c>
    </row>
    <row r="446" spans="1:31" x14ac:dyDescent="0.2">
      <c r="A446" t="s">
        <v>178</v>
      </c>
      <c r="B446" s="2">
        <v>32</v>
      </c>
      <c r="C446" t="s">
        <v>82</v>
      </c>
      <c r="D446" s="2" t="s">
        <v>33</v>
      </c>
      <c r="E446" s="2">
        <v>24</v>
      </c>
      <c r="F446" s="2">
        <v>0</v>
      </c>
      <c r="G446" s="2">
        <v>480</v>
      </c>
      <c r="H446" s="2">
        <v>127</v>
      </c>
      <c r="I446" s="2">
        <v>220</v>
      </c>
      <c r="J446" s="2">
        <v>0.57699999999999996</v>
      </c>
      <c r="K446" s="2">
        <v>3</v>
      </c>
      <c r="L446" s="2">
        <v>12</v>
      </c>
      <c r="M446" s="2">
        <v>0.25</v>
      </c>
      <c r="N446" s="2">
        <v>124</v>
      </c>
      <c r="O446" s="2">
        <v>208</v>
      </c>
      <c r="P446" s="2">
        <v>0.59599999999999997</v>
      </c>
      <c r="Q446" s="2">
        <v>0.58399999999999996</v>
      </c>
      <c r="R446" s="2">
        <v>19</v>
      </c>
      <c r="S446" s="2">
        <v>26</v>
      </c>
      <c r="T446" s="2">
        <v>0.73099999999999998</v>
      </c>
      <c r="U446" s="2">
        <v>13</v>
      </c>
      <c r="V446" s="2">
        <v>48</v>
      </c>
      <c r="W446" s="2">
        <v>61</v>
      </c>
      <c r="X446" s="2">
        <v>97</v>
      </c>
      <c r="Y446" s="2">
        <v>33</v>
      </c>
      <c r="Z446" s="2">
        <v>7</v>
      </c>
      <c r="AA446" s="2">
        <v>39</v>
      </c>
      <c r="AB446" s="2">
        <v>25</v>
      </c>
      <c r="AC446" s="2">
        <v>276</v>
      </c>
      <c r="AD446" s="2">
        <v>0</v>
      </c>
      <c r="AE446" s="18">
        <f t="shared" si="6"/>
        <v>2.4871794871794872</v>
      </c>
    </row>
    <row r="447" spans="1:31" x14ac:dyDescent="0.2">
      <c r="A447" t="s">
        <v>422</v>
      </c>
      <c r="B447" s="2">
        <v>39</v>
      </c>
      <c r="C447" t="s">
        <v>59</v>
      </c>
      <c r="D447" s="2" t="s">
        <v>42</v>
      </c>
      <c r="E447" s="2">
        <v>13</v>
      </c>
      <c r="F447" s="2">
        <v>8</v>
      </c>
      <c r="G447" s="2">
        <v>150</v>
      </c>
      <c r="H447" s="2">
        <v>16</v>
      </c>
      <c r="I447" s="2">
        <v>34</v>
      </c>
      <c r="J447" s="2">
        <v>0.47099999999999997</v>
      </c>
      <c r="K447" s="2">
        <v>1</v>
      </c>
      <c r="L447" s="2">
        <v>2</v>
      </c>
      <c r="M447" s="2">
        <v>0.5</v>
      </c>
      <c r="N447" s="2">
        <v>15</v>
      </c>
      <c r="O447" s="2">
        <v>32</v>
      </c>
      <c r="P447" s="2">
        <v>0.46899999999999997</v>
      </c>
      <c r="Q447" s="2">
        <v>0.48499999999999999</v>
      </c>
      <c r="R447" s="2">
        <v>4</v>
      </c>
      <c r="S447" s="2">
        <v>6</v>
      </c>
      <c r="T447" s="2">
        <v>0.66700000000000004</v>
      </c>
      <c r="U447" s="2">
        <v>21</v>
      </c>
      <c r="V447" s="2">
        <v>24</v>
      </c>
      <c r="W447" s="2">
        <v>45</v>
      </c>
      <c r="X447" s="2">
        <v>7</v>
      </c>
      <c r="Y447" s="2">
        <v>5</v>
      </c>
      <c r="Z447" s="2">
        <v>3</v>
      </c>
      <c r="AA447" s="2">
        <v>9</v>
      </c>
      <c r="AB447" s="2">
        <v>18</v>
      </c>
      <c r="AC447" s="2">
        <v>37</v>
      </c>
      <c r="AD447" s="2">
        <v>0</v>
      </c>
      <c r="AE447" s="18">
        <f t="shared" si="6"/>
        <v>0.77777777777777779</v>
      </c>
    </row>
    <row r="448" spans="1:31" x14ac:dyDescent="0.2">
      <c r="A448" t="s">
        <v>298</v>
      </c>
      <c r="B448" s="2">
        <v>24</v>
      </c>
      <c r="C448" t="s">
        <v>70</v>
      </c>
      <c r="D448" s="2" t="s">
        <v>52</v>
      </c>
      <c r="E448" s="2">
        <v>19</v>
      </c>
      <c r="F448" s="2">
        <v>0</v>
      </c>
      <c r="G448" s="2">
        <v>208</v>
      </c>
      <c r="H448" s="2">
        <v>48</v>
      </c>
      <c r="I448" s="2">
        <v>87</v>
      </c>
      <c r="J448" s="2">
        <v>0.55200000000000005</v>
      </c>
      <c r="K448" s="2">
        <v>19</v>
      </c>
      <c r="L448" s="2">
        <v>37</v>
      </c>
      <c r="M448" s="2">
        <v>0.51400000000000001</v>
      </c>
      <c r="N448" s="2">
        <v>29</v>
      </c>
      <c r="O448" s="2">
        <v>50</v>
      </c>
      <c r="P448" s="2">
        <v>0.57999999999999996</v>
      </c>
      <c r="Q448" s="2">
        <v>0.66100000000000003</v>
      </c>
      <c r="R448" s="2">
        <v>21</v>
      </c>
      <c r="S448" s="2">
        <v>29</v>
      </c>
      <c r="T448" s="2">
        <v>0.72399999999999998</v>
      </c>
      <c r="U448" s="2">
        <v>8</v>
      </c>
      <c r="V448" s="2">
        <v>26</v>
      </c>
      <c r="W448" s="2">
        <v>34</v>
      </c>
      <c r="X448" s="2">
        <v>28</v>
      </c>
      <c r="Y448" s="2">
        <v>4</v>
      </c>
      <c r="Z448" s="2">
        <v>4</v>
      </c>
      <c r="AA448" s="2">
        <v>11</v>
      </c>
      <c r="AB448" s="2">
        <v>16</v>
      </c>
      <c r="AC448" s="2">
        <v>136</v>
      </c>
      <c r="AD448" s="2">
        <v>0</v>
      </c>
      <c r="AE448" s="18">
        <f t="shared" si="6"/>
        <v>2.5454545454545454</v>
      </c>
    </row>
    <row r="449" spans="1:31" x14ac:dyDescent="0.2">
      <c r="A449" t="s">
        <v>187</v>
      </c>
      <c r="B449" s="2">
        <v>23</v>
      </c>
      <c r="C449" t="s">
        <v>87</v>
      </c>
      <c r="D449" s="2" t="s">
        <v>27</v>
      </c>
      <c r="E449" s="2">
        <v>23</v>
      </c>
      <c r="F449" s="2">
        <v>0</v>
      </c>
      <c r="G449" s="2">
        <v>529</v>
      </c>
      <c r="H449" s="2">
        <v>102</v>
      </c>
      <c r="I449" s="2">
        <v>213</v>
      </c>
      <c r="J449" s="2">
        <v>0.47899999999999998</v>
      </c>
      <c r="K449" s="2">
        <v>21</v>
      </c>
      <c r="L449" s="2">
        <v>67</v>
      </c>
      <c r="M449" s="2">
        <v>0.313</v>
      </c>
      <c r="N449" s="2">
        <v>81</v>
      </c>
      <c r="O449" s="2">
        <v>146</v>
      </c>
      <c r="P449" s="2">
        <v>0.55500000000000005</v>
      </c>
      <c r="Q449" s="2">
        <v>0.52800000000000002</v>
      </c>
      <c r="R449" s="2">
        <v>33</v>
      </c>
      <c r="S449" s="2">
        <v>43</v>
      </c>
      <c r="T449" s="2">
        <v>0.76700000000000002</v>
      </c>
      <c r="U449" s="2">
        <v>51</v>
      </c>
      <c r="V449" s="2">
        <v>98</v>
      </c>
      <c r="W449" s="2">
        <v>149</v>
      </c>
      <c r="X449" s="2">
        <v>25</v>
      </c>
      <c r="Y449" s="2">
        <v>46</v>
      </c>
      <c r="Z449" s="2">
        <v>23</v>
      </c>
      <c r="AA449" s="2">
        <v>20</v>
      </c>
      <c r="AB449" s="2">
        <v>55</v>
      </c>
      <c r="AC449" s="2">
        <v>258</v>
      </c>
      <c r="AD449" s="2">
        <v>0</v>
      </c>
      <c r="AE449" s="18">
        <f t="shared" si="6"/>
        <v>1.25</v>
      </c>
    </row>
    <row r="450" spans="1:31" x14ac:dyDescent="0.2">
      <c r="A450" t="s">
        <v>242</v>
      </c>
      <c r="B450" s="2">
        <v>30</v>
      </c>
      <c r="C450" t="s">
        <v>35</v>
      </c>
      <c r="D450" s="2" t="s">
        <v>49</v>
      </c>
      <c r="E450" s="2">
        <v>24</v>
      </c>
      <c r="F450" s="2">
        <v>24</v>
      </c>
      <c r="G450" s="2">
        <v>644</v>
      </c>
      <c r="H450" s="2">
        <v>67</v>
      </c>
      <c r="I450" s="2">
        <v>136</v>
      </c>
      <c r="J450" s="2">
        <v>0.49299999999999999</v>
      </c>
      <c r="K450" s="2">
        <v>45</v>
      </c>
      <c r="L450" s="2">
        <v>84</v>
      </c>
      <c r="M450" s="4">
        <v>0.53600000000000003</v>
      </c>
      <c r="N450" s="2">
        <v>22</v>
      </c>
      <c r="O450" s="2">
        <v>52</v>
      </c>
      <c r="P450" s="2">
        <v>0.42299999999999999</v>
      </c>
      <c r="Q450" s="2">
        <v>0.65800000000000003</v>
      </c>
      <c r="R450" s="2">
        <v>11</v>
      </c>
      <c r="S450" s="2">
        <v>13</v>
      </c>
      <c r="T450" s="2">
        <v>0.84599999999999997</v>
      </c>
      <c r="U450" s="2">
        <v>15</v>
      </c>
      <c r="V450" s="2">
        <v>86</v>
      </c>
      <c r="W450" s="2">
        <v>101</v>
      </c>
      <c r="X450" s="2">
        <v>44</v>
      </c>
      <c r="Y450" s="2">
        <v>20</v>
      </c>
      <c r="Z450" s="2">
        <v>5</v>
      </c>
      <c r="AA450" s="2">
        <v>26</v>
      </c>
      <c r="AB450" s="2">
        <v>49</v>
      </c>
      <c r="AC450" s="2">
        <v>190</v>
      </c>
      <c r="AD450" s="2">
        <v>0</v>
      </c>
      <c r="AE450" s="18">
        <f t="shared" si="6"/>
        <v>1.6923076923076923</v>
      </c>
    </row>
    <row r="451" spans="1:31" x14ac:dyDescent="0.2">
      <c r="A451" t="s">
        <v>489</v>
      </c>
      <c r="B451" s="2">
        <v>21</v>
      </c>
      <c r="C451" t="s">
        <v>120</v>
      </c>
      <c r="D451" s="2" t="s">
        <v>27</v>
      </c>
      <c r="E451" s="2">
        <v>3</v>
      </c>
      <c r="F451" s="2">
        <v>3</v>
      </c>
      <c r="G451" s="2">
        <v>75</v>
      </c>
      <c r="H451" s="2">
        <v>4</v>
      </c>
      <c r="I451" s="2">
        <v>18</v>
      </c>
      <c r="J451" s="2">
        <v>0.222</v>
      </c>
      <c r="K451" s="2">
        <v>3</v>
      </c>
      <c r="L451" s="2">
        <v>12</v>
      </c>
      <c r="M451" s="2">
        <v>0.25</v>
      </c>
      <c r="N451" s="2">
        <v>1</v>
      </c>
      <c r="O451" s="2">
        <v>6</v>
      </c>
      <c r="P451" s="2">
        <v>0.16700000000000001</v>
      </c>
      <c r="Q451" s="2">
        <v>0.30599999999999999</v>
      </c>
      <c r="R451" s="2">
        <v>3</v>
      </c>
      <c r="S451" s="2">
        <v>4</v>
      </c>
      <c r="T451" s="2">
        <v>0.75</v>
      </c>
      <c r="U451" s="2">
        <v>5</v>
      </c>
      <c r="V451" s="2">
        <v>10</v>
      </c>
      <c r="W451" s="2">
        <v>15</v>
      </c>
      <c r="X451" s="2">
        <v>2</v>
      </c>
      <c r="Y451" s="2">
        <v>5</v>
      </c>
      <c r="Z451" s="2">
        <v>4</v>
      </c>
      <c r="AA451" s="2">
        <v>2</v>
      </c>
      <c r="AB451" s="2">
        <v>8</v>
      </c>
      <c r="AC451" s="2">
        <v>14</v>
      </c>
      <c r="AD451" s="2">
        <v>0</v>
      </c>
      <c r="AE451" s="18">
        <f t="shared" ref="AE451:AE503" si="7">X451/AA451</f>
        <v>1</v>
      </c>
    </row>
    <row r="452" spans="1:31" x14ac:dyDescent="0.2">
      <c r="A452" t="s">
        <v>510</v>
      </c>
      <c r="B452" s="2">
        <v>26</v>
      </c>
      <c r="C452" t="s">
        <v>135</v>
      </c>
      <c r="D452" s="2" t="s">
        <v>52</v>
      </c>
      <c r="E452" s="2">
        <v>2</v>
      </c>
      <c r="F452" s="2">
        <v>0</v>
      </c>
      <c r="G452" s="2">
        <v>20</v>
      </c>
      <c r="H452" s="2">
        <v>2</v>
      </c>
      <c r="I452" s="2">
        <v>10</v>
      </c>
      <c r="J452" s="2">
        <v>0.2</v>
      </c>
      <c r="K452" s="2">
        <v>1</v>
      </c>
      <c r="L452" s="2">
        <v>4</v>
      </c>
      <c r="M452" s="2">
        <v>0.25</v>
      </c>
      <c r="N452" s="2">
        <v>1</v>
      </c>
      <c r="O452" s="2">
        <v>6</v>
      </c>
      <c r="P452" s="2">
        <v>0.16700000000000001</v>
      </c>
      <c r="Q452" s="2">
        <v>0.25</v>
      </c>
      <c r="R452" s="2">
        <v>1</v>
      </c>
      <c r="S452" s="2">
        <v>2</v>
      </c>
      <c r="T452" s="2">
        <v>0.5</v>
      </c>
      <c r="U452" s="2">
        <v>4</v>
      </c>
      <c r="V452" s="2">
        <v>4</v>
      </c>
      <c r="W452" s="2">
        <v>8</v>
      </c>
      <c r="X452" s="2">
        <v>1</v>
      </c>
      <c r="Y452" s="2">
        <v>2</v>
      </c>
      <c r="Z452" s="2">
        <v>0</v>
      </c>
      <c r="AA452" s="2">
        <v>2</v>
      </c>
      <c r="AB452" s="2">
        <v>0</v>
      </c>
      <c r="AC452" s="2">
        <v>6</v>
      </c>
      <c r="AD452" s="2">
        <v>0</v>
      </c>
      <c r="AE452" s="18">
        <f t="shared" si="7"/>
        <v>0.5</v>
      </c>
    </row>
    <row r="453" spans="1:31" x14ac:dyDescent="0.2">
      <c r="A453" t="s">
        <v>290</v>
      </c>
      <c r="B453" s="2">
        <v>28</v>
      </c>
      <c r="C453" t="s">
        <v>77</v>
      </c>
      <c r="D453" s="2" t="s">
        <v>52</v>
      </c>
      <c r="E453" s="2">
        <v>23</v>
      </c>
      <c r="F453" s="2">
        <v>11</v>
      </c>
      <c r="G453" s="2">
        <v>484</v>
      </c>
      <c r="H453" s="2">
        <v>56</v>
      </c>
      <c r="I453" s="2">
        <v>128</v>
      </c>
      <c r="J453" s="2">
        <v>0.438</v>
      </c>
      <c r="K453" s="2">
        <v>16</v>
      </c>
      <c r="L453" s="2">
        <v>47</v>
      </c>
      <c r="M453" s="2">
        <v>0.34</v>
      </c>
      <c r="N453" s="2">
        <v>40</v>
      </c>
      <c r="O453" s="2">
        <v>81</v>
      </c>
      <c r="P453" s="2">
        <v>0.49399999999999999</v>
      </c>
      <c r="Q453" s="2">
        <v>0.5</v>
      </c>
      <c r="R453" s="2">
        <v>16</v>
      </c>
      <c r="S453" s="2">
        <v>24</v>
      </c>
      <c r="T453" s="2">
        <v>0.66700000000000004</v>
      </c>
      <c r="U453" s="2">
        <v>24</v>
      </c>
      <c r="V453" s="2">
        <v>47</v>
      </c>
      <c r="W453" s="2">
        <v>71</v>
      </c>
      <c r="X453" s="2">
        <v>40</v>
      </c>
      <c r="Y453" s="2">
        <v>22</v>
      </c>
      <c r="Z453" s="2">
        <v>5</v>
      </c>
      <c r="AA453" s="2">
        <v>13</v>
      </c>
      <c r="AB453" s="2">
        <v>47</v>
      </c>
      <c r="AC453" s="2">
        <v>144</v>
      </c>
      <c r="AD453" s="2">
        <v>0</v>
      </c>
      <c r="AE453" s="18">
        <f t="shared" si="7"/>
        <v>3.0769230769230771</v>
      </c>
    </row>
    <row r="454" spans="1:31" x14ac:dyDescent="0.2">
      <c r="A454" t="s">
        <v>501</v>
      </c>
      <c r="B454" s="2">
        <v>24</v>
      </c>
      <c r="C454" t="s">
        <v>51</v>
      </c>
      <c r="D454" s="2" t="s">
        <v>52</v>
      </c>
      <c r="E454" s="2">
        <v>7</v>
      </c>
      <c r="F454" s="2">
        <v>0</v>
      </c>
      <c r="G454" s="2">
        <v>30</v>
      </c>
      <c r="H454" s="2">
        <v>4</v>
      </c>
      <c r="I454" s="2">
        <v>9</v>
      </c>
      <c r="J454" s="2">
        <v>0.44400000000000001</v>
      </c>
      <c r="K454" s="2">
        <v>1</v>
      </c>
      <c r="L454" s="2">
        <v>3</v>
      </c>
      <c r="M454" s="2">
        <v>0.33300000000000002</v>
      </c>
      <c r="N454" s="2">
        <v>3</v>
      </c>
      <c r="O454" s="2">
        <v>6</v>
      </c>
      <c r="P454" s="2">
        <v>0.5</v>
      </c>
      <c r="Q454" s="2">
        <v>0.5</v>
      </c>
      <c r="R454" s="2">
        <v>0</v>
      </c>
      <c r="S454" s="2">
        <v>0</v>
      </c>
      <c r="T454" s="2"/>
      <c r="U454" s="2">
        <v>0</v>
      </c>
      <c r="V454" s="2">
        <v>1</v>
      </c>
      <c r="W454" s="2">
        <v>1</v>
      </c>
      <c r="X454" s="2">
        <v>4</v>
      </c>
      <c r="Y454" s="2">
        <v>2</v>
      </c>
      <c r="Z454" s="2">
        <v>1</v>
      </c>
      <c r="AA454" s="2">
        <v>3</v>
      </c>
      <c r="AB454" s="2">
        <v>0</v>
      </c>
      <c r="AC454" s="2">
        <v>9</v>
      </c>
      <c r="AD454" s="2">
        <v>0</v>
      </c>
      <c r="AE454" s="18">
        <f t="shared" si="7"/>
        <v>1.3333333333333333</v>
      </c>
    </row>
    <row r="455" spans="1:31" x14ac:dyDescent="0.2">
      <c r="A455" t="s">
        <v>193</v>
      </c>
      <c r="B455" s="2">
        <v>30</v>
      </c>
      <c r="C455" t="s">
        <v>61</v>
      </c>
      <c r="D455" s="2" t="s">
        <v>33</v>
      </c>
      <c r="E455" s="2">
        <v>21</v>
      </c>
      <c r="F455" s="2">
        <v>12</v>
      </c>
      <c r="G455" s="2">
        <v>597</v>
      </c>
      <c r="H455" s="2">
        <v>87</v>
      </c>
      <c r="I455" s="2">
        <v>218</v>
      </c>
      <c r="J455" s="2">
        <v>0.39900000000000002</v>
      </c>
      <c r="K455" s="2">
        <v>40</v>
      </c>
      <c r="L455" s="2">
        <v>113</v>
      </c>
      <c r="M455" s="2">
        <v>0.35399999999999998</v>
      </c>
      <c r="N455" s="2">
        <v>47</v>
      </c>
      <c r="O455" s="2">
        <v>105</v>
      </c>
      <c r="P455" s="2">
        <v>0.44800000000000001</v>
      </c>
      <c r="Q455" s="2">
        <v>0.49099999999999999</v>
      </c>
      <c r="R455" s="2">
        <v>33</v>
      </c>
      <c r="S455" s="2">
        <v>37</v>
      </c>
      <c r="T455" s="2">
        <v>0.89200000000000002</v>
      </c>
      <c r="U455" s="2">
        <v>15</v>
      </c>
      <c r="V455" s="2">
        <v>66</v>
      </c>
      <c r="W455" s="2">
        <v>81</v>
      </c>
      <c r="X455" s="2">
        <v>62</v>
      </c>
      <c r="Y455" s="2">
        <v>13</v>
      </c>
      <c r="Z455" s="2">
        <v>8</v>
      </c>
      <c r="AA455" s="2">
        <v>32</v>
      </c>
      <c r="AB455" s="2">
        <v>30</v>
      </c>
      <c r="AC455" s="2">
        <v>247</v>
      </c>
      <c r="AD455" s="2">
        <v>0</v>
      </c>
      <c r="AE455" s="18">
        <f t="shared" si="7"/>
        <v>1.9375</v>
      </c>
    </row>
    <row r="456" spans="1:31" x14ac:dyDescent="0.2">
      <c r="A456" t="s">
        <v>419</v>
      </c>
      <c r="B456" s="2">
        <v>27</v>
      </c>
      <c r="C456" t="s">
        <v>61</v>
      </c>
      <c r="D456" s="2" t="s">
        <v>42</v>
      </c>
      <c r="E456" s="2">
        <v>10</v>
      </c>
      <c r="F456" s="2">
        <v>0</v>
      </c>
      <c r="G456" s="2">
        <v>115</v>
      </c>
      <c r="H456" s="2">
        <v>12</v>
      </c>
      <c r="I456" s="2">
        <v>28</v>
      </c>
      <c r="J456" s="2">
        <v>0.42899999999999999</v>
      </c>
      <c r="K456" s="2">
        <v>6</v>
      </c>
      <c r="L456" s="2">
        <v>17</v>
      </c>
      <c r="M456" s="2">
        <v>0.35299999999999998</v>
      </c>
      <c r="N456" s="2">
        <v>6</v>
      </c>
      <c r="O456" s="2">
        <v>11</v>
      </c>
      <c r="P456" s="2">
        <v>0.54500000000000004</v>
      </c>
      <c r="Q456" s="2">
        <v>0.53600000000000003</v>
      </c>
      <c r="R456" s="2">
        <v>11</v>
      </c>
      <c r="S456" s="2">
        <v>11</v>
      </c>
      <c r="T456" s="2">
        <v>1</v>
      </c>
      <c r="U456" s="2">
        <v>6</v>
      </c>
      <c r="V456" s="2">
        <v>26</v>
      </c>
      <c r="W456" s="2">
        <v>32</v>
      </c>
      <c r="X456" s="2">
        <v>4</v>
      </c>
      <c r="Y456" s="2">
        <v>1</v>
      </c>
      <c r="Z456" s="2">
        <v>9</v>
      </c>
      <c r="AA456" s="2">
        <v>2</v>
      </c>
      <c r="AB456" s="2">
        <v>9</v>
      </c>
      <c r="AC456" s="2">
        <v>41</v>
      </c>
      <c r="AD456" s="2">
        <v>0</v>
      </c>
      <c r="AE456" s="18">
        <f t="shared" si="7"/>
        <v>2</v>
      </c>
    </row>
    <row r="457" spans="1:31" x14ac:dyDescent="0.2">
      <c r="A457" t="s">
        <v>337</v>
      </c>
      <c r="B457" s="2">
        <v>19</v>
      </c>
      <c r="C457" t="s">
        <v>59</v>
      </c>
      <c r="D457" s="2" t="s">
        <v>27</v>
      </c>
      <c r="E457" s="2">
        <v>20</v>
      </c>
      <c r="F457" s="2">
        <v>8</v>
      </c>
      <c r="G457" s="2">
        <v>376</v>
      </c>
      <c r="H457" s="2">
        <v>33</v>
      </c>
      <c r="I457" s="2">
        <v>101</v>
      </c>
      <c r="J457" s="2">
        <v>0.32700000000000001</v>
      </c>
      <c r="K457" s="2">
        <v>20</v>
      </c>
      <c r="L457" s="2">
        <v>68</v>
      </c>
      <c r="M457" s="2">
        <v>0.29399999999999998</v>
      </c>
      <c r="N457" s="2">
        <v>13</v>
      </c>
      <c r="O457" s="2">
        <v>33</v>
      </c>
      <c r="P457" s="2">
        <v>0.39400000000000002</v>
      </c>
      <c r="Q457" s="2">
        <v>0.42599999999999999</v>
      </c>
      <c r="R457" s="2">
        <v>14</v>
      </c>
      <c r="S457" s="2">
        <v>19</v>
      </c>
      <c r="T457" s="2">
        <v>0.73699999999999999</v>
      </c>
      <c r="U457" s="2">
        <v>18</v>
      </c>
      <c r="V457" s="2">
        <v>63</v>
      </c>
      <c r="W457" s="2">
        <v>81</v>
      </c>
      <c r="X457" s="2">
        <v>19</v>
      </c>
      <c r="Y457" s="2">
        <v>12</v>
      </c>
      <c r="Z457" s="2">
        <v>3</v>
      </c>
      <c r="AA457" s="2">
        <v>16</v>
      </c>
      <c r="AB457" s="2">
        <v>28</v>
      </c>
      <c r="AC457" s="2">
        <v>100</v>
      </c>
      <c r="AD457" s="2">
        <v>0</v>
      </c>
      <c r="AE457" s="18">
        <f t="shared" si="7"/>
        <v>1.1875</v>
      </c>
    </row>
    <row r="458" spans="1:31" x14ac:dyDescent="0.2">
      <c r="A458" t="s">
        <v>214</v>
      </c>
      <c r="B458" s="2">
        <v>32</v>
      </c>
      <c r="C458" t="s">
        <v>75</v>
      </c>
      <c r="D458" s="2" t="s">
        <v>52</v>
      </c>
      <c r="E458" s="2">
        <v>23</v>
      </c>
      <c r="F458" s="2">
        <v>23</v>
      </c>
      <c r="G458" s="2">
        <v>627</v>
      </c>
      <c r="H458" s="2">
        <v>73</v>
      </c>
      <c r="I458" s="2">
        <v>178</v>
      </c>
      <c r="J458" s="2">
        <v>0.41</v>
      </c>
      <c r="K458" s="2">
        <v>40</v>
      </c>
      <c r="L458" s="2">
        <v>117</v>
      </c>
      <c r="M458" s="2">
        <v>0.34200000000000003</v>
      </c>
      <c r="N458" s="2">
        <v>33</v>
      </c>
      <c r="O458" s="2">
        <v>61</v>
      </c>
      <c r="P458" s="2">
        <v>0.54100000000000004</v>
      </c>
      <c r="Q458" s="2">
        <v>0.52200000000000002</v>
      </c>
      <c r="R458" s="2">
        <v>35</v>
      </c>
      <c r="S458" s="2">
        <v>39</v>
      </c>
      <c r="T458" s="2">
        <v>0.89700000000000002</v>
      </c>
      <c r="U458" s="2">
        <v>5</v>
      </c>
      <c r="V458" s="2">
        <v>43</v>
      </c>
      <c r="W458" s="2">
        <v>48</v>
      </c>
      <c r="X458" s="2">
        <v>35</v>
      </c>
      <c r="Y458" s="2">
        <v>8</v>
      </c>
      <c r="Z458" s="2">
        <v>0</v>
      </c>
      <c r="AA458" s="2">
        <v>15</v>
      </c>
      <c r="AB458" s="2">
        <v>29</v>
      </c>
      <c r="AC458" s="2">
        <v>221</v>
      </c>
      <c r="AD458" s="2">
        <v>0</v>
      </c>
      <c r="AE458" s="18">
        <f t="shared" si="7"/>
        <v>2.3333333333333335</v>
      </c>
    </row>
    <row r="459" spans="1:31" x14ac:dyDescent="0.2">
      <c r="A459" t="s">
        <v>132</v>
      </c>
      <c r="B459" s="2">
        <v>32</v>
      </c>
      <c r="C459" t="s">
        <v>75</v>
      </c>
      <c r="D459" s="2" t="s">
        <v>27</v>
      </c>
      <c r="E459" s="2">
        <v>25</v>
      </c>
      <c r="F459" s="2">
        <v>25</v>
      </c>
      <c r="G459" s="2">
        <v>807</v>
      </c>
      <c r="H459" s="2">
        <v>131</v>
      </c>
      <c r="I459" s="2">
        <v>292</v>
      </c>
      <c r="J459" s="2">
        <v>0.44900000000000001</v>
      </c>
      <c r="K459" s="2">
        <v>38</v>
      </c>
      <c r="L459" s="2">
        <v>111</v>
      </c>
      <c r="M459" s="2">
        <v>0.34200000000000003</v>
      </c>
      <c r="N459" s="2">
        <v>93</v>
      </c>
      <c r="O459" s="2">
        <v>181</v>
      </c>
      <c r="P459" s="2">
        <v>0.51400000000000001</v>
      </c>
      <c r="Q459" s="2">
        <v>0.51400000000000001</v>
      </c>
      <c r="R459" s="2">
        <v>47</v>
      </c>
      <c r="S459" s="2">
        <v>56</v>
      </c>
      <c r="T459" s="2">
        <v>0.83899999999999997</v>
      </c>
      <c r="U459" s="2">
        <v>26</v>
      </c>
      <c r="V459" s="2">
        <v>147</v>
      </c>
      <c r="W459" s="2">
        <v>173</v>
      </c>
      <c r="X459" s="2">
        <v>60</v>
      </c>
      <c r="Y459" s="2">
        <v>20</v>
      </c>
      <c r="Z459" s="2">
        <v>21</v>
      </c>
      <c r="AA459" s="2">
        <v>31</v>
      </c>
      <c r="AB459" s="2">
        <v>48</v>
      </c>
      <c r="AC459" s="2">
        <v>347</v>
      </c>
      <c r="AD459" s="2">
        <v>0</v>
      </c>
      <c r="AE459" s="18">
        <f t="shared" si="7"/>
        <v>1.935483870967742</v>
      </c>
    </row>
    <row r="460" spans="1:31" x14ac:dyDescent="0.2">
      <c r="A460" t="s">
        <v>438</v>
      </c>
      <c r="B460" s="2">
        <v>34</v>
      </c>
      <c r="C460" t="s">
        <v>70</v>
      </c>
      <c r="D460" s="2" t="s">
        <v>49</v>
      </c>
      <c r="E460" s="2">
        <v>6</v>
      </c>
      <c r="F460" s="2">
        <v>1</v>
      </c>
      <c r="G460" s="2">
        <v>67</v>
      </c>
      <c r="H460" s="2">
        <v>11</v>
      </c>
      <c r="I460" s="2">
        <v>22</v>
      </c>
      <c r="J460" s="2">
        <v>0.5</v>
      </c>
      <c r="K460" s="2">
        <v>7</v>
      </c>
      <c r="L460" s="2">
        <v>18</v>
      </c>
      <c r="M460" s="2">
        <v>0.38900000000000001</v>
      </c>
      <c r="N460" s="2">
        <v>4</v>
      </c>
      <c r="O460" s="2">
        <v>4</v>
      </c>
      <c r="P460" s="2">
        <v>1</v>
      </c>
      <c r="Q460" s="2">
        <v>0.65900000000000003</v>
      </c>
      <c r="R460" s="2">
        <v>2</v>
      </c>
      <c r="S460" s="2">
        <v>2</v>
      </c>
      <c r="T460" s="2">
        <v>1</v>
      </c>
      <c r="U460" s="2">
        <v>3</v>
      </c>
      <c r="V460" s="2">
        <v>10</v>
      </c>
      <c r="W460" s="2">
        <v>13</v>
      </c>
      <c r="X460" s="2">
        <v>3</v>
      </c>
      <c r="Y460" s="2">
        <v>1</v>
      </c>
      <c r="Z460" s="2">
        <v>1</v>
      </c>
      <c r="AA460" s="2">
        <v>0</v>
      </c>
      <c r="AB460" s="2">
        <v>10</v>
      </c>
      <c r="AC460" s="2">
        <v>31</v>
      </c>
      <c r="AD460" s="2">
        <v>0</v>
      </c>
      <c r="AE460" s="18" t="e">
        <f t="shared" si="7"/>
        <v>#DIV/0!</v>
      </c>
    </row>
    <row r="461" spans="1:31" x14ac:dyDescent="0.2">
      <c r="A461" t="s">
        <v>217</v>
      </c>
      <c r="B461" s="2">
        <v>24</v>
      </c>
      <c r="C461" t="s">
        <v>135</v>
      </c>
      <c r="D461" s="2" t="s">
        <v>27</v>
      </c>
      <c r="E461" s="2">
        <v>24</v>
      </c>
      <c r="F461" s="2">
        <v>24</v>
      </c>
      <c r="G461" s="2">
        <v>720</v>
      </c>
      <c r="H461" s="2">
        <v>80</v>
      </c>
      <c r="I461" s="2">
        <v>191</v>
      </c>
      <c r="J461" s="2">
        <v>0.41899999999999998</v>
      </c>
      <c r="K461" s="2">
        <v>37</v>
      </c>
      <c r="L461" s="2">
        <v>100</v>
      </c>
      <c r="M461" s="2">
        <v>0.37</v>
      </c>
      <c r="N461" s="2">
        <v>43</v>
      </c>
      <c r="O461" s="2">
        <v>91</v>
      </c>
      <c r="P461" s="2">
        <v>0.47299999999999998</v>
      </c>
      <c r="Q461" s="2">
        <v>0.51600000000000001</v>
      </c>
      <c r="R461" s="2">
        <v>18</v>
      </c>
      <c r="S461" s="2">
        <v>26</v>
      </c>
      <c r="T461" s="2">
        <v>0.69199999999999995</v>
      </c>
      <c r="U461" s="2">
        <v>50</v>
      </c>
      <c r="V461" s="2">
        <v>70</v>
      </c>
      <c r="W461" s="2">
        <v>120</v>
      </c>
      <c r="X461" s="2">
        <v>50</v>
      </c>
      <c r="Y461" s="2">
        <v>34</v>
      </c>
      <c r="Z461" s="2">
        <v>8</v>
      </c>
      <c r="AA461" s="2">
        <v>38</v>
      </c>
      <c r="AB461" s="2">
        <v>69</v>
      </c>
      <c r="AC461" s="2">
        <v>215</v>
      </c>
      <c r="AD461" s="2">
        <v>0</v>
      </c>
      <c r="AE461" s="18">
        <f t="shared" si="7"/>
        <v>1.3157894736842106</v>
      </c>
    </row>
    <row r="462" spans="1:31" x14ac:dyDescent="0.2">
      <c r="A462" t="s">
        <v>71</v>
      </c>
      <c r="B462" s="2">
        <v>26</v>
      </c>
      <c r="C462" t="s">
        <v>72</v>
      </c>
      <c r="D462" s="2" t="s">
        <v>33</v>
      </c>
      <c r="E462" s="2">
        <v>25</v>
      </c>
      <c r="F462" s="2">
        <v>25</v>
      </c>
      <c r="G462" s="2">
        <v>899</v>
      </c>
      <c r="H462" s="2">
        <v>162</v>
      </c>
      <c r="I462" s="2">
        <v>422</v>
      </c>
      <c r="J462" s="2">
        <v>0.38400000000000001</v>
      </c>
      <c r="K462" s="2">
        <v>65</v>
      </c>
      <c r="L462" s="2">
        <v>211</v>
      </c>
      <c r="M462" s="2">
        <v>0.308</v>
      </c>
      <c r="N462" s="2">
        <v>97</v>
      </c>
      <c r="O462" s="2">
        <v>211</v>
      </c>
      <c r="P462" s="2">
        <v>0.46</v>
      </c>
      <c r="Q462" s="2">
        <v>0.46100000000000002</v>
      </c>
      <c r="R462" s="2">
        <v>135</v>
      </c>
      <c r="S462" s="2">
        <v>151</v>
      </c>
      <c r="T462" s="2">
        <v>0.89400000000000002</v>
      </c>
      <c r="U462" s="2">
        <v>15</v>
      </c>
      <c r="V462" s="2">
        <v>83</v>
      </c>
      <c r="W462" s="2">
        <v>98</v>
      </c>
      <c r="X462" s="4">
        <v>304</v>
      </c>
      <c r="Y462" s="2">
        <v>33</v>
      </c>
      <c r="Z462" s="2">
        <v>3</v>
      </c>
      <c r="AA462" s="4">
        <v>114</v>
      </c>
      <c r="AB462" s="2">
        <v>51</v>
      </c>
      <c r="AC462" s="2">
        <v>524</v>
      </c>
      <c r="AD462" s="2">
        <v>0</v>
      </c>
      <c r="AE462" s="18">
        <f t="shared" si="7"/>
        <v>2.6666666666666665</v>
      </c>
    </row>
    <row r="463" spans="1:31" x14ac:dyDescent="0.2">
      <c r="A463" t="s">
        <v>259</v>
      </c>
      <c r="B463" s="2">
        <v>24</v>
      </c>
      <c r="C463" t="s">
        <v>100</v>
      </c>
      <c r="D463" s="2" t="s">
        <v>42</v>
      </c>
      <c r="E463" s="2">
        <v>23</v>
      </c>
      <c r="F463" s="2">
        <v>18</v>
      </c>
      <c r="G463" s="2">
        <v>388</v>
      </c>
      <c r="H463" s="2">
        <v>76</v>
      </c>
      <c r="I463" s="2">
        <v>127</v>
      </c>
      <c r="J463" s="2">
        <v>0.59799999999999998</v>
      </c>
      <c r="K463" s="2">
        <v>0</v>
      </c>
      <c r="L463" s="2">
        <v>1</v>
      </c>
      <c r="M463" s="2">
        <v>0</v>
      </c>
      <c r="N463" s="2">
        <v>76</v>
      </c>
      <c r="O463" s="2">
        <v>126</v>
      </c>
      <c r="P463" s="2">
        <v>0.60299999999999998</v>
      </c>
      <c r="Q463" s="2">
        <v>0.59799999999999998</v>
      </c>
      <c r="R463" s="2">
        <v>19</v>
      </c>
      <c r="S463" s="2">
        <v>32</v>
      </c>
      <c r="T463" s="2">
        <v>0.59399999999999997</v>
      </c>
      <c r="U463" s="2">
        <v>38</v>
      </c>
      <c r="V463" s="2">
        <v>70</v>
      </c>
      <c r="W463" s="2">
        <v>108</v>
      </c>
      <c r="X463" s="2">
        <v>45</v>
      </c>
      <c r="Y463" s="2">
        <v>6</v>
      </c>
      <c r="Z463" s="2">
        <v>16</v>
      </c>
      <c r="AA463" s="2">
        <v>18</v>
      </c>
      <c r="AB463" s="2">
        <v>26</v>
      </c>
      <c r="AC463" s="2">
        <v>171</v>
      </c>
      <c r="AD463" s="2">
        <v>0</v>
      </c>
      <c r="AE463" s="18">
        <f t="shared" si="7"/>
        <v>2.5</v>
      </c>
    </row>
    <row r="464" spans="1:31" x14ac:dyDescent="0.2">
      <c r="A464" t="s">
        <v>432</v>
      </c>
      <c r="B464" s="2">
        <v>25</v>
      </c>
      <c r="C464" t="s">
        <v>93</v>
      </c>
      <c r="D464" s="2" t="s">
        <v>33</v>
      </c>
      <c r="E464" s="2">
        <v>8</v>
      </c>
      <c r="F464" s="2">
        <v>0</v>
      </c>
      <c r="G464" s="2">
        <v>140</v>
      </c>
      <c r="H464" s="2">
        <v>10</v>
      </c>
      <c r="I464" s="2">
        <v>30</v>
      </c>
      <c r="J464" s="2">
        <v>0.33300000000000002</v>
      </c>
      <c r="K464" s="2">
        <v>3</v>
      </c>
      <c r="L464" s="2">
        <v>12</v>
      </c>
      <c r="M464" s="2">
        <v>0.25</v>
      </c>
      <c r="N464" s="2">
        <v>7</v>
      </c>
      <c r="O464" s="2">
        <v>18</v>
      </c>
      <c r="P464" s="2">
        <v>0.38900000000000001</v>
      </c>
      <c r="Q464" s="2">
        <v>0.38300000000000001</v>
      </c>
      <c r="R464" s="2">
        <v>10</v>
      </c>
      <c r="S464" s="2">
        <v>14</v>
      </c>
      <c r="T464" s="2">
        <v>0.71399999999999997</v>
      </c>
      <c r="U464" s="2">
        <v>5</v>
      </c>
      <c r="V464" s="2">
        <v>14</v>
      </c>
      <c r="W464" s="2">
        <v>19</v>
      </c>
      <c r="X464" s="2">
        <v>26</v>
      </c>
      <c r="Y464" s="2">
        <v>5</v>
      </c>
      <c r="Z464" s="2">
        <v>2</v>
      </c>
      <c r="AA464" s="2">
        <v>5</v>
      </c>
      <c r="AB464" s="2">
        <v>12</v>
      </c>
      <c r="AC464" s="2">
        <v>33</v>
      </c>
      <c r="AD464" s="2">
        <v>0</v>
      </c>
      <c r="AE464" s="18">
        <f t="shared" si="7"/>
        <v>5.2</v>
      </c>
    </row>
    <row r="465" spans="1:31" x14ac:dyDescent="0.2">
      <c r="A465" t="s">
        <v>246</v>
      </c>
      <c r="B465" s="2">
        <v>23</v>
      </c>
      <c r="C465" t="s">
        <v>59</v>
      </c>
      <c r="D465" s="2" t="s">
        <v>33</v>
      </c>
      <c r="E465" s="2">
        <v>13</v>
      </c>
      <c r="F465" s="2">
        <v>0</v>
      </c>
      <c r="G465" s="2">
        <v>319</v>
      </c>
      <c r="H465" s="2">
        <v>70</v>
      </c>
      <c r="I465" s="2">
        <v>161</v>
      </c>
      <c r="J465" s="2">
        <v>0.435</v>
      </c>
      <c r="K465" s="2">
        <v>24</v>
      </c>
      <c r="L465" s="2">
        <v>60</v>
      </c>
      <c r="M465" s="2">
        <v>0.4</v>
      </c>
      <c r="N465" s="2">
        <v>46</v>
      </c>
      <c r="O465" s="2">
        <v>101</v>
      </c>
      <c r="P465" s="2">
        <v>0.45500000000000002</v>
      </c>
      <c r="Q465" s="2">
        <v>0.50900000000000001</v>
      </c>
      <c r="R465" s="2">
        <v>19</v>
      </c>
      <c r="S465" s="2">
        <v>21</v>
      </c>
      <c r="T465" s="2">
        <v>0.90500000000000003</v>
      </c>
      <c r="U465" s="2">
        <v>12</v>
      </c>
      <c r="V465" s="2">
        <v>26</v>
      </c>
      <c r="W465" s="2">
        <v>38</v>
      </c>
      <c r="X465" s="2">
        <v>39</v>
      </c>
      <c r="Y465" s="2">
        <v>7</v>
      </c>
      <c r="Z465" s="2">
        <v>4</v>
      </c>
      <c r="AA465" s="2">
        <v>25</v>
      </c>
      <c r="AB465" s="2">
        <v>24</v>
      </c>
      <c r="AC465" s="2">
        <v>183</v>
      </c>
      <c r="AD465" s="2">
        <v>0</v>
      </c>
      <c r="AE465" s="18">
        <f t="shared" si="7"/>
        <v>1.56</v>
      </c>
    </row>
    <row r="466" spans="1:31" x14ac:dyDescent="0.2">
      <c r="A466" t="s">
        <v>338</v>
      </c>
      <c r="B466" s="2">
        <v>24</v>
      </c>
      <c r="C466" t="s">
        <v>103</v>
      </c>
      <c r="D466" s="2" t="s">
        <v>27</v>
      </c>
      <c r="E466" s="2">
        <v>11</v>
      </c>
      <c r="F466" s="2">
        <v>0</v>
      </c>
      <c r="G466" s="2">
        <v>199</v>
      </c>
      <c r="H466" s="2">
        <v>33</v>
      </c>
      <c r="I466" s="2">
        <v>76</v>
      </c>
      <c r="J466" s="2">
        <v>0.434</v>
      </c>
      <c r="K466" s="2">
        <v>7</v>
      </c>
      <c r="L466" s="2">
        <v>25</v>
      </c>
      <c r="M466" s="2">
        <v>0.28000000000000003</v>
      </c>
      <c r="N466" s="2">
        <v>26</v>
      </c>
      <c r="O466" s="2">
        <v>51</v>
      </c>
      <c r="P466" s="2">
        <v>0.51</v>
      </c>
      <c r="Q466" s="2">
        <v>0.48</v>
      </c>
      <c r="R466" s="2">
        <v>27</v>
      </c>
      <c r="S466" s="2">
        <v>32</v>
      </c>
      <c r="T466" s="2">
        <v>0.84399999999999997</v>
      </c>
      <c r="U466" s="2">
        <v>4</v>
      </c>
      <c r="V466" s="2">
        <v>32</v>
      </c>
      <c r="W466" s="2">
        <v>36</v>
      </c>
      <c r="X466" s="2">
        <v>15</v>
      </c>
      <c r="Y466" s="2">
        <v>5</v>
      </c>
      <c r="Z466" s="2">
        <v>4</v>
      </c>
      <c r="AA466" s="2">
        <v>16</v>
      </c>
      <c r="AB466" s="2">
        <v>30</v>
      </c>
      <c r="AC466" s="2">
        <v>100</v>
      </c>
      <c r="AD466" s="2">
        <v>0</v>
      </c>
      <c r="AE466" s="18">
        <f t="shared" si="7"/>
        <v>0.9375</v>
      </c>
    </row>
    <row r="467" spans="1:31" x14ac:dyDescent="0.2">
      <c r="A467" t="s">
        <v>499</v>
      </c>
      <c r="B467" s="2">
        <v>19</v>
      </c>
      <c r="C467" t="s">
        <v>77</v>
      </c>
      <c r="D467" s="2" t="s">
        <v>49</v>
      </c>
      <c r="E467" s="2">
        <v>1</v>
      </c>
      <c r="F467" s="2">
        <v>0</v>
      </c>
      <c r="G467" s="2">
        <v>14</v>
      </c>
      <c r="H467" s="2">
        <v>4</v>
      </c>
      <c r="I467" s="2">
        <v>9</v>
      </c>
      <c r="J467" s="2">
        <v>0.44400000000000001</v>
      </c>
      <c r="K467" s="2">
        <v>0</v>
      </c>
      <c r="L467" s="2">
        <v>2</v>
      </c>
      <c r="M467" s="2">
        <v>0</v>
      </c>
      <c r="N467" s="2">
        <v>4</v>
      </c>
      <c r="O467" s="2">
        <v>7</v>
      </c>
      <c r="P467" s="2">
        <v>0.57099999999999995</v>
      </c>
      <c r="Q467" s="2">
        <v>0.44400000000000001</v>
      </c>
      <c r="R467" s="2">
        <v>1</v>
      </c>
      <c r="S467" s="2">
        <v>1</v>
      </c>
      <c r="T467" s="2">
        <v>1</v>
      </c>
      <c r="U467" s="2">
        <v>1</v>
      </c>
      <c r="V467" s="2">
        <v>3</v>
      </c>
      <c r="W467" s="2">
        <v>4</v>
      </c>
      <c r="X467" s="2">
        <v>0</v>
      </c>
      <c r="Y467" s="2">
        <v>0</v>
      </c>
      <c r="Z467" s="2">
        <v>0</v>
      </c>
      <c r="AA467" s="2">
        <v>1</v>
      </c>
      <c r="AB467" s="2">
        <v>3</v>
      </c>
      <c r="AC467" s="2">
        <v>9</v>
      </c>
      <c r="AD467" s="2">
        <v>0</v>
      </c>
      <c r="AE467" s="18">
        <f t="shared" si="7"/>
        <v>0</v>
      </c>
    </row>
    <row r="468" spans="1:31" x14ac:dyDescent="0.2">
      <c r="A468" t="s">
        <v>540</v>
      </c>
      <c r="B468" s="2">
        <v>27</v>
      </c>
      <c r="C468" t="s">
        <v>48</v>
      </c>
      <c r="D468" s="2" t="s">
        <v>52</v>
      </c>
      <c r="E468" s="2">
        <v>2</v>
      </c>
      <c r="F468" s="2">
        <v>0</v>
      </c>
      <c r="G468" s="2">
        <v>5</v>
      </c>
      <c r="H468" s="2">
        <v>1</v>
      </c>
      <c r="I468" s="2">
        <v>3</v>
      </c>
      <c r="J468" s="2">
        <v>0.33300000000000002</v>
      </c>
      <c r="K468" s="2">
        <v>1</v>
      </c>
      <c r="L468" s="2">
        <v>1</v>
      </c>
      <c r="M468" s="2">
        <v>1</v>
      </c>
      <c r="N468" s="2">
        <v>0</v>
      </c>
      <c r="O468" s="2">
        <v>2</v>
      </c>
      <c r="P468" s="2">
        <v>0</v>
      </c>
      <c r="Q468" s="2">
        <v>0.5</v>
      </c>
      <c r="R468" s="2">
        <v>0</v>
      </c>
      <c r="S468" s="2">
        <v>0</v>
      </c>
      <c r="T468" s="2"/>
      <c r="U468" s="2">
        <v>0</v>
      </c>
      <c r="V468" s="2">
        <v>0</v>
      </c>
      <c r="W468" s="2">
        <v>0</v>
      </c>
      <c r="X468" s="2">
        <v>0</v>
      </c>
      <c r="Y468" s="2">
        <v>0</v>
      </c>
      <c r="Z468" s="2">
        <v>0</v>
      </c>
      <c r="AA468" s="2">
        <v>1</v>
      </c>
      <c r="AB468" s="2">
        <v>1</v>
      </c>
      <c r="AC468" s="2">
        <v>3</v>
      </c>
      <c r="AD468" s="2">
        <v>0</v>
      </c>
      <c r="AE468" s="18">
        <f t="shared" si="7"/>
        <v>0</v>
      </c>
    </row>
    <row r="469" spans="1:31" x14ac:dyDescent="0.2">
      <c r="A469" t="s">
        <v>497</v>
      </c>
      <c r="B469" s="2">
        <v>21</v>
      </c>
      <c r="C469" t="s">
        <v>46</v>
      </c>
      <c r="D469" s="2" t="s">
        <v>52</v>
      </c>
      <c r="E469" s="2">
        <v>9</v>
      </c>
      <c r="F469" s="2">
        <v>0</v>
      </c>
      <c r="G469" s="2">
        <v>44</v>
      </c>
      <c r="H469" s="2">
        <v>3</v>
      </c>
      <c r="I469" s="2">
        <v>12</v>
      </c>
      <c r="J469" s="2">
        <v>0.25</v>
      </c>
      <c r="K469" s="2">
        <v>1</v>
      </c>
      <c r="L469" s="2">
        <v>6</v>
      </c>
      <c r="M469" s="2">
        <v>0.16700000000000001</v>
      </c>
      <c r="N469" s="2">
        <v>2</v>
      </c>
      <c r="O469" s="2">
        <v>6</v>
      </c>
      <c r="P469" s="2">
        <v>0.33300000000000002</v>
      </c>
      <c r="Q469" s="2">
        <v>0.29199999999999998</v>
      </c>
      <c r="R469" s="2">
        <v>2</v>
      </c>
      <c r="S469" s="2">
        <v>2</v>
      </c>
      <c r="T469" s="2">
        <v>1</v>
      </c>
      <c r="U469" s="2">
        <v>0</v>
      </c>
      <c r="V469" s="2">
        <v>1</v>
      </c>
      <c r="W469" s="2">
        <v>1</v>
      </c>
      <c r="X469" s="2">
        <v>2</v>
      </c>
      <c r="Y469" s="2">
        <v>0</v>
      </c>
      <c r="Z469" s="2">
        <v>1</v>
      </c>
      <c r="AA469" s="2">
        <v>1</v>
      </c>
      <c r="AB469" s="2">
        <v>3</v>
      </c>
      <c r="AC469" s="2">
        <v>9</v>
      </c>
      <c r="AD469" s="2">
        <v>0</v>
      </c>
      <c r="AE469" s="18">
        <f t="shared" si="7"/>
        <v>2</v>
      </c>
    </row>
    <row r="470" spans="1:31" x14ac:dyDescent="0.2">
      <c r="A470" t="s">
        <v>426</v>
      </c>
      <c r="B470" s="2">
        <v>25</v>
      </c>
      <c r="C470" t="s">
        <v>117</v>
      </c>
      <c r="D470" s="2" t="s">
        <v>42</v>
      </c>
      <c r="E470" s="2">
        <v>15</v>
      </c>
      <c r="F470" s="2">
        <v>0</v>
      </c>
      <c r="G470" s="2">
        <v>152</v>
      </c>
      <c r="H470" s="2">
        <v>14</v>
      </c>
      <c r="I470" s="2">
        <v>29</v>
      </c>
      <c r="J470" s="2">
        <v>0.48299999999999998</v>
      </c>
      <c r="K470" s="2">
        <v>0</v>
      </c>
      <c r="L470" s="2">
        <v>0</v>
      </c>
      <c r="M470" s="2"/>
      <c r="N470" s="2">
        <v>14</v>
      </c>
      <c r="O470" s="2">
        <v>29</v>
      </c>
      <c r="P470" s="2">
        <v>0.48299999999999998</v>
      </c>
      <c r="Q470" s="2">
        <v>0.48299999999999998</v>
      </c>
      <c r="R470" s="2">
        <v>7</v>
      </c>
      <c r="S470" s="2">
        <v>17</v>
      </c>
      <c r="T470" s="2">
        <v>0.41199999999999998</v>
      </c>
      <c r="U470" s="2">
        <v>17</v>
      </c>
      <c r="V470" s="2">
        <v>21</v>
      </c>
      <c r="W470" s="2">
        <v>38</v>
      </c>
      <c r="X470" s="2">
        <v>8</v>
      </c>
      <c r="Y470" s="2">
        <v>7</v>
      </c>
      <c r="Z470" s="2">
        <v>6</v>
      </c>
      <c r="AA470" s="2">
        <v>10</v>
      </c>
      <c r="AB470" s="2">
        <v>24</v>
      </c>
      <c r="AC470" s="2">
        <v>35</v>
      </c>
      <c r="AD470" s="2">
        <v>0</v>
      </c>
      <c r="AE470" s="18">
        <f t="shared" si="7"/>
        <v>0.8</v>
      </c>
    </row>
    <row r="471" spans="1:31" x14ac:dyDescent="0.2">
      <c r="A471" t="s">
        <v>340</v>
      </c>
      <c r="B471" s="2">
        <v>29</v>
      </c>
      <c r="C471" t="s">
        <v>37</v>
      </c>
      <c r="D471" s="2" t="s">
        <v>27</v>
      </c>
      <c r="E471" s="2">
        <v>18</v>
      </c>
      <c r="F471" s="2">
        <v>2</v>
      </c>
      <c r="G471" s="2">
        <v>353</v>
      </c>
      <c r="H471" s="2">
        <v>33</v>
      </c>
      <c r="I471" s="2">
        <v>91</v>
      </c>
      <c r="J471" s="2">
        <v>0.36299999999999999</v>
      </c>
      <c r="K471" s="2">
        <v>22</v>
      </c>
      <c r="L471" s="2">
        <v>66</v>
      </c>
      <c r="M471" s="2">
        <v>0.33300000000000002</v>
      </c>
      <c r="N471" s="2">
        <v>11</v>
      </c>
      <c r="O471" s="2">
        <v>25</v>
      </c>
      <c r="P471" s="2">
        <v>0.44</v>
      </c>
      <c r="Q471" s="2">
        <v>0.48399999999999999</v>
      </c>
      <c r="R471" s="2">
        <v>10</v>
      </c>
      <c r="S471" s="2">
        <v>14</v>
      </c>
      <c r="T471" s="2">
        <v>0.71399999999999997</v>
      </c>
      <c r="U471" s="2">
        <v>15</v>
      </c>
      <c r="V471" s="2">
        <v>56</v>
      </c>
      <c r="W471" s="2">
        <v>71</v>
      </c>
      <c r="X471" s="2">
        <v>17</v>
      </c>
      <c r="Y471" s="2">
        <v>10</v>
      </c>
      <c r="Z471" s="2">
        <v>11</v>
      </c>
      <c r="AA471" s="2">
        <v>10</v>
      </c>
      <c r="AB471" s="2">
        <v>25</v>
      </c>
      <c r="AC471" s="2">
        <v>98</v>
      </c>
      <c r="AD471" s="2">
        <v>0</v>
      </c>
      <c r="AE471" s="18">
        <f t="shared" si="7"/>
        <v>1.7</v>
      </c>
    </row>
    <row r="472" spans="1:31" x14ac:dyDescent="0.2">
      <c r="A472" t="s">
        <v>205</v>
      </c>
      <c r="B472" s="2">
        <v>24</v>
      </c>
      <c r="C472" t="s">
        <v>117</v>
      </c>
      <c r="D472" s="2" t="s">
        <v>49</v>
      </c>
      <c r="E472" s="2">
        <v>13</v>
      </c>
      <c r="F472" s="2">
        <v>11</v>
      </c>
      <c r="G472" s="2">
        <v>438</v>
      </c>
      <c r="H472" s="2">
        <v>80</v>
      </c>
      <c r="I472" s="2">
        <v>188</v>
      </c>
      <c r="J472" s="2">
        <v>0.42599999999999999</v>
      </c>
      <c r="K472" s="2">
        <v>36</v>
      </c>
      <c r="L472" s="2">
        <v>106</v>
      </c>
      <c r="M472" s="2">
        <v>0.34</v>
      </c>
      <c r="N472" s="2">
        <v>44</v>
      </c>
      <c r="O472" s="2">
        <v>82</v>
      </c>
      <c r="P472" s="2">
        <v>0.53700000000000003</v>
      </c>
      <c r="Q472" s="2">
        <v>0.52100000000000002</v>
      </c>
      <c r="R472" s="2">
        <v>41</v>
      </c>
      <c r="S472" s="2">
        <v>47</v>
      </c>
      <c r="T472" s="2">
        <v>0.872</v>
      </c>
      <c r="U472" s="2">
        <v>10</v>
      </c>
      <c r="V472" s="2">
        <v>49</v>
      </c>
      <c r="W472" s="2">
        <v>59</v>
      </c>
      <c r="X472" s="2">
        <v>30</v>
      </c>
      <c r="Y472" s="2">
        <v>15</v>
      </c>
      <c r="Z472" s="2">
        <v>8</v>
      </c>
      <c r="AA472" s="2">
        <v>21</v>
      </c>
      <c r="AB472" s="2">
        <v>30</v>
      </c>
      <c r="AC472" s="2">
        <v>237</v>
      </c>
      <c r="AD472" s="2">
        <v>0</v>
      </c>
      <c r="AE472" s="18">
        <f t="shared" si="7"/>
        <v>1.4285714285714286</v>
      </c>
    </row>
    <row r="473" spans="1:31" x14ac:dyDescent="0.2">
      <c r="A473" t="s">
        <v>268</v>
      </c>
      <c r="B473" s="2">
        <v>23</v>
      </c>
      <c r="C473" t="s">
        <v>48</v>
      </c>
      <c r="D473" s="2" t="s">
        <v>49</v>
      </c>
      <c r="E473" s="2">
        <v>23</v>
      </c>
      <c r="F473" s="2">
        <v>16</v>
      </c>
      <c r="G473" s="2">
        <v>523</v>
      </c>
      <c r="H473" s="2">
        <v>61</v>
      </c>
      <c r="I473" s="2">
        <v>150</v>
      </c>
      <c r="J473" s="2">
        <v>0.40699999999999997</v>
      </c>
      <c r="K473" s="2">
        <v>25</v>
      </c>
      <c r="L473" s="2">
        <v>76</v>
      </c>
      <c r="M473" s="2">
        <v>0.32900000000000001</v>
      </c>
      <c r="N473" s="2">
        <v>36</v>
      </c>
      <c r="O473" s="2">
        <v>74</v>
      </c>
      <c r="P473" s="2">
        <v>0.48599999999999999</v>
      </c>
      <c r="Q473" s="2">
        <v>0.49</v>
      </c>
      <c r="R473" s="2">
        <v>17</v>
      </c>
      <c r="S473" s="2">
        <v>24</v>
      </c>
      <c r="T473" s="2">
        <v>0.70799999999999996</v>
      </c>
      <c r="U473" s="2">
        <v>21</v>
      </c>
      <c r="V473" s="2">
        <v>62</v>
      </c>
      <c r="W473" s="2">
        <v>83</v>
      </c>
      <c r="X473" s="2">
        <v>33</v>
      </c>
      <c r="Y473" s="2">
        <v>8</v>
      </c>
      <c r="Z473" s="2">
        <v>4</v>
      </c>
      <c r="AA473" s="2">
        <v>15</v>
      </c>
      <c r="AB473" s="2">
        <v>33</v>
      </c>
      <c r="AC473" s="2">
        <v>164</v>
      </c>
      <c r="AD473" s="2">
        <v>0</v>
      </c>
      <c r="AE473" s="18">
        <f t="shared" si="7"/>
        <v>2.2000000000000002</v>
      </c>
    </row>
    <row r="474" spans="1:31" x14ac:dyDescent="0.2">
      <c r="A474" t="s">
        <v>451</v>
      </c>
      <c r="B474" s="2">
        <v>33</v>
      </c>
      <c r="C474" t="s">
        <v>57</v>
      </c>
      <c r="D474" s="2" t="s">
        <v>27</v>
      </c>
      <c r="E474" s="2">
        <v>8</v>
      </c>
      <c r="F474" s="2">
        <v>0</v>
      </c>
      <c r="G474" s="2">
        <v>58</v>
      </c>
      <c r="H474" s="2">
        <v>13</v>
      </c>
      <c r="I474" s="2">
        <v>19</v>
      </c>
      <c r="J474" s="2">
        <v>0.68400000000000005</v>
      </c>
      <c r="K474" s="2">
        <v>0</v>
      </c>
      <c r="L474" s="2">
        <v>1</v>
      </c>
      <c r="M474" s="2">
        <v>0</v>
      </c>
      <c r="N474" s="2">
        <v>13</v>
      </c>
      <c r="O474" s="2">
        <v>18</v>
      </c>
      <c r="P474" s="2">
        <v>0.72199999999999998</v>
      </c>
      <c r="Q474" s="2">
        <v>0.68400000000000005</v>
      </c>
      <c r="R474" s="2">
        <v>0</v>
      </c>
      <c r="S474" s="2">
        <v>6</v>
      </c>
      <c r="T474" s="2">
        <v>0</v>
      </c>
      <c r="U474" s="2">
        <v>3</v>
      </c>
      <c r="V474" s="2">
        <v>14</v>
      </c>
      <c r="W474" s="2">
        <v>17</v>
      </c>
      <c r="X474" s="2">
        <v>4</v>
      </c>
      <c r="Y474" s="2">
        <v>0</v>
      </c>
      <c r="Z474" s="2">
        <v>2</v>
      </c>
      <c r="AA474" s="2">
        <v>4</v>
      </c>
      <c r="AB474" s="2">
        <v>6</v>
      </c>
      <c r="AC474" s="2">
        <v>26</v>
      </c>
      <c r="AD474" s="2">
        <v>0</v>
      </c>
      <c r="AE474" s="18">
        <f t="shared" si="7"/>
        <v>1</v>
      </c>
    </row>
    <row r="475" spans="1:31" x14ac:dyDescent="0.2">
      <c r="A475" t="s">
        <v>538</v>
      </c>
      <c r="B475" s="2">
        <v>23</v>
      </c>
      <c r="C475" t="s">
        <v>82</v>
      </c>
      <c r="D475" s="2" t="s">
        <v>52</v>
      </c>
      <c r="E475" s="2">
        <v>5</v>
      </c>
      <c r="F475" s="2">
        <v>0</v>
      </c>
      <c r="G475" s="2">
        <v>8</v>
      </c>
      <c r="H475" s="2">
        <v>1</v>
      </c>
      <c r="I475" s="2">
        <v>6</v>
      </c>
      <c r="J475" s="2">
        <v>0.16700000000000001</v>
      </c>
      <c r="K475" s="2">
        <v>0</v>
      </c>
      <c r="L475" s="2">
        <v>3</v>
      </c>
      <c r="M475" s="2">
        <v>0</v>
      </c>
      <c r="N475" s="2">
        <v>1</v>
      </c>
      <c r="O475" s="2">
        <v>3</v>
      </c>
      <c r="P475" s="2">
        <v>0.33300000000000002</v>
      </c>
      <c r="Q475" s="2">
        <v>0.16700000000000001</v>
      </c>
      <c r="R475" s="2">
        <v>1</v>
      </c>
      <c r="S475" s="2">
        <v>1</v>
      </c>
      <c r="T475" s="2">
        <v>1</v>
      </c>
      <c r="U475" s="2">
        <v>0</v>
      </c>
      <c r="V475" s="2">
        <v>0</v>
      </c>
      <c r="W475" s="2">
        <v>0</v>
      </c>
      <c r="X475" s="2">
        <v>1</v>
      </c>
      <c r="Y475" s="2">
        <v>0</v>
      </c>
      <c r="Z475" s="2">
        <v>0</v>
      </c>
      <c r="AA475" s="2">
        <v>1</v>
      </c>
      <c r="AB475" s="2">
        <v>2</v>
      </c>
      <c r="AC475" s="2">
        <v>3</v>
      </c>
      <c r="AD475" s="2">
        <v>0</v>
      </c>
      <c r="AE475" s="18">
        <f t="shared" si="7"/>
        <v>1</v>
      </c>
    </row>
    <row r="476" spans="1:31" x14ac:dyDescent="0.2">
      <c r="A476" t="s">
        <v>180</v>
      </c>
      <c r="B476" s="2">
        <v>27</v>
      </c>
      <c r="C476" t="s">
        <v>57</v>
      </c>
      <c r="D476" s="2" t="s">
        <v>52</v>
      </c>
      <c r="E476" s="2">
        <v>24</v>
      </c>
      <c r="F476" s="2">
        <v>2</v>
      </c>
      <c r="G476" s="2">
        <v>441</v>
      </c>
      <c r="H476" s="2">
        <v>98</v>
      </c>
      <c r="I476" s="2">
        <v>178</v>
      </c>
      <c r="J476" s="2">
        <v>0.55100000000000005</v>
      </c>
      <c r="K476" s="2">
        <v>33</v>
      </c>
      <c r="L476" s="2">
        <v>70</v>
      </c>
      <c r="M476" s="2">
        <v>0.47099999999999997</v>
      </c>
      <c r="N476" s="2">
        <v>65</v>
      </c>
      <c r="O476" s="2">
        <v>108</v>
      </c>
      <c r="P476" s="2">
        <v>0.60199999999999998</v>
      </c>
      <c r="Q476" s="2">
        <v>0.64300000000000002</v>
      </c>
      <c r="R476" s="2">
        <v>41</v>
      </c>
      <c r="S476" s="2">
        <v>45</v>
      </c>
      <c r="T476" s="2">
        <v>0.91100000000000003</v>
      </c>
      <c r="U476" s="2">
        <v>14</v>
      </c>
      <c r="V476" s="2">
        <v>36</v>
      </c>
      <c r="W476" s="2">
        <v>50</v>
      </c>
      <c r="X476" s="2">
        <v>83</v>
      </c>
      <c r="Y476" s="2">
        <v>29</v>
      </c>
      <c r="Z476" s="2">
        <v>1</v>
      </c>
      <c r="AA476" s="2">
        <v>29</v>
      </c>
      <c r="AB476" s="2">
        <v>39</v>
      </c>
      <c r="AC476" s="2">
        <v>270</v>
      </c>
      <c r="AD476" s="2">
        <v>0</v>
      </c>
      <c r="AE476" s="18">
        <f t="shared" si="7"/>
        <v>2.8620689655172415</v>
      </c>
    </row>
    <row r="477" spans="1:31" x14ac:dyDescent="0.2">
      <c r="A477" t="s">
        <v>60</v>
      </c>
      <c r="B477" s="2">
        <v>25</v>
      </c>
      <c r="C477" t="s">
        <v>61</v>
      </c>
      <c r="D477" s="2" t="s">
        <v>52</v>
      </c>
      <c r="E477" s="2">
        <v>23</v>
      </c>
      <c r="F477" s="2">
        <v>23</v>
      </c>
      <c r="G477" s="2">
        <v>797</v>
      </c>
      <c r="H477" s="2">
        <v>192</v>
      </c>
      <c r="I477" s="2">
        <v>397</v>
      </c>
      <c r="J477" s="2">
        <v>0.48399999999999999</v>
      </c>
      <c r="K477" s="2">
        <v>96</v>
      </c>
      <c r="L477" s="2">
        <v>225</v>
      </c>
      <c r="M477" s="2">
        <v>0.42699999999999999</v>
      </c>
      <c r="N477" s="2">
        <v>96</v>
      </c>
      <c r="O477" s="2">
        <v>172</v>
      </c>
      <c r="P477" s="2">
        <v>0.55800000000000005</v>
      </c>
      <c r="Q477" s="2">
        <v>0.60499999999999998</v>
      </c>
      <c r="R477" s="2">
        <v>76</v>
      </c>
      <c r="S477" s="2">
        <v>87</v>
      </c>
      <c r="T477" s="2">
        <v>0.874</v>
      </c>
      <c r="U477" s="2">
        <v>7</v>
      </c>
      <c r="V477" s="2">
        <v>115</v>
      </c>
      <c r="W477" s="2">
        <v>122</v>
      </c>
      <c r="X477" s="2">
        <v>115</v>
      </c>
      <c r="Y477" s="2">
        <v>17</v>
      </c>
      <c r="Z477" s="2">
        <v>2</v>
      </c>
      <c r="AA477" s="2">
        <v>57</v>
      </c>
      <c r="AB477" s="2">
        <v>39</v>
      </c>
      <c r="AC477" s="2">
        <v>556</v>
      </c>
      <c r="AD477" s="2">
        <v>0</v>
      </c>
      <c r="AE477" s="18">
        <f t="shared" si="7"/>
        <v>2.0175438596491229</v>
      </c>
    </row>
    <row r="478" spans="1:31" x14ac:dyDescent="0.2">
      <c r="A478" t="s">
        <v>411</v>
      </c>
      <c r="B478" s="2">
        <v>23</v>
      </c>
      <c r="C478" t="s">
        <v>44</v>
      </c>
      <c r="D478" s="2" t="s">
        <v>33</v>
      </c>
      <c r="E478" s="2">
        <v>16</v>
      </c>
      <c r="F478" s="2">
        <v>0</v>
      </c>
      <c r="G478" s="2">
        <v>110</v>
      </c>
      <c r="H478" s="2">
        <v>16</v>
      </c>
      <c r="I478" s="2">
        <v>37</v>
      </c>
      <c r="J478" s="2">
        <v>0.432</v>
      </c>
      <c r="K478" s="2">
        <v>10</v>
      </c>
      <c r="L478" s="2">
        <v>22</v>
      </c>
      <c r="M478" s="2">
        <v>0.45500000000000002</v>
      </c>
      <c r="N478" s="2">
        <v>6</v>
      </c>
      <c r="O478" s="2">
        <v>15</v>
      </c>
      <c r="P478" s="2">
        <v>0.4</v>
      </c>
      <c r="Q478" s="2">
        <v>0.56799999999999995</v>
      </c>
      <c r="R478" s="2">
        <v>4</v>
      </c>
      <c r="S478" s="2">
        <v>4</v>
      </c>
      <c r="T478" s="2">
        <v>1</v>
      </c>
      <c r="U478" s="2">
        <v>2</v>
      </c>
      <c r="V478" s="2">
        <v>10</v>
      </c>
      <c r="W478" s="2">
        <v>12</v>
      </c>
      <c r="X478" s="2">
        <v>11</v>
      </c>
      <c r="Y478" s="2">
        <v>6</v>
      </c>
      <c r="Z478" s="2">
        <v>1</v>
      </c>
      <c r="AA478" s="2">
        <v>7</v>
      </c>
      <c r="AB478" s="2">
        <v>9</v>
      </c>
      <c r="AC478" s="2">
        <v>46</v>
      </c>
      <c r="AD478" s="2">
        <v>0</v>
      </c>
      <c r="AE478" s="18">
        <f t="shared" si="7"/>
        <v>1.5714285714285714</v>
      </c>
    </row>
    <row r="479" spans="1:31" x14ac:dyDescent="0.2">
      <c r="A479" t="s">
        <v>469</v>
      </c>
      <c r="B479" s="2">
        <v>20</v>
      </c>
      <c r="C479" t="s">
        <v>35</v>
      </c>
      <c r="D479" s="2" t="s">
        <v>27</v>
      </c>
      <c r="E479" s="2">
        <v>10</v>
      </c>
      <c r="F479" s="2">
        <v>0</v>
      </c>
      <c r="G479" s="2">
        <v>34</v>
      </c>
      <c r="H479" s="2">
        <v>8</v>
      </c>
      <c r="I479" s="2">
        <v>13</v>
      </c>
      <c r="J479" s="2">
        <v>0.61499999999999999</v>
      </c>
      <c r="K479" s="2">
        <v>3</v>
      </c>
      <c r="L479" s="2">
        <v>8</v>
      </c>
      <c r="M479" s="2">
        <v>0.375</v>
      </c>
      <c r="N479" s="2">
        <v>5</v>
      </c>
      <c r="O479" s="2">
        <v>5</v>
      </c>
      <c r="P479" s="2">
        <v>1</v>
      </c>
      <c r="Q479" s="2">
        <v>0.73099999999999998</v>
      </c>
      <c r="R479" s="2">
        <v>1</v>
      </c>
      <c r="S479" s="2">
        <v>2</v>
      </c>
      <c r="T479" s="2">
        <v>0.5</v>
      </c>
      <c r="U479" s="2">
        <v>1</v>
      </c>
      <c r="V479" s="2">
        <v>7</v>
      </c>
      <c r="W479" s="2">
        <v>8</v>
      </c>
      <c r="X479" s="2">
        <v>1</v>
      </c>
      <c r="Y479" s="2">
        <v>0</v>
      </c>
      <c r="Z479" s="2">
        <v>3</v>
      </c>
      <c r="AA479" s="2">
        <v>3</v>
      </c>
      <c r="AB479" s="2">
        <v>4</v>
      </c>
      <c r="AC479" s="2">
        <v>20</v>
      </c>
      <c r="AD479" s="2">
        <v>0</v>
      </c>
      <c r="AE479" s="18">
        <f t="shared" si="7"/>
        <v>0.33333333333333331</v>
      </c>
    </row>
    <row r="480" spans="1:31" x14ac:dyDescent="0.2">
      <c r="A480" t="s">
        <v>97</v>
      </c>
      <c r="B480" s="2">
        <v>24</v>
      </c>
      <c r="C480" t="s">
        <v>82</v>
      </c>
      <c r="D480" s="2" t="s">
        <v>33</v>
      </c>
      <c r="E480" s="2">
        <v>25</v>
      </c>
      <c r="F480" s="2">
        <v>25</v>
      </c>
      <c r="G480" s="2">
        <v>884</v>
      </c>
      <c r="H480" s="2">
        <v>150</v>
      </c>
      <c r="I480" s="2">
        <v>357</v>
      </c>
      <c r="J480" s="2">
        <v>0.42</v>
      </c>
      <c r="K480" s="2">
        <v>71</v>
      </c>
      <c r="L480" s="2">
        <v>211</v>
      </c>
      <c r="M480" s="2">
        <v>0.33600000000000002</v>
      </c>
      <c r="N480" s="2">
        <v>79</v>
      </c>
      <c r="O480" s="2">
        <v>146</v>
      </c>
      <c r="P480" s="2">
        <v>0.54100000000000004</v>
      </c>
      <c r="Q480" s="2">
        <v>0.52</v>
      </c>
      <c r="R480" s="2">
        <v>66</v>
      </c>
      <c r="S480" s="2">
        <v>78</v>
      </c>
      <c r="T480" s="2">
        <v>0.84599999999999997</v>
      </c>
      <c r="U480" s="2">
        <v>18</v>
      </c>
      <c r="V480" s="2">
        <v>66</v>
      </c>
      <c r="W480" s="2">
        <v>84</v>
      </c>
      <c r="X480" s="2">
        <v>210</v>
      </c>
      <c r="Y480" s="2">
        <v>32</v>
      </c>
      <c r="Z480" s="2">
        <v>15</v>
      </c>
      <c r="AA480" s="2">
        <v>49</v>
      </c>
      <c r="AB480" s="2">
        <v>41</v>
      </c>
      <c r="AC480" s="2">
        <v>437</v>
      </c>
      <c r="AD480" s="2">
        <v>0</v>
      </c>
      <c r="AE480" s="18">
        <f t="shared" si="7"/>
        <v>4.2857142857142856</v>
      </c>
    </row>
    <row r="481" spans="1:31" x14ac:dyDescent="0.2">
      <c r="A481" t="s">
        <v>383</v>
      </c>
      <c r="B481" s="2">
        <v>25</v>
      </c>
      <c r="C481" t="s">
        <v>103</v>
      </c>
      <c r="D481" s="2" t="s">
        <v>52</v>
      </c>
      <c r="E481" s="2">
        <v>9</v>
      </c>
      <c r="F481" s="2">
        <v>2</v>
      </c>
      <c r="G481" s="2">
        <v>132</v>
      </c>
      <c r="H481" s="2">
        <v>22</v>
      </c>
      <c r="I481" s="2">
        <v>44</v>
      </c>
      <c r="J481" s="2">
        <v>0.5</v>
      </c>
      <c r="K481" s="2">
        <v>17</v>
      </c>
      <c r="L481" s="2">
        <v>33</v>
      </c>
      <c r="M481" s="2">
        <v>0.51500000000000001</v>
      </c>
      <c r="N481" s="2">
        <v>5</v>
      </c>
      <c r="O481" s="2">
        <v>11</v>
      </c>
      <c r="P481" s="2">
        <v>0.45500000000000002</v>
      </c>
      <c r="Q481" s="2">
        <v>0.69299999999999995</v>
      </c>
      <c r="R481" s="2">
        <v>4</v>
      </c>
      <c r="S481" s="2">
        <v>5</v>
      </c>
      <c r="T481" s="2">
        <v>0.8</v>
      </c>
      <c r="U481" s="2">
        <v>4</v>
      </c>
      <c r="V481" s="2">
        <v>16</v>
      </c>
      <c r="W481" s="2">
        <v>20</v>
      </c>
      <c r="X481" s="2">
        <v>10</v>
      </c>
      <c r="Y481" s="2">
        <v>3</v>
      </c>
      <c r="Z481" s="2">
        <v>2</v>
      </c>
      <c r="AA481" s="2">
        <v>4</v>
      </c>
      <c r="AB481" s="2">
        <v>12</v>
      </c>
      <c r="AC481" s="2">
        <v>65</v>
      </c>
      <c r="AD481" s="2">
        <v>0</v>
      </c>
      <c r="AE481" s="18">
        <f t="shared" si="7"/>
        <v>2.5</v>
      </c>
    </row>
    <row r="482" spans="1:31" x14ac:dyDescent="0.2">
      <c r="A482" t="s">
        <v>121</v>
      </c>
      <c r="B482" s="2">
        <v>24</v>
      </c>
      <c r="C482" t="s">
        <v>122</v>
      </c>
      <c r="D482" s="2" t="s">
        <v>33</v>
      </c>
      <c r="E482" s="2">
        <v>16</v>
      </c>
      <c r="F482" s="2">
        <v>16</v>
      </c>
      <c r="G482" s="2">
        <v>587</v>
      </c>
      <c r="H482" s="2">
        <v>138</v>
      </c>
      <c r="I482" s="2">
        <v>340</v>
      </c>
      <c r="J482" s="2">
        <v>0.40600000000000003</v>
      </c>
      <c r="K482" s="2">
        <v>44</v>
      </c>
      <c r="L482" s="2">
        <v>150</v>
      </c>
      <c r="M482" s="2">
        <v>0.29299999999999998</v>
      </c>
      <c r="N482" s="2">
        <v>94</v>
      </c>
      <c r="O482" s="2">
        <v>190</v>
      </c>
      <c r="P482" s="2">
        <v>0.495</v>
      </c>
      <c r="Q482" s="2">
        <v>0.47099999999999997</v>
      </c>
      <c r="R482" s="2">
        <v>69</v>
      </c>
      <c r="S482" s="2">
        <v>81</v>
      </c>
      <c r="T482" s="2">
        <v>0.85199999999999998</v>
      </c>
      <c r="U482" s="2">
        <v>3</v>
      </c>
      <c r="V482" s="2">
        <v>55</v>
      </c>
      <c r="W482" s="2">
        <v>58</v>
      </c>
      <c r="X482" s="2">
        <v>83</v>
      </c>
      <c r="Y482" s="2">
        <v>32</v>
      </c>
      <c r="Z482" s="2">
        <v>5</v>
      </c>
      <c r="AA482" s="2">
        <v>31</v>
      </c>
      <c r="AB482" s="2">
        <v>41</v>
      </c>
      <c r="AC482" s="2">
        <v>389</v>
      </c>
      <c r="AD482" s="2">
        <v>1</v>
      </c>
      <c r="AE482" s="18">
        <f t="shared" si="7"/>
        <v>2.6774193548387095</v>
      </c>
    </row>
    <row r="483" spans="1:31" x14ac:dyDescent="0.2">
      <c r="A483" t="s">
        <v>505</v>
      </c>
      <c r="B483" s="2">
        <v>23</v>
      </c>
      <c r="C483" t="s">
        <v>54</v>
      </c>
      <c r="D483" s="2" t="s">
        <v>33</v>
      </c>
      <c r="E483" s="2">
        <v>3</v>
      </c>
      <c r="F483" s="2">
        <v>0</v>
      </c>
      <c r="G483" s="2">
        <v>27</v>
      </c>
      <c r="H483" s="2">
        <v>3</v>
      </c>
      <c r="I483" s="2">
        <v>6</v>
      </c>
      <c r="J483" s="2">
        <v>0.5</v>
      </c>
      <c r="K483" s="2">
        <v>2</v>
      </c>
      <c r="L483" s="2">
        <v>3</v>
      </c>
      <c r="M483" s="2">
        <v>0.66700000000000004</v>
      </c>
      <c r="N483" s="2">
        <v>1</v>
      </c>
      <c r="O483" s="2">
        <v>3</v>
      </c>
      <c r="P483" s="2">
        <v>0.33300000000000002</v>
      </c>
      <c r="Q483" s="2">
        <v>0.66700000000000004</v>
      </c>
      <c r="R483" s="2">
        <v>0</v>
      </c>
      <c r="S483" s="2">
        <v>0</v>
      </c>
      <c r="T483" s="2"/>
      <c r="U483" s="2">
        <v>0</v>
      </c>
      <c r="V483" s="2">
        <v>1</v>
      </c>
      <c r="W483" s="2">
        <v>1</v>
      </c>
      <c r="X483" s="2">
        <v>4</v>
      </c>
      <c r="Y483" s="2">
        <v>2</v>
      </c>
      <c r="Z483" s="2">
        <v>0</v>
      </c>
      <c r="AA483" s="2">
        <v>1</v>
      </c>
      <c r="AB483" s="2">
        <v>0</v>
      </c>
      <c r="AC483" s="2">
        <v>8</v>
      </c>
      <c r="AD483" s="2">
        <v>0</v>
      </c>
      <c r="AE483" s="18">
        <f t="shared" si="7"/>
        <v>4</v>
      </c>
    </row>
    <row r="484" spans="1:31" x14ac:dyDescent="0.2">
      <c r="A484" t="s">
        <v>171</v>
      </c>
      <c r="B484" s="2">
        <v>28</v>
      </c>
      <c r="C484" t="s">
        <v>54</v>
      </c>
      <c r="D484" s="2" t="s">
        <v>33</v>
      </c>
      <c r="E484" s="2">
        <v>23</v>
      </c>
      <c r="F484" s="2">
        <v>23</v>
      </c>
      <c r="G484" s="2">
        <v>742</v>
      </c>
      <c r="H484" s="2">
        <v>107</v>
      </c>
      <c r="I484" s="2">
        <v>227</v>
      </c>
      <c r="J484" s="2">
        <v>0.47099999999999997</v>
      </c>
      <c r="K484" s="2">
        <v>52</v>
      </c>
      <c r="L484" s="2">
        <v>126</v>
      </c>
      <c r="M484" s="2">
        <v>0.41299999999999998</v>
      </c>
      <c r="N484" s="2">
        <v>55</v>
      </c>
      <c r="O484" s="2">
        <v>101</v>
      </c>
      <c r="P484" s="2">
        <v>0.54500000000000004</v>
      </c>
      <c r="Q484" s="2">
        <v>0.58599999999999997</v>
      </c>
      <c r="R484" s="2">
        <v>15</v>
      </c>
      <c r="S484" s="2">
        <v>18</v>
      </c>
      <c r="T484" s="2">
        <v>0.83299999999999996</v>
      </c>
      <c r="U484" s="2">
        <v>14</v>
      </c>
      <c r="V484" s="2">
        <v>45</v>
      </c>
      <c r="W484" s="2">
        <v>59</v>
      </c>
      <c r="X484" s="2">
        <v>157</v>
      </c>
      <c r="Y484" s="2">
        <v>27</v>
      </c>
      <c r="Z484" s="2">
        <v>2</v>
      </c>
      <c r="AA484" s="2">
        <v>24</v>
      </c>
      <c r="AB484" s="2">
        <v>23</v>
      </c>
      <c r="AC484" s="2">
        <v>281</v>
      </c>
      <c r="AD484" s="2">
        <v>0</v>
      </c>
      <c r="AE484" s="18">
        <f t="shared" si="7"/>
        <v>6.541666666666667</v>
      </c>
    </row>
    <row r="485" spans="1:31" x14ac:dyDescent="0.2">
      <c r="A485" t="s">
        <v>544</v>
      </c>
      <c r="B485" s="2">
        <v>19</v>
      </c>
      <c r="C485" t="s">
        <v>66</v>
      </c>
      <c r="D485" s="2" t="s">
        <v>27</v>
      </c>
      <c r="E485" s="2">
        <v>1</v>
      </c>
      <c r="F485" s="2">
        <v>0</v>
      </c>
      <c r="G485" s="2">
        <v>5</v>
      </c>
      <c r="H485" s="2">
        <v>1</v>
      </c>
      <c r="I485" s="2">
        <v>1</v>
      </c>
      <c r="J485" s="2">
        <v>1</v>
      </c>
      <c r="K485" s="2">
        <v>0</v>
      </c>
      <c r="L485" s="2">
        <v>0</v>
      </c>
      <c r="M485" s="2"/>
      <c r="N485" s="2">
        <v>1</v>
      </c>
      <c r="O485" s="2">
        <v>1</v>
      </c>
      <c r="P485" s="2">
        <v>1</v>
      </c>
      <c r="Q485" s="2">
        <v>1</v>
      </c>
      <c r="R485" s="2">
        <v>0</v>
      </c>
      <c r="S485" s="2">
        <v>0</v>
      </c>
      <c r="T485" s="2"/>
      <c r="U485" s="2">
        <v>0</v>
      </c>
      <c r="V485" s="2">
        <v>1</v>
      </c>
      <c r="W485" s="2">
        <v>1</v>
      </c>
      <c r="X485" s="2">
        <v>0</v>
      </c>
      <c r="Y485" s="2">
        <v>0</v>
      </c>
      <c r="Z485" s="2">
        <v>0</v>
      </c>
      <c r="AA485" s="2">
        <v>0</v>
      </c>
      <c r="AB485" s="2">
        <v>0</v>
      </c>
      <c r="AC485" s="2">
        <v>2</v>
      </c>
      <c r="AD485" s="2">
        <v>0</v>
      </c>
      <c r="AE485" s="18" t="e">
        <f t="shared" si="7"/>
        <v>#DIV/0!</v>
      </c>
    </row>
    <row r="486" spans="1:31" x14ac:dyDescent="0.2">
      <c r="A486" t="s">
        <v>336</v>
      </c>
      <c r="B486" s="2">
        <v>31</v>
      </c>
      <c r="C486" t="s">
        <v>59</v>
      </c>
      <c r="D486" s="2" t="s">
        <v>33</v>
      </c>
      <c r="E486" s="2">
        <v>13</v>
      </c>
      <c r="F486" s="2">
        <v>6</v>
      </c>
      <c r="G486" s="2">
        <v>283</v>
      </c>
      <c r="H486" s="2">
        <v>38</v>
      </c>
      <c r="I486" s="2">
        <v>103</v>
      </c>
      <c r="J486" s="2">
        <v>0.36899999999999999</v>
      </c>
      <c r="K486" s="2">
        <v>17</v>
      </c>
      <c r="L486" s="2">
        <v>43</v>
      </c>
      <c r="M486" s="2">
        <v>0.39500000000000002</v>
      </c>
      <c r="N486" s="2">
        <v>21</v>
      </c>
      <c r="O486" s="2">
        <v>60</v>
      </c>
      <c r="P486" s="2">
        <v>0.35</v>
      </c>
      <c r="Q486" s="2">
        <v>0.45100000000000001</v>
      </c>
      <c r="R486" s="2">
        <v>7</v>
      </c>
      <c r="S486" s="2">
        <v>10</v>
      </c>
      <c r="T486" s="2">
        <v>0.7</v>
      </c>
      <c r="U486" s="2">
        <v>10</v>
      </c>
      <c r="V486" s="2">
        <v>27</v>
      </c>
      <c r="W486" s="2">
        <v>37</v>
      </c>
      <c r="X486" s="2">
        <v>50</v>
      </c>
      <c r="Y486" s="2">
        <v>7</v>
      </c>
      <c r="Z486" s="2">
        <v>0</v>
      </c>
      <c r="AA486" s="2">
        <v>26</v>
      </c>
      <c r="AB486" s="2">
        <v>16</v>
      </c>
      <c r="AC486" s="2">
        <v>100</v>
      </c>
      <c r="AD486" s="2">
        <v>0</v>
      </c>
      <c r="AE486" s="18">
        <f t="shared" si="7"/>
        <v>1.9230769230769231</v>
      </c>
    </row>
    <row r="487" spans="1:31" x14ac:dyDescent="0.2">
      <c r="A487" t="s">
        <v>92</v>
      </c>
      <c r="B487" s="2">
        <v>21</v>
      </c>
      <c r="C487" t="s">
        <v>93</v>
      </c>
      <c r="D487" s="2" t="s">
        <v>42</v>
      </c>
      <c r="E487" s="2">
        <v>19</v>
      </c>
      <c r="F487" s="2">
        <v>19</v>
      </c>
      <c r="G487" s="2">
        <v>611</v>
      </c>
      <c r="H487" s="2">
        <v>165</v>
      </c>
      <c r="I487" s="2">
        <v>344</v>
      </c>
      <c r="J487" s="2">
        <v>0.48</v>
      </c>
      <c r="K487" s="2">
        <v>59</v>
      </c>
      <c r="L487" s="2">
        <v>173</v>
      </c>
      <c r="M487" s="2">
        <v>0.34100000000000003</v>
      </c>
      <c r="N487" s="2">
        <v>106</v>
      </c>
      <c r="O487" s="2">
        <v>171</v>
      </c>
      <c r="P487" s="2">
        <v>0.62</v>
      </c>
      <c r="Q487" s="2">
        <v>0.56499999999999995</v>
      </c>
      <c r="R487" s="2">
        <v>59</v>
      </c>
      <c r="S487" s="2">
        <v>68</v>
      </c>
      <c r="T487" s="2">
        <v>0.86799999999999999</v>
      </c>
      <c r="U487" s="2">
        <v>40</v>
      </c>
      <c r="V487" s="2">
        <v>157</v>
      </c>
      <c r="W487" s="2">
        <v>197</v>
      </c>
      <c r="X487" s="2">
        <v>69</v>
      </c>
      <c r="Y487" s="2">
        <v>23</v>
      </c>
      <c r="Z487" s="4">
        <v>64</v>
      </c>
      <c r="AA487" s="2">
        <v>68</v>
      </c>
      <c r="AB487" s="2">
        <v>40</v>
      </c>
      <c r="AC487" s="2">
        <v>448</v>
      </c>
      <c r="AD487" s="2">
        <v>1</v>
      </c>
      <c r="AE487" s="18">
        <f t="shared" si="7"/>
        <v>1.0147058823529411</v>
      </c>
    </row>
    <row r="488" spans="1:31" x14ac:dyDescent="0.2">
      <c r="A488" t="s">
        <v>483</v>
      </c>
      <c r="B488" s="2">
        <v>24</v>
      </c>
      <c r="C488" t="s">
        <v>80</v>
      </c>
      <c r="D488" s="2" t="s">
        <v>52</v>
      </c>
      <c r="E488" s="2">
        <v>3</v>
      </c>
      <c r="F488" s="2">
        <v>0</v>
      </c>
      <c r="G488" s="2">
        <v>45</v>
      </c>
      <c r="H488" s="2">
        <v>7</v>
      </c>
      <c r="I488" s="2">
        <v>19</v>
      </c>
      <c r="J488" s="2">
        <v>0.36799999999999999</v>
      </c>
      <c r="K488" s="2">
        <v>1</v>
      </c>
      <c r="L488" s="2">
        <v>8</v>
      </c>
      <c r="M488" s="2">
        <v>0.125</v>
      </c>
      <c r="N488" s="2">
        <v>6</v>
      </c>
      <c r="O488" s="2">
        <v>11</v>
      </c>
      <c r="P488" s="2">
        <v>0.54500000000000004</v>
      </c>
      <c r="Q488" s="2">
        <v>0.39500000000000002</v>
      </c>
      <c r="R488" s="2">
        <v>1</v>
      </c>
      <c r="S488" s="2">
        <v>4</v>
      </c>
      <c r="T488" s="2">
        <v>0.25</v>
      </c>
      <c r="U488" s="2">
        <v>4</v>
      </c>
      <c r="V488" s="2">
        <v>7</v>
      </c>
      <c r="W488" s="2">
        <v>11</v>
      </c>
      <c r="X488" s="2">
        <v>9</v>
      </c>
      <c r="Y488" s="2">
        <v>0</v>
      </c>
      <c r="Z488" s="2">
        <v>2</v>
      </c>
      <c r="AA488" s="2">
        <v>7</v>
      </c>
      <c r="AB488" s="2">
        <v>9</v>
      </c>
      <c r="AC488" s="2">
        <v>16</v>
      </c>
      <c r="AD488" s="2">
        <v>0</v>
      </c>
      <c r="AE488" s="18">
        <f t="shared" si="7"/>
        <v>1.2857142857142858</v>
      </c>
    </row>
    <row r="489" spans="1:31" x14ac:dyDescent="0.2">
      <c r="A489" t="s">
        <v>433</v>
      </c>
      <c r="B489" s="2">
        <v>24</v>
      </c>
      <c r="C489" t="s">
        <v>72</v>
      </c>
      <c r="D489" s="2" t="s">
        <v>33</v>
      </c>
      <c r="E489" s="2">
        <v>12</v>
      </c>
      <c r="F489" s="2">
        <v>0</v>
      </c>
      <c r="G489" s="2">
        <v>140</v>
      </c>
      <c r="H489" s="2">
        <v>12</v>
      </c>
      <c r="I489" s="2">
        <v>35</v>
      </c>
      <c r="J489" s="2">
        <v>0.34300000000000003</v>
      </c>
      <c r="K489" s="2">
        <v>4</v>
      </c>
      <c r="L489" s="2">
        <v>17</v>
      </c>
      <c r="M489" s="2">
        <v>0.23499999999999999</v>
      </c>
      <c r="N489" s="2">
        <v>8</v>
      </c>
      <c r="O489" s="2">
        <v>18</v>
      </c>
      <c r="P489" s="2">
        <v>0.44400000000000001</v>
      </c>
      <c r="Q489" s="2">
        <v>0.4</v>
      </c>
      <c r="R489" s="2">
        <v>5</v>
      </c>
      <c r="S489" s="2">
        <v>9</v>
      </c>
      <c r="T489" s="2">
        <v>0.55600000000000005</v>
      </c>
      <c r="U489" s="2">
        <v>7</v>
      </c>
      <c r="V489" s="2">
        <v>15</v>
      </c>
      <c r="W489" s="2">
        <v>22</v>
      </c>
      <c r="X489" s="2">
        <v>17</v>
      </c>
      <c r="Y489" s="2">
        <v>4</v>
      </c>
      <c r="Z489" s="2">
        <v>3</v>
      </c>
      <c r="AA489" s="2">
        <v>7</v>
      </c>
      <c r="AB489" s="2">
        <v>19</v>
      </c>
      <c r="AC489" s="2">
        <v>33</v>
      </c>
      <c r="AD489" s="2">
        <v>0</v>
      </c>
      <c r="AE489" s="18">
        <f t="shared" si="7"/>
        <v>2.4285714285714284</v>
      </c>
    </row>
    <row r="490" spans="1:31" x14ac:dyDescent="0.2">
      <c r="A490" t="s">
        <v>498</v>
      </c>
      <c r="B490" s="2">
        <v>27</v>
      </c>
      <c r="C490" t="s">
        <v>46</v>
      </c>
      <c r="D490" s="2" t="s">
        <v>27</v>
      </c>
      <c r="E490" s="2">
        <v>4</v>
      </c>
      <c r="F490" s="2">
        <v>0</v>
      </c>
      <c r="G490" s="2">
        <v>34</v>
      </c>
      <c r="H490" s="2">
        <v>4</v>
      </c>
      <c r="I490" s="2">
        <v>7</v>
      </c>
      <c r="J490" s="2">
        <v>0.57099999999999995</v>
      </c>
      <c r="K490" s="2">
        <v>1</v>
      </c>
      <c r="L490" s="2">
        <v>2</v>
      </c>
      <c r="M490" s="2">
        <v>0.5</v>
      </c>
      <c r="N490" s="2">
        <v>3</v>
      </c>
      <c r="O490" s="2">
        <v>5</v>
      </c>
      <c r="P490" s="2">
        <v>0.6</v>
      </c>
      <c r="Q490" s="2">
        <v>0.64300000000000002</v>
      </c>
      <c r="R490" s="2">
        <v>0</v>
      </c>
      <c r="S490" s="2">
        <v>0</v>
      </c>
      <c r="T490" s="2"/>
      <c r="U490" s="2">
        <v>3</v>
      </c>
      <c r="V490" s="2">
        <v>5</v>
      </c>
      <c r="W490" s="2">
        <v>8</v>
      </c>
      <c r="X490" s="2">
        <v>0</v>
      </c>
      <c r="Y490" s="2">
        <v>0</v>
      </c>
      <c r="Z490" s="2">
        <v>1</v>
      </c>
      <c r="AA490" s="2">
        <v>2</v>
      </c>
      <c r="AB490" s="2">
        <v>4</v>
      </c>
      <c r="AC490" s="2">
        <v>9</v>
      </c>
      <c r="AD490" s="2">
        <v>0</v>
      </c>
      <c r="AE490" s="18">
        <f t="shared" si="7"/>
        <v>0</v>
      </c>
    </row>
    <row r="491" spans="1:31" x14ac:dyDescent="0.2">
      <c r="A491" t="s">
        <v>245</v>
      </c>
      <c r="B491" s="2">
        <v>23</v>
      </c>
      <c r="C491" t="s">
        <v>120</v>
      </c>
      <c r="D491" s="2" t="s">
        <v>42</v>
      </c>
      <c r="E491" s="2">
        <v>17</v>
      </c>
      <c r="F491" s="2">
        <v>17</v>
      </c>
      <c r="G491" s="2">
        <v>495</v>
      </c>
      <c r="H491" s="2">
        <v>79</v>
      </c>
      <c r="I491" s="2">
        <v>108</v>
      </c>
      <c r="J491" s="2">
        <v>0.73099999999999998</v>
      </c>
      <c r="K491" s="2">
        <v>0</v>
      </c>
      <c r="L491" s="2">
        <v>0</v>
      </c>
      <c r="M491" s="2"/>
      <c r="N491" s="2">
        <v>79</v>
      </c>
      <c r="O491" s="2">
        <v>108</v>
      </c>
      <c r="P491" s="2">
        <v>0.73099999999999998</v>
      </c>
      <c r="Q491" s="2">
        <v>0.73099999999999998</v>
      </c>
      <c r="R491" s="2">
        <v>27</v>
      </c>
      <c r="S491" s="2">
        <v>45</v>
      </c>
      <c r="T491" s="2">
        <v>0.6</v>
      </c>
      <c r="U491" s="2">
        <v>68</v>
      </c>
      <c r="V491" s="2">
        <v>120</v>
      </c>
      <c r="W491" s="2">
        <v>188</v>
      </c>
      <c r="X491" s="2">
        <v>24</v>
      </c>
      <c r="Y491" s="2">
        <v>8</v>
      </c>
      <c r="Z491" s="2">
        <v>51</v>
      </c>
      <c r="AA491" s="2">
        <v>25</v>
      </c>
      <c r="AB491" s="2">
        <v>37</v>
      </c>
      <c r="AC491" s="2">
        <v>185</v>
      </c>
      <c r="AD491" s="2">
        <v>0</v>
      </c>
      <c r="AE491" s="18">
        <f t="shared" si="7"/>
        <v>0.96</v>
      </c>
    </row>
    <row r="492" spans="1:31" x14ac:dyDescent="0.2">
      <c r="A492" t="s">
        <v>329</v>
      </c>
      <c r="B492" s="2">
        <v>25</v>
      </c>
      <c r="C492" t="s">
        <v>48</v>
      </c>
      <c r="D492" s="2" t="s">
        <v>42</v>
      </c>
      <c r="E492" s="2">
        <v>14</v>
      </c>
      <c r="F492" s="2">
        <v>14</v>
      </c>
      <c r="G492" s="2">
        <v>362</v>
      </c>
      <c r="H492" s="2">
        <v>36</v>
      </c>
      <c r="I492" s="2">
        <v>72</v>
      </c>
      <c r="J492" s="2">
        <v>0.5</v>
      </c>
      <c r="K492" s="2">
        <v>5</v>
      </c>
      <c r="L492" s="2">
        <v>29</v>
      </c>
      <c r="M492" s="2">
        <v>0.17199999999999999</v>
      </c>
      <c r="N492" s="2">
        <v>31</v>
      </c>
      <c r="O492" s="2">
        <v>43</v>
      </c>
      <c r="P492" s="2">
        <v>0.72099999999999997</v>
      </c>
      <c r="Q492" s="2">
        <v>0.53500000000000003</v>
      </c>
      <c r="R492" s="2">
        <v>29</v>
      </c>
      <c r="S492" s="2">
        <v>38</v>
      </c>
      <c r="T492" s="2">
        <v>0.76300000000000001</v>
      </c>
      <c r="U492" s="2">
        <v>27</v>
      </c>
      <c r="V492" s="2">
        <v>82</v>
      </c>
      <c r="W492" s="2">
        <v>109</v>
      </c>
      <c r="X492" s="2">
        <v>33</v>
      </c>
      <c r="Y492" s="2">
        <v>13</v>
      </c>
      <c r="Z492" s="2">
        <v>8</v>
      </c>
      <c r="AA492" s="2">
        <v>13</v>
      </c>
      <c r="AB492" s="2">
        <v>41</v>
      </c>
      <c r="AC492" s="2">
        <v>106</v>
      </c>
      <c r="AD492" s="2">
        <v>0</v>
      </c>
      <c r="AE492" s="18">
        <f t="shared" si="7"/>
        <v>2.5384615384615383</v>
      </c>
    </row>
    <row r="493" spans="1:31" x14ac:dyDescent="0.2">
      <c r="A493" t="s">
        <v>402</v>
      </c>
      <c r="B493" s="2">
        <v>23</v>
      </c>
      <c r="C493" t="s">
        <v>75</v>
      </c>
      <c r="D493" s="2" t="s">
        <v>52</v>
      </c>
      <c r="E493" s="2">
        <v>12</v>
      </c>
      <c r="F493" s="2">
        <v>0</v>
      </c>
      <c r="G493" s="2">
        <v>171</v>
      </c>
      <c r="H493" s="2">
        <v>19</v>
      </c>
      <c r="I493" s="2">
        <v>36</v>
      </c>
      <c r="J493" s="2">
        <v>0.52800000000000002</v>
      </c>
      <c r="K493" s="2">
        <v>3</v>
      </c>
      <c r="L493" s="2">
        <v>9</v>
      </c>
      <c r="M493" s="2">
        <v>0.33300000000000002</v>
      </c>
      <c r="N493" s="2">
        <v>16</v>
      </c>
      <c r="O493" s="2">
        <v>27</v>
      </c>
      <c r="P493" s="2">
        <v>0.59299999999999997</v>
      </c>
      <c r="Q493" s="2">
        <v>0.56899999999999995</v>
      </c>
      <c r="R493" s="2">
        <v>11</v>
      </c>
      <c r="S493" s="2">
        <v>12</v>
      </c>
      <c r="T493" s="2">
        <v>0.91700000000000004</v>
      </c>
      <c r="U493" s="2">
        <v>9</v>
      </c>
      <c r="V493" s="2">
        <v>28</v>
      </c>
      <c r="W493" s="2">
        <v>37</v>
      </c>
      <c r="X493" s="2">
        <v>14</v>
      </c>
      <c r="Y493" s="2">
        <v>8</v>
      </c>
      <c r="Z493" s="2">
        <v>3</v>
      </c>
      <c r="AA493" s="2">
        <v>8</v>
      </c>
      <c r="AB493" s="2">
        <v>13</v>
      </c>
      <c r="AC493" s="2">
        <v>52</v>
      </c>
      <c r="AD493" s="2">
        <v>0</v>
      </c>
      <c r="AE493" s="18">
        <f t="shared" si="7"/>
        <v>1.75</v>
      </c>
    </row>
    <row r="494" spans="1:31" x14ac:dyDescent="0.2">
      <c r="A494" t="s">
        <v>477</v>
      </c>
      <c r="B494" s="2">
        <v>26</v>
      </c>
      <c r="C494" t="s">
        <v>39</v>
      </c>
      <c r="D494" s="2" t="s">
        <v>42</v>
      </c>
      <c r="E494" s="2">
        <v>16</v>
      </c>
      <c r="F494" s="2">
        <v>1</v>
      </c>
      <c r="G494" s="2">
        <v>144</v>
      </c>
      <c r="H494" s="2">
        <v>7</v>
      </c>
      <c r="I494" s="2">
        <v>28</v>
      </c>
      <c r="J494" s="2">
        <v>0.25</v>
      </c>
      <c r="K494" s="2">
        <v>3</v>
      </c>
      <c r="L494" s="2">
        <v>16</v>
      </c>
      <c r="M494" s="2">
        <v>0.188</v>
      </c>
      <c r="N494" s="2">
        <v>4</v>
      </c>
      <c r="O494" s="2">
        <v>12</v>
      </c>
      <c r="P494" s="2">
        <v>0.33300000000000002</v>
      </c>
      <c r="Q494" s="2">
        <v>0.30399999999999999</v>
      </c>
      <c r="R494" s="2">
        <v>1</v>
      </c>
      <c r="S494" s="2">
        <v>2</v>
      </c>
      <c r="T494" s="2">
        <v>0.5</v>
      </c>
      <c r="U494" s="2">
        <v>7</v>
      </c>
      <c r="V494" s="2">
        <v>25</v>
      </c>
      <c r="W494" s="2">
        <v>32</v>
      </c>
      <c r="X494" s="2">
        <v>6</v>
      </c>
      <c r="Y494" s="2">
        <v>4</v>
      </c>
      <c r="Z494" s="2">
        <v>3</v>
      </c>
      <c r="AA494" s="2">
        <v>5</v>
      </c>
      <c r="AB494" s="2">
        <v>12</v>
      </c>
      <c r="AC494" s="2">
        <v>18</v>
      </c>
      <c r="AD494" s="2">
        <v>0</v>
      </c>
      <c r="AE494" s="18">
        <f t="shared" si="7"/>
        <v>1.2</v>
      </c>
    </row>
    <row r="495" spans="1:31" x14ac:dyDescent="0.2">
      <c r="A495" t="s">
        <v>490</v>
      </c>
      <c r="B495" s="2">
        <v>23</v>
      </c>
      <c r="C495" t="s">
        <v>80</v>
      </c>
      <c r="D495" s="2" t="s">
        <v>33</v>
      </c>
      <c r="E495" s="2">
        <v>13</v>
      </c>
      <c r="F495" s="2">
        <v>0</v>
      </c>
      <c r="G495" s="2">
        <v>40</v>
      </c>
      <c r="H495" s="2">
        <v>4</v>
      </c>
      <c r="I495" s="2">
        <v>15</v>
      </c>
      <c r="J495" s="2">
        <v>0.26700000000000002</v>
      </c>
      <c r="K495" s="2">
        <v>2</v>
      </c>
      <c r="L495" s="2">
        <v>11</v>
      </c>
      <c r="M495" s="2">
        <v>0.182</v>
      </c>
      <c r="N495" s="2">
        <v>2</v>
      </c>
      <c r="O495" s="2">
        <v>4</v>
      </c>
      <c r="P495" s="2">
        <v>0.5</v>
      </c>
      <c r="Q495" s="2">
        <v>0.33300000000000002</v>
      </c>
      <c r="R495" s="2">
        <v>4</v>
      </c>
      <c r="S495" s="2">
        <v>6</v>
      </c>
      <c r="T495" s="2">
        <v>0.66700000000000004</v>
      </c>
      <c r="U495" s="2">
        <v>0</v>
      </c>
      <c r="V495" s="2">
        <v>2</v>
      </c>
      <c r="W495" s="2">
        <v>2</v>
      </c>
      <c r="X495" s="2">
        <v>7</v>
      </c>
      <c r="Y495" s="2">
        <v>1</v>
      </c>
      <c r="Z495" s="2">
        <v>0</v>
      </c>
      <c r="AA495" s="2">
        <v>4</v>
      </c>
      <c r="AB495" s="2">
        <v>4</v>
      </c>
      <c r="AC495" s="2">
        <v>14</v>
      </c>
      <c r="AD495" s="2">
        <v>0</v>
      </c>
      <c r="AE495" s="18">
        <f t="shared" si="7"/>
        <v>1.75</v>
      </c>
    </row>
    <row r="496" spans="1:31" x14ac:dyDescent="0.2">
      <c r="A496" t="s">
        <v>206</v>
      </c>
      <c r="B496" s="2">
        <v>20</v>
      </c>
      <c r="C496" t="s">
        <v>117</v>
      </c>
      <c r="D496" s="2" t="s">
        <v>42</v>
      </c>
      <c r="E496" s="2">
        <v>25</v>
      </c>
      <c r="F496" s="2">
        <v>19</v>
      </c>
      <c r="G496" s="2">
        <v>634</v>
      </c>
      <c r="H496" s="2">
        <v>91</v>
      </c>
      <c r="I496" s="2">
        <v>166</v>
      </c>
      <c r="J496" s="2">
        <v>0.54800000000000004</v>
      </c>
      <c r="K496" s="2">
        <v>0</v>
      </c>
      <c r="L496" s="2">
        <v>0</v>
      </c>
      <c r="M496" s="2"/>
      <c r="N496" s="2">
        <v>91</v>
      </c>
      <c r="O496" s="2">
        <v>166</v>
      </c>
      <c r="P496" s="2">
        <v>0.54800000000000004</v>
      </c>
      <c r="Q496" s="2">
        <v>0.54800000000000004</v>
      </c>
      <c r="R496" s="2">
        <v>49</v>
      </c>
      <c r="S496" s="2">
        <v>75</v>
      </c>
      <c r="T496" s="2">
        <v>0.65300000000000002</v>
      </c>
      <c r="U496" s="2">
        <v>95</v>
      </c>
      <c r="V496" s="2">
        <v>112</v>
      </c>
      <c r="W496" s="2">
        <v>207</v>
      </c>
      <c r="X496" s="2">
        <v>30</v>
      </c>
      <c r="Y496" s="2">
        <v>17</v>
      </c>
      <c r="Z496" s="2">
        <v>31</v>
      </c>
      <c r="AA496" s="2">
        <v>28</v>
      </c>
      <c r="AB496" s="2">
        <v>51</v>
      </c>
      <c r="AC496" s="2">
        <v>231</v>
      </c>
      <c r="AD496" s="2">
        <v>0</v>
      </c>
      <c r="AE496" s="18">
        <f t="shared" si="7"/>
        <v>1.0714285714285714</v>
      </c>
    </row>
    <row r="497" spans="1:31" x14ac:dyDescent="0.2">
      <c r="A497" t="s">
        <v>165</v>
      </c>
      <c r="B497" s="2">
        <v>19</v>
      </c>
      <c r="C497" t="s">
        <v>72</v>
      </c>
      <c r="D497" s="2" t="s">
        <v>49</v>
      </c>
      <c r="E497" s="2">
        <v>26</v>
      </c>
      <c r="F497" s="2">
        <v>24</v>
      </c>
      <c r="G497" s="2">
        <v>623</v>
      </c>
      <c r="H497" s="2">
        <v>107</v>
      </c>
      <c r="I497" s="2">
        <v>268</v>
      </c>
      <c r="J497" s="2">
        <v>0.39900000000000002</v>
      </c>
      <c r="K497" s="2">
        <v>32</v>
      </c>
      <c r="L497" s="2">
        <v>116</v>
      </c>
      <c r="M497" s="2">
        <v>0.27600000000000002</v>
      </c>
      <c r="N497" s="2">
        <v>75</v>
      </c>
      <c r="O497" s="2">
        <v>152</v>
      </c>
      <c r="P497" s="2">
        <v>0.49299999999999999</v>
      </c>
      <c r="Q497" s="2">
        <v>0.45900000000000002</v>
      </c>
      <c r="R497" s="2">
        <v>45</v>
      </c>
      <c r="S497" s="2">
        <v>66</v>
      </c>
      <c r="T497" s="2">
        <v>0.68200000000000005</v>
      </c>
      <c r="U497" s="2">
        <v>30</v>
      </c>
      <c r="V497" s="2">
        <v>60</v>
      </c>
      <c r="W497" s="2">
        <v>90</v>
      </c>
      <c r="X497" s="2">
        <v>32</v>
      </c>
      <c r="Y497" s="2">
        <v>22</v>
      </c>
      <c r="Z497" s="2">
        <v>19</v>
      </c>
      <c r="AA497" s="2">
        <v>29</v>
      </c>
      <c r="AB497" s="2">
        <v>54</v>
      </c>
      <c r="AC497" s="2">
        <v>291</v>
      </c>
      <c r="AD497" s="2">
        <v>0</v>
      </c>
      <c r="AE497" s="18">
        <f t="shared" si="7"/>
        <v>1.103448275862069</v>
      </c>
    </row>
    <row r="498" spans="1:31" x14ac:dyDescent="0.2">
      <c r="A498" t="s">
        <v>296</v>
      </c>
      <c r="B498" s="2">
        <v>27</v>
      </c>
      <c r="C498" t="s">
        <v>93</v>
      </c>
      <c r="D498" s="2" t="s">
        <v>42</v>
      </c>
      <c r="E498" s="2">
        <v>24</v>
      </c>
      <c r="F498" s="2">
        <v>4</v>
      </c>
      <c r="G498" s="2">
        <v>341</v>
      </c>
      <c r="H498" s="2">
        <v>50</v>
      </c>
      <c r="I498" s="2">
        <v>105</v>
      </c>
      <c r="J498" s="2">
        <v>0.47599999999999998</v>
      </c>
      <c r="K498" s="2">
        <v>12</v>
      </c>
      <c r="L498" s="2">
        <v>36</v>
      </c>
      <c r="M498" s="2">
        <v>0.33300000000000002</v>
      </c>
      <c r="N498" s="2">
        <v>38</v>
      </c>
      <c r="O498" s="2">
        <v>69</v>
      </c>
      <c r="P498" s="2">
        <v>0.55100000000000005</v>
      </c>
      <c r="Q498" s="2">
        <v>0.53300000000000003</v>
      </c>
      <c r="R498" s="2">
        <v>28</v>
      </c>
      <c r="S498" s="2">
        <v>32</v>
      </c>
      <c r="T498" s="2">
        <v>0.875</v>
      </c>
      <c r="U498" s="2">
        <v>28</v>
      </c>
      <c r="V498" s="2">
        <v>52</v>
      </c>
      <c r="W498" s="2">
        <v>80</v>
      </c>
      <c r="X498" s="2">
        <v>42</v>
      </c>
      <c r="Y498" s="2">
        <v>11</v>
      </c>
      <c r="Z498" s="2">
        <v>12</v>
      </c>
      <c r="AA498" s="2">
        <v>21</v>
      </c>
      <c r="AB498" s="2">
        <v>53</v>
      </c>
      <c r="AC498" s="2">
        <v>140</v>
      </c>
      <c r="AD498" s="2">
        <v>0</v>
      </c>
      <c r="AE498" s="18">
        <f t="shared" si="7"/>
        <v>2</v>
      </c>
    </row>
    <row r="499" spans="1:31" x14ac:dyDescent="0.2">
      <c r="A499" t="s">
        <v>274</v>
      </c>
      <c r="B499" s="2">
        <v>22</v>
      </c>
      <c r="C499" t="s">
        <v>80</v>
      </c>
      <c r="D499" s="2" t="s">
        <v>42</v>
      </c>
      <c r="E499" s="2">
        <v>14</v>
      </c>
      <c r="F499" s="2">
        <v>9</v>
      </c>
      <c r="G499" s="2">
        <v>281</v>
      </c>
      <c r="H499" s="2">
        <v>64</v>
      </c>
      <c r="I499" s="2">
        <v>105</v>
      </c>
      <c r="J499" s="2">
        <v>0.61</v>
      </c>
      <c r="K499" s="2">
        <v>6</v>
      </c>
      <c r="L499" s="2">
        <v>10</v>
      </c>
      <c r="M499" s="2">
        <v>0.6</v>
      </c>
      <c r="N499" s="2">
        <v>58</v>
      </c>
      <c r="O499" s="2">
        <v>95</v>
      </c>
      <c r="P499" s="2">
        <v>0.61099999999999999</v>
      </c>
      <c r="Q499" s="2">
        <v>0.63800000000000001</v>
      </c>
      <c r="R499" s="2">
        <v>22</v>
      </c>
      <c r="S499" s="2">
        <v>33</v>
      </c>
      <c r="T499" s="2">
        <v>0.66700000000000004</v>
      </c>
      <c r="U499" s="2">
        <v>43</v>
      </c>
      <c r="V499" s="2">
        <v>54</v>
      </c>
      <c r="W499" s="2">
        <v>97</v>
      </c>
      <c r="X499" s="2">
        <v>11</v>
      </c>
      <c r="Y499" s="2">
        <v>12</v>
      </c>
      <c r="Z499" s="2">
        <v>14</v>
      </c>
      <c r="AA499" s="2">
        <v>23</v>
      </c>
      <c r="AB499" s="2">
        <v>44</v>
      </c>
      <c r="AC499" s="2">
        <v>156</v>
      </c>
      <c r="AD499" s="2">
        <v>0</v>
      </c>
      <c r="AE499" s="18">
        <f t="shared" si="7"/>
        <v>0.47826086956521741</v>
      </c>
    </row>
    <row r="500" spans="1:31" x14ac:dyDescent="0.2">
      <c r="A500" t="s">
        <v>85</v>
      </c>
      <c r="B500" s="2">
        <v>29</v>
      </c>
      <c r="C500" t="s">
        <v>70</v>
      </c>
      <c r="D500" s="2" t="s">
        <v>49</v>
      </c>
      <c r="E500" s="2">
        <v>22</v>
      </c>
      <c r="F500" s="2">
        <v>22</v>
      </c>
      <c r="G500" s="2">
        <v>733</v>
      </c>
      <c r="H500" s="2">
        <v>177</v>
      </c>
      <c r="I500" s="2">
        <v>350</v>
      </c>
      <c r="J500" s="2">
        <v>0.50600000000000001</v>
      </c>
      <c r="K500" s="2">
        <v>73</v>
      </c>
      <c r="L500" s="2">
        <v>169</v>
      </c>
      <c r="M500" s="2">
        <v>0.432</v>
      </c>
      <c r="N500" s="2">
        <v>104</v>
      </c>
      <c r="O500" s="2">
        <v>181</v>
      </c>
      <c r="P500" s="2">
        <v>0.57499999999999996</v>
      </c>
      <c r="Q500" s="2">
        <v>0.61</v>
      </c>
      <c r="R500" s="2">
        <v>60</v>
      </c>
      <c r="S500" s="2">
        <v>75</v>
      </c>
      <c r="T500" s="2">
        <v>0.8</v>
      </c>
      <c r="U500" s="2">
        <v>5</v>
      </c>
      <c r="V500" s="2">
        <v>92</v>
      </c>
      <c r="W500" s="2">
        <v>97</v>
      </c>
      <c r="X500" s="2">
        <v>93</v>
      </c>
      <c r="Y500" s="2">
        <v>17</v>
      </c>
      <c r="Z500" s="2">
        <v>6</v>
      </c>
      <c r="AA500" s="2">
        <v>62</v>
      </c>
      <c r="AB500" s="2">
        <v>40</v>
      </c>
      <c r="AC500" s="2">
        <v>487</v>
      </c>
      <c r="AD500" s="2">
        <v>0</v>
      </c>
      <c r="AE500" s="18">
        <f t="shared" si="7"/>
        <v>1.5</v>
      </c>
    </row>
    <row r="501" spans="1:31" x14ac:dyDescent="0.2">
      <c r="A501" t="s">
        <v>471</v>
      </c>
      <c r="B501" s="2">
        <v>24</v>
      </c>
      <c r="C501" t="s">
        <v>46</v>
      </c>
      <c r="D501" s="2" t="s">
        <v>27</v>
      </c>
      <c r="E501" s="2">
        <v>15</v>
      </c>
      <c r="F501" s="2">
        <v>0</v>
      </c>
      <c r="G501" s="2">
        <v>75</v>
      </c>
      <c r="H501" s="2">
        <v>9</v>
      </c>
      <c r="I501" s="2">
        <v>22</v>
      </c>
      <c r="J501" s="2">
        <v>0.40899999999999997</v>
      </c>
      <c r="K501" s="2">
        <v>0</v>
      </c>
      <c r="L501" s="2">
        <v>8</v>
      </c>
      <c r="M501" s="2">
        <v>0</v>
      </c>
      <c r="N501" s="2">
        <v>9</v>
      </c>
      <c r="O501" s="2">
        <v>14</v>
      </c>
      <c r="P501" s="2">
        <v>0.64300000000000002</v>
      </c>
      <c r="Q501" s="2">
        <v>0.40899999999999997</v>
      </c>
      <c r="R501" s="2">
        <v>1</v>
      </c>
      <c r="S501" s="2">
        <v>5</v>
      </c>
      <c r="T501" s="2">
        <v>0.2</v>
      </c>
      <c r="U501" s="2">
        <v>2</v>
      </c>
      <c r="V501" s="2">
        <v>5</v>
      </c>
      <c r="W501" s="2">
        <v>7</v>
      </c>
      <c r="X501" s="2">
        <v>3</v>
      </c>
      <c r="Y501" s="2">
        <v>1</v>
      </c>
      <c r="Z501" s="2">
        <v>2</v>
      </c>
      <c r="AA501" s="2">
        <v>1</v>
      </c>
      <c r="AB501" s="2">
        <v>6</v>
      </c>
      <c r="AC501" s="2">
        <v>19</v>
      </c>
      <c r="AD501" s="2">
        <v>0</v>
      </c>
      <c r="AE501" s="18">
        <f t="shared" si="7"/>
        <v>3</v>
      </c>
    </row>
    <row r="502" spans="1:31" x14ac:dyDescent="0.2">
      <c r="A502" t="s">
        <v>248</v>
      </c>
      <c r="B502" s="2">
        <v>23</v>
      </c>
      <c r="C502" t="s">
        <v>103</v>
      </c>
      <c r="D502" s="2" t="s">
        <v>49</v>
      </c>
      <c r="E502" s="2">
        <v>21</v>
      </c>
      <c r="F502" s="2">
        <v>7</v>
      </c>
      <c r="G502" s="2">
        <v>459</v>
      </c>
      <c r="H502" s="2">
        <v>64</v>
      </c>
      <c r="I502" s="2">
        <v>159</v>
      </c>
      <c r="J502" s="2">
        <v>0.40300000000000002</v>
      </c>
      <c r="K502" s="2">
        <v>18</v>
      </c>
      <c r="L502" s="2">
        <v>66</v>
      </c>
      <c r="M502" s="2">
        <v>0.27300000000000002</v>
      </c>
      <c r="N502" s="2">
        <v>46</v>
      </c>
      <c r="O502" s="2">
        <v>93</v>
      </c>
      <c r="P502" s="2">
        <v>0.495</v>
      </c>
      <c r="Q502" s="2">
        <v>0.45900000000000002</v>
      </c>
      <c r="R502" s="2">
        <v>35</v>
      </c>
      <c r="S502" s="2">
        <v>44</v>
      </c>
      <c r="T502" s="2">
        <v>0.79500000000000004</v>
      </c>
      <c r="U502" s="2">
        <v>22</v>
      </c>
      <c r="V502" s="2">
        <v>70</v>
      </c>
      <c r="W502" s="2">
        <v>92</v>
      </c>
      <c r="X502" s="2">
        <v>24</v>
      </c>
      <c r="Y502" s="2">
        <v>20</v>
      </c>
      <c r="Z502" s="2">
        <v>7</v>
      </c>
      <c r="AA502" s="2">
        <v>19</v>
      </c>
      <c r="AB502" s="2">
        <v>56</v>
      </c>
      <c r="AC502" s="2">
        <v>181</v>
      </c>
      <c r="AD502" s="2">
        <v>0</v>
      </c>
      <c r="AE502" s="18">
        <f t="shared" si="7"/>
        <v>1.263157894736842</v>
      </c>
    </row>
    <row r="503" spans="1:31" x14ac:dyDescent="0.2">
      <c r="A503" t="s">
        <v>300</v>
      </c>
      <c r="B503" s="2">
        <v>24</v>
      </c>
      <c r="C503" t="s">
        <v>117</v>
      </c>
      <c r="D503" s="2" t="s">
        <v>27</v>
      </c>
      <c r="E503" s="2">
        <v>6</v>
      </c>
      <c r="F503" s="2">
        <v>6</v>
      </c>
      <c r="G503" s="2">
        <v>186</v>
      </c>
      <c r="H503" s="2">
        <v>47</v>
      </c>
      <c r="I503" s="2">
        <v>104</v>
      </c>
      <c r="J503" s="2">
        <v>0.45200000000000001</v>
      </c>
      <c r="K503" s="2">
        <v>2</v>
      </c>
      <c r="L503" s="2">
        <v>6</v>
      </c>
      <c r="M503" s="2">
        <v>0.33300000000000002</v>
      </c>
      <c r="N503" s="2">
        <v>45</v>
      </c>
      <c r="O503" s="2">
        <v>98</v>
      </c>
      <c r="P503" s="2">
        <v>0.45900000000000002</v>
      </c>
      <c r="Q503" s="2">
        <v>0.46200000000000002</v>
      </c>
      <c r="R503" s="2">
        <v>40</v>
      </c>
      <c r="S503" s="2">
        <v>60</v>
      </c>
      <c r="T503" s="2">
        <v>0.66700000000000004</v>
      </c>
      <c r="U503" s="2">
        <v>16</v>
      </c>
      <c r="V503" s="2">
        <v>32</v>
      </c>
      <c r="W503" s="2">
        <v>48</v>
      </c>
      <c r="X503" s="2">
        <v>32</v>
      </c>
      <c r="Y503" s="2">
        <v>4</v>
      </c>
      <c r="Z503" s="2">
        <v>7</v>
      </c>
      <c r="AA503" s="2">
        <v>22</v>
      </c>
      <c r="AB503" s="2">
        <v>18</v>
      </c>
      <c r="AC503" s="2">
        <v>136</v>
      </c>
      <c r="AD503" s="2">
        <v>0</v>
      </c>
      <c r="AE503" s="18">
        <f t="shared" si="7"/>
        <v>1.4545454545454546</v>
      </c>
    </row>
  </sheetData>
  <sortState xmlns:xlrd2="http://schemas.microsoft.com/office/spreadsheetml/2017/richdata2" ref="A2:AD503">
    <sortCondition ref="A1:A503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84E08-608C-9F47-8899-1AFD570224B7}">
  <dimension ref="A1:AD503"/>
  <sheetViews>
    <sheetView topLeftCell="W1" workbookViewId="0">
      <selection activeCell="A479" sqref="A1:A1048576"/>
    </sheetView>
  </sheetViews>
  <sheetFormatPr baseColWidth="10" defaultRowHeight="16" x14ac:dyDescent="0.2"/>
  <sheetData>
    <row r="1" spans="1:30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/>
    </row>
    <row r="2" spans="1:30" x14ac:dyDescent="0.2">
      <c r="A2" t="s">
        <v>244</v>
      </c>
      <c r="B2" s="2">
        <v>25</v>
      </c>
      <c r="C2" t="s">
        <v>35</v>
      </c>
      <c r="D2" s="2" t="s">
        <v>52</v>
      </c>
      <c r="E2" s="2">
        <v>23</v>
      </c>
      <c r="F2" s="2">
        <v>3</v>
      </c>
      <c r="G2" s="2">
        <v>21.2</v>
      </c>
      <c r="H2" s="2">
        <v>2.7</v>
      </c>
      <c r="I2" s="2">
        <v>5.7</v>
      </c>
      <c r="J2" s="2">
        <v>0.47699999999999998</v>
      </c>
      <c r="K2" s="2">
        <v>2.4</v>
      </c>
      <c r="L2" s="2">
        <v>5.0999999999999996</v>
      </c>
      <c r="M2" s="2">
        <v>0.47499999999999998</v>
      </c>
      <c r="N2" s="2">
        <v>0.3</v>
      </c>
      <c r="O2" s="2">
        <v>0.5</v>
      </c>
      <c r="P2" s="2">
        <v>0.5</v>
      </c>
      <c r="Q2" s="2">
        <v>0.69199999999999995</v>
      </c>
      <c r="R2" s="2">
        <v>0.2</v>
      </c>
      <c r="S2" s="2">
        <v>0.3</v>
      </c>
      <c r="T2" s="2">
        <v>0.83299999999999996</v>
      </c>
      <c r="U2" s="2">
        <v>0.2</v>
      </c>
      <c r="V2" s="2">
        <v>2</v>
      </c>
      <c r="W2" s="2">
        <v>2.2000000000000002</v>
      </c>
      <c r="X2" s="2">
        <v>1</v>
      </c>
      <c r="Y2" s="2">
        <v>0.5</v>
      </c>
      <c r="Z2" s="2">
        <v>0.1</v>
      </c>
      <c r="AA2" s="2">
        <v>0.7</v>
      </c>
      <c r="AB2" s="2">
        <v>2</v>
      </c>
      <c r="AC2" s="2">
        <v>8</v>
      </c>
      <c r="AD2" s="2"/>
    </row>
    <row r="3" spans="1:30" x14ac:dyDescent="0.2">
      <c r="A3" t="s">
        <v>273</v>
      </c>
      <c r="B3" s="2">
        <v>29</v>
      </c>
      <c r="C3" t="s">
        <v>46</v>
      </c>
      <c r="D3" s="2" t="s">
        <v>27</v>
      </c>
      <c r="E3" s="2">
        <v>11</v>
      </c>
      <c r="F3" s="2">
        <v>10</v>
      </c>
      <c r="G3" s="2">
        <v>29.6</v>
      </c>
      <c r="H3" s="2">
        <v>4.9000000000000004</v>
      </c>
      <c r="I3" s="2">
        <v>9.3000000000000007</v>
      </c>
      <c r="J3" s="2">
        <v>0.52900000000000003</v>
      </c>
      <c r="K3" s="2">
        <v>1.5</v>
      </c>
      <c r="L3" s="2">
        <v>3.1</v>
      </c>
      <c r="M3" s="2">
        <v>0.47099999999999997</v>
      </c>
      <c r="N3" s="2">
        <v>3.5</v>
      </c>
      <c r="O3" s="2">
        <v>6.2</v>
      </c>
      <c r="P3" s="2">
        <v>0.55900000000000005</v>
      </c>
      <c r="Q3" s="2">
        <v>0.60799999999999998</v>
      </c>
      <c r="R3" s="2">
        <v>3</v>
      </c>
      <c r="S3" s="2">
        <v>3.8</v>
      </c>
      <c r="T3" s="2">
        <v>0.78600000000000003</v>
      </c>
      <c r="U3" s="2">
        <v>1.9</v>
      </c>
      <c r="V3" s="2">
        <v>4.0999999999999996</v>
      </c>
      <c r="W3" s="2">
        <v>6</v>
      </c>
      <c r="X3" s="2">
        <v>3.5</v>
      </c>
      <c r="Y3" s="2">
        <v>0.5</v>
      </c>
      <c r="Z3" s="2">
        <v>0.3</v>
      </c>
      <c r="AA3" s="2">
        <v>1.5</v>
      </c>
      <c r="AB3" s="2">
        <v>1.5</v>
      </c>
      <c r="AC3" s="2">
        <v>14.3</v>
      </c>
      <c r="AD3" s="2"/>
    </row>
    <row r="4" spans="1:30" x14ac:dyDescent="0.2">
      <c r="A4" t="s">
        <v>384</v>
      </c>
      <c r="B4" s="2">
        <v>28</v>
      </c>
      <c r="C4" t="s">
        <v>87</v>
      </c>
      <c r="D4" s="2" t="s">
        <v>33</v>
      </c>
      <c r="E4" s="2">
        <v>15</v>
      </c>
      <c r="F4" s="2">
        <v>0</v>
      </c>
      <c r="G4" s="2">
        <v>9.6999999999999993</v>
      </c>
      <c r="H4" s="2">
        <v>1.4</v>
      </c>
      <c r="I4" s="2">
        <v>3</v>
      </c>
      <c r="J4" s="2">
        <v>0.46700000000000003</v>
      </c>
      <c r="K4" s="2">
        <v>1</v>
      </c>
      <c r="L4" s="2">
        <v>2.2999999999999998</v>
      </c>
      <c r="M4" s="2">
        <v>0.441</v>
      </c>
      <c r="N4" s="2">
        <v>0.4</v>
      </c>
      <c r="O4" s="2">
        <v>0.7</v>
      </c>
      <c r="P4" s="2">
        <v>0.54500000000000004</v>
      </c>
      <c r="Q4" s="2">
        <v>0.63300000000000001</v>
      </c>
      <c r="R4" s="2">
        <v>0.5</v>
      </c>
      <c r="S4" s="2">
        <v>0.6</v>
      </c>
      <c r="T4" s="2">
        <v>0.77800000000000002</v>
      </c>
      <c r="U4" s="2">
        <v>0</v>
      </c>
      <c r="V4" s="2">
        <v>1</v>
      </c>
      <c r="W4" s="2">
        <v>1</v>
      </c>
      <c r="X4" s="2">
        <v>1.3</v>
      </c>
      <c r="Y4" s="2">
        <v>0.1</v>
      </c>
      <c r="Z4" s="2">
        <v>0.1</v>
      </c>
      <c r="AA4" s="2">
        <v>0.3</v>
      </c>
      <c r="AB4" s="2">
        <v>0.5</v>
      </c>
      <c r="AC4" s="2">
        <v>4.3</v>
      </c>
      <c r="AD4" s="2"/>
    </row>
    <row r="5" spans="1:30" x14ac:dyDescent="0.2">
      <c r="A5" t="s">
        <v>398</v>
      </c>
      <c r="B5" s="2">
        <v>25</v>
      </c>
      <c r="C5" t="s">
        <v>82</v>
      </c>
      <c r="D5" s="2" t="s">
        <v>49</v>
      </c>
      <c r="E5" s="2">
        <v>6</v>
      </c>
      <c r="F5" s="2">
        <v>6</v>
      </c>
      <c r="G5" s="2">
        <v>22.7</v>
      </c>
      <c r="H5" s="2">
        <v>3.2</v>
      </c>
      <c r="I5" s="2">
        <v>6</v>
      </c>
      <c r="J5" s="2">
        <v>0.52800000000000002</v>
      </c>
      <c r="K5" s="2">
        <v>1</v>
      </c>
      <c r="L5" s="2">
        <v>1.8</v>
      </c>
      <c r="M5" s="2">
        <v>0.54500000000000004</v>
      </c>
      <c r="N5" s="2">
        <v>2.2000000000000002</v>
      </c>
      <c r="O5" s="2">
        <v>4.2</v>
      </c>
      <c r="P5" s="2">
        <v>0.52</v>
      </c>
      <c r="Q5" s="2">
        <v>0.61099999999999999</v>
      </c>
      <c r="R5" s="2">
        <v>1.8</v>
      </c>
      <c r="S5" s="2">
        <v>2.2000000000000002</v>
      </c>
      <c r="T5" s="2">
        <v>0.84599999999999997</v>
      </c>
      <c r="U5" s="2">
        <v>0.7</v>
      </c>
      <c r="V5" s="2">
        <v>3.3</v>
      </c>
      <c r="W5" s="2">
        <v>4</v>
      </c>
      <c r="X5" s="2">
        <v>1</v>
      </c>
      <c r="Y5" s="2">
        <v>0.7</v>
      </c>
      <c r="Z5" s="2">
        <v>0.3</v>
      </c>
      <c r="AA5" s="2">
        <v>0.8</v>
      </c>
      <c r="AB5" s="2">
        <v>4</v>
      </c>
      <c r="AC5" s="2">
        <v>9.1999999999999993</v>
      </c>
      <c r="AD5" s="2"/>
    </row>
    <row r="6" spans="1:30" x14ac:dyDescent="0.2">
      <c r="A6" t="s">
        <v>215</v>
      </c>
      <c r="B6" s="2">
        <v>26</v>
      </c>
      <c r="C6" t="s">
        <v>32</v>
      </c>
      <c r="D6" s="2" t="s">
        <v>52</v>
      </c>
      <c r="E6" s="2">
        <v>24</v>
      </c>
      <c r="F6" s="2">
        <v>8</v>
      </c>
      <c r="G6" s="2">
        <v>20.399999999999999</v>
      </c>
      <c r="H6" s="2">
        <v>3.6</v>
      </c>
      <c r="I6" s="2">
        <v>8</v>
      </c>
      <c r="J6" s="2">
        <v>0.45100000000000001</v>
      </c>
      <c r="K6" s="2">
        <v>1.5</v>
      </c>
      <c r="L6" s="2">
        <v>3.7</v>
      </c>
      <c r="M6" s="2">
        <v>0.39300000000000002</v>
      </c>
      <c r="N6" s="2">
        <v>2.2000000000000002</v>
      </c>
      <c r="O6" s="2">
        <v>4.3</v>
      </c>
      <c r="P6" s="2">
        <v>0.5</v>
      </c>
      <c r="Q6" s="2">
        <v>0.54100000000000004</v>
      </c>
      <c r="R6" s="2">
        <v>0.5</v>
      </c>
      <c r="S6" s="2">
        <v>0.6</v>
      </c>
      <c r="T6" s="2">
        <v>0.8</v>
      </c>
      <c r="U6" s="2">
        <v>1</v>
      </c>
      <c r="V6" s="2">
        <v>2.5</v>
      </c>
      <c r="W6" s="2">
        <v>3.5</v>
      </c>
      <c r="X6" s="2">
        <v>1.5</v>
      </c>
      <c r="Y6" s="2">
        <v>0.9</v>
      </c>
      <c r="Z6" s="2">
        <v>0.3</v>
      </c>
      <c r="AA6" s="2">
        <v>0.9</v>
      </c>
      <c r="AB6" s="2">
        <v>1.3</v>
      </c>
      <c r="AC6" s="2">
        <v>9.1999999999999993</v>
      </c>
      <c r="AD6" s="2"/>
    </row>
    <row r="7" spans="1:30" x14ac:dyDescent="0.2">
      <c r="A7" t="s">
        <v>484</v>
      </c>
      <c r="B7" s="2">
        <v>25</v>
      </c>
      <c r="C7" t="s">
        <v>32</v>
      </c>
      <c r="D7" s="2" t="s">
        <v>52</v>
      </c>
      <c r="E7" s="2">
        <v>11</v>
      </c>
      <c r="F7" s="2">
        <v>0</v>
      </c>
      <c r="G7" s="2">
        <v>3.6</v>
      </c>
      <c r="H7" s="2">
        <v>0.5</v>
      </c>
      <c r="I7" s="2">
        <v>1.8</v>
      </c>
      <c r="J7" s="2">
        <v>0.25</v>
      </c>
      <c r="K7" s="2">
        <v>0.5</v>
      </c>
      <c r="L7" s="2">
        <v>1.7</v>
      </c>
      <c r="M7" s="2">
        <v>0.26300000000000001</v>
      </c>
      <c r="N7" s="2">
        <v>0</v>
      </c>
      <c r="O7" s="2">
        <v>0.1</v>
      </c>
      <c r="P7" s="2">
        <v>0</v>
      </c>
      <c r="Q7" s="2">
        <v>0.375</v>
      </c>
      <c r="R7" s="2">
        <v>0</v>
      </c>
      <c r="S7" s="2">
        <v>0</v>
      </c>
      <c r="T7" s="2"/>
      <c r="U7" s="2">
        <v>0.2</v>
      </c>
      <c r="V7" s="2">
        <v>0.4</v>
      </c>
      <c r="W7" s="2">
        <v>0.5</v>
      </c>
      <c r="X7" s="2">
        <v>0</v>
      </c>
      <c r="Y7" s="2">
        <v>0.2</v>
      </c>
      <c r="Z7" s="2">
        <v>0</v>
      </c>
      <c r="AA7" s="2">
        <v>0</v>
      </c>
      <c r="AB7" s="2">
        <v>0.4</v>
      </c>
      <c r="AC7" s="2">
        <v>1.4</v>
      </c>
      <c r="AD7" s="2"/>
    </row>
    <row r="8" spans="1:30" x14ac:dyDescent="0.2">
      <c r="A8" t="s">
        <v>511</v>
      </c>
      <c r="B8" s="2">
        <v>22</v>
      </c>
      <c r="C8" t="s">
        <v>70</v>
      </c>
      <c r="D8" s="2" t="s">
        <v>42</v>
      </c>
      <c r="E8" s="2">
        <v>3</v>
      </c>
      <c r="F8" s="2">
        <v>0</v>
      </c>
      <c r="G8" s="2">
        <v>4.7</v>
      </c>
      <c r="H8" s="2">
        <v>1</v>
      </c>
      <c r="I8" s="2">
        <v>1.7</v>
      </c>
      <c r="J8" s="2">
        <v>0.6</v>
      </c>
      <c r="K8" s="2">
        <v>0</v>
      </c>
      <c r="L8" s="2">
        <v>0</v>
      </c>
      <c r="M8" s="2"/>
      <c r="N8" s="2">
        <v>1</v>
      </c>
      <c r="O8" s="2">
        <v>1.7</v>
      </c>
      <c r="P8" s="2">
        <v>0.6</v>
      </c>
      <c r="Q8" s="2">
        <v>0.6</v>
      </c>
      <c r="R8" s="2">
        <v>0</v>
      </c>
      <c r="S8" s="2">
        <v>0</v>
      </c>
      <c r="T8" s="2"/>
      <c r="U8" s="2">
        <v>0.7</v>
      </c>
      <c r="V8" s="2">
        <v>0</v>
      </c>
      <c r="W8" s="2">
        <v>0.7</v>
      </c>
      <c r="X8" s="2">
        <v>0.3</v>
      </c>
      <c r="Y8" s="2">
        <v>0</v>
      </c>
      <c r="Z8" s="2">
        <v>0</v>
      </c>
      <c r="AA8" s="2">
        <v>0.3</v>
      </c>
      <c r="AB8" s="2">
        <v>0.3</v>
      </c>
      <c r="AC8" s="2">
        <v>2</v>
      </c>
      <c r="AD8" s="2"/>
    </row>
    <row r="9" spans="1:30" x14ac:dyDescent="0.2">
      <c r="A9" t="s">
        <v>461</v>
      </c>
      <c r="B9" s="2">
        <v>21</v>
      </c>
      <c r="C9" t="s">
        <v>122</v>
      </c>
      <c r="D9" s="2" t="s">
        <v>42</v>
      </c>
      <c r="E9" s="2">
        <v>14</v>
      </c>
      <c r="F9" s="2">
        <v>0</v>
      </c>
      <c r="G9" s="2">
        <v>6.4</v>
      </c>
      <c r="H9" s="2">
        <v>0.6</v>
      </c>
      <c r="I9" s="2">
        <v>0.9</v>
      </c>
      <c r="J9" s="2">
        <v>0.61499999999999999</v>
      </c>
      <c r="K9" s="2">
        <v>0</v>
      </c>
      <c r="L9" s="2">
        <v>0</v>
      </c>
      <c r="M9" s="2"/>
      <c r="N9" s="2">
        <v>0.6</v>
      </c>
      <c r="O9" s="2">
        <v>0.9</v>
      </c>
      <c r="P9" s="2">
        <v>0.61499999999999999</v>
      </c>
      <c r="Q9" s="2">
        <v>0.61499999999999999</v>
      </c>
      <c r="R9" s="2">
        <v>0.4</v>
      </c>
      <c r="S9" s="2">
        <v>0.4</v>
      </c>
      <c r="T9" s="2">
        <v>0.83299999999999996</v>
      </c>
      <c r="U9" s="2">
        <v>0.6</v>
      </c>
      <c r="V9" s="2">
        <v>1.1000000000000001</v>
      </c>
      <c r="W9" s="2">
        <v>1.7</v>
      </c>
      <c r="X9" s="2">
        <v>0</v>
      </c>
      <c r="Y9" s="2">
        <v>0</v>
      </c>
      <c r="Z9" s="2">
        <v>0.4</v>
      </c>
      <c r="AA9" s="2">
        <v>0.4</v>
      </c>
      <c r="AB9" s="2">
        <v>1.1000000000000001</v>
      </c>
      <c r="AC9" s="2">
        <v>1.5</v>
      </c>
      <c r="AD9" s="2"/>
    </row>
    <row r="10" spans="1:30" x14ac:dyDescent="0.2">
      <c r="A10" t="s">
        <v>507</v>
      </c>
      <c r="B10" s="2">
        <v>20</v>
      </c>
      <c r="C10" t="s">
        <v>35</v>
      </c>
      <c r="D10" s="2" t="s">
        <v>52</v>
      </c>
      <c r="E10" s="2">
        <v>5</v>
      </c>
      <c r="F10" s="2">
        <v>0</v>
      </c>
      <c r="G10" s="2">
        <v>2.2000000000000002</v>
      </c>
      <c r="H10" s="2">
        <v>0.6</v>
      </c>
      <c r="I10" s="2">
        <v>1.2</v>
      </c>
      <c r="J10" s="2">
        <v>0.5</v>
      </c>
      <c r="K10" s="2">
        <v>0.2</v>
      </c>
      <c r="L10" s="2">
        <v>0.2</v>
      </c>
      <c r="M10" s="2">
        <v>1</v>
      </c>
      <c r="N10" s="2">
        <v>0.4</v>
      </c>
      <c r="O10" s="2">
        <v>1</v>
      </c>
      <c r="P10" s="2">
        <v>0.4</v>
      </c>
      <c r="Q10" s="2">
        <v>0.58299999999999996</v>
      </c>
      <c r="R10" s="2">
        <v>0</v>
      </c>
      <c r="S10" s="2">
        <v>0</v>
      </c>
      <c r="T10" s="2"/>
      <c r="U10" s="2">
        <v>0</v>
      </c>
      <c r="V10" s="2">
        <v>0.4</v>
      </c>
      <c r="W10" s="2">
        <v>0.4</v>
      </c>
      <c r="X10" s="2">
        <v>0.2</v>
      </c>
      <c r="Y10" s="2">
        <v>0</v>
      </c>
      <c r="Z10" s="2">
        <v>0</v>
      </c>
      <c r="AA10" s="2">
        <v>0.4</v>
      </c>
      <c r="AB10" s="2">
        <v>0</v>
      </c>
      <c r="AC10" s="2">
        <v>1.4</v>
      </c>
      <c r="AD10" s="2"/>
    </row>
    <row r="11" spans="1:30" x14ac:dyDescent="0.2">
      <c r="A11" t="s">
        <v>301</v>
      </c>
      <c r="B11" s="2">
        <v>22</v>
      </c>
      <c r="C11" t="s">
        <v>32</v>
      </c>
      <c r="D11" s="2" t="s">
        <v>52</v>
      </c>
      <c r="E11" s="2">
        <v>24</v>
      </c>
      <c r="F11" s="2">
        <v>0</v>
      </c>
      <c r="G11" s="2">
        <v>16</v>
      </c>
      <c r="H11" s="2">
        <v>2.2999999999999998</v>
      </c>
      <c r="I11" s="2">
        <v>4.8</v>
      </c>
      <c r="J11" s="2">
        <v>0.47799999999999998</v>
      </c>
      <c r="K11" s="2">
        <v>0.5</v>
      </c>
      <c r="L11" s="2">
        <v>1.3</v>
      </c>
      <c r="M11" s="2">
        <v>0.41899999999999998</v>
      </c>
      <c r="N11" s="2">
        <v>1.8</v>
      </c>
      <c r="O11" s="2">
        <v>3.5</v>
      </c>
      <c r="P11" s="2">
        <v>0.5</v>
      </c>
      <c r="Q11" s="2">
        <v>0.53500000000000003</v>
      </c>
      <c r="R11" s="2">
        <v>0.5</v>
      </c>
      <c r="S11" s="2">
        <v>0.6</v>
      </c>
      <c r="T11" s="2">
        <v>0.8</v>
      </c>
      <c r="U11" s="2">
        <v>0.4</v>
      </c>
      <c r="V11" s="2">
        <v>1.1000000000000001</v>
      </c>
      <c r="W11" s="2">
        <v>1.5</v>
      </c>
      <c r="X11" s="2">
        <v>1.7</v>
      </c>
      <c r="Y11" s="2">
        <v>0.9</v>
      </c>
      <c r="Z11" s="2">
        <v>0.1</v>
      </c>
      <c r="AA11" s="2">
        <v>0.8</v>
      </c>
      <c r="AB11" s="2">
        <v>1.8</v>
      </c>
      <c r="AC11" s="2">
        <v>5.6</v>
      </c>
      <c r="AD11" s="2"/>
    </row>
    <row r="12" spans="1:30" x14ac:dyDescent="0.2">
      <c r="A12" t="s">
        <v>255</v>
      </c>
      <c r="B12" s="2">
        <v>38</v>
      </c>
      <c r="C12" t="s">
        <v>39</v>
      </c>
      <c r="D12" s="2" t="s">
        <v>42</v>
      </c>
      <c r="E12" s="2">
        <v>19</v>
      </c>
      <c r="F12" s="2">
        <v>18</v>
      </c>
      <c r="G12" s="2">
        <v>28</v>
      </c>
      <c r="H12" s="2">
        <v>3.4</v>
      </c>
      <c r="I12" s="2">
        <v>7.2</v>
      </c>
      <c r="J12" s="2">
        <v>0.46700000000000003</v>
      </c>
      <c r="K12" s="2">
        <v>2.2000000000000002</v>
      </c>
      <c r="L12" s="2">
        <v>5.3</v>
      </c>
      <c r="M12" s="2">
        <v>0.40600000000000003</v>
      </c>
      <c r="N12" s="2">
        <v>1.2</v>
      </c>
      <c r="O12" s="2">
        <v>1.9</v>
      </c>
      <c r="P12" s="2">
        <v>0.63900000000000001</v>
      </c>
      <c r="Q12" s="2">
        <v>0.61699999999999999</v>
      </c>
      <c r="R12" s="2">
        <v>0.3</v>
      </c>
      <c r="S12" s="2">
        <v>0.3</v>
      </c>
      <c r="T12" s="2">
        <v>1</v>
      </c>
      <c r="U12" s="2">
        <v>0.8</v>
      </c>
      <c r="V12" s="2">
        <v>4.5</v>
      </c>
      <c r="W12" s="2">
        <v>5.3</v>
      </c>
      <c r="X12" s="2">
        <v>2.2999999999999998</v>
      </c>
      <c r="Y12" s="2">
        <v>0.7</v>
      </c>
      <c r="Z12" s="2">
        <v>0.9</v>
      </c>
      <c r="AA12" s="2">
        <v>1</v>
      </c>
      <c r="AB12" s="2">
        <v>1.6</v>
      </c>
      <c r="AC12" s="2">
        <v>9.1999999999999993</v>
      </c>
      <c r="AD12" s="2"/>
    </row>
    <row r="13" spans="1:30" x14ac:dyDescent="0.2">
      <c r="A13" t="s">
        <v>388</v>
      </c>
      <c r="B13" s="2">
        <v>33</v>
      </c>
      <c r="C13" t="s">
        <v>61</v>
      </c>
      <c r="D13" s="2" t="s">
        <v>52</v>
      </c>
      <c r="E13" s="2">
        <v>12</v>
      </c>
      <c r="F13" s="2">
        <v>0</v>
      </c>
      <c r="G13" s="2">
        <v>15.1</v>
      </c>
      <c r="H13" s="2">
        <v>1.8</v>
      </c>
      <c r="I13" s="2">
        <v>3.8</v>
      </c>
      <c r="J13" s="2">
        <v>0.45700000000000002</v>
      </c>
      <c r="K13" s="2">
        <v>1.3</v>
      </c>
      <c r="L13" s="2">
        <v>2.7</v>
      </c>
      <c r="M13" s="2">
        <v>0.46899999999999997</v>
      </c>
      <c r="N13" s="2">
        <v>0.5</v>
      </c>
      <c r="O13" s="2">
        <v>1.2</v>
      </c>
      <c r="P13" s="2">
        <v>0.42899999999999999</v>
      </c>
      <c r="Q13" s="2">
        <v>0.62</v>
      </c>
      <c r="R13" s="2">
        <v>0.5</v>
      </c>
      <c r="S13" s="2">
        <v>0.7</v>
      </c>
      <c r="T13" s="2">
        <v>0.75</v>
      </c>
      <c r="U13" s="2">
        <v>0.3</v>
      </c>
      <c r="V13" s="2">
        <v>1.6</v>
      </c>
      <c r="W13" s="2">
        <v>1.9</v>
      </c>
      <c r="X13" s="2">
        <v>1.3</v>
      </c>
      <c r="Y13" s="2">
        <v>0.5</v>
      </c>
      <c r="Z13" s="2">
        <v>0.3</v>
      </c>
      <c r="AA13" s="2">
        <v>0.2</v>
      </c>
      <c r="AB13" s="2">
        <v>0.4</v>
      </c>
      <c r="AC13" s="2">
        <v>5.3</v>
      </c>
      <c r="AD13" s="2"/>
    </row>
    <row r="14" spans="1:30" x14ac:dyDescent="0.2">
      <c r="A14" t="s">
        <v>349</v>
      </c>
      <c r="B14" s="2">
        <v>30</v>
      </c>
      <c r="C14" t="s">
        <v>32</v>
      </c>
      <c r="D14" s="2" t="s">
        <v>52</v>
      </c>
      <c r="E14" s="2">
        <v>16</v>
      </c>
      <c r="F14" s="2">
        <v>0</v>
      </c>
      <c r="G14" s="2">
        <v>20</v>
      </c>
      <c r="H14" s="2">
        <v>2.2999999999999998</v>
      </c>
      <c r="I14" s="2">
        <v>5.9</v>
      </c>
      <c r="J14" s="2">
        <v>0.39400000000000002</v>
      </c>
      <c r="K14" s="2">
        <v>0.9</v>
      </c>
      <c r="L14" s="2">
        <v>3.2</v>
      </c>
      <c r="M14" s="2">
        <v>0.27500000000000002</v>
      </c>
      <c r="N14" s="2">
        <v>1.4</v>
      </c>
      <c r="O14" s="2">
        <v>2.7</v>
      </c>
      <c r="P14" s="2">
        <v>0.53500000000000003</v>
      </c>
      <c r="Q14" s="2">
        <v>0.46800000000000003</v>
      </c>
      <c r="R14" s="2">
        <v>0.3</v>
      </c>
      <c r="S14" s="2">
        <v>0.4</v>
      </c>
      <c r="T14" s="2">
        <v>0.71399999999999997</v>
      </c>
      <c r="U14" s="2">
        <v>0.6</v>
      </c>
      <c r="V14" s="2">
        <v>2.4</v>
      </c>
      <c r="W14" s="2">
        <v>3</v>
      </c>
      <c r="X14" s="2">
        <v>2.2999999999999998</v>
      </c>
      <c r="Y14" s="2">
        <v>1.9</v>
      </c>
      <c r="Z14" s="2">
        <v>0.6</v>
      </c>
      <c r="AA14" s="2">
        <v>0.8</v>
      </c>
      <c r="AB14" s="2">
        <v>2.2999999999999998</v>
      </c>
      <c r="AC14" s="2">
        <v>5.8</v>
      </c>
      <c r="AD14" s="2"/>
    </row>
    <row r="15" spans="1:30" x14ac:dyDescent="0.2">
      <c r="A15" t="s">
        <v>556</v>
      </c>
      <c r="B15" s="2">
        <v>24</v>
      </c>
      <c r="C15" t="s">
        <v>32</v>
      </c>
      <c r="D15" s="2" t="s">
        <v>52</v>
      </c>
      <c r="E15" s="2">
        <v>4</v>
      </c>
      <c r="F15" s="2">
        <v>0</v>
      </c>
      <c r="G15" s="2">
        <v>1.8</v>
      </c>
      <c r="H15" s="2">
        <v>0</v>
      </c>
      <c r="I15" s="2">
        <v>0.8</v>
      </c>
      <c r="J15" s="2">
        <v>0</v>
      </c>
      <c r="K15" s="2">
        <v>0</v>
      </c>
      <c r="L15" s="2">
        <v>0.5</v>
      </c>
      <c r="M15" s="2">
        <v>0</v>
      </c>
      <c r="N15" s="2">
        <v>0</v>
      </c>
      <c r="O15" s="2">
        <v>0.3</v>
      </c>
      <c r="P15" s="2">
        <v>0</v>
      </c>
      <c r="Q15" s="2">
        <v>0</v>
      </c>
      <c r="R15" s="2">
        <v>0</v>
      </c>
      <c r="S15" s="2">
        <v>0</v>
      </c>
      <c r="T15" s="2"/>
      <c r="U15" s="2">
        <v>0</v>
      </c>
      <c r="V15" s="2">
        <v>0</v>
      </c>
      <c r="W15" s="2">
        <v>0</v>
      </c>
      <c r="X15" s="2">
        <v>0</v>
      </c>
      <c r="Y15" s="2">
        <v>0</v>
      </c>
      <c r="Z15" s="2">
        <v>0</v>
      </c>
      <c r="AA15" s="2">
        <v>0</v>
      </c>
      <c r="AB15" s="2">
        <v>0</v>
      </c>
      <c r="AC15" s="2">
        <v>0</v>
      </c>
      <c r="AD15" s="2"/>
    </row>
    <row r="16" spans="1:30" x14ac:dyDescent="0.2">
      <c r="A16" t="s">
        <v>450</v>
      </c>
      <c r="B16" s="2">
        <v>31</v>
      </c>
      <c r="C16" t="s">
        <v>37</v>
      </c>
      <c r="D16" s="2" t="s">
        <v>42</v>
      </c>
      <c r="E16" s="2">
        <v>19</v>
      </c>
      <c r="F16" s="2">
        <v>2</v>
      </c>
      <c r="G16" s="2">
        <v>7.1</v>
      </c>
      <c r="H16" s="2">
        <v>0.6</v>
      </c>
      <c r="I16" s="2">
        <v>1.2</v>
      </c>
      <c r="J16" s="2">
        <v>0.54500000000000004</v>
      </c>
      <c r="K16" s="2">
        <v>0</v>
      </c>
      <c r="L16" s="2">
        <v>0.2</v>
      </c>
      <c r="M16" s="2">
        <v>0</v>
      </c>
      <c r="N16" s="2">
        <v>0.6</v>
      </c>
      <c r="O16" s="2">
        <v>0.9</v>
      </c>
      <c r="P16" s="2">
        <v>0.66700000000000004</v>
      </c>
      <c r="Q16" s="2">
        <v>0.54500000000000004</v>
      </c>
      <c r="R16" s="2">
        <v>0.1</v>
      </c>
      <c r="S16" s="2">
        <v>0.2</v>
      </c>
      <c r="T16" s="2">
        <v>0.5</v>
      </c>
      <c r="U16" s="2">
        <v>0.5</v>
      </c>
      <c r="V16" s="2">
        <v>1.3</v>
      </c>
      <c r="W16" s="2">
        <v>1.8</v>
      </c>
      <c r="X16" s="2">
        <v>0.8</v>
      </c>
      <c r="Y16" s="2">
        <v>0.2</v>
      </c>
      <c r="Z16" s="2">
        <v>0.6</v>
      </c>
      <c r="AA16" s="2">
        <v>0.3</v>
      </c>
      <c r="AB16" s="2">
        <v>0.8</v>
      </c>
      <c r="AC16" s="2">
        <v>1.4</v>
      </c>
      <c r="AD16" s="2"/>
    </row>
    <row r="17" spans="1:30" x14ac:dyDescent="0.2">
      <c r="A17" t="s">
        <v>550</v>
      </c>
      <c r="B17" s="2">
        <v>25</v>
      </c>
      <c r="C17" t="s">
        <v>32</v>
      </c>
      <c r="D17" s="2" t="s">
        <v>27</v>
      </c>
      <c r="E17" s="2">
        <v>1</v>
      </c>
      <c r="F17" s="2">
        <v>0</v>
      </c>
      <c r="G17" s="2">
        <v>2</v>
      </c>
      <c r="H17" s="2">
        <v>1</v>
      </c>
      <c r="I17" s="2">
        <v>1</v>
      </c>
      <c r="J17" s="2">
        <v>1</v>
      </c>
      <c r="K17" s="2">
        <v>0</v>
      </c>
      <c r="L17" s="2">
        <v>0</v>
      </c>
      <c r="M17" s="2"/>
      <c r="N17" s="2">
        <v>1</v>
      </c>
      <c r="O17" s="2">
        <v>1</v>
      </c>
      <c r="P17" s="2">
        <v>1</v>
      </c>
      <c r="Q17" s="2">
        <v>1</v>
      </c>
      <c r="R17" s="2">
        <v>0</v>
      </c>
      <c r="S17" s="2">
        <v>0</v>
      </c>
      <c r="T17" s="2"/>
      <c r="U17" s="2">
        <v>1</v>
      </c>
      <c r="V17" s="2">
        <v>0</v>
      </c>
      <c r="W17" s="2">
        <v>1</v>
      </c>
      <c r="X17" s="2">
        <v>0</v>
      </c>
      <c r="Y17" s="2">
        <v>0</v>
      </c>
      <c r="Z17" s="2">
        <v>0</v>
      </c>
      <c r="AA17" s="2">
        <v>0</v>
      </c>
      <c r="AB17" s="2">
        <v>0</v>
      </c>
      <c r="AC17" s="2">
        <v>2</v>
      </c>
      <c r="AD17" s="2"/>
    </row>
    <row r="18" spans="1:30" x14ac:dyDescent="0.2">
      <c r="A18" t="s">
        <v>222</v>
      </c>
      <c r="B18" s="2">
        <v>19</v>
      </c>
      <c r="C18" t="s">
        <v>114</v>
      </c>
      <c r="D18" s="2" t="s">
        <v>42</v>
      </c>
      <c r="E18" s="2">
        <v>20</v>
      </c>
      <c r="F18" s="2">
        <v>20</v>
      </c>
      <c r="G18" s="2">
        <v>26.8</v>
      </c>
      <c r="H18" s="2">
        <v>4</v>
      </c>
      <c r="I18" s="2">
        <v>10.5</v>
      </c>
      <c r="J18" s="2">
        <v>0.38300000000000001</v>
      </c>
      <c r="K18" s="2">
        <v>1.1000000000000001</v>
      </c>
      <c r="L18" s="2">
        <v>4.4000000000000004</v>
      </c>
      <c r="M18" s="2">
        <v>0.25</v>
      </c>
      <c r="N18" s="2">
        <v>2.9</v>
      </c>
      <c r="O18" s="2">
        <v>6.1</v>
      </c>
      <c r="P18" s="2">
        <v>0.47899999999999998</v>
      </c>
      <c r="Q18" s="2">
        <v>0.435</v>
      </c>
      <c r="R18" s="2">
        <v>1.5</v>
      </c>
      <c r="S18" s="2">
        <v>2.2000000000000002</v>
      </c>
      <c r="T18" s="2">
        <v>0.65900000000000003</v>
      </c>
      <c r="U18" s="2">
        <v>2.1</v>
      </c>
      <c r="V18" s="2">
        <v>4.2</v>
      </c>
      <c r="W18" s="2">
        <v>6.3</v>
      </c>
      <c r="X18" s="2">
        <v>2</v>
      </c>
      <c r="Y18" s="2">
        <v>0.8</v>
      </c>
      <c r="Z18" s="2">
        <v>1.9</v>
      </c>
      <c r="AA18" s="2">
        <v>1.4</v>
      </c>
      <c r="AB18" s="2">
        <v>2.7</v>
      </c>
      <c r="AC18" s="2">
        <v>10.6</v>
      </c>
      <c r="AD18" s="2"/>
    </row>
    <row r="19" spans="1:30" x14ac:dyDescent="0.2">
      <c r="A19" t="s">
        <v>522</v>
      </c>
      <c r="B19" s="2">
        <v>25</v>
      </c>
      <c r="C19" t="s">
        <v>75</v>
      </c>
      <c r="D19" s="2" t="s">
        <v>52</v>
      </c>
      <c r="E19" s="2">
        <v>1</v>
      </c>
      <c r="F19" s="2">
        <v>0</v>
      </c>
      <c r="G19" s="2">
        <v>4</v>
      </c>
      <c r="H19" s="2">
        <v>2</v>
      </c>
      <c r="I19" s="2">
        <v>2</v>
      </c>
      <c r="J19" s="2">
        <v>1</v>
      </c>
      <c r="K19" s="2">
        <v>1</v>
      </c>
      <c r="L19" s="2">
        <v>1</v>
      </c>
      <c r="M19" s="2">
        <v>1</v>
      </c>
      <c r="N19" s="2">
        <v>1</v>
      </c>
      <c r="O19" s="2">
        <v>1</v>
      </c>
      <c r="P19" s="2">
        <v>1</v>
      </c>
      <c r="Q19" s="2">
        <v>1.25</v>
      </c>
      <c r="R19" s="2">
        <v>0</v>
      </c>
      <c r="S19" s="2">
        <v>0</v>
      </c>
      <c r="T19" s="2"/>
      <c r="U19" s="2">
        <v>0</v>
      </c>
      <c r="V19" s="2">
        <v>0</v>
      </c>
      <c r="W19" s="2">
        <v>0</v>
      </c>
      <c r="X19" s="2">
        <v>1</v>
      </c>
      <c r="Y19" s="2">
        <v>0</v>
      </c>
      <c r="Z19" s="2">
        <v>0</v>
      </c>
      <c r="AA19" s="2">
        <v>0</v>
      </c>
      <c r="AB19" s="2">
        <v>0</v>
      </c>
      <c r="AC19" s="2">
        <v>5</v>
      </c>
      <c r="AD19" s="2"/>
    </row>
    <row r="20" spans="1:30" x14ac:dyDescent="0.2">
      <c r="A20" t="s">
        <v>90</v>
      </c>
      <c r="B20" s="2">
        <v>22</v>
      </c>
      <c r="C20" t="s">
        <v>87</v>
      </c>
      <c r="D20" s="2" t="s">
        <v>42</v>
      </c>
      <c r="E20" s="2">
        <v>25</v>
      </c>
      <c r="F20" s="2">
        <v>25</v>
      </c>
      <c r="G20" s="2">
        <v>31</v>
      </c>
      <c r="H20" s="2">
        <v>7.3</v>
      </c>
      <c r="I20" s="2">
        <v>15.3</v>
      </c>
      <c r="J20" s="2">
        <v>0.47599999999999998</v>
      </c>
      <c r="K20" s="2">
        <v>0.4</v>
      </c>
      <c r="L20" s="2">
        <v>1.5</v>
      </c>
      <c r="M20" s="2">
        <v>0.24299999999999999</v>
      </c>
      <c r="N20" s="2">
        <v>6.9</v>
      </c>
      <c r="O20" s="2">
        <v>13.8</v>
      </c>
      <c r="P20" s="2">
        <v>0.501</v>
      </c>
      <c r="Q20" s="2">
        <v>0.48799999999999999</v>
      </c>
      <c r="R20" s="2">
        <v>3.9</v>
      </c>
      <c r="S20" s="2">
        <v>5.0999999999999996</v>
      </c>
      <c r="T20" s="2">
        <v>0.77200000000000002</v>
      </c>
      <c r="U20" s="2">
        <v>3.4</v>
      </c>
      <c r="V20" s="2">
        <v>7.2</v>
      </c>
      <c r="W20" s="2">
        <v>10.6</v>
      </c>
      <c r="X20" s="2">
        <v>5.3</v>
      </c>
      <c r="Y20" s="2">
        <v>1.2</v>
      </c>
      <c r="Z20" s="2">
        <v>1</v>
      </c>
      <c r="AA20" s="2">
        <v>2.2000000000000002</v>
      </c>
      <c r="AB20" s="2">
        <v>2.6</v>
      </c>
      <c r="AC20" s="2">
        <v>18.8</v>
      </c>
      <c r="AD20" s="2"/>
    </row>
    <row r="21" spans="1:30" x14ac:dyDescent="0.2">
      <c r="A21" t="s">
        <v>158</v>
      </c>
      <c r="B21" s="2">
        <v>22</v>
      </c>
      <c r="C21" t="s">
        <v>87</v>
      </c>
      <c r="D21" s="2" t="s">
        <v>49</v>
      </c>
      <c r="E21" s="2">
        <v>25</v>
      </c>
      <c r="F21" s="2">
        <v>2</v>
      </c>
      <c r="G21" s="2">
        <v>27</v>
      </c>
      <c r="H21" s="2">
        <v>4.4000000000000004</v>
      </c>
      <c r="I21" s="2">
        <v>8</v>
      </c>
      <c r="J21" s="2">
        <v>0.55200000000000005</v>
      </c>
      <c r="K21" s="2">
        <v>0.4</v>
      </c>
      <c r="L21" s="2">
        <v>1.2</v>
      </c>
      <c r="M21" s="2">
        <v>0.3</v>
      </c>
      <c r="N21" s="2">
        <v>4.0999999999999996</v>
      </c>
      <c r="O21" s="2">
        <v>6.8</v>
      </c>
      <c r="P21" s="2">
        <v>0.59599999999999997</v>
      </c>
      <c r="Q21" s="2">
        <v>0.57499999999999996</v>
      </c>
      <c r="R21" s="2">
        <v>2.6</v>
      </c>
      <c r="S21" s="2">
        <v>3.7</v>
      </c>
      <c r="T21" s="2">
        <v>0.69899999999999995</v>
      </c>
      <c r="U21" s="2">
        <v>2.2000000000000002</v>
      </c>
      <c r="V21" s="2">
        <v>4.7</v>
      </c>
      <c r="W21" s="2">
        <v>7</v>
      </c>
      <c r="X21" s="2">
        <v>2</v>
      </c>
      <c r="Y21" s="2">
        <v>1.1000000000000001</v>
      </c>
      <c r="Z21" s="2">
        <v>1</v>
      </c>
      <c r="AA21" s="2">
        <v>1.7</v>
      </c>
      <c r="AB21" s="2">
        <v>2.4</v>
      </c>
      <c r="AC21" s="2">
        <v>11.8</v>
      </c>
      <c r="AD21" s="2"/>
    </row>
    <row r="22" spans="1:30" x14ac:dyDescent="0.2">
      <c r="A22" t="s">
        <v>195</v>
      </c>
      <c r="B22" s="2">
        <v>27</v>
      </c>
      <c r="C22" t="s">
        <v>77</v>
      </c>
      <c r="D22" s="2" t="s">
        <v>52</v>
      </c>
      <c r="E22" s="2">
        <v>24</v>
      </c>
      <c r="F22" s="2">
        <v>7</v>
      </c>
      <c r="G22" s="2">
        <v>24</v>
      </c>
      <c r="H22" s="2">
        <v>3.6</v>
      </c>
      <c r="I22" s="2">
        <v>7.4</v>
      </c>
      <c r="J22" s="2">
        <v>0.48599999999999999</v>
      </c>
      <c r="K22" s="2">
        <v>1.7</v>
      </c>
      <c r="L22" s="2">
        <v>3.9</v>
      </c>
      <c r="M22" s="2">
        <v>0.43</v>
      </c>
      <c r="N22" s="2">
        <v>1.9</v>
      </c>
      <c r="O22" s="2">
        <v>3.5</v>
      </c>
      <c r="P22" s="2">
        <v>0.54800000000000004</v>
      </c>
      <c r="Q22" s="2">
        <v>0.59899999999999998</v>
      </c>
      <c r="R22" s="2">
        <v>1.4</v>
      </c>
      <c r="S22" s="2">
        <v>1.6</v>
      </c>
      <c r="T22" s="2">
        <v>0.84599999999999997</v>
      </c>
      <c r="U22" s="2">
        <v>0.6</v>
      </c>
      <c r="V22" s="2">
        <v>2</v>
      </c>
      <c r="W22" s="2">
        <v>2.6</v>
      </c>
      <c r="X22" s="2">
        <v>1.3</v>
      </c>
      <c r="Y22" s="2">
        <v>0.6</v>
      </c>
      <c r="Z22" s="2">
        <v>0</v>
      </c>
      <c r="AA22" s="2">
        <v>0.7</v>
      </c>
      <c r="AB22" s="2">
        <v>1.4</v>
      </c>
      <c r="AC22" s="2">
        <v>10.199999999999999</v>
      </c>
      <c r="AD22" s="2"/>
    </row>
    <row r="23" spans="1:30" x14ac:dyDescent="0.2">
      <c r="A23" t="s">
        <v>284</v>
      </c>
      <c r="B23" s="2">
        <v>31</v>
      </c>
      <c r="C23" t="s">
        <v>122</v>
      </c>
      <c r="D23" s="2" t="s">
        <v>42</v>
      </c>
      <c r="E23" s="2">
        <v>19</v>
      </c>
      <c r="F23" s="2">
        <v>12</v>
      </c>
      <c r="G23" s="2">
        <v>20</v>
      </c>
      <c r="H23" s="2">
        <v>3.1</v>
      </c>
      <c r="I23" s="2">
        <v>6</v>
      </c>
      <c r="J23" s="2">
        <v>0.51800000000000002</v>
      </c>
      <c r="K23" s="2">
        <v>0.1</v>
      </c>
      <c r="L23" s="2">
        <v>0.3</v>
      </c>
      <c r="M23" s="2">
        <v>0.16700000000000001</v>
      </c>
      <c r="N23" s="2">
        <v>3.1</v>
      </c>
      <c r="O23" s="2">
        <v>5.7</v>
      </c>
      <c r="P23" s="2">
        <v>0.53700000000000003</v>
      </c>
      <c r="Q23" s="2">
        <v>0.52200000000000002</v>
      </c>
      <c r="R23" s="2">
        <v>1.5</v>
      </c>
      <c r="S23" s="2">
        <v>2.7</v>
      </c>
      <c r="T23" s="2">
        <v>0.56899999999999995</v>
      </c>
      <c r="U23" s="2">
        <v>2.9</v>
      </c>
      <c r="V23" s="2">
        <v>5.3</v>
      </c>
      <c r="W23" s="2">
        <v>8.3000000000000007</v>
      </c>
      <c r="X23" s="2">
        <v>0.5</v>
      </c>
      <c r="Y23" s="2">
        <v>1.4</v>
      </c>
      <c r="Z23" s="2">
        <v>0.4</v>
      </c>
      <c r="AA23" s="2">
        <v>1.7</v>
      </c>
      <c r="AB23" s="2">
        <v>2.5</v>
      </c>
      <c r="AC23" s="2">
        <v>7.8</v>
      </c>
      <c r="AD23" s="2"/>
    </row>
    <row r="24" spans="1:30" x14ac:dyDescent="0.2">
      <c r="A24" t="s">
        <v>361</v>
      </c>
      <c r="B24" s="2">
        <v>23</v>
      </c>
      <c r="C24" t="s">
        <v>35</v>
      </c>
      <c r="D24" s="2" t="s">
        <v>52</v>
      </c>
      <c r="E24" s="2">
        <v>23</v>
      </c>
      <c r="F24" s="2">
        <v>15</v>
      </c>
      <c r="G24" s="2">
        <v>17.7</v>
      </c>
      <c r="H24" s="2">
        <v>1.4</v>
      </c>
      <c r="I24" s="2">
        <v>3.4</v>
      </c>
      <c r="J24" s="2">
        <v>0.40500000000000003</v>
      </c>
      <c r="K24" s="2">
        <v>0.7</v>
      </c>
      <c r="L24" s="2">
        <v>1.8</v>
      </c>
      <c r="M24" s="2">
        <v>0.36599999999999999</v>
      </c>
      <c r="N24" s="2">
        <v>0.7</v>
      </c>
      <c r="O24" s="2">
        <v>1.7</v>
      </c>
      <c r="P24" s="2">
        <v>0.44700000000000001</v>
      </c>
      <c r="Q24" s="2">
        <v>0.5</v>
      </c>
      <c r="R24" s="2">
        <v>0.2</v>
      </c>
      <c r="S24" s="2">
        <v>0.3</v>
      </c>
      <c r="T24" s="2">
        <v>0.5</v>
      </c>
      <c r="U24" s="2">
        <v>0.7</v>
      </c>
      <c r="V24" s="2">
        <v>2.2000000000000002</v>
      </c>
      <c r="W24" s="2">
        <v>2.9</v>
      </c>
      <c r="X24" s="2">
        <v>1.3</v>
      </c>
      <c r="Y24" s="2">
        <v>0.7</v>
      </c>
      <c r="Z24" s="2">
        <v>0.3</v>
      </c>
      <c r="AA24" s="2">
        <v>1.3</v>
      </c>
      <c r="AB24" s="2">
        <v>2.5</v>
      </c>
      <c r="AC24" s="2">
        <v>3.6</v>
      </c>
      <c r="AD24" s="2"/>
    </row>
    <row r="25" spans="1:30" x14ac:dyDescent="0.2">
      <c r="A25" t="s">
        <v>356</v>
      </c>
      <c r="B25" s="2">
        <v>25</v>
      </c>
      <c r="C25" t="s">
        <v>82</v>
      </c>
      <c r="D25" s="2" t="s">
        <v>52</v>
      </c>
      <c r="E25" s="2">
        <v>11</v>
      </c>
      <c r="F25" s="2">
        <v>11</v>
      </c>
      <c r="G25" s="2">
        <v>24.7</v>
      </c>
      <c r="H25" s="2">
        <v>3.1</v>
      </c>
      <c r="I25" s="2">
        <v>7.1</v>
      </c>
      <c r="J25" s="2">
        <v>0.436</v>
      </c>
      <c r="K25" s="2">
        <v>0.6</v>
      </c>
      <c r="L25" s="2">
        <v>2.1</v>
      </c>
      <c r="M25" s="2">
        <v>0.30399999999999999</v>
      </c>
      <c r="N25" s="2">
        <v>2.5</v>
      </c>
      <c r="O25" s="2">
        <v>5</v>
      </c>
      <c r="P25" s="2">
        <v>0.49099999999999999</v>
      </c>
      <c r="Q25" s="2">
        <v>0.48099999999999998</v>
      </c>
      <c r="R25" s="2">
        <v>1.3</v>
      </c>
      <c r="S25" s="2">
        <v>1.5</v>
      </c>
      <c r="T25" s="2">
        <v>0.875</v>
      </c>
      <c r="U25" s="2">
        <v>0.2</v>
      </c>
      <c r="V25" s="2">
        <v>2.2000000000000002</v>
      </c>
      <c r="W25" s="2">
        <v>2.4</v>
      </c>
      <c r="X25" s="2">
        <v>4.4000000000000004</v>
      </c>
      <c r="Y25" s="2">
        <v>1.1000000000000001</v>
      </c>
      <c r="Z25" s="2">
        <v>0</v>
      </c>
      <c r="AA25" s="2">
        <v>1.5</v>
      </c>
      <c r="AB25" s="2">
        <v>1.9</v>
      </c>
      <c r="AC25" s="2">
        <v>8.1</v>
      </c>
      <c r="AD25" s="2"/>
    </row>
    <row r="26" spans="1:30" x14ac:dyDescent="0.2">
      <c r="A26" t="s">
        <v>137</v>
      </c>
      <c r="B26" s="2">
        <v>29</v>
      </c>
      <c r="C26" t="s">
        <v>100</v>
      </c>
      <c r="D26" s="2" t="s">
        <v>49</v>
      </c>
      <c r="E26" s="2">
        <v>20</v>
      </c>
      <c r="F26" s="2">
        <v>20</v>
      </c>
      <c r="G26" s="2">
        <v>28.6</v>
      </c>
      <c r="H26" s="2">
        <v>5.8</v>
      </c>
      <c r="I26" s="2">
        <v>12.6</v>
      </c>
      <c r="J26" s="2">
        <v>0.46</v>
      </c>
      <c r="K26" s="2">
        <v>2.2000000000000002</v>
      </c>
      <c r="L26" s="2">
        <v>5.2</v>
      </c>
      <c r="M26" s="2">
        <v>0.42699999999999999</v>
      </c>
      <c r="N26" s="2">
        <v>3.6</v>
      </c>
      <c r="O26" s="2">
        <v>7.5</v>
      </c>
      <c r="P26" s="2">
        <v>0.48299999999999998</v>
      </c>
      <c r="Q26" s="2">
        <v>0.54800000000000004</v>
      </c>
      <c r="R26" s="2">
        <v>3.4</v>
      </c>
      <c r="S26" s="2">
        <v>4.4000000000000004</v>
      </c>
      <c r="T26" s="2">
        <v>0.77</v>
      </c>
      <c r="U26" s="2">
        <v>1.6</v>
      </c>
      <c r="V26" s="2">
        <v>2.9</v>
      </c>
      <c r="W26" s="2">
        <v>4.4000000000000004</v>
      </c>
      <c r="X26" s="2">
        <v>2.2999999999999998</v>
      </c>
      <c r="Y26" s="2">
        <v>1</v>
      </c>
      <c r="Z26" s="2">
        <v>0.7</v>
      </c>
      <c r="AA26" s="2">
        <v>1.2</v>
      </c>
      <c r="AB26" s="2">
        <v>1.8</v>
      </c>
      <c r="AC26" s="2">
        <v>17.2</v>
      </c>
      <c r="AD26" s="2"/>
    </row>
    <row r="27" spans="1:30" x14ac:dyDescent="0.2">
      <c r="A27" t="s">
        <v>134</v>
      </c>
      <c r="B27" s="2">
        <v>25</v>
      </c>
      <c r="C27" t="s">
        <v>135</v>
      </c>
      <c r="D27" s="2" t="s">
        <v>52</v>
      </c>
      <c r="E27" s="2">
        <v>21</v>
      </c>
      <c r="F27" s="2">
        <v>21</v>
      </c>
      <c r="G27" s="2">
        <v>30.3</v>
      </c>
      <c r="H27" s="2">
        <v>5.8</v>
      </c>
      <c r="I27" s="2">
        <v>14.5</v>
      </c>
      <c r="J27" s="2">
        <v>0.40100000000000002</v>
      </c>
      <c r="K27" s="2">
        <v>2.4</v>
      </c>
      <c r="L27" s="2">
        <v>7.4</v>
      </c>
      <c r="M27" s="2">
        <v>0.32300000000000001</v>
      </c>
      <c r="N27" s="2">
        <v>3.4</v>
      </c>
      <c r="O27" s="2">
        <v>7.1</v>
      </c>
      <c r="P27" s="2">
        <v>0.48299999999999998</v>
      </c>
      <c r="Q27" s="2">
        <v>0.48399999999999999</v>
      </c>
      <c r="R27" s="2">
        <v>2.5</v>
      </c>
      <c r="S27" s="2">
        <v>2.8</v>
      </c>
      <c r="T27" s="2">
        <v>0.89700000000000002</v>
      </c>
      <c r="U27" s="2">
        <v>0.3</v>
      </c>
      <c r="V27" s="2">
        <v>2.2999999999999998</v>
      </c>
      <c r="W27" s="2">
        <v>2.6</v>
      </c>
      <c r="X27" s="2">
        <v>4.4000000000000004</v>
      </c>
      <c r="Y27" s="2">
        <v>0.8</v>
      </c>
      <c r="Z27" s="2">
        <v>0.1</v>
      </c>
      <c r="AA27" s="2">
        <v>2.4</v>
      </c>
      <c r="AB27" s="2">
        <v>1.9</v>
      </c>
      <c r="AC27" s="2">
        <v>16.5</v>
      </c>
      <c r="AD27" s="2"/>
    </row>
    <row r="28" spans="1:30" x14ac:dyDescent="0.2">
      <c r="A28" t="s">
        <v>212</v>
      </c>
      <c r="B28" s="2">
        <v>21</v>
      </c>
      <c r="C28" t="s">
        <v>48</v>
      </c>
      <c r="D28" s="2" t="s">
        <v>33</v>
      </c>
      <c r="E28" s="4">
        <v>27</v>
      </c>
      <c r="F28" s="2">
        <v>1</v>
      </c>
      <c r="G28" s="2">
        <v>24.3</v>
      </c>
      <c r="H28" s="2">
        <v>3</v>
      </c>
      <c r="I28" s="2">
        <v>7</v>
      </c>
      <c r="J28" s="2">
        <v>0.42099999999999999</v>
      </c>
      <c r="K28" s="2">
        <v>0.6</v>
      </c>
      <c r="L28" s="2">
        <v>2.4</v>
      </c>
      <c r="M28" s="2">
        <v>0.246</v>
      </c>
      <c r="N28" s="2">
        <v>2.4</v>
      </c>
      <c r="O28" s="2">
        <v>4.5999999999999996</v>
      </c>
      <c r="P28" s="2">
        <v>0.51200000000000001</v>
      </c>
      <c r="Q28" s="2">
        <v>0.46300000000000002</v>
      </c>
      <c r="R28" s="2">
        <v>1.8</v>
      </c>
      <c r="S28" s="2">
        <v>2.5</v>
      </c>
      <c r="T28" s="2">
        <v>0.70599999999999996</v>
      </c>
      <c r="U28" s="2">
        <v>0.6</v>
      </c>
      <c r="V28" s="2">
        <v>2.2999999999999998</v>
      </c>
      <c r="W28" s="2">
        <v>2.9</v>
      </c>
      <c r="X28" s="2">
        <v>3.8</v>
      </c>
      <c r="Y28" s="2">
        <v>1</v>
      </c>
      <c r="Z28" s="2">
        <v>0.8</v>
      </c>
      <c r="AA28" s="2">
        <v>2.2999999999999998</v>
      </c>
      <c r="AB28" s="2">
        <v>2.1</v>
      </c>
      <c r="AC28" s="2">
        <v>8.3000000000000007</v>
      </c>
      <c r="AD28" s="2"/>
    </row>
    <row r="29" spans="1:30" x14ac:dyDescent="0.2">
      <c r="A29" t="s">
        <v>40</v>
      </c>
      <c r="B29" s="2">
        <v>31</v>
      </c>
      <c r="C29" t="s">
        <v>41</v>
      </c>
      <c r="D29" s="2" t="s">
        <v>42</v>
      </c>
      <c r="E29" s="2">
        <v>23</v>
      </c>
      <c r="F29" s="2">
        <v>23</v>
      </c>
      <c r="G29" s="2">
        <v>35.299999999999997</v>
      </c>
      <c r="H29" s="2">
        <v>9.9</v>
      </c>
      <c r="I29" s="2">
        <v>18.7</v>
      </c>
      <c r="J29" s="2">
        <v>0.52900000000000003</v>
      </c>
      <c r="K29" s="2">
        <v>0.7</v>
      </c>
      <c r="L29" s="2">
        <v>2.2000000000000002</v>
      </c>
      <c r="M29" s="2">
        <v>0.32</v>
      </c>
      <c r="N29" s="2">
        <v>9.1999999999999993</v>
      </c>
      <c r="O29" s="2">
        <v>16.5</v>
      </c>
      <c r="P29" s="2">
        <v>0.55700000000000005</v>
      </c>
      <c r="Q29" s="2">
        <v>0.54800000000000004</v>
      </c>
      <c r="R29" s="2">
        <v>7</v>
      </c>
      <c r="S29" s="2">
        <v>8.8000000000000007</v>
      </c>
      <c r="T29" s="2">
        <v>0.79800000000000004</v>
      </c>
      <c r="U29" s="2">
        <v>2.5</v>
      </c>
      <c r="V29" s="2">
        <v>8.6999999999999993</v>
      </c>
      <c r="W29" s="2">
        <v>11.2</v>
      </c>
      <c r="X29" s="2">
        <v>3.5</v>
      </c>
      <c r="Y29" s="2">
        <v>1.3</v>
      </c>
      <c r="Z29" s="2">
        <v>2</v>
      </c>
      <c r="AA29" s="2">
        <v>2</v>
      </c>
      <c r="AB29" s="2">
        <v>2</v>
      </c>
      <c r="AC29" s="2">
        <v>27.5</v>
      </c>
      <c r="AD29" s="2"/>
    </row>
    <row r="30" spans="1:30" x14ac:dyDescent="0.2">
      <c r="A30" t="s">
        <v>50</v>
      </c>
      <c r="B30" s="2">
        <v>23</v>
      </c>
      <c r="C30" t="s">
        <v>51</v>
      </c>
      <c r="D30" s="2" t="s">
        <v>52</v>
      </c>
      <c r="E30" s="2">
        <v>23</v>
      </c>
      <c r="F30" s="2">
        <v>23</v>
      </c>
      <c r="G30" s="2">
        <v>36.299999999999997</v>
      </c>
      <c r="H30" s="2">
        <v>9.1999999999999993</v>
      </c>
      <c r="I30" s="2">
        <v>20.3</v>
      </c>
      <c r="J30" s="2">
        <v>0.45300000000000001</v>
      </c>
      <c r="K30" s="2">
        <v>4.5</v>
      </c>
      <c r="L30" s="2">
        <v>10.5</v>
      </c>
      <c r="M30" s="2">
        <v>0.42699999999999999</v>
      </c>
      <c r="N30" s="2">
        <v>4.7</v>
      </c>
      <c r="O30" s="2">
        <v>9.8000000000000007</v>
      </c>
      <c r="P30" s="2">
        <v>0.48</v>
      </c>
      <c r="Q30" s="2">
        <v>0.56299999999999994</v>
      </c>
      <c r="R30" s="2">
        <v>3.6</v>
      </c>
      <c r="S30" s="2">
        <v>4.4000000000000004</v>
      </c>
      <c r="T30" s="2">
        <v>0.81200000000000006</v>
      </c>
      <c r="U30" s="2">
        <v>0.6</v>
      </c>
      <c r="V30" s="2">
        <v>4.8</v>
      </c>
      <c r="W30" s="2">
        <v>5.4</v>
      </c>
      <c r="X30" s="2">
        <v>4</v>
      </c>
      <c r="Y30" s="2">
        <v>1.4</v>
      </c>
      <c r="Z30" s="2">
        <v>0.6</v>
      </c>
      <c r="AA30" s="2">
        <v>3.1</v>
      </c>
      <c r="AB30" s="2">
        <v>2</v>
      </c>
      <c r="AC30" s="2">
        <v>26.4</v>
      </c>
      <c r="AD30" s="2"/>
    </row>
    <row r="31" spans="1:30" x14ac:dyDescent="0.2">
      <c r="A31" t="s">
        <v>414</v>
      </c>
      <c r="B31" s="2">
        <v>32</v>
      </c>
      <c r="C31" t="s">
        <v>114</v>
      </c>
      <c r="D31" s="2" t="s">
        <v>27</v>
      </c>
      <c r="E31" s="2">
        <v>17</v>
      </c>
      <c r="F31" s="2">
        <v>0</v>
      </c>
      <c r="G31" s="2">
        <v>7.7</v>
      </c>
      <c r="H31" s="2">
        <v>0.9</v>
      </c>
      <c r="I31" s="2">
        <v>1.6</v>
      </c>
      <c r="J31" s="2">
        <v>0.53600000000000003</v>
      </c>
      <c r="K31" s="2">
        <v>0.2</v>
      </c>
      <c r="L31" s="2">
        <v>0.5</v>
      </c>
      <c r="M31" s="2">
        <v>0.44400000000000001</v>
      </c>
      <c r="N31" s="2">
        <v>0.6</v>
      </c>
      <c r="O31" s="2">
        <v>1.1000000000000001</v>
      </c>
      <c r="P31" s="2">
        <v>0.57899999999999996</v>
      </c>
      <c r="Q31" s="2">
        <v>0.60699999999999998</v>
      </c>
      <c r="R31" s="2">
        <v>0.6</v>
      </c>
      <c r="S31" s="2">
        <v>1.1000000000000001</v>
      </c>
      <c r="T31" s="2">
        <v>0.55600000000000005</v>
      </c>
      <c r="U31" s="2">
        <v>0.3</v>
      </c>
      <c r="V31" s="2">
        <v>1</v>
      </c>
      <c r="W31" s="2">
        <v>1.3</v>
      </c>
      <c r="X31" s="2">
        <v>0.4</v>
      </c>
      <c r="Y31" s="2">
        <v>0.3</v>
      </c>
      <c r="Z31" s="2">
        <v>0.1</v>
      </c>
      <c r="AA31" s="2">
        <v>0.2</v>
      </c>
      <c r="AB31" s="2">
        <v>0.5</v>
      </c>
      <c r="AC31" s="2">
        <v>2.6</v>
      </c>
      <c r="AD31" s="2"/>
    </row>
    <row r="32" spans="1:30" x14ac:dyDescent="0.2">
      <c r="A32" t="s">
        <v>386</v>
      </c>
      <c r="B32" s="2">
        <v>24</v>
      </c>
      <c r="C32" t="s">
        <v>117</v>
      </c>
      <c r="D32" s="2" t="s">
        <v>52</v>
      </c>
      <c r="E32" s="2">
        <v>14</v>
      </c>
      <c r="F32" s="2">
        <v>0</v>
      </c>
      <c r="G32" s="2">
        <v>9.9</v>
      </c>
      <c r="H32" s="2">
        <v>1.8</v>
      </c>
      <c r="I32" s="2">
        <v>4.5</v>
      </c>
      <c r="J32" s="2">
        <v>0.39700000000000002</v>
      </c>
      <c r="K32" s="2">
        <v>0.6</v>
      </c>
      <c r="L32" s="2">
        <v>2.2000000000000002</v>
      </c>
      <c r="M32" s="2">
        <v>0.25800000000000001</v>
      </c>
      <c r="N32" s="2">
        <v>1.2</v>
      </c>
      <c r="O32" s="2">
        <v>2.2999999999999998</v>
      </c>
      <c r="P32" s="2">
        <v>0.53100000000000003</v>
      </c>
      <c r="Q32" s="2">
        <v>0.46</v>
      </c>
      <c r="R32" s="2">
        <v>0.4</v>
      </c>
      <c r="S32" s="2">
        <v>0.5</v>
      </c>
      <c r="T32" s="2">
        <v>0.85699999999999998</v>
      </c>
      <c r="U32" s="2">
        <v>0.4</v>
      </c>
      <c r="V32" s="2">
        <v>0.9</v>
      </c>
      <c r="W32" s="2">
        <v>1.2</v>
      </c>
      <c r="X32" s="2">
        <v>0.5</v>
      </c>
      <c r="Y32" s="2">
        <v>0.4</v>
      </c>
      <c r="Z32" s="2">
        <v>0</v>
      </c>
      <c r="AA32" s="2">
        <v>0.3</v>
      </c>
      <c r="AB32" s="2">
        <v>0.5</v>
      </c>
      <c r="AC32" s="2">
        <v>4.5999999999999996</v>
      </c>
      <c r="AD32" s="2"/>
    </row>
    <row r="33" spans="1:30" x14ac:dyDescent="0.2">
      <c r="A33" t="s">
        <v>463</v>
      </c>
      <c r="B33" s="2">
        <v>22</v>
      </c>
      <c r="C33" t="s">
        <v>44</v>
      </c>
      <c r="D33" s="2" t="s">
        <v>42</v>
      </c>
      <c r="E33" s="2">
        <v>11</v>
      </c>
      <c r="F33" s="2">
        <v>0</v>
      </c>
      <c r="G33" s="2">
        <v>8.8000000000000007</v>
      </c>
      <c r="H33" s="2">
        <v>0.8</v>
      </c>
      <c r="I33" s="2">
        <v>1.3</v>
      </c>
      <c r="J33" s="2">
        <v>0.64300000000000002</v>
      </c>
      <c r="K33" s="2">
        <v>0</v>
      </c>
      <c r="L33" s="2">
        <v>0</v>
      </c>
      <c r="M33" s="2"/>
      <c r="N33" s="2">
        <v>0.8</v>
      </c>
      <c r="O33" s="2">
        <v>1.3</v>
      </c>
      <c r="P33" s="2">
        <v>0.64300000000000002</v>
      </c>
      <c r="Q33" s="2">
        <v>0.64300000000000002</v>
      </c>
      <c r="R33" s="2">
        <v>0.3</v>
      </c>
      <c r="S33" s="2">
        <v>0.5</v>
      </c>
      <c r="T33" s="2">
        <v>0.5</v>
      </c>
      <c r="U33" s="2">
        <v>0.3</v>
      </c>
      <c r="V33" s="2">
        <v>1.5</v>
      </c>
      <c r="W33" s="2">
        <v>1.8</v>
      </c>
      <c r="X33" s="2">
        <v>0.5</v>
      </c>
      <c r="Y33" s="2">
        <v>0</v>
      </c>
      <c r="Z33" s="2">
        <v>0.7</v>
      </c>
      <c r="AA33" s="2">
        <v>0.8</v>
      </c>
      <c r="AB33" s="2">
        <v>1.3</v>
      </c>
      <c r="AC33" s="2">
        <v>1.9</v>
      </c>
      <c r="AD33" s="2"/>
    </row>
    <row r="34" spans="1:30" x14ac:dyDescent="0.2">
      <c r="A34" t="s">
        <v>494</v>
      </c>
      <c r="B34" s="2">
        <v>22</v>
      </c>
      <c r="C34" t="s">
        <v>41</v>
      </c>
      <c r="D34" s="2" t="s">
        <v>49</v>
      </c>
      <c r="E34" s="2">
        <v>8</v>
      </c>
      <c r="F34" s="2">
        <v>0</v>
      </c>
      <c r="G34" s="2">
        <v>7.6</v>
      </c>
      <c r="H34" s="2">
        <v>0.6</v>
      </c>
      <c r="I34" s="2">
        <v>2.2999999999999998</v>
      </c>
      <c r="J34" s="2">
        <v>0.27800000000000002</v>
      </c>
      <c r="K34" s="2">
        <v>0</v>
      </c>
      <c r="L34" s="2">
        <v>0.9</v>
      </c>
      <c r="M34" s="2">
        <v>0</v>
      </c>
      <c r="N34" s="2">
        <v>0.6</v>
      </c>
      <c r="O34" s="2">
        <v>1.4</v>
      </c>
      <c r="P34" s="2">
        <v>0.45500000000000002</v>
      </c>
      <c r="Q34" s="2">
        <v>0.27800000000000002</v>
      </c>
      <c r="R34" s="2">
        <v>0.3</v>
      </c>
      <c r="S34" s="2">
        <v>0.9</v>
      </c>
      <c r="T34" s="2">
        <v>0.28599999999999998</v>
      </c>
      <c r="U34" s="2">
        <v>0.1</v>
      </c>
      <c r="V34" s="2">
        <v>1.6</v>
      </c>
      <c r="W34" s="2">
        <v>1.8</v>
      </c>
      <c r="X34" s="2">
        <v>0.1</v>
      </c>
      <c r="Y34" s="2">
        <v>0.5</v>
      </c>
      <c r="Z34" s="2">
        <v>0.3</v>
      </c>
      <c r="AA34" s="2">
        <v>0.3</v>
      </c>
      <c r="AB34" s="2">
        <v>0.8</v>
      </c>
      <c r="AC34" s="2">
        <v>1.5</v>
      </c>
      <c r="AD34" s="2"/>
    </row>
    <row r="35" spans="1:30" x14ac:dyDescent="0.2">
      <c r="A35" t="s">
        <v>430</v>
      </c>
      <c r="B35" s="2">
        <v>22</v>
      </c>
      <c r="C35" t="s">
        <v>75</v>
      </c>
      <c r="D35" s="2" t="s">
        <v>49</v>
      </c>
      <c r="E35" s="2">
        <v>6</v>
      </c>
      <c r="F35" s="2">
        <v>1</v>
      </c>
      <c r="G35" s="2">
        <v>15</v>
      </c>
      <c r="H35" s="2">
        <v>2.2999999999999998</v>
      </c>
      <c r="I35" s="2">
        <v>5.8</v>
      </c>
      <c r="J35" s="2">
        <v>0.4</v>
      </c>
      <c r="K35" s="2">
        <v>0.5</v>
      </c>
      <c r="L35" s="2">
        <v>1.7</v>
      </c>
      <c r="M35" s="2">
        <v>0.3</v>
      </c>
      <c r="N35" s="2">
        <v>1.8</v>
      </c>
      <c r="O35" s="2">
        <v>4.2</v>
      </c>
      <c r="P35" s="2">
        <v>0.44</v>
      </c>
      <c r="Q35" s="2">
        <v>0.443</v>
      </c>
      <c r="R35" s="2">
        <v>0.5</v>
      </c>
      <c r="S35" s="2">
        <v>1.2</v>
      </c>
      <c r="T35" s="2">
        <v>0.42899999999999999</v>
      </c>
      <c r="U35" s="2">
        <v>1.2</v>
      </c>
      <c r="V35" s="2">
        <v>1.8</v>
      </c>
      <c r="W35" s="2">
        <v>3</v>
      </c>
      <c r="X35" s="2">
        <v>2.2999999999999998</v>
      </c>
      <c r="Y35" s="2">
        <v>0.3</v>
      </c>
      <c r="Z35" s="2">
        <v>0.5</v>
      </c>
      <c r="AA35" s="2">
        <v>1.5</v>
      </c>
      <c r="AB35" s="2">
        <v>2.2000000000000002</v>
      </c>
      <c r="AC35" s="2">
        <v>5.7</v>
      </c>
      <c r="AD35" s="2"/>
    </row>
    <row r="36" spans="1:30" x14ac:dyDescent="0.2">
      <c r="A36" t="s">
        <v>148</v>
      </c>
      <c r="B36" s="2">
        <v>26</v>
      </c>
      <c r="C36" t="s">
        <v>41</v>
      </c>
      <c r="D36" s="2" t="s">
        <v>52</v>
      </c>
      <c r="E36" s="2">
        <v>19</v>
      </c>
      <c r="F36" s="2">
        <v>19</v>
      </c>
      <c r="G36" s="2">
        <v>33.700000000000003</v>
      </c>
      <c r="H36" s="2">
        <v>5.8</v>
      </c>
      <c r="I36" s="2">
        <v>13.2</v>
      </c>
      <c r="J36" s="2">
        <v>0.44</v>
      </c>
      <c r="K36" s="2">
        <v>2.6</v>
      </c>
      <c r="L36" s="2">
        <v>7.4</v>
      </c>
      <c r="M36" s="2">
        <v>0.35499999999999998</v>
      </c>
      <c r="N36" s="2">
        <v>3.2</v>
      </c>
      <c r="O36" s="2">
        <v>5.7</v>
      </c>
      <c r="P36" s="2">
        <v>0.55000000000000004</v>
      </c>
      <c r="Q36" s="2">
        <v>0.54</v>
      </c>
      <c r="R36" s="2">
        <v>2.5</v>
      </c>
      <c r="S36" s="2">
        <v>3.3</v>
      </c>
      <c r="T36" s="2">
        <v>0.77400000000000002</v>
      </c>
      <c r="U36" s="2">
        <v>0.8</v>
      </c>
      <c r="V36" s="2">
        <v>2.7</v>
      </c>
      <c r="W36" s="2">
        <v>3.5</v>
      </c>
      <c r="X36" s="2">
        <v>4.8</v>
      </c>
      <c r="Y36" s="2">
        <v>1.1000000000000001</v>
      </c>
      <c r="Z36" s="2">
        <v>0.2</v>
      </c>
      <c r="AA36" s="2">
        <v>2.2999999999999998</v>
      </c>
      <c r="AB36" s="2">
        <v>2.2000000000000002</v>
      </c>
      <c r="AC36" s="2">
        <v>16.7</v>
      </c>
      <c r="AD36" s="2"/>
    </row>
    <row r="37" spans="1:30" x14ac:dyDescent="0.2">
      <c r="A37" t="s">
        <v>149</v>
      </c>
      <c r="B37" s="2">
        <v>25</v>
      </c>
      <c r="C37" t="s">
        <v>70</v>
      </c>
      <c r="D37" s="2" t="s">
        <v>52</v>
      </c>
      <c r="E37" s="2">
        <v>25</v>
      </c>
      <c r="F37" s="2">
        <v>12</v>
      </c>
      <c r="G37" s="2">
        <v>29.9</v>
      </c>
      <c r="H37" s="2">
        <v>4.9000000000000004</v>
      </c>
      <c r="I37" s="2">
        <v>9.6999999999999993</v>
      </c>
      <c r="J37" s="2">
        <v>0.502</v>
      </c>
      <c r="K37" s="2">
        <v>1.3</v>
      </c>
      <c r="L37" s="2">
        <v>4</v>
      </c>
      <c r="M37" s="2">
        <v>0.32300000000000001</v>
      </c>
      <c r="N37" s="2">
        <v>3.6</v>
      </c>
      <c r="O37" s="2">
        <v>5.8</v>
      </c>
      <c r="P37" s="2">
        <v>0.625</v>
      </c>
      <c r="Q37" s="2">
        <v>0.56799999999999995</v>
      </c>
      <c r="R37" s="2">
        <v>1.6</v>
      </c>
      <c r="S37" s="2">
        <v>2</v>
      </c>
      <c r="T37" s="2">
        <v>0.82</v>
      </c>
      <c r="U37" s="2">
        <v>0.6</v>
      </c>
      <c r="V37" s="2">
        <v>3.1</v>
      </c>
      <c r="W37" s="2">
        <v>3.8</v>
      </c>
      <c r="X37" s="2">
        <v>4.5999999999999996</v>
      </c>
      <c r="Y37" s="2">
        <v>0.7</v>
      </c>
      <c r="Z37" s="2">
        <v>0.5</v>
      </c>
      <c r="AA37" s="2">
        <v>1.3</v>
      </c>
      <c r="AB37" s="2">
        <v>2.2999999999999998</v>
      </c>
      <c r="AC37" s="2">
        <v>12.7</v>
      </c>
      <c r="AD37" s="2"/>
    </row>
    <row r="38" spans="1:30" x14ac:dyDescent="0.2">
      <c r="A38" t="s">
        <v>125</v>
      </c>
      <c r="B38" s="2">
        <v>27</v>
      </c>
      <c r="C38" t="s">
        <v>61</v>
      </c>
      <c r="D38" s="2" t="s">
        <v>42</v>
      </c>
      <c r="E38" s="2">
        <v>23</v>
      </c>
      <c r="F38" s="2">
        <v>23</v>
      </c>
      <c r="G38" s="2">
        <v>34.700000000000003</v>
      </c>
      <c r="H38" s="2">
        <v>6.2</v>
      </c>
      <c r="I38" s="2">
        <v>14</v>
      </c>
      <c r="J38" s="2">
        <v>0.441</v>
      </c>
      <c r="K38" s="2">
        <v>1</v>
      </c>
      <c r="L38" s="2">
        <v>2.9</v>
      </c>
      <c r="M38" s="2">
        <v>0.33300000000000002</v>
      </c>
      <c r="N38" s="2">
        <v>5.2</v>
      </c>
      <c r="O38" s="2">
        <v>11.1</v>
      </c>
      <c r="P38" s="2">
        <v>0.46899999999999997</v>
      </c>
      <c r="Q38" s="2">
        <v>0.47499999999999998</v>
      </c>
      <c r="R38" s="2">
        <v>2.9</v>
      </c>
      <c r="S38" s="2">
        <v>4</v>
      </c>
      <c r="T38" s="2">
        <v>0.72</v>
      </c>
      <c r="U38" s="2">
        <v>2.6</v>
      </c>
      <c r="V38" s="2">
        <v>7.7</v>
      </c>
      <c r="W38" s="2">
        <v>10.3</v>
      </c>
      <c r="X38" s="2">
        <v>5.2</v>
      </c>
      <c r="Y38" s="2">
        <v>1.5</v>
      </c>
      <c r="Z38" s="2">
        <v>0.8</v>
      </c>
      <c r="AA38" s="2">
        <v>1.9</v>
      </c>
      <c r="AB38" s="2">
        <v>2</v>
      </c>
      <c r="AC38" s="2">
        <v>16.2</v>
      </c>
      <c r="AD38" s="2"/>
    </row>
    <row r="39" spans="1:30" x14ac:dyDescent="0.2">
      <c r="A39" t="s">
        <v>532</v>
      </c>
      <c r="B39" s="2">
        <v>24</v>
      </c>
      <c r="C39" t="s">
        <v>39</v>
      </c>
      <c r="D39" s="2" t="s">
        <v>52</v>
      </c>
      <c r="E39" s="2">
        <v>5</v>
      </c>
      <c r="F39" s="2">
        <v>0</v>
      </c>
      <c r="G39" s="2">
        <v>6.8</v>
      </c>
      <c r="H39" s="2">
        <v>0.2</v>
      </c>
      <c r="I39" s="2">
        <v>2</v>
      </c>
      <c r="J39" s="2">
        <v>0.1</v>
      </c>
      <c r="K39" s="2">
        <v>0</v>
      </c>
      <c r="L39" s="2">
        <v>1.2</v>
      </c>
      <c r="M39" s="2">
        <v>0</v>
      </c>
      <c r="N39" s="2">
        <v>0.2</v>
      </c>
      <c r="O39" s="2">
        <v>0.8</v>
      </c>
      <c r="P39" s="2">
        <v>0.25</v>
      </c>
      <c r="Q39" s="2">
        <v>0.1</v>
      </c>
      <c r="R39" s="2">
        <v>0.4</v>
      </c>
      <c r="S39" s="2">
        <v>0.4</v>
      </c>
      <c r="T39" s="2">
        <v>1</v>
      </c>
      <c r="U39" s="2">
        <v>0.4</v>
      </c>
      <c r="V39" s="2">
        <v>1</v>
      </c>
      <c r="W39" s="2">
        <v>1.4</v>
      </c>
      <c r="X39" s="2">
        <v>0.4</v>
      </c>
      <c r="Y39" s="2">
        <v>0.2</v>
      </c>
      <c r="Z39" s="2">
        <v>0</v>
      </c>
      <c r="AA39" s="2">
        <v>0</v>
      </c>
      <c r="AB39" s="2">
        <v>0.6</v>
      </c>
      <c r="AC39" s="2">
        <v>0.8</v>
      </c>
      <c r="AD39" s="2"/>
    </row>
    <row r="40" spans="1:30" x14ac:dyDescent="0.2">
      <c r="A40" t="s">
        <v>371</v>
      </c>
      <c r="B40" s="2">
        <v>23</v>
      </c>
      <c r="C40" t="s">
        <v>82</v>
      </c>
      <c r="D40" s="2" t="s">
        <v>52</v>
      </c>
      <c r="E40" s="2">
        <v>13</v>
      </c>
      <c r="F40" s="2">
        <v>5</v>
      </c>
      <c r="G40" s="2">
        <v>20.9</v>
      </c>
      <c r="H40" s="2">
        <v>2.2000000000000002</v>
      </c>
      <c r="I40" s="2">
        <v>5.0999999999999996</v>
      </c>
      <c r="J40" s="2">
        <v>0.42399999999999999</v>
      </c>
      <c r="K40" s="2">
        <v>1.5</v>
      </c>
      <c r="L40" s="2">
        <v>3.6</v>
      </c>
      <c r="M40" s="2">
        <v>0.40400000000000003</v>
      </c>
      <c r="N40" s="2">
        <v>0.7</v>
      </c>
      <c r="O40" s="2">
        <v>1.5</v>
      </c>
      <c r="P40" s="2">
        <v>0.47399999999999998</v>
      </c>
      <c r="Q40" s="2">
        <v>0.56799999999999995</v>
      </c>
      <c r="R40" s="2">
        <v>0</v>
      </c>
      <c r="S40" s="2">
        <v>0</v>
      </c>
      <c r="T40" s="2"/>
      <c r="U40" s="2">
        <v>0.4</v>
      </c>
      <c r="V40" s="2">
        <v>1.8</v>
      </c>
      <c r="W40" s="2">
        <v>2.2000000000000002</v>
      </c>
      <c r="X40" s="2">
        <v>1.3</v>
      </c>
      <c r="Y40" s="2">
        <v>0.4</v>
      </c>
      <c r="Z40" s="2">
        <v>0.3</v>
      </c>
      <c r="AA40" s="2">
        <v>0.4</v>
      </c>
      <c r="AB40" s="2">
        <v>2.5</v>
      </c>
      <c r="AC40" s="2">
        <v>5.8</v>
      </c>
      <c r="AD40" s="2"/>
    </row>
    <row r="41" spans="1:30" x14ac:dyDescent="0.2">
      <c r="A41" t="s">
        <v>347</v>
      </c>
      <c r="B41" s="2">
        <v>28</v>
      </c>
      <c r="C41" t="s">
        <v>103</v>
      </c>
      <c r="D41" s="2" t="s">
        <v>33</v>
      </c>
      <c r="E41" s="2">
        <v>18</v>
      </c>
      <c r="F41" s="2">
        <v>13</v>
      </c>
      <c r="G41" s="2">
        <v>23.6</v>
      </c>
      <c r="H41" s="2">
        <v>2.5</v>
      </c>
      <c r="I41" s="2">
        <v>4.0999999999999996</v>
      </c>
      <c r="J41" s="2">
        <v>0.60799999999999998</v>
      </c>
      <c r="K41" s="2">
        <v>0</v>
      </c>
      <c r="L41" s="2">
        <v>0</v>
      </c>
      <c r="M41" s="2"/>
      <c r="N41" s="2">
        <v>2.5</v>
      </c>
      <c r="O41" s="2">
        <v>4.0999999999999996</v>
      </c>
      <c r="P41" s="2">
        <v>0.60799999999999998</v>
      </c>
      <c r="Q41" s="2">
        <v>0.60799999999999998</v>
      </c>
      <c r="R41" s="2">
        <v>0.2</v>
      </c>
      <c r="S41" s="2">
        <v>0.4</v>
      </c>
      <c r="T41" s="2">
        <v>0.5</v>
      </c>
      <c r="U41" s="2">
        <v>1</v>
      </c>
      <c r="V41" s="2">
        <v>4.7</v>
      </c>
      <c r="W41" s="2">
        <v>5.7</v>
      </c>
      <c r="X41" s="2">
        <v>6.4</v>
      </c>
      <c r="Y41" s="2">
        <v>0.8</v>
      </c>
      <c r="Z41" s="2">
        <v>0.6</v>
      </c>
      <c r="AA41" s="2">
        <v>2.4</v>
      </c>
      <c r="AB41" s="2">
        <v>2.7</v>
      </c>
      <c r="AC41" s="2">
        <v>5.2</v>
      </c>
      <c r="AD41" s="2"/>
    </row>
    <row r="42" spans="1:30" x14ac:dyDescent="0.2">
      <c r="A42" t="s">
        <v>94</v>
      </c>
      <c r="B42" s="2">
        <v>22</v>
      </c>
      <c r="C42" t="s">
        <v>82</v>
      </c>
      <c r="D42" s="2" t="s">
        <v>52</v>
      </c>
      <c r="E42" s="2">
        <v>25</v>
      </c>
      <c r="F42" s="2">
        <v>20</v>
      </c>
      <c r="G42" s="2">
        <v>32.700000000000003</v>
      </c>
      <c r="H42" s="2">
        <v>5.9</v>
      </c>
      <c r="I42" s="2">
        <v>12.5</v>
      </c>
      <c r="J42" s="2">
        <v>0.47099999999999997</v>
      </c>
      <c r="K42" s="2">
        <v>1.6</v>
      </c>
      <c r="L42" s="2">
        <v>4</v>
      </c>
      <c r="M42" s="2">
        <v>0.39</v>
      </c>
      <c r="N42" s="2">
        <v>4.3</v>
      </c>
      <c r="O42" s="2">
        <v>8.5</v>
      </c>
      <c r="P42" s="2">
        <v>0.50900000000000001</v>
      </c>
      <c r="Q42" s="2">
        <v>0.53400000000000003</v>
      </c>
      <c r="R42" s="2">
        <v>4.4000000000000004</v>
      </c>
      <c r="S42" s="2">
        <v>5.2</v>
      </c>
      <c r="T42" s="2">
        <v>0.84699999999999998</v>
      </c>
      <c r="U42" s="2">
        <v>1.2</v>
      </c>
      <c r="V42" s="2">
        <v>5.0999999999999996</v>
      </c>
      <c r="W42" s="2">
        <v>6.3</v>
      </c>
      <c r="X42" s="2">
        <v>1.7</v>
      </c>
      <c r="Y42" s="2">
        <v>0.7</v>
      </c>
      <c r="Z42" s="2">
        <v>0.3</v>
      </c>
      <c r="AA42" s="2">
        <v>2.1</v>
      </c>
      <c r="AB42" s="2">
        <v>2.5</v>
      </c>
      <c r="AC42" s="2">
        <v>17.8</v>
      </c>
      <c r="AD42" s="2"/>
    </row>
    <row r="43" spans="1:30" x14ac:dyDescent="0.2">
      <c r="A43" t="s">
        <v>192</v>
      </c>
      <c r="B43" s="2">
        <v>20</v>
      </c>
      <c r="C43" t="s">
        <v>114</v>
      </c>
      <c r="D43" s="2" t="s">
        <v>49</v>
      </c>
      <c r="E43" s="2">
        <v>21</v>
      </c>
      <c r="F43" s="2">
        <v>21</v>
      </c>
      <c r="G43" s="2">
        <v>34.6</v>
      </c>
      <c r="H43" s="2">
        <v>4.2</v>
      </c>
      <c r="I43" s="2">
        <v>9.6999999999999993</v>
      </c>
      <c r="J43" s="2">
        <v>0.433</v>
      </c>
      <c r="K43" s="2">
        <v>0.9</v>
      </c>
      <c r="L43" s="2">
        <v>3.2</v>
      </c>
      <c r="M43" s="2">
        <v>0.26500000000000001</v>
      </c>
      <c r="N43" s="2">
        <v>3.3</v>
      </c>
      <c r="O43" s="2">
        <v>6.4</v>
      </c>
      <c r="P43" s="2">
        <v>0.51900000000000002</v>
      </c>
      <c r="Q43" s="2">
        <v>0.47799999999999998</v>
      </c>
      <c r="R43" s="2">
        <v>2.6</v>
      </c>
      <c r="S43" s="2">
        <v>3.3</v>
      </c>
      <c r="T43" s="2">
        <v>0.78300000000000003</v>
      </c>
      <c r="U43" s="2">
        <v>1.6</v>
      </c>
      <c r="V43" s="2">
        <v>3.8</v>
      </c>
      <c r="W43" s="2">
        <v>5.4</v>
      </c>
      <c r="X43" s="2">
        <v>3.1</v>
      </c>
      <c r="Y43" s="2">
        <v>1.5</v>
      </c>
      <c r="Z43" s="2">
        <v>0.7</v>
      </c>
      <c r="AA43" s="2">
        <v>1.9</v>
      </c>
      <c r="AB43" s="2">
        <v>2.6</v>
      </c>
      <c r="AC43" s="2">
        <v>11.8</v>
      </c>
      <c r="AD43" s="2"/>
    </row>
    <row r="44" spans="1:30" x14ac:dyDescent="0.2">
      <c r="A44" t="s">
        <v>372</v>
      </c>
      <c r="B44" s="2">
        <v>21</v>
      </c>
      <c r="C44" t="s">
        <v>93</v>
      </c>
      <c r="D44" s="2" t="s">
        <v>52</v>
      </c>
      <c r="E44" s="2">
        <v>19</v>
      </c>
      <c r="F44" s="2">
        <v>0</v>
      </c>
      <c r="G44" s="2">
        <v>11.2</v>
      </c>
      <c r="H44" s="2">
        <v>1.5</v>
      </c>
      <c r="I44" s="2">
        <v>3.5</v>
      </c>
      <c r="J44" s="2">
        <v>0.439</v>
      </c>
      <c r="K44" s="2">
        <v>0.2</v>
      </c>
      <c r="L44" s="2">
        <v>1.1000000000000001</v>
      </c>
      <c r="M44" s="2">
        <v>0.2</v>
      </c>
      <c r="N44" s="2">
        <v>1.3</v>
      </c>
      <c r="O44" s="2">
        <v>2.4</v>
      </c>
      <c r="P44" s="2">
        <v>0.54300000000000004</v>
      </c>
      <c r="Q44" s="2">
        <v>0.47</v>
      </c>
      <c r="R44" s="2">
        <v>0.7</v>
      </c>
      <c r="S44" s="2">
        <v>1</v>
      </c>
      <c r="T44" s="2">
        <v>0.68400000000000005</v>
      </c>
      <c r="U44" s="2">
        <v>0.3</v>
      </c>
      <c r="V44" s="2">
        <v>0.5</v>
      </c>
      <c r="W44" s="2">
        <v>0.8</v>
      </c>
      <c r="X44" s="2">
        <v>1.5</v>
      </c>
      <c r="Y44" s="2">
        <v>0.4</v>
      </c>
      <c r="Z44" s="2">
        <v>0.1</v>
      </c>
      <c r="AA44" s="2">
        <v>1.1000000000000001</v>
      </c>
      <c r="AB44" s="2">
        <v>0.6</v>
      </c>
      <c r="AC44" s="2">
        <v>3.9</v>
      </c>
      <c r="AD44" s="2"/>
    </row>
    <row r="45" spans="1:30" x14ac:dyDescent="0.2">
      <c r="A45" t="s">
        <v>152</v>
      </c>
      <c r="B45" s="2">
        <v>29</v>
      </c>
      <c r="C45" t="s">
        <v>35</v>
      </c>
      <c r="D45" s="2" t="s">
        <v>27</v>
      </c>
      <c r="E45" s="2">
        <v>23</v>
      </c>
      <c r="F45" s="2">
        <v>1</v>
      </c>
      <c r="G45" s="2">
        <v>24.1</v>
      </c>
      <c r="H45" s="2">
        <v>5.5</v>
      </c>
      <c r="I45" s="2">
        <v>11.6</v>
      </c>
      <c r="J45" s="2">
        <v>0.47699999999999998</v>
      </c>
      <c r="K45" s="2">
        <v>1.3</v>
      </c>
      <c r="L45" s="2">
        <v>3.3</v>
      </c>
      <c r="M45" s="2">
        <v>0.38200000000000001</v>
      </c>
      <c r="N45" s="2">
        <v>4.3</v>
      </c>
      <c r="O45" s="2">
        <v>8.3000000000000007</v>
      </c>
      <c r="P45" s="2">
        <v>0.51600000000000001</v>
      </c>
      <c r="Q45" s="2">
        <v>0.53200000000000003</v>
      </c>
      <c r="R45" s="2">
        <v>0.9</v>
      </c>
      <c r="S45" s="2">
        <v>1.3</v>
      </c>
      <c r="T45" s="2">
        <v>0.72399999999999998</v>
      </c>
      <c r="U45" s="2">
        <v>1.8</v>
      </c>
      <c r="V45" s="2">
        <v>5.8</v>
      </c>
      <c r="W45" s="2">
        <v>7.6</v>
      </c>
      <c r="X45" s="2">
        <v>1.7</v>
      </c>
      <c r="Y45" s="2">
        <v>0.6</v>
      </c>
      <c r="Z45" s="2">
        <v>0.6</v>
      </c>
      <c r="AA45" s="2">
        <v>1.2</v>
      </c>
      <c r="AB45" s="2">
        <v>1.5</v>
      </c>
      <c r="AC45" s="2">
        <v>13.2</v>
      </c>
      <c r="AD45" s="2"/>
    </row>
    <row r="46" spans="1:30" x14ac:dyDescent="0.2">
      <c r="A46" t="s">
        <v>303</v>
      </c>
      <c r="B46" s="2">
        <v>32</v>
      </c>
      <c r="C46" t="s">
        <v>72</v>
      </c>
      <c r="D46" s="2" t="s">
        <v>52</v>
      </c>
      <c r="E46" s="2">
        <v>11</v>
      </c>
      <c r="F46" s="2">
        <v>0</v>
      </c>
      <c r="G46" s="2">
        <v>25.2</v>
      </c>
      <c r="H46" s="2">
        <v>4.0999999999999996</v>
      </c>
      <c r="I46" s="2">
        <v>10.199999999999999</v>
      </c>
      <c r="J46" s="2">
        <v>0.40200000000000002</v>
      </c>
      <c r="K46" s="2">
        <v>2.2999999999999998</v>
      </c>
      <c r="L46" s="2">
        <v>6.8</v>
      </c>
      <c r="M46" s="2">
        <v>0.33300000000000002</v>
      </c>
      <c r="N46" s="2">
        <v>1.8</v>
      </c>
      <c r="O46" s="2">
        <v>3.4</v>
      </c>
      <c r="P46" s="2">
        <v>0.54100000000000004</v>
      </c>
      <c r="Q46" s="2">
        <v>0.51300000000000001</v>
      </c>
      <c r="R46" s="2">
        <v>1.5</v>
      </c>
      <c r="S46" s="2">
        <v>1.5</v>
      </c>
      <c r="T46" s="2">
        <v>0.94099999999999995</v>
      </c>
      <c r="U46" s="2">
        <v>0.7</v>
      </c>
      <c r="V46" s="2">
        <v>2.8</v>
      </c>
      <c r="W46" s="2">
        <v>3.5</v>
      </c>
      <c r="X46" s="2">
        <v>2.1</v>
      </c>
      <c r="Y46" s="2">
        <v>1</v>
      </c>
      <c r="Z46" s="2">
        <v>0.4</v>
      </c>
      <c r="AA46" s="2">
        <v>1.7</v>
      </c>
      <c r="AB46" s="2">
        <v>2.7</v>
      </c>
      <c r="AC46" s="2">
        <v>11.9</v>
      </c>
      <c r="AD46" s="2"/>
    </row>
    <row r="47" spans="1:30" x14ac:dyDescent="0.2">
      <c r="A47" t="s">
        <v>456</v>
      </c>
      <c r="B47" s="2">
        <v>25</v>
      </c>
      <c r="C47" t="s">
        <v>54</v>
      </c>
      <c r="D47" s="2" t="s">
        <v>27</v>
      </c>
      <c r="E47" s="2">
        <v>7</v>
      </c>
      <c r="F47" s="2">
        <v>0</v>
      </c>
      <c r="G47" s="2">
        <v>5.3</v>
      </c>
      <c r="H47" s="2">
        <v>1.3</v>
      </c>
      <c r="I47" s="2">
        <v>2.1</v>
      </c>
      <c r="J47" s="2">
        <v>0.6</v>
      </c>
      <c r="K47" s="2">
        <v>0.1</v>
      </c>
      <c r="L47" s="2">
        <v>0.7</v>
      </c>
      <c r="M47" s="2">
        <v>0.2</v>
      </c>
      <c r="N47" s="2">
        <v>1.1000000000000001</v>
      </c>
      <c r="O47" s="2">
        <v>1.4</v>
      </c>
      <c r="P47" s="2">
        <v>0.8</v>
      </c>
      <c r="Q47" s="2">
        <v>0.63300000000000001</v>
      </c>
      <c r="R47" s="2">
        <v>0.6</v>
      </c>
      <c r="S47" s="2">
        <v>0.9</v>
      </c>
      <c r="T47" s="2">
        <v>0.66700000000000004</v>
      </c>
      <c r="U47" s="2">
        <v>0.6</v>
      </c>
      <c r="V47" s="2">
        <v>1</v>
      </c>
      <c r="W47" s="2">
        <v>1.6</v>
      </c>
      <c r="X47" s="2">
        <v>0.1</v>
      </c>
      <c r="Y47" s="2">
        <v>0</v>
      </c>
      <c r="Z47" s="2">
        <v>0</v>
      </c>
      <c r="AA47" s="2">
        <v>0.4</v>
      </c>
      <c r="AB47" s="2">
        <v>0.1</v>
      </c>
      <c r="AC47" s="2">
        <v>3.3</v>
      </c>
      <c r="AD47" s="2"/>
    </row>
    <row r="48" spans="1:30" x14ac:dyDescent="0.2">
      <c r="A48" t="s">
        <v>368</v>
      </c>
      <c r="B48" s="2">
        <v>24</v>
      </c>
      <c r="C48" t="s">
        <v>77</v>
      </c>
      <c r="D48" s="2" t="s">
        <v>33</v>
      </c>
      <c r="E48" s="2">
        <v>10</v>
      </c>
      <c r="F48" s="2">
        <v>0</v>
      </c>
      <c r="G48" s="2">
        <v>10.4</v>
      </c>
      <c r="H48" s="2">
        <v>2.2999999999999998</v>
      </c>
      <c r="I48" s="2">
        <v>5.9</v>
      </c>
      <c r="J48" s="2">
        <v>0.39</v>
      </c>
      <c r="K48" s="2">
        <v>1.8</v>
      </c>
      <c r="L48" s="2">
        <v>4.0999999999999996</v>
      </c>
      <c r="M48" s="2">
        <v>0.439</v>
      </c>
      <c r="N48" s="2">
        <v>0.5</v>
      </c>
      <c r="O48" s="2">
        <v>1.8</v>
      </c>
      <c r="P48" s="2">
        <v>0.27800000000000002</v>
      </c>
      <c r="Q48" s="2">
        <v>0.54200000000000004</v>
      </c>
      <c r="R48" s="2">
        <v>1.3</v>
      </c>
      <c r="S48" s="2">
        <v>1.5</v>
      </c>
      <c r="T48" s="2">
        <v>0.86699999999999999</v>
      </c>
      <c r="U48" s="2">
        <v>0.3</v>
      </c>
      <c r="V48" s="2">
        <v>1</v>
      </c>
      <c r="W48" s="2">
        <v>1.3</v>
      </c>
      <c r="X48" s="2">
        <v>1</v>
      </c>
      <c r="Y48" s="2">
        <v>0.7</v>
      </c>
      <c r="Z48" s="2">
        <v>0.2</v>
      </c>
      <c r="AA48" s="2">
        <v>1.1000000000000001</v>
      </c>
      <c r="AB48" s="2">
        <v>1.3</v>
      </c>
      <c r="AC48" s="2">
        <v>7.7</v>
      </c>
      <c r="AD48" s="2"/>
    </row>
    <row r="49" spans="1:30" x14ac:dyDescent="0.2">
      <c r="A49" t="s">
        <v>182</v>
      </c>
      <c r="B49" s="2">
        <v>31</v>
      </c>
      <c r="C49" t="s">
        <v>54</v>
      </c>
      <c r="D49" s="2" t="s">
        <v>52</v>
      </c>
      <c r="E49" s="2">
        <v>15</v>
      </c>
      <c r="F49" s="2">
        <v>15</v>
      </c>
      <c r="G49" s="2">
        <v>33.5</v>
      </c>
      <c r="H49" s="2">
        <v>6.8</v>
      </c>
      <c r="I49" s="2">
        <v>13.8</v>
      </c>
      <c r="J49" s="2">
        <v>0.49299999999999999</v>
      </c>
      <c r="K49" s="2">
        <v>2.1</v>
      </c>
      <c r="L49" s="2">
        <v>5.7</v>
      </c>
      <c r="M49" s="2">
        <v>0.36</v>
      </c>
      <c r="N49" s="2">
        <v>4.7</v>
      </c>
      <c r="O49" s="2">
        <v>8.1</v>
      </c>
      <c r="P49" s="2">
        <v>0.58699999999999997</v>
      </c>
      <c r="Q49" s="2">
        <v>0.56799999999999995</v>
      </c>
      <c r="R49" s="2">
        <v>2.1</v>
      </c>
      <c r="S49" s="2">
        <v>2.7</v>
      </c>
      <c r="T49" s="2">
        <v>0.8</v>
      </c>
      <c r="U49" s="2">
        <v>0.7</v>
      </c>
      <c r="V49" s="2">
        <v>3.5</v>
      </c>
      <c r="W49" s="2">
        <v>4.2</v>
      </c>
      <c r="X49" s="2">
        <v>3.3</v>
      </c>
      <c r="Y49" s="2">
        <v>1.1000000000000001</v>
      </c>
      <c r="Z49" s="2">
        <v>0.7</v>
      </c>
      <c r="AA49" s="2">
        <v>2.2999999999999998</v>
      </c>
      <c r="AB49" s="2">
        <v>2.9</v>
      </c>
      <c r="AC49" s="2">
        <v>17.8</v>
      </c>
      <c r="AD49" s="2"/>
    </row>
    <row r="50" spans="1:30" x14ac:dyDescent="0.2">
      <c r="A50" t="s">
        <v>523</v>
      </c>
      <c r="B50" s="2">
        <v>25</v>
      </c>
      <c r="C50" t="s">
        <v>32</v>
      </c>
      <c r="D50" s="2" t="s">
        <v>42</v>
      </c>
      <c r="E50" s="2">
        <v>5</v>
      </c>
      <c r="F50" s="2">
        <v>0</v>
      </c>
      <c r="G50" s="2">
        <v>3.6</v>
      </c>
      <c r="H50" s="2">
        <v>0.2</v>
      </c>
      <c r="I50" s="2">
        <v>1.4</v>
      </c>
      <c r="J50" s="2">
        <v>0.14299999999999999</v>
      </c>
      <c r="K50" s="2">
        <v>0</v>
      </c>
      <c r="L50" s="2">
        <v>1</v>
      </c>
      <c r="M50" s="2">
        <v>0</v>
      </c>
      <c r="N50" s="2">
        <v>0.2</v>
      </c>
      <c r="O50" s="2">
        <v>0.4</v>
      </c>
      <c r="P50" s="2">
        <v>0.5</v>
      </c>
      <c r="Q50" s="2">
        <v>0.14299999999999999</v>
      </c>
      <c r="R50" s="2">
        <v>0.4</v>
      </c>
      <c r="S50" s="2">
        <v>0.4</v>
      </c>
      <c r="T50" s="2">
        <v>1</v>
      </c>
      <c r="U50" s="2">
        <v>0.6</v>
      </c>
      <c r="V50" s="2">
        <v>1</v>
      </c>
      <c r="W50" s="2">
        <v>1.6</v>
      </c>
      <c r="X50" s="2">
        <v>0.4</v>
      </c>
      <c r="Y50" s="2">
        <v>0.2</v>
      </c>
      <c r="Z50" s="2">
        <v>0.2</v>
      </c>
      <c r="AA50" s="2">
        <v>0</v>
      </c>
      <c r="AB50" s="2">
        <v>0.2</v>
      </c>
      <c r="AC50" s="2">
        <v>0.8</v>
      </c>
      <c r="AD50" s="2"/>
    </row>
    <row r="51" spans="1:30" x14ac:dyDescent="0.2">
      <c r="A51" t="s">
        <v>247</v>
      </c>
      <c r="B51" s="2">
        <v>21</v>
      </c>
      <c r="C51" t="s">
        <v>100</v>
      </c>
      <c r="D51" s="2" t="s">
        <v>52</v>
      </c>
      <c r="E51" s="2">
        <v>23</v>
      </c>
      <c r="F51" s="2">
        <v>8</v>
      </c>
      <c r="G51" s="2">
        <v>24.9</v>
      </c>
      <c r="H51" s="2">
        <v>3</v>
      </c>
      <c r="I51" s="2">
        <v>8</v>
      </c>
      <c r="J51" s="2">
        <v>0.38</v>
      </c>
      <c r="K51" s="2">
        <v>0.9</v>
      </c>
      <c r="L51" s="2">
        <v>3.7</v>
      </c>
      <c r="M51" s="2">
        <v>0.247</v>
      </c>
      <c r="N51" s="2">
        <v>2.1</v>
      </c>
      <c r="O51" s="2">
        <v>4.3</v>
      </c>
      <c r="P51" s="2">
        <v>0.495</v>
      </c>
      <c r="Q51" s="2">
        <v>0.438</v>
      </c>
      <c r="R51" s="2">
        <v>0.9</v>
      </c>
      <c r="S51" s="2">
        <v>1.2</v>
      </c>
      <c r="T51" s="2">
        <v>0.75</v>
      </c>
      <c r="U51" s="2">
        <v>1</v>
      </c>
      <c r="V51" s="2">
        <v>3.7</v>
      </c>
      <c r="W51" s="2">
        <v>4.8</v>
      </c>
      <c r="X51" s="2">
        <v>3.4</v>
      </c>
      <c r="Y51" s="2">
        <v>0.8</v>
      </c>
      <c r="Z51" s="2">
        <v>0.3</v>
      </c>
      <c r="AA51" s="2">
        <v>1.3</v>
      </c>
      <c r="AB51" s="2">
        <v>1.7</v>
      </c>
      <c r="AC51" s="2">
        <v>7.9</v>
      </c>
      <c r="AD51" s="2"/>
    </row>
    <row r="52" spans="1:30" x14ac:dyDescent="0.2">
      <c r="A52" t="s">
        <v>177</v>
      </c>
      <c r="B52" s="2">
        <v>23</v>
      </c>
      <c r="C52" t="s">
        <v>117</v>
      </c>
      <c r="D52" s="2" t="s">
        <v>52</v>
      </c>
      <c r="E52" s="2">
        <v>23</v>
      </c>
      <c r="F52" s="2">
        <v>10</v>
      </c>
      <c r="G52" s="2">
        <v>27.5</v>
      </c>
      <c r="H52" s="2">
        <v>4.5</v>
      </c>
      <c r="I52" s="2">
        <v>10.3</v>
      </c>
      <c r="J52" s="2">
        <v>0.436</v>
      </c>
      <c r="K52" s="2">
        <v>1.3</v>
      </c>
      <c r="L52" s="2">
        <v>4</v>
      </c>
      <c r="M52" s="2">
        <v>0.32300000000000001</v>
      </c>
      <c r="N52" s="2">
        <v>3.2</v>
      </c>
      <c r="O52" s="2">
        <v>6.2</v>
      </c>
      <c r="P52" s="2">
        <v>0.51</v>
      </c>
      <c r="Q52" s="2">
        <v>0.5</v>
      </c>
      <c r="R52" s="2">
        <v>1.7</v>
      </c>
      <c r="S52" s="2">
        <v>2</v>
      </c>
      <c r="T52" s="2">
        <v>0.85099999999999998</v>
      </c>
      <c r="U52" s="2">
        <v>0.7</v>
      </c>
      <c r="V52" s="2">
        <v>3</v>
      </c>
      <c r="W52" s="2">
        <v>3.7</v>
      </c>
      <c r="X52" s="2">
        <v>3.3</v>
      </c>
      <c r="Y52" s="2">
        <v>1.5</v>
      </c>
      <c r="Z52" s="2">
        <v>0.3</v>
      </c>
      <c r="AA52" s="2">
        <v>1.5</v>
      </c>
      <c r="AB52" s="2">
        <v>1.8</v>
      </c>
      <c r="AC52" s="2">
        <v>12</v>
      </c>
      <c r="AD52" s="2"/>
    </row>
    <row r="53" spans="1:30" x14ac:dyDescent="0.2">
      <c r="A53" t="s">
        <v>251</v>
      </c>
      <c r="B53" s="2">
        <v>28</v>
      </c>
      <c r="C53" t="s">
        <v>80</v>
      </c>
      <c r="D53" s="2" t="s">
        <v>27</v>
      </c>
      <c r="E53" s="2">
        <v>24</v>
      </c>
      <c r="F53" s="2">
        <v>15</v>
      </c>
      <c r="G53" s="2">
        <v>18.5</v>
      </c>
      <c r="H53" s="2">
        <v>3.4</v>
      </c>
      <c r="I53" s="2">
        <v>5.6</v>
      </c>
      <c r="J53" s="2">
        <v>0.61199999999999999</v>
      </c>
      <c r="K53" s="2">
        <v>0</v>
      </c>
      <c r="L53" s="2">
        <v>0.7</v>
      </c>
      <c r="M53" s="2">
        <v>6.3E-2</v>
      </c>
      <c r="N53" s="2">
        <v>3.4</v>
      </c>
      <c r="O53" s="2">
        <v>4.9000000000000004</v>
      </c>
      <c r="P53" s="2">
        <v>0.68600000000000005</v>
      </c>
      <c r="Q53" s="2">
        <v>0.61599999999999999</v>
      </c>
      <c r="R53" s="2">
        <v>0.5</v>
      </c>
      <c r="S53" s="2">
        <v>0.8</v>
      </c>
      <c r="T53" s="2">
        <v>0.63200000000000001</v>
      </c>
      <c r="U53" s="2">
        <v>1.6</v>
      </c>
      <c r="V53" s="2">
        <v>3.3</v>
      </c>
      <c r="W53" s="2">
        <v>4.9000000000000004</v>
      </c>
      <c r="X53" s="2">
        <v>1</v>
      </c>
      <c r="Y53" s="2">
        <v>0.8</v>
      </c>
      <c r="Z53" s="2">
        <v>0.4</v>
      </c>
      <c r="AA53" s="2">
        <v>0.4</v>
      </c>
      <c r="AB53" s="2">
        <v>2</v>
      </c>
      <c r="AC53" s="2">
        <v>7.4</v>
      </c>
      <c r="AD53" s="2"/>
    </row>
    <row r="54" spans="1:30" x14ac:dyDescent="0.2">
      <c r="A54" t="s">
        <v>116</v>
      </c>
      <c r="B54" s="2">
        <v>27</v>
      </c>
      <c r="C54" t="s">
        <v>117</v>
      </c>
      <c r="D54" s="2" t="s">
        <v>49</v>
      </c>
      <c r="E54" s="2">
        <v>18</v>
      </c>
      <c r="F54" s="2">
        <v>18</v>
      </c>
      <c r="G54" s="2">
        <v>33.1</v>
      </c>
      <c r="H54" s="2">
        <v>8.6</v>
      </c>
      <c r="I54" s="2">
        <v>18.5</v>
      </c>
      <c r="J54" s="2">
        <v>0.46500000000000002</v>
      </c>
      <c r="K54" s="2">
        <v>2.4</v>
      </c>
      <c r="L54" s="2">
        <v>6.4</v>
      </c>
      <c r="M54" s="2">
        <v>0.374</v>
      </c>
      <c r="N54" s="2">
        <v>6.2</v>
      </c>
      <c r="O54" s="2">
        <v>12.1</v>
      </c>
      <c r="P54" s="2">
        <v>0.51400000000000001</v>
      </c>
      <c r="Q54" s="2">
        <v>0.53</v>
      </c>
      <c r="R54" s="2">
        <v>2.6</v>
      </c>
      <c r="S54" s="2">
        <v>3.1</v>
      </c>
      <c r="T54" s="2">
        <v>0.85499999999999998</v>
      </c>
      <c r="U54" s="2">
        <v>0.9</v>
      </c>
      <c r="V54" s="2">
        <v>4.5999999999999996</v>
      </c>
      <c r="W54" s="2">
        <v>5.6</v>
      </c>
      <c r="X54" s="2">
        <v>5.2</v>
      </c>
      <c r="Y54" s="2">
        <v>0.9</v>
      </c>
      <c r="Z54" s="2">
        <v>0.6</v>
      </c>
      <c r="AA54" s="2">
        <v>3.8</v>
      </c>
      <c r="AB54" s="2">
        <v>2.5</v>
      </c>
      <c r="AC54" s="2">
        <v>22.2</v>
      </c>
      <c r="AD54" s="2"/>
    </row>
    <row r="55" spans="1:30" x14ac:dyDescent="0.2">
      <c r="A55" t="s">
        <v>95</v>
      </c>
      <c r="B55" s="2">
        <v>22</v>
      </c>
      <c r="C55" t="s">
        <v>59</v>
      </c>
      <c r="D55" s="2" t="s">
        <v>49</v>
      </c>
      <c r="E55" s="2">
        <v>20</v>
      </c>
      <c r="F55" s="2">
        <v>20</v>
      </c>
      <c r="G55" s="2">
        <v>34.4</v>
      </c>
      <c r="H55" s="2">
        <v>7.7</v>
      </c>
      <c r="I55" s="2">
        <v>18.8</v>
      </c>
      <c r="J55" s="2">
        <v>0.40699999999999997</v>
      </c>
      <c r="K55" s="2">
        <v>4</v>
      </c>
      <c r="L55" s="2">
        <v>11</v>
      </c>
      <c r="M55" s="2">
        <v>0.36499999999999999</v>
      </c>
      <c r="N55" s="2">
        <v>3.7</v>
      </c>
      <c r="O55" s="2">
        <v>7.9</v>
      </c>
      <c r="P55" s="2">
        <v>0.46500000000000002</v>
      </c>
      <c r="Q55" s="2">
        <v>0.51300000000000001</v>
      </c>
      <c r="R55" s="2">
        <v>2.8</v>
      </c>
      <c r="S55" s="2">
        <v>3.1</v>
      </c>
      <c r="T55" s="2">
        <v>0.90200000000000002</v>
      </c>
      <c r="U55" s="2">
        <v>1.1000000000000001</v>
      </c>
      <c r="V55" s="2">
        <v>4.2</v>
      </c>
      <c r="W55" s="2">
        <v>5.2</v>
      </c>
      <c r="X55" s="2">
        <v>3.5</v>
      </c>
      <c r="Y55" s="2">
        <v>1.2</v>
      </c>
      <c r="Z55" s="2">
        <v>0.8</v>
      </c>
      <c r="AA55" s="2">
        <v>2.8</v>
      </c>
      <c r="AB55" s="2">
        <v>2.8</v>
      </c>
      <c r="AC55" s="2">
        <v>22.1</v>
      </c>
      <c r="AD55" s="2"/>
    </row>
    <row r="56" spans="1:30" x14ac:dyDescent="0.2">
      <c r="A56" t="s">
        <v>514</v>
      </c>
      <c r="B56" s="2">
        <v>25</v>
      </c>
      <c r="C56" t="s">
        <v>63</v>
      </c>
      <c r="D56" s="2" t="s">
        <v>33</v>
      </c>
      <c r="E56" s="2">
        <v>5</v>
      </c>
      <c r="F56" s="2">
        <v>0</v>
      </c>
      <c r="G56" s="2">
        <v>4.2</v>
      </c>
      <c r="H56" s="2">
        <v>0.4</v>
      </c>
      <c r="I56" s="2">
        <v>1.8</v>
      </c>
      <c r="J56" s="2">
        <v>0.222</v>
      </c>
      <c r="K56" s="2">
        <v>0</v>
      </c>
      <c r="L56" s="2">
        <v>0.4</v>
      </c>
      <c r="M56" s="2">
        <v>0</v>
      </c>
      <c r="N56" s="2">
        <v>0.4</v>
      </c>
      <c r="O56" s="2">
        <v>1.4</v>
      </c>
      <c r="P56" s="2">
        <v>0.28599999999999998</v>
      </c>
      <c r="Q56" s="2">
        <v>0.222</v>
      </c>
      <c r="R56" s="2">
        <v>0.4</v>
      </c>
      <c r="S56" s="2">
        <v>0.6</v>
      </c>
      <c r="T56" s="2">
        <v>0.66700000000000004</v>
      </c>
      <c r="U56" s="2">
        <v>0.2</v>
      </c>
      <c r="V56" s="2">
        <v>0.6</v>
      </c>
      <c r="W56" s="2">
        <v>0.8</v>
      </c>
      <c r="X56" s="2">
        <v>0.4</v>
      </c>
      <c r="Y56" s="2">
        <v>0</v>
      </c>
      <c r="Z56" s="2">
        <v>0</v>
      </c>
      <c r="AA56" s="2">
        <v>0.4</v>
      </c>
      <c r="AB56" s="2">
        <v>0.4</v>
      </c>
      <c r="AC56" s="2">
        <v>1.2</v>
      </c>
      <c r="AD56" s="2"/>
    </row>
    <row r="57" spans="1:30" x14ac:dyDescent="0.2">
      <c r="A57" t="s">
        <v>297</v>
      </c>
      <c r="B57" s="2">
        <v>21</v>
      </c>
      <c r="C57" t="s">
        <v>120</v>
      </c>
      <c r="D57" s="2" t="s">
        <v>49</v>
      </c>
      <c r="E57" s="2">
        <v>17</v>
      </c>
      <c r="F57" s="2">
        <v>0</v>
      </c>
      <c r="G57" s="2">
        <v>16.600000000000001</v>
      </c>
      <c r="H57" s="2">
        <v>2.9</v>
      </c>
      <c r="I57" s="2">
        <v>6.2</v>
      </c>
      <c r="J57" s="2">
        <v>0.46200000000000002</v>
      </c>
      <c r="K57" s="2">
        <v>1.6</v>
      </c>
      <c r="L57" s="2">
        <v>3.9</v>
      </c>
      <c r="M57" s="2">
        <v>0.41799999999999998</v>
      </c>
      <c r="N57" s="2">
        <v>1.2</v>
      </c>
      <c r="O57" s="2">
        <v>2.2999999999999998</v>
      </c>
      <c r="P57" s="2">
        <v>0.53800000000000003</v>
      </c>
      <c r="Q57" s="2">
        <v>0.59399999999999997</v>
      </c>
      <c r="R57" s="2">
        <v>0.7</v>
      </c>
      <c r="S57" s="2">
        <v>0.8</v>
      </c>
      <c r="T57" s="2">
        <v>0.92300000000000004</v>
      </c>
      <c r="U57" s="2">
        <v>0.6</v>
      </c>
      <c r="V57" s="2">
        <v>1.5</v>
      </c>
      <c r="W57" s="2">
        <v>2.2000000000000002</v>
      </c>
      <c r="X57" s="2">
        <v>1</v>
      </c>
      <c r="Y57" s="2">
        <v>0.6</v>
      </c>
      <c r="Z57" s="2">
        <v>0.1</v>
      </c>
      <c r="AA57" s="2">
        <v>1.5</v>
      </c>
      <c r="AB57" s="2">
        <v>0.9</v>
      </c>
      <c r="AC57" s="2">
        <v>8.1</v>
      </c>
      <c r="AD57" s="2"/>
    </row>
    <row r="58" spans="1:30" x14ac:dyDescent="0.2">
      <c r="A58" t="s">
        <v>527</v>
      </c>
      <c r="B58" s="2">
        <v>20</v>
      </c>
      <c r="C58" t="s">
        <v>41</v>
      </c>
      <c r="D58" s="2" t="s">
        <v>52</v>
      </c>
      <c r="E58" s="2">
        <v>7</v>
      </c>
      <c r="F58" s="2">
        <v>0</v>
      </c>
      <c r="G58" s="2">
        <v>2.6</v>
      </c>
      <c r="H58" s="2">
        <v>0.1</v>
      </c>
      <c r="I58" s="2">
        <v>1.1000000000000001</v>
      </c>
      <c r="J58" s="2">
        <v>0.125</v>
      </c>
      <c r="K58" s="2">
        <v>0</v>
      </c>
      <c r="L58" s="2">
        <v>0.6</v>
      </c>
      <c r="M58" s="2">
        <v>0</v>
      </c>
      <c r="N58" s="2">
        <v>0.1</v>
      </c>
      <c r="O58" s="2">
        <v>0.6</v>
      </c>
      <c r="P58" s="2">
        <v>0.25</v>
      </c>
      <c r="Q58" s="2">
        <v>0.125</v>
      </c>
      <c r="R58" s="2">
        <v>0.3</v>
      </c>
      <c r="S58" s="2">
        <v>0.3</v>
      </c>
      <c r="T58" s="2">
        <v>1</v>
      </c>
      <c r="U58" s="2">
        <v>0.1</v>
      </c>
      <c r="V58" s="2">
        <v>0</v>
      </c>
      <c r="W58" s="2">
        <v>0.1</v>
      </c>
      <c r="X58" s="2">
        <v>0.3</v>
      </c>
      <c r="Y58" s="2">
        <v>0.1</v>
      </c>
      <c r="Z58" s="2">
        <v>0.1</v>
      </c>
      <c r="AA58" s="2">
        <v>0</v>
      </c>
      <c r="AB58" s="2">
        <v>0.3</v>
      </c>
      <c r="AC58" s="2">
        <v>0.6</v>
      </c>
      <c r="AD58" s="2"/>
    </row>
    <row r="59" spans="1:30" x14ac:dyDescent="0.2">
      <c r="A59" t="s">
        <v>185</v>
      </c>
      <c r="B59" s="2">
        <v>36</v>
      </c>
      <c r="C59" t="s">
        <v>35</v>
      </c>
      <c r="D59" s="2" t="s">
        <v>42</v>
      </c>
      <c r="E59" s="2">
        <v>24</v>
      </c>
      <c r="F59" s="2">
        <v>24</v>
      </c>
      <c r="G59" s="2">
        <v>32.700000000000003</v>
      </c>
      <c r="H59" s="2">
        <v>4.0999999999999996</v>
      </c>
      <c r="I59" s="2">
        <v>8.9</v>
      </c>
      <c r="J59" s="2">
        <v>0.46500000000000002</v>
      </c>
      <c r="K59" s="2">
        <v>1.8</v>
      </c>
      <c r="L59" s="2">
        <v>5</v>
      </c>
      <c r="M59" s="2">
        <v>0.35499999999999998</v>
      </c>
      <c r="N59" s="2">
        <v>2.2999999999999998</v>
      </c>
      <c r="O59" s="2">
        <v>3.8</v>
      </c>
      <c r="P59" s="2">
        <v>0.60899999999999999</v>
      </c>
      <c r="Q59" s="2">
        <v>0.56599999999999995</v>
      </c>
      <c r="R59" s="2">
        <v>1</v>
      </c>
      <c r="S59" s="2">
        <v>1.4</v>
      </c>
      <c r="T59" s="2">
        <v>0.70599999999999996</v>
      </c>
      <c r="U59" s="2">
        <v>1.3</v>
      </c>
      <c r="V59" s="2">
        <v>3.8</v>
      </c>
      <c r="W59" s="2">
        <v>5</v>
      </c>
      <c r="X59" s="2">
        <v>1.6</v>
      </c>
      <c r="Y59" s="2">
        <v>1.1000000000000001</v>
      </c>
      <c r="Z59" s="2">
        <v>2.1</v>
      </c>
      <c r="AA59" s="2">
        <v>1.2</v>
      </c>
      <c r="AB59" s="2">
        <v>2.5</v>
      </c>
      <c r="AC59" s="2">
        <v>11</v>
      </c>
      <c r="AD59" s="2"/>
    </row>
    <row r="60" spans="1:30" x14ac:dyDescent="0.2">
      <c r="A60" t="s">
        <v>391</v>
      </c>
      <c r="B60" s="2">
        <v>26</v>
      </c>
      <c r="C60" t="s">
        <v>66</v>
      </c>
      <c r="D60" s="2" t="s">
        <v>42</v>
      </c>
      <c r="E60" s="2">
        <v>16</v>
      </c>
      <c r="F60" s="2">
        <v>2</v>
      </c>
      <c r="G60" s="2">
        <v>8.9</v>
      </c>
      <c r="H60" s="2">
        <v>1.6</v>
      </c>
      <c r="I60" s="2">
        <v>3</v>
      </c>
      <c r="J60" s="2">
        <v>0.54200000000000004</v>
      </c>
      <c r="K60" s="2">
        <v>0</v>
      </c>
      <c r="L60" s="2">
        <v>0</v>
      </c>
      <c r="M60" s="2"/>
      <c r="N60" s="2">
        <v>1.6</v>
      </c>
      <c r="O60" s="2">
        <v>3</v>
      </c>
      <c r="P60" s="2">
        <v>0.54200000000000004</v>
      </c>
      <c r="Q60" s="2">
        <v>0.54200000000000004</v>
      </c>
      <c r="R60" s="2">
        <v>0.4</v>
      </c>
      <c r="S60" s="2">
        <v>0.5</v>
      </c>
      <c r="T60" s="2">
        <v>0.75</v>
      </c>
      <c r="U60" s="2">
        <v>1.3</v>
      </c>
      <c r="V60" s="2">
        <v>1.8</v>
      </c>
      <c r="W60" s="2">
        <v>3.1</v>
      </c>
      <c r="X60" s="2">
        <v>1.1000000000000001</v>
      </c>
      <c r="Y60" s="2">
        <v>0.3</v>
      </c>
      <c r="Z60" s="2">
        <v>0.6</v>
      </c>
      <c r="AA60" s="2">
        <v>0.9</v>
      </c>
      <c r="AB60" s="2">
        <v>1.6</v>
      </c>
      <c r="AC60" s="2">
        <v>3.6</v>
      </c>
      <c r="AD60" s="2"/>
    </row>
    <row r="61" spans="1:30" x14ac:dyDescent="0.2">
      <c r="A61" t="s">
        <v>549</v>
      </c>
      <c r="B61" s="2">
        <v>22</v>
      </c>
      <c r="C61" t="s">
        <v>135</v>
      </c>
      <c r="D61" s="2" t="s">
        <v>52</v>
      </c>
      <c r="E61" s="2">
        <v>1</v>
      </c>
      <c r="F61" s="2">
        <v>0</v>
      </c>
      <c r="G61" s="2">
        <v>3</v>
      </c>
      <c r="H61" s="2">
        <v>1</v>
      </c>
      <c r="I61" s="2">
        <v>2</v>
      </c>
      <c r="J61" s="2">
        <v>0.5</v>
      </c>
      <c r="K61" s="2">
        <v>0</v>
      </c>
      <c r="L61" s="2">
        <v>1</v>
      </c>
      <c r="M61" s="2">
        <v>0</v>
      </c>
      <c r="N61" s="2">
        <v>1</v>
      </c>
      <c r="O61" s="2">
        <v>1</v>
      </c>
      <c r="P61" s="2">
        <v>1</v>
      </c>
      <c r="Q61" s="2">
        <v>0.5</v>
      </c>
      <c r="R61" s="2">
        <v>0</v>
      </c>
      <c r="S61" s="2">
        <v>0</v>
      </c>
      <c r="T61" s="2"/>
      <c r="U61" s="2">
        <v>0</v>
      </c>
      <c r="V61" s="2">
        <v>0</v>
      </c>
      <c r="W61" s="2">
        <v>0</v>
      </c>
      <c r="X61" s="2">
        <v>1</v>
      </c>
      <c r="Y61" s="2">
        <v>0</v>
      </c>
      <c r="Z61" s="2">
        <v>0</v>
      </c>
      <c r="AA61" s="2">
        <v>0</v>
      </c>
      <c r="AB61" s="2">
        <v>0</v>
      </c>
      <c r="AC61" s="2">
        <v>2</v>
      </c>
      <c r="AD61" s="2"/>
    </row>
    <row r="62" spans="1:30" x14ac:dyDescent="0.2">
      <c r="A62" t="s">
        <v>131</v>
      </c>
      <c r="B62" s="2">
        <v>32</v>
      </c>
      <c r="C62" t="s">
        <v>100</v>
      </c>
      <c r="D62" s="2" t="s">
        <v>52</v>
      </c>
      <c r="E62" s="2">
        <v>24</v>
      </c>
      <c r="F62" s="2">
        <v>4</v>
      </c>
      <c r="G62" s="2">
        <v>23.9</v>
      </c>
      <c r="H62" s="2">
        <v>5.0999999999999996</v>
      </c>
      <c r="I62" s="2">
        <v>11.3</v>
      </c>
      <c r="J62" s="2">
        <v>0.45600000000000002</v>
      </c>
      <c r="K62" s="2">
        <v>3.3</v>
      </c>
      <c r="L62" s="2">
        <v>7.6</v>
      </c>
      <c r="M62" s="2">
        <v>0.42599999999999999</v>
      </c>
      <c r="N62" s="2">
        <v>1.9</v>
      </c>
      <c r="O62" s="2">
        <v>3.6</v>
      </c>
      <c r="P62" s="2">
        <v>0.51700000000000002</v>
      </c>
      <c r="Q62" s="2">
        <v>0.6</v>
      </c>
      <c r="R62" s="2">
        <v>1</v>
      </c>
      <c r="S62" s="2">
        <v>1.1000000000000001</v>
      </c>
      <c r="T62" s="2">
        <v>0.92300000000000004</v>
      </c>
      <c r="U62" s="2">
        <v>0.6</v>
      </c>
      <c r="V62" s="2">
        <v>2.9</v>
      </c>
      <c r="W62" s="2">
        <v>3.5</v>
      </c>
      <c r="X62" s="2">
        <v>1.4</v>
      </c>
      <c r="Y62" s="2">
        <v>0.9</v>
      </c>
      <c r="Z62" s="2">
        <v>0.3</v>
      </c>
      <c r="AA62" s="2">
        <v>1.2</v>
      </c>
      <c r="AB62" s="2">
        <v>2</v>
      </c>
      <c r="AC62" s="2">
        <v>14.5</v>
      </c>
      <c r="AD62" s="2"/>
    </row>
    <row r="63" spans="1:30" x14ac:dyDescent="0.2">
      <c r="A63" t="s">
        <v>74</v>
      </c>
      <c r="B63" s="2">
        <v>23</v>
      </c>
      <c r="C63" t="s">
        <v>75</v>
      </c>
      <c r="D63" s="2" t="s">
        <v>33</v>
      </c>
      <c r="E63" s="2">
        <v>22</v>
      </c>
      <c r="F63" s="2">
        <v>22</v>
      </c>
      <c r="G63" s="2">
        <v>35.9</v>
      </c>
      <c r="H63" s="2">
        <v>9</v>
      </c>
      <c r="I63" s="2">
        <v>19.8</v>
      </c>
      <c r="J63" s="2">
        <v>0.45300000000000001</v>
      </c>
      <c r="K63" s="2">
        <v>2.4</v>
      </c>
      <c r="L63" s="2">
        <v>6.3</v>
      </c>
      <c r="M63" s="2">
        <v>0.38100000000000001</v>
      </c>
      <c r="N63" s="2">
        <v>6.5</v>
      </c>
      <c r="O63" s="2">
        <v>13.5</v>
      </c>
      <c r="P63" s="2">
        <v>0.48599999999999999</v>
      </c>
      <c r="Q63" s="2">
        <v>0.51400000000000001</v>
      </c>
      <c r="R63" s="2">
        <v>3.3</v>
      </c>
      <c r="S63" s="2">
        <v>4.2</v>
      </c>
      <c r="T63" s="2">
        <v>0.78500000000000003</v>
      </c>
      <c r="U63" s="2">
        <v>1.1000000000000001</v>
      </c>
      <c r="V63" s="2">
        <v>6.2</v>
      </c>
      <c r="W63" s="2">
        <v>7.3</v>
      </c>
      <c r="X63" s="2">
        <v>9.3000000000000007</v>
      </c>
      <c r="Y63" s="2">
        <v>0.9</v>
      </c>
      <c r="Z63" s="2">
        <v>0.8</v>
      </c>
      <c r="AA63" s="2">
        <v>4.5999999999999996</v>
      </c>
      <c r="AB63" s="2">
        <v>2.6</v>
      </c>
      <c r="AC63" s="2">
        <v>23.6</v>
      </c>
      <c r="AD63" s="2"/>
    </row>
    <row r="64" spans="1:30" x14ac:dyDescent="0.2">
      <c r="A64" t="s">
        <v>462</v>
      </c>
      <c r="B64" s="2">
        <v>22</v>
      </c>
      <c r="C64" t="s">
        <v>48</v>
      </c>
      <c r="D64" s="2" t="s">
        <v>49</v>
      </c>
      <c r="E64" s="2">
        <v>17</v>
      </c>
      <c r="F64" s="2">
        <v>0</v>
      </c>
      <c r="G64" s="2">
        <v>5.5</v>
      </c>
      <c r="H64" s="2">
        <v>0.4</v>
      </c>
      <c r="I64" s="2">
        <v>1.4</v>
      </c>
      <c r="J64" s="2">
        <v>0.29199999999999998</v>
      </c>
      <c r="K64" s="2">
        <v>0.3</v>
      </c>
      <c r="L64" s="2">
        <v>1.2</v>
      </c>
      <c r="M64" s="2">
        <v>0.25</v>
      </c>
      <c r="N64" s="2">
        <v>0.1</v>
      </c>
      <c r="O64" s="2">
        <v>0.2</v>
      </c>
      <c r="P64" s="2">
        <v>0.5</v>
      </c>
      <c r="Q64" s="2">
        <v>0.39600000000000002</v>
      </c>
      <c r="R64" s="2">
        <v>0.1</v>
      </c>
      <c r="S64" s="2">
        <v>0.1</v>
      </c>
      <c r="T64" s="2">
        <v>1</v>
      </c>
      <c r="U64" s="2">
        <v>0.1</v>
      </c>
      <c r="V64" s="2">
        <v>0.4</v>
      </c>
      <c r="W64" s="2">
        <v>0.5</v>
      </c>
      <c r="X64" s="2">
        <v>0.1</v>
      </c>
      <c r="Y64" s="2">
        <v>0</v>
      </c>
      <c r="Z64" s="2">
        <v>0.1</v>
      </c>
      <c r="AA64" s="2">
        <v>0.1</v>
      </c>
      <c r="AB64" s="2">
        <v>0.4</v>
      </c>
      <c r="AC64" s="2">
        <v>1.2</v>
      </c>
      <c r="AD64" s="2"/>
    </row>
    <row r="65" spans="1:30" x14ac:dyDescent="0.2">
      <c r="A65" t="s">
        <v>257</v>
      </c>
      <c r="B65" s="2">
        <v>29</v>
      </c>
      <c r="C65" t="s">
        <v>122</v>
      </c>
      <c r="D65" s="2" t="s">
        <v>49</v>
      </c>
      <c r="E65" s="2">
        <v>20</v>
      </c>
      <c r="F65" s="2">
        <v>15</v>
      </c>
      <c r="G65" s="2">
        <v>29.1</v>
      </c>
      <c r="H65" s="2">
        <v>3</v>
      </c>
      <c r="I65" s="2">
        <v>7.4</v>
      </c>
      <c r="J65" s="2">
        <v>0.40500000000000003</v>
      </c>
      <c r="K65" s="2">
        <v>0.8</v>
      </c>
      <c r="L65" s="2">
        <v>2.6</v>
      </c>
      <c r="M65" s="2">
        <v>0.29399999999999998</v>
      </c>
      <c r="N65" s="2">
        <v>2.2999999999999998</v>
      </c>
      <c r="O65" s="2">
        <v>4.9000000000000004</v>
      </c>
      <c r="P65" s="2">
        <v>0.46400000000000002</v>
      </c>
      <c r="Q65" s="2">
        <v>0.45600000000000002</v>
      </c>
      <c r="R65" s="2">
        <v>2</v>
      </c>
      <c r="S65" s="2">
        <v>2.9</v>
      </c>
      <c r="T65" s="2">
        <v>0.67200000000000004</v>
      </c>
      <c r="U65" s="2">
        <v>1.4</v>
      </c>
      <c r="V65" s="2">
        <v>3.3</v>
      </c>
      <c r="W65" s="2">
        <v>4.5999999999999996</v>
      </c>
      <c r="X65" s="2">
        <v>2.2999999999999998</v>
      </c>
      <c r="Y65" s="2">
        <v>1</v>
      </c>
      <c r="Z65" s="2">
        <v>0.5</v>
      </c>
      <c r="AA65" s="2">
        <v>1.8</v>
      </c>
      <c r="AB65" s="2">
        <v>1.7</v>
      </c>
      <c r="AC65" s="2">
        <v>8.6999999999999993</v>
      </c>
      <c r="AD65" s="2"/>
    </row>
    <row r="66" spans="1:30" x14ac:dyDescent="0.2">
      <c r="A66" t="s">
        <v>516</v>
      </c>
      <c r="B66" s="2">
        <v>19</v>
      </c>
      <c r="C66" t="s">
        <v>77</v>
      </c>
      <c r="D66" s="2" t="s">
        <v>52</v>
      </c>
      <c r="E66" s="2">
        <v>1</v>
      </c>
      <c r="F66" s="2">
        <v>0</v>
      </c>
      <c r="G66" s="2">
        <v>18</v>
      </c>
      <c r="H66" s="2">
        <v>2</v>
      </c>
      <c r="I66" s="2">
        <v>7</v>
      </c>
      <c r="J66" s="2">
        <v>0.28599999999999998</v>
      </c>
      <c r="K66" s="2">
        <v>1</v>
      </c>
      <c r="L66" s="2">
        <v>4</v>
      </c>
      <c r="M66" s="2">
        <v>0.25</v>
      </c>
      <c r="N66" s="2">
        <v>1</v>
      </c>
      <c r="O66" s="2">
        <v>3</v>
      </c>
      <c r="P66" s="2">
        <v>0.33300000000000002</v>
      </c>
      <c r="Q66" s="2">
        <v>0.35699999999999998</v>
      </c>
      <c r="R66" s="2">
        <v>0</v>
      </c>
      <c r="S66" s="2">
        <v>0</v>
      </c>
      <c r="T66" s="2"/>
      <c r="U66" s="2">
        <v>1</v>
      </c>
      <c r="V66" s="2">
        <v>2</v>
      </c>
      <c r="W66" s="2">
        <v>3</v>
      </c>
      <c r="X66" s="2">
        <v>0</v>
      </c>
      <c r="Y66" s="2">
        <v>2</v>
      </c>
      <c r="Z66" s="2">
        <v>0</v>
      </c>
      <c r="AA66" s="2">
        <v>1</v>
      </c>
      <c r="AB66" s="2">
        <v>0</v>
      </c>
      <c r="AC66" s="2">
        <v>5</v>
      </c>
      <c r="AD66" s="2"/>
    </row>
    <row r="67" spans="1:30" x14ac:dyDescent="0.2">
      <c r="A67" t="s">
        <v>390</v>
      </c>
      <c r="B67" s="2">
        <v>25</v>
      </c>
      <c r="C67" t="s">
        <v>41</v>
      </c>
      <c r="D67" s="2" t="s">
        <v>49</v>
      </c>
      <c r="E67" s="2">
        <v>17</v>
      </c>
      <c r="F67" s="2">
        <v>8</v>
      </c>
      <c r="G67" s="2">
        <v>19.899999999999999</v>
      </c>
      <c r="H67" s="2">
        <v>1.2</v>
      </c>
      <c r="I67" s="2">
        <v>2.4</v>
      </c>
      <c r="J67" s="2">
        <v>0.48799999999999999</v>
      </c>
      <c r="K67" s="2">
        <v>0.6</v>
      </c>
      <c r="L67" s="2">
        <v>1.4</v>
      </c>
      <c r="M67" s="2">
        <v>0.435</v>
      </c>
      <c r="N67" s="2">
        <v>0.6</v>
      </c>
      <c r="O67" s="2">
        <v>1.1000000000000001</v>
      </c>
      <c r="P67" s="2">
        <v>0.55600000000000005</v>
      </c>
      <c r="Q67" s="2">
        <v>0.61</v>
      </c>
      <c r="R67" s="2">
        <v>0.5</v>
      </c>
      <c r="S67" s="2">
        <v>0.8</v>
      </c>
      <c r="T67" s="2">
        <v>0.64300000000000002</v>
      </c>
      <c r="U67" s="2">
        <v>0.4</v>
      </c>
      <c r="V67" s="2">
        <v>1.6</v>
      </c>
      <c r="W67" s="2">
        <v>2</v>
      </c>
      <c r="X67" s="2">
        <v>0.8</v>
      </c>
      <c r="Y67" s="2">
        <v>1.1000000000000001</v>
      </c>
      <c r="Z67" s="2">
        <v>0.4</v>
      </c>
      <c r="AA67" s="2">
        <v>0.4</v>
      </c>
      <c r="AB67" s="2">
        <v>1.6</v>
      </c>
      <c r="AC67" s="2">
        <v>3.5</v>
      </c>
      <c r="AD67" s="2"/>
    </row>
    <row r="68" spans="1:30" x14ac:dyDescent="0.2">
      <c r="A68" t="s">
        <v>482</v>
      </c>
      <c r="B68" s="2">
        <v>24</v>
      </c>
      <c r="C68" t="s">
        <v>80</v>
      </c>
      <c r="D68" s="2" t="s">
        <v>52</v>
      </c>
      <c r="E68" s="2">
        <v>3</v>
      </c>
      <c r="F68" s="2">
        <v>0</v>
      </c>
      <c r="G68" s="2">
        <v>15.3</v>
      </c>
      <c r="H68" s="2">
        <v>1.7</v>
      </c>
      <c r="I68" s="2">
        <v>3.3</v>
      </c>
      <c r="J68" s="2">
        <v>0.5</v>
      </c>
      <c r="K68" s="2">
        <v>0.7</v>
      </c>
      <c r="L68" s="2">
        <v>1.7</v>
      </c>
      <c r="M68" s="2">
        <v>0.4</v>
      </c>
      <c r="N68" s="2">
        <v>1</v>
      </c>
      <c r="O68" s="2">
        <v>1.7</v>
      </c>
      <c r="P68" s="2">
        <v>0.6</v>
      </c>
      <c r="Q68" s="2">
        <v>0.6</v>
      </c>
      <c r="R68" s="2">
        <v>1.3</v>
      </c>
      <c r="S68" s="2">
        <v>1.3</v>
      </c>
      <c r="T68" s="2">
        <v>1</v>
      </c>
      <c r="U68" s="2">
        <v>0.3</v>
      </c>
      <c r="V68" s="2">
        <v>1.7</v>
      </c>
      <c r="W68" s="2">
        <v>2</v>
      </c>
      <c r="X68" s="2">
        <v>2.2999999999999998</v>
      </c>
      <c r="Y68" s="2">
        <v>0.3</v>
      </c>
      <c r="Z68" s="2">
        <v>0.3</v>
      </c>
      <c r="AA68" s="2">
        <v>0.7</v>
      </c>
      <c r="AB68" s="2">
        <v>1.7</v>
      </c>
      <c r="AC68" s="2">
        <v>5.3</v>
      </c>
      <c r="AD68" s="2"/>
    </row>
    <row r="69" spans="1:30" x14ac:dyDescent="0.2">
      <c r="A69" t="s">
        <v>107</v>
      </c>
      <c r="B69" s="2">
        <v>23</v>
      </c>
      <c r="C69" t="s">
        <v>103</v>
      </c>
      <c r="D69" s="2" t="s">
        <v>52</v>
      </c>
      <c r="E69" s="2">
        <v>17</v>
      </c>
      <c r="F69" s="2">
        <v>17</v>
      </c>
      <c r="G69" s="2">
        <v>33.4</v>
      </c>
      <c r="H69" s="2">
        <v>8.1</v>
      </c>
      <c r="I69" s="2">
        <v>17.5</v>
      </c>
      <c r="J69" s="2">
        <v>0.46100000000000002</v>
      </c>
      <c r="K69" s="2">
        <v>2.9</v>
      </c>
      <c r="L69" s="2">
        <v>7.4</v>
      </c>
      <c r="M69" s="2">
        <v>0.38900000000000001</v>
      </c>
      <c r="N69" s="2">
        <v>5.2</v>
      </c>
      <c r="O69" s="2">
        <v>10.1</v>
      </c>
      <c r="P69" s="2">
        <v>0.51500000000000001</v>
      </c>
      <c r="Q69" s="2">
        <v>0.54400000000000004</v>
      </c>
      <c r="R69" s="2">
        <v>5.7</v>
      </c>
      <c r="S69" s="2">
        <v>6.6</v>
      </c>
      <c r="T69" s="2">
        <v>0.86599999999999999</v>
      </c>
      <c r="U69" s="2">
        <v>0.4</v>
      </c>
      <c r="V69" s="2">
        <v>2.9</v>
      </c>
      <c r="W69" s="2">
        <v>3.2</v>
      </c>
      <c r="X69" s="2">
        <v>3.4</v>
      </c>
      <c r="Y69" s="2">
        <v>0.7</v>
      </c>
      <c r="Z69" s="2">
        <v>0.1</v>
      </c>
      <c r="AA69" s="2">
        <v>2.8</v>
      </c>
      <c r="AB69" s="2">
        <v>2</v>
      </c>
      <c r="AC69" s="2">
        <v>24.7</v>
      </c>
      <c r="AD69" s="2"/>
    </row>
    <row r="70" spans="1:30" x14ac:dyDescent="0.2">
      <c r="A70" t="s">
        <v>409</v>
      </c>
      <c r="B70" s="2">
        <v>20</v>
      </c>
      <c r="C70" t="s">
        <v>87</v>
      </c>
      <c r="D70" s="2" t="s">
        <v>49</v>
      </c>
      <c r="E70" s="2">
        <v>8</v>
      </c>
      <c r="F70" s="2">
        <v>0</v>
      </c>
      <c r="G70" s="2">
        <v>9.9</v>
      </c>
      <c r="H70" s="2">
        <v>2.2999999999999998</v>
      </c>
      <c r="I70" s="2">
        <v>6</v>
      </c>
      <c r="J70" s="2">
        <v>0.375</v>
      </c>
      <c r="K70" s="2">
        <v>0.1</v>
      </c>
      <c r="L70" s="2">
        <v>2.6</v>
      </c>
      <c r="M70" s="2">
        <v>4.8000000000000001E-2</v>
      </c>
      <c r="N70" s="2">
        <v>2.1</v>
      </c>
      <c r="O70" s="2">
        <v>3.4</v>
      </c>
      <c r="P70" s="2">
        <v>0.63</v>
      </c>
      <c r="Q70" s="2">
        <v>0.38500000000000001</v>
      </c>
      <c r="R70" s="2">
        <v>1.3</v>
      </c>
      <c r="S70" s="2">
        <v>2</v>
      </c>
      <c r="T70" s="2">
        <v>0.625</v>
      </c>
      <c r="U70" s="2">
        <v>0.5</v>
      </c>
      <c r="V70" s="2">
        <v>0.9</v>
      </c>
      <c r="W70" s="2">
        <v>1.4</v>
      </c>
      <c r="X70" s="2">
        <v>0.5</v>
      </c>
      <c r="Y70" s="2">
        <v>0.1</v>
      </c>
      <c r="Z70" s="2">
        <v>0.1</v>
      </c>
      <c r="AA70" s="2">
        <v>0.4</v>
      </c>
      <c r="AB70" s="2">
        <v>1.1000000000000001</v>
      </c>
      <c r="AC70" s="2">
        <v>5.9</v>
      </c>
      <c r="AD70" s="2"/>
    </row>
    <row r="71" spans="1:30" x14ac:dyDescent="0.2">
      <c r="A71" t="s">
        <v>102</v>
      </c>
      <c r="B71" s="2">
        <v>28</v>
      </c>
      <c r="C71" t="s">
        <v>103</v>
      </c>
      <c r="D71" s="2" t="s">
        <v>27</v>
      </c>
      <c r="E71" s="2">
        <v>23</v>
      </c>
      <c r="F71" s="2">
        <v>23</v>
      </c>
      <c r="G71" s="2">
        <v>32.799999999999997</v>
      </c>
      <c r="H71" s="2">
        <v>6.3</v>
      </c>
      <c r="I71" s="2">
        <v>12.8</v>
      </c>
      <c r="J71" s="2">
        <v>0.48799999999999999</v>
      </c>
      <c r="K71" s="2">
        <v>3.3</v>
      </c>
      <c r="L71" s="2">
        <v>7.6</v>
      </c>
      <c r="M71" s="2">
        <v>0.434</v>
      </c>
      <c r="N71" s="2">
        <v>3</v>
      </c>
      <c r="O71" s="2">
        <v>5.2</v>
      </c>
      <c r="P71" s="2">
        <v>0.56699999999999995</v>
      </c>
      <c r="Q71" s="2">
        <v>0.61699999999999999</v>
      </c>
      <c r="R71" s="2">
        <v>3</v>
      </c>
      <c r="S71" s="2">
        <v>3.3</v>
      </c>
      <c r="T71" s="2">
        <v>0.90700000000000003</v>
      </c>
      <c r="U71" s="2">
        <v>0.8</v>
      </c>
      <c r="V71" s="2">
        <v>3.5</v>
      </c>
      <c r="W71" s="2">
        <v>4.3</v>
      </c>
      <c r="X71" s="2">
        <v>2.9</v>
      </c>
      <c r="Y71" s="2">
        <v>0.9</v>
      </c>
      <c r="Z71" s="2">
        <v>0.5</v>
      </c>
      <c r="AA71" s="2">
        <v>1</v>
      </c>
      <c r="AB71" s="2">
        <v>1.9</v>
      </c>
      <c r="AC71" s="2">
        <v>18.8</v>
      </c>
      <c r="AD71" s="2"/>
    </row>
    <row r="72" spans="1:30" x14ac:dyDescent="0.2">
      <c r="A72" t="s">
        <v>276</v>
      </c>
      <c r="B72" s="2">
        <v>30</v>
      </c>
      <c r="C72" t="s">
        <v>44</v>
      </c>
      <c r="D72" s="2" t="s">
        <v>33</v>
      </c>
      <c r="E72" s="2">
        <v>19</v>
      </c>
      <c r="F72" s="2">
        <v>0</v>
      </c>
      <c r="G72" s="2">
        <v>17.5</v>
      </c>
      <c r="H72" s="2">
        <v>2.9</v>
      </c>
      <c r="I72" s="2">
        <v>6.7</v>
      </c>
      <c r="J72" s="2">
        <v>0.438</v>
      </c>
      <c r="K72" s="2">
        <v>1.7</v>
      </c>
      <c r="L72" s="2">
        <v>4</v>
      </c>
      <c r="M72" s="2">
        <v>0.42099999999999999</v>
      </c>
      <c r="N72" s="2">
        <v>1.3</v>
      </c>
      <c r="O72" s="2">
        <v>2.7</v>
      </c>
      <c r="P72" s="2">
        <v>0.46200000000000002</v>
      </c>
      <c r="Q72" s="2">
        <v>0.56299999999999994</v>
      </c>
      <c r="R72" s="2">
        <v>0.5</v>
      </c>
      <c r="S72" s="2">
        <v>0.6</v>
      </c>
      <c r="T72" s="2">
        <v>0.81799999999999995</v>
      </c>
      <c r="U72" s="2">
        <v>0.3</v>
      </c>
      <c r="V72" s="2">
        <v>1.5</v>
      </c>
      <c r="W72" s="2">
        <v>1.8</v>
      </c>
      <c r="X72" s="2">
        <v>3.1</v>
      </c>
      <c r="Y72" s="2">
        <v>0.6</v>
      </c>
      <c r="Z72" s="2">
        <v>0.4</v>
      </c>
      <c r="AA72" s="2">
        <v>0.5</v>
      </c>
      <c r="AB72" s="2">
        <v>2.2000000000000002</v>
      </c>
      <c r="AC72" s="2">
        <v>8.1</v>
      </c>
      <c r="AD72" s="2"/>
    </row>
    <row r="73" spans="1:30" x14ac:dyDescent="0.2">
      <c r="A73" t="s">
        <v>211</v>
      </c>
      <c r="B73" s="2">
        <v>30</v>
      </c>
      <c r="C73" t="s">
        <v>57</v>
      </c>
      <c r="D73" s="2" t="s">
        <v>49</v>
      </c>
      <c r="E73" s="2">
        <v>19</v>
      </c>
      <c r="F73" s="2">
        <v>0</v>
      </c>
      <c r="G73" s="2">
        <v>24.5</v>
      </c>
      <c r="H73" s="2">
        <v>4.2</v>
      </c>
      <c r="I73" s="2">
        <v>7.8</v>
      </c>
      <c r="J73" s="2">
        <v>0.53700000000000003</v>
      </c>
      <c r="K73" s="2">
        <v>1.7</v>
      </c>
      <c r="L73" s="2">
        <v>3.6</v>
      </c>
      <c r="M73" s="2">
        <v>0.48499999999999999</v>
      </c>
      <c r="N73" s="2">
        <v>2.5</v>
      </c>
      <c r="O73" s="2">
        <v>4.3</v>
      </c>
      <c r="P73" s="2">
        <v>0.57999999999999996</v>
      </c>
      <c r="Q73" s="2">
        <v>0.64800000000000002</v>
      </c>
      <c r="R73" s="2">
        <v>1.7</v>
      </c>
      <c r="S73" s="2">
        <v>2.4</v>
      </c>
      <c r="T73" s="2">
        <v>0.69599999999999995</v>
      </c>
      <c r="U73" s="2">
        <v>0.5</v>
      </c>
      <c r="V73" s="2">
        <v>2.4</v>
      </c>
      <c r="W73" s="2">
        <v>2.9</v>
      </c>
      <c r="X73" s="2">
        <v>4.0999999999999996</v>
      </c>
      <c r="Y73" s="2">
        <v>0.9</v>
      </c>
      <c r="Z73" s="2">
        <v>0.4</v>
      </c>
      <c r="AA73" s="2">
        <v>1.3</v>
      </c>
      <c r="AB73" s="2">
        <v>1.4</v>
      </c>
      <c r="AC73" s="2">
        <v>11.8</v>
      </c>
      <c r="AD73" s="2"/>
    </row>
    <row r="74" spans="1:30" x14ac:dyDescent="0.2">
      <c r="A74" t="s">
        <v>229</v>
      </c>
      <c r="B74" s="2">
        <v>19</v>
      </c>
      <c r="C74" t="s">
        <v>114</v>
      </c>
      <c r="D74" s="2" t="s">
        <v>33</v>
      </c>
      <c r="E74" s="2">
        <v>22</v>
      </c>
      <c r="F74" s="2">
        <v>14</v>
      </c>
      <c r="G74" s="2">
        <v>28.6</v>
      </c>
      <c r="H74" s="2">
        <v>3.4</v>
      </c>
      <c r="I74" s="2">
        <v>8.6999999999999993</v>
      </c>
      <c r="J74" s="2">
        <v>0.39100000000000001</v>
      </c>
      <c r="K74" s="2">
        <v>1.5</v>
      </c>
      <c r="L74" s="2">
        <v>4.5999999999999996</v>
      </c>
      <c r="M74" s="2">
        <v>0.32700000000000001</v>
      </c>
      <c r="N74" s="2">
        <v>1.9</v>
      </c>
      <c r="O74" s="2">
        <v>4.0999999999999996</v>
      </c>
      <c r="P74" s="2">
        <v>0.46200000000000002</v>
      </c>
      <c r="Q74" s="2">
        <v>0.47699999999999998</v>
      </c>
      <c r="R74" s="2">
        <v>0.9</v>
      </c>
      <c r="S74" s="2">
        <v>1.1000000000000001</v>
      </c>
      <c r="T74" s="2">
        <v>0.8</v>
      </c>
      <c r="U74" s="2">
        <v>0.2</v>
      </c>
      <c r="V74" s="2">
        <v>3.8</v>
      </c>
      <c r="W74" s="2">
        <v>4</v>
      </c>
      <c r="X74" s="2">
        <v>4.0999999999999996</v>
      </c>
      <c r="Y74" s="2">
        <v>1</v>
      </c>
      <c r="Z74" s="2">
        <v>0.3</v>
      </c>
      <c r="AA74" s="2">
        <v>2</v>
      </c>
      <c r="AB74" s="2">
        <v>3</v>
      </c>
      <c r="AC74" s="2">
        <v>9.1999999999999993</v>
      </c>
      <c r="AD74" s="2"/>
    </row>
    <row r="75" spans="1:30" x14ac:dyDescent="0.2">
      <c r="A75" t="s">
        <v>263</v>
      </c>
      <c r="B75" s="2">
        <v>21</v>
      </c>
      <c r="C75" t="s">
        <v>32</v>
      </c>
      <c r="D75" s="2" t="s">
        <v>52</v>
      </c>
      <c r="E75" s="2">
        <v>24</v>
      </c>
      <c r="F75" s="2">
        <v>13</v>
      </c>
      <c r="G75" s="2">
        <v>26.5</v>
      </c>
      <c r="H75" s="2">
        <v>2.9</v>
      </c>
      <c r="I75" s="2">
        <v>6.8</v>
      </c>
      <c r="J75" s="2">
        <v>0.42099999999999999</v>
      </c>
      <c r="K75" s="2">
        <v>1</v>
      </c>
      <c r="L75" s="2">
        <v>3.3</v>
      </c>
      <c r="M75" s="2">
        <v>0.3</v>
      </c>
      <c r="N75" s="2">
        <v>1.9</v>
      </c>
      <c r="O75" s="2">
        <v>3.5</v>
      </c>
      <c r="P75" s="2">
        <v>0.53600000000000003</v>
      </c>
      <c r="Q75" s="2">
        <v>0.49399999999999999</v>
      </c>
      <c r="R75" s="2">
        <v>0.3</v>
      </c>
      <c r="S75" s="2">
        <v>0.3</v>
      </c>
      <c r="T75" s="2">
        <v>0.85699999999999998</v>
      </c>
      <c r="U75" s="2">
        <v>1.3</v>
      </c>
      <c r="V75" s="2">
        <v>2.2999999999999998</v>
      </c>
      <c r="W75" s="2">
        <v>3.6</v>
      </c>
      <c r="X75" s="2">
        <v>2.2000000000000002</v>
      </c>
      <c r="Y75" s="2">
        <v>1.8</v>
      </c>
      <c r="Z75" s="2">
        <v>0.7</v>
      </c>
      <c r="AA75" s="2">
        <v>0.6</v>
      </c>
      <c r="AB75" s="2">
        <v>2</v>
      </c>
      <c r="AC75" s="2">
        <v>7</v>
      </c>
      <c r="AD75" s="2"/>
    </row>
    <row r="76" spans="1:30" x14ac:dyDescent="0.2">
      <c r="A76" t="s">
        <v>387</v>
      </c>
      <c r="B76" s="2">
        <v>24</v>
      </c>
      <c r="C76" t="s">
        <v>93</v>
      </c>
      <c r="D76" s="2" t="s">
        <v>42</v>
      </c>
      <c r="E76" s="2">
        <v>15</v>
      </c>
      <c r="F76" s="2">
        <v>0</v>
      </c>
      <c r="G76" s="2">
        <v>10.5</v>
      </c>
      <c r="H76" s="2">
        <v>1.7</v>
      </c>
      <c r="I76" s="2">
        <v>3.1</v>
      </c>
      <c r="J76" s="2">
        <v>0.55300000000000005</v>
      </c>
      <c r="K76" s="2">
        <v>0</v>
      </c>
      <c r="L76" s="2">
        <v>0</v>
      </c>
      <c r="M76" s="2"/>
      <c r="N76" s="2">
        <v>1.7</v>
      </c>
      <c r="O76" s="2">
        <v>3.1</v>
      </c>
      <c r="P76" s="2">
        <v>0.55300000000000005</v>
      </c>
      <c r="Q76" s="2">
        <v>0.55300000000000005</v>
      </c>
      <c r="R76" s="2">
        <v>0.7</v>
      </c>
      <c r="S76" s="2">
        <v>1.4</v>
      </c>
      <c r="T76" s="2">
        <v>0.52400000000000002</v>
      </c>
      <c r="U76" s="2">
        <v>1.5</v>
      </c>
      <c r="V76" s="2">
        <v>2.4</v>
      </c>
      <c r="W76" s="2">
        <v>3.9</v>
      </c>
      <c r="X76" s="2">
        <v>0.5</v>
      </c>
      <c r="Y76" s="2">
        <v>0.4</v>
      </c>
      <c r="Z76" s="2">
        <v>1.3</v>
      </c>
      <c r="AA76" s="2">
        <v>0.7</v>
      </c>
      <c r="AB76" s="2">
        <v>1.4</v>
      </c>
      <c r="AC76" s="2">
        <v>4.2</v>
      </c>
      <c r="AD76" s="2"/>
    </row>
    <row r="77" spans="1:30" x14ac:dyDescent="0.2">
      <c r="A77" t="s">
        <v>269</v>
      </c>
      <c r="B77" s="2">
        <v>22</v>
      </c>
      <c r="C77" t="s">
        <v>32</v>
      </c>
      <c r="D77" s="2" t="s">
        <v>42</v>
      </c>
      <c r="E77" s="2">
        <v>10</v>
      </c>
      <c r="F77" s="2">
        <v>10</v>
      </c>
      <c r="G77" s="2">
        <v>26.5</v>
      </c>
      <c r="H77" s="2">
        <v>5.6</v>
      </c>
      <c r="I77" s="2">
        <v>11.1</v>
      </c>
      <c r="J77" s="2">
        <v>0.505</v>
      </c>
      <c r="K77" s="2">
        <v>1.4</v>
      </c>
      <c r="L77" s="2">
        <v>3.7</v>
      </c>
      <c r="M77" s="2">
        <v>0.378</v>
      </c>
      <c r="N77" s="2">
        <v>4.2</v>
      </c>
      <c r="O77" s="2">
        <v>7.4</v>
      </c>
      <c r="P77" s="2">
        <v>0.56799999999999995</v>
      </c>
      <c r="Q77" s="2">
        <v>0.56799999999999995</v>
      </c>
      <c r="R77" s="2">
        <v>3.8</v>
      </c>
      <c r="S77" s="2">
        <v>4.9000000000000004</v>
      </c>
      <c r="T77" s="2">
        <v>0.77600000000000002</v>
      </c>
      <c r="U77" s="2">
        <v>1.6</v>
      </c>
      <c r="V77" s="2">
        <v>7.1</v>
      </c>
      <c r="W77" s="2">
        <v>8.6999999999999993</v>
      </c>
      <c r="X77" s="2">
        <v>2</v>
      </c>
      <c r="Y77" s="2">
        <v>0.8</v>
      </c>
      <c r="Z77" s="2">
        <v>2.6</v>
      </c>
      <c r="AA77" s="2">
        <v>2.2999999999999998</v>
      </c>
      <c r="AB77" s="2">
        <v>1.8</v>
      </c>
      <c r="AC77" s="2">
        <v>16.399999999999999</v>
      </c>
      <c r="AD77" s="2"/>
    </row>
    <row r="78" spans="1:30" x14ac:dyDescent="0.2">
      <c r="A78" t="s">
        <v>207</v>
      </c>
      <c r="B78" s="2">
        <v>32</v>
      </c>
      <c r="C78" t="s">
        <v>66</v>
      </c>
      <c r="D78" s="2" t="s">
        <v>27</v>
      </c>
      <c r="E78" s="2">
        <v>23</v>
      </c>
      <c r="F78" s="2">
        <v>0</v>
      </c>
      <c r="G78" s="2">
        <v>18</v>
      </c>
      <c r="H78" s="2">
        <v>3.6</v>
      </c>
      <c r="I78" s="2">
        <v>8</v>
      </c>
      <c r="J78" s="2">
        <v>0.45400000000000001</v>
      </c>
      <c r="K78" s="2">
        <v>1</v>
      </c>
      <c r="L78" s="2">
        <v>3.8</v>
      </c>
      <c r="M78" s="2">
        <v>0.27600000000000002</v>
      </c>
      <c r="N78" s="2">
        <v>2.6</v>
      </c>
      <c r="O78" s="2">
        <v>4.2</v>
      </c>
      <c r="P78" s="2">
        <v>0.61499999999999999</v>
      </c>
      <c r="Q78" s="2">
        <v>0.51900000000000002</v>
      </c>
      <c r="R78" s="2">
        <v>1.7</v>
      </c>
      <c r="S78" s="2">
        <v>2.2000000000000002</v>
      </c>
      <c r="T78" s="2">
        <v>0.76500000000000001</v>
      </c>
      <c r="U78" s="2">
        <v>1.3</v>
      </c>
      <c r="V78" s="2">
        <v>3.2</v>
      </c>
      <c r="W78" s="2">
        <v>4.5</v>
      </c>
      <c r="X78" s="2">
        <v>0.6</v>
      </c>
      <c r="Y78" s="2">
        <v>0.5</v>
      </c>
      <c r="Z78" s="2">
        <v>0.7</v>
      </c>
      <c r="AA78" s="2">
        <v>0.7</v>
      </c>
      <c r="AB78" s="2">
        <v>1.2</v>
      </c>
      <c r="AC78" s="2">
        <v>10</v>
      </c>
      <c r="AD78" s="2"/>
    </row>
    <row r="79" spans="1:30" x14ac:dyDescent="0.2">
      <c r="A79" t="s">
        <v>445</v>
      </c>
      <c r="B79" s="2">
        <v>27</v>
      </c>
      <c r="C79" t="s">
        <v>70</v>
      </c>
      <c r="D79" s="2" t="s">
        <v>52</v>
      </c>
      <c r="E79" s="2">
        <v>12</v>
      </c>
      <c r="F79" s="2">
        <v>0</v>
      </c>
      <c r="G79" s="2">
        <v>4.2</v>
      </c>
      <c r="H79" s="2">
        <v>0.8</v>
      </c>
      <c r="I79" s="2">
        <v>1.5</v>
      </c>
      <c r="J79" s="2">
        <v>0.5</v>
      </c>
      <c r="K79" s="2">
        <v>0.4</v>
      </c>
      <c r="L79" s="2">
        <v>1</v>
      </c>
      <c r="M79" s="2">
        <v>0.41699999999999998</v>
      </c>
      <c r="N79" s="2">
        <v>0.3</v>
      </c>
      <c r="O79" s="2">
        <v>0.5</v>
      </c>
      <c r="P79" s="2">
        <v>0.66700000000000004</v>
      </c>
      <c r="Q79" s="2">
        <v>0.63900000000000001</v>
      </c>
      <c r="R79" s="2">
        <v>0.5</v>
      </c>
      <c r="S79" s="2">
        <v>0.7</v>
      </c>
      <c r="T79" s="2">
        <v>0.75</v>
      </c>
      <c r="U79" s="2">
        <v>0.3</v>
      </c>
      <c r="V79" s="2">
        <v>0.8</v>
      </c>
      <c r="W79" s="2">
        <v>1.2</v>
      </c>
      <c r="X79" s="2">
        <v>0.3</v>
      </c>
      <c r="Y79" s="2">
        <v>0</v>
      </c>
      <c r="Z79" s="2">
        <v>0</v>
      </c>
      <c r="AA79" s="2">
        <v>0.1</v>
      </c>
      <c r="AB79" s="2">
        <v>0.4</v>
      </c>
      <c r="AC79" s="2">
        <v>2.4</v>
      </c>
      <c r="AD79" s="2"/>
    </row>
    <row r="80" spans="1:30" x14ac:dyDescent="0.2">
      <c r="A80" t="s">
        <v>548</v>
      </c>
      <c r="B80" s="2">
        <v>21</v>
      </c>
      <c r="C80" t="s">
        <v>35</v>
      </c>
      <c r="D80" s="2" t="s">
        <v>49</v>
      </c>
      <c r="E80" s="2">
        <v>3</v>
      </c>
      <c r="F80" s="2">
        <v>0</v>
      </c>
      <c r="G80" s="2">
        <v>2</v>
      </c>
      <c r="H80" s="2">
        <v>0.3</v>
      </c>
      <c r="I80" s="2">
        <v>0.7</v>
      </c>
      <c r="J80" s="2">
        <v>0.5</v>
      </c>
      <c r="K80" s="2">
        <v>0</v>
      </c>
      <c r="L80" s="2">
        <v>0</v>
      </c>
      <c r="M80" s="2"/>
      <c r="N80" s="2">
        <v>0.3</v>
      </c>
      <c r="O80" s="2">
        <v>0.7</v>
      </c>
      <c r="P80" s="2">
        <v>0.5</v>
      </c>
      <c r="Q80" s="2">
        <v>0.5</v>
      </c>
      <c r="R80" s="2">
        <v>0</v>
      </c>
      <c r="S80" s="2">
        <v>0</v>
      </c>
      <c r="T80" s="2"/>
      <c r="U80" s="2">
        <v>0.3</v>
      </c>
      <c r="V80" s="2">
        <v>0.3</v>
      </c>
      <c r="W80" s="2">
        <v>0.7</v>
      </c>
      <c r="X80" s="2">
        <v>0.3</v>
      </c>
      <c r="Y80" s="2">
        <v>0.3</v>
      </c>
      <c r="Z80" s="2">
        <v>0</v>
      </c>
      <c r="AA80" s="2">
        <v>0.3</v>
      </c>
      <c r="AB80" s="2">
        <v>0</v>
      </c>
      <c r="AC80" s="2">
        <v>0.7</v>
      </c>
      <c r="AD80" s="2"/>
    </row>
    <row r="81" spans="1:30" x14ac:dyDescent="0.2">
      <c r="A81" t="s">
        <v>196</v>
      </c>
      <c r="B81" s="2">
        <v>39</v>
      </c>
      <c r="C81" t="s">
        <v>93</v>
      </c>
      <c r="D81" s="2" t="s">
        <v>33</v>
      </c>
      <c r="E81" s="2">
        <v>24</v>
      </c>
      <c r="F81" s="2">
        <v>24</v>
      </c>
      <c r="G81" s="2">
        <v>28.9</v>
      </c>
      <c r="H81" s="2">
        <v>3.5</v>
      </c>
      <c r="I81" s="2">
        <v>8.1</v>
      </c>
      <c r="J81" s="2">
        <v>0.42799999999999999</v>
      </c>
      <c r="K81" s="2">
        <v>1.8</v>
      </c>
      <c r="L81" s="2">
        <v>5.2</v>
      </c>
      <c r="M81" s="2">
        <v>0.35199999999999998</v>
      </c>
      <c r="N81" s="2">
        <v>1.6</v>
      </c>
      <c r="O81" s="2">
        <v>2.9</v>
      </c>
      <c r="P81" s="2">
        <v>0.56499999999999995</v>
      </c>
      <c r="Q81" s="2">
        <v>0.54100000000000004</v>
      </c>
      <c r="R81" s="2">
        <v>1.5</v>
      </c>
      <c r="S81" s="2">
        <v>1.5</v>
      </c>
      <c r="T81" s="2">
        <v>1</v>
      </c>
      <c r="U81" s="2">
        <v>0.6</v>
      </c>
      <c r="V81" s="2">
        <v>3.5</v>
      </c>
      <c r="W81" s="2">
        <v>4</v>
      </c>
      <c r="X81" s="2">
        <v>8.5</v>
      </c>
      <c r="Y81" s="2">
        <v>1.4</v>
      </c>
      <c r="Z81" s="2">
        <v>0.2</v>
      </c>
      <c r="AA81" s="2">
        <v>1.8</v>
      </c>
      <c r="AB81" s="2">
        <v>1.9</v>
      </c>
      <c r="AC81" s="2">
        <v>10.199999999999999</v>
      </c>
      <c r="AD81" s="2"/>
    </row>
    <row r="82" spans="1:30" x14ac:dyDescent="0.2">
      <c r="A82" t="s">
        <v>138</v>
      </c>
      <c r="B82" s="2">
        <v>23</v>
      </c>
      <c r="C82" t="s">
        <v>46</v>
      </c>
      <c r="D82" s="2" t="s">
        <v>52</v>
      </c>
      <c r="E82" s="2">
        <v>22</v>
      </c>
      <c r="F82" s="2">
        <v>22</v>
      </c>
      <c r="G82" s="2">
        <v>35.200000000000003</v>
      </c>
      <c r="H82" s="2">
        <v>5.8</v>
      </c>
      <c r="I82" s="2">
        <v>10.1</v>
      </c>
      <c r="J82" s="2">
        <v>0.56999999999999995</v>
      </c>
      <c r="K82" s="2">
        <v>1.1000000000000001</v>
      </c>
      <c r="L82" s="2">
        <v>2.6</v>
      </c>
      <c r="M82" s="2">
        <v>0.43099999999999999</v>
      </c>
      <c r="N82" s="2">
        <v>4.5999999999999996</v>
      </c>
      <c r="O82" s="2">
        <v>7.5</v>
      </c>
      <c r="P82" s="2">
        <v>0.61799999999999999</v>
      </c>
      <c r="Q82" s="2">
        <v>0.626</v>
      </c>
      <c r="R82" s="2">
        <v>2.7</v>
      </c>
      <c r="S82" s="2">
        <v>3.5</v>
      </c>
      <c r="T82" s="2">
        <v>0.77600000000000002</v>
      </c>
      <c r="U82" s="2">
        <v>1.2</v>
      </c>
      <c r="V82" s="2">
        <v>3.9</v>
      </c>
      <c r="W82" s="2">
        <v>5</v>
      </c>
      <c r="X82" s="2">
        <v>1.9</v>
      </c>
      <c r="Y82" s="2">
        <v>1.3</v>
      </c>
      <c r="Z82" s="2">
        <v>0.7</v>
      </c>
      <c r="AA82" s="2">
        <v>1.5</v>
      </c>
      <c r="AB82" s="2">
        <v>2.2999999999999998</v>
      </c>
      <c r="AC82" s="2">
        <v>15.4</v>
      </c>
      <c r="AD82" s="2"/>
    </row>
    <row r="83" spans="1:30" x14ac:dyDescent="0.2">
      <c r="A83" t="s">
        <v>440</v>
      </c>
      <c r="B83" s="2">
        <v>24</v>
      </c>
      <c r="C83" t="s">
        <v>41</v>
      </c>
      <c r="D83" s="2" t="s">
        <v>42</v>
      </c>
      <c r="E83" s="2">
        <v>14</v>
      </c>
      <c r="F83" s="2">
        <v>0</v>
      </c>
      <c r="G83" s="2">
        <v>9.9</v>
      </c>
      <c r="H83" s="2">
        <v>1</v>
      </c>
      <c r="I83" s="2">
        <v>1.6</v>
      </c>
      <c r="J83" s="2">
        <v>0.63600000000000001</v>
      </c>
      <c r="K83" s="2">
        <v>0</v>
      </c>
      <c r="L83" s="2">
        <v>0.1</v>
      </c>
      <c r="M83" s="2">
        <v>0</v>
      </c>
      <c r="N83" s="2">
        <v>1</v>
      </c>
      <c r="O83" s="2">
        <v>1.4</v>
      </c>
      <c r="P83" s="2">
        <v>0.7</v>
      </c>
      <c r="Q83" s="2">
        <v>0.63600000000000001</v>
      </c>
      <c r="R83" s="2">
        <v>0.1</v>
      </c>
      <c r="S83" s="2">
        <v>0.1</v>
      </c>
      <c r="T83" s="2">
        <v>1</v>
      </c>
      <c r="U83" s="2">
        <v>0.9</v>
      </c>
      <c r="V83" s="2">
        <v>1.3</v>
      </c>
      <c r="W83" s="2">
        <v>2.2000000000000002</v>
      </c>
      <c r="X83" s="2">
        <v>0.3</v>
      </c>
      <c r="Y83" s="2">
        <v>0.3</v>
      </c>
      <c r="Z83" s="2">
        <v>0.3</v>
      </c>
      <c r="AA83" s="2">
        <v>0.4</v>
      </c>
      <c r="AB83" s="2">
        <v>1.2</v>
      </c>
      <c r="AC83" s="2">
        <v>2.1</v>
      </c>
      <c r="AD83" s="2"/>
    </row>
    <row r="84" spans="1:30" x14ac:dyDescent="0.2">
      <c r="A84" t="s">
        <v>172</v>
      </c>
      <c r="B84" s="2">
        <v>33</v>
      </c>
      <c r="C84" t="s">
        <v>117</v>
      </c>
      <c r="D84" s="2" t="s">
        <v>33</v>
      </c>
      <c r="E84" s="2">
        <v>13</v>
      </c>
      <c r="F84" s="2">
        <v>13</v>
      </c>
      <c r="G84" s="2">
        <v>33.799999999999997</v>
      </c>
      <c r="H84" s="2">
        <v>8.5</v>
      </c>
      <c r="I84" s="2">
        <v>18.8</v>
      </c>
      <c r="J84" s="2">
        <v>0.44900000000000001</v>
      </c>
      <c r="K84" s="2">
        <v>2.9</v>
      </c>
      <c r="L84" s="2">
        <v>8.6999999999999993</v>
      </c>
      <c r="M84" s="2">
        <v>0.33600000000000002</v>
      </c>
      <c r="N84" s="2">
        <v>5.5</v>
      </c>
      <c r="O84" s="2">
        <v>10.199999999999999</v>
      </c>
      <c r="P84" s="2">
        <v>0.54500000000000004</v>
      </c>
      <c r="Q84" s="2">
        <v>0.52700000000000002</v>
      </c>
      <c r="R84" s="2">
        <v>1.7</v>
      </c>
      <c r="S84" s="2">
        <v>2.6</v>
      </c>
      <c r="T84" s="2">
        <v>0.64700000000000002</v>
      </c>
      <c r="U84" s="2">
        <v>0.7</v>
      </c>
      <c r="V84" s="2">
        <v>3.1</v>
      </c>
      <c r="W84" s="2">
        <v>3.8</v>
      </c>
      <c r="X84" s="2">
        <v>3.8</v>
      </c>
      <c r="Y84" s="2">
        <v>1.2</v>
      </c>
      <c r="Z84" s="2">
        <v>0.5</v>
      </c>
      <c r="AA84" s="2">
        <v>1.5</v>
      </c>
      <c r="AB84" s="2">
        <v>2.2000000000000002</v>
      </c>
      <c r="AC84" s="2">
        <v>21.5</v>
      </c>
      <c r="AD84" s="2"/>
    </row>
    <row r="85" spans="1:30" x14ac:dyDescent="0.2">
      <c r="A85" t="s">
        <v>183</v>
      </c>
      <c r="B85" s="2">
        <v>30</v>
      </c>
      <c r="C85" t="s">
        <v>72</v>
      </c>
      <c r="D85" s="2" t="s">
        <v>42</v>
      </c>
      <c r="E85" s="2">
        <v>26</v>
      </c>
      <c r="F85" s="2">
        <v>26</v>
      </c>
      <c r="G85" s="2">
        <v>22.8</v>
      </c>
      <c r="H85" s="2">
        <v>4.5</v>
      </c>
      <c r="I85" s="2">
        <v>7.8</v>
      </c>
      <c r="J85" s="2">
        <v>0.58399999999999996</v>
      </c>
      <c r="K85" s="2">
        <v>0</v>
      </c>
      <c r="L85" s="2">
        <v>0</v>
      </c>
      <c r="M85" s="2"/>
      <c r="N85" s="2">
        <v>4.5</v>
      </c>
      <c r="O85" s="2">
        <v>7.8</v>
      </c>
      <c r="P85" s="2">
        <v>0.58399999999999996</v>
      </c>
      <c r="Q85" s="2">
        <v>0.58399999999999996</v>
      </c>
      <c r="R85" s="2">
        <v>1.1000000000000001</v>
      </c>
      <c r="S85" s="2">
        <v>2</v>
      </c>
      <c r="T85" s="2">
        <v>0.55800000000000005</v>
      </c>
      <c r="U85" s="2">
        <v>3.7</v>
      </c>
      <c r="V85" s="2">
        <v>5.7</v>
      </c>
      <c r="W85" s="2">
        <v>9.5</v>
      </c>
      <c r="X85" s="2">
        <v>1.3</v>
      </c>
      <c r="Y85" s="2">
        <v>0.6</v>
      </c>
      <c r="Z85" s="2">
        <v>0.9</v>
      </c>
      <c r="AA85" s="2">
        <v>0.7</v>
      </c>
      <c r="AB85" s="2">
        <v>2</v>
      </c>
      <c r="AC85" s="2">
        <v>10.199999999999999</v>
      </c>
      <c r="AD85" s="2"/>
    </row>
    <row r="86" spans="1:30" x14ac:dyDescent="0.2">
      <c r="A86" t="s">
        <v>110</v>
      </c>
      <c r="B86" s="2">
        <v>24</v>
      </c>
      <c r="C86" t="s">
        <v>70</v>
      </c>
      <c r="D86" s="2" t="s">
        <v>52</v>
      </c>
      <c r="E86" s="2">
        <v>23</v>
      </c>
      <c r="F86" s="2">
        <v>23</v>
      </c>
      <c r="G86" s="2">
        <v>32.700000000000003</v>
      </c>
      <c r="H86" s="2">
        <v>6</v>
      </c>
      <c r="I86" s="2">
        <v>14.3</v>
      </c>
      <c r="J86" s="2">
        <v>0.42399999999999999</v>
      </c>
      <c r="K86" s="2">
        <v>3.3</v>
      </c>
      <c r="L86" s="2">
        <v>8.9</v>
      </c>
      <c r="M86" s="2">
        <v>0.371</v>
      </c>
      <c r="N86" s="2">
        <v>2.7</v>
      </c>
      <c r="O86" s="2">
        <v>5.3</v>
      </c>
      <c r="P86" s="2">
        <v>0.51200000000000001</v>
      </c>
      <c r="Q86" s="2">
        <v>0.54</v>
      </c>
      <c r="R86" s="2">
        <v>2.7</v>
      </c>
      <c r="S86" s="2">
        <v>3.1</v>
      </c>
      <c r="T86" s="2">
        <v>0.873</v>
      </c>
      <c r="U86" s="2">
        <v>0.3</v>
      </c>
      <c r="V86" s="2">
        <v>3.4</v>
      </c>
      <c r="W86" s="2">
        <v>3.7</v>
      </c>
      <c r="X86" s="2">
        <v>4.7</v>
      </c>
      <c r="Y86" s="2">
        <v>1.1000000000000001</v>
      </c>
      <c r="Z86" s="2">
        <v>0.2</v>
      </c>
      <c r="AA86" s="2">
        <v>2.2999999999999998</v>
      </c>
      <c r="AB86" s="2">
        <v>2.4</v>
      </c>
      <c r="AC86" s="2">
        <v>18.100000000000001</v>
      </c>
      <c r="AD86" s="2"/>
    </row>
    <row r="87" spans="1:30" x14ac:dyDescent="0.2">
      <c r="A87" t="s">
        <v>225</v>
      </c>
      <c r="B87" s="2">
        <v>29</v>
      </c>
      <c r="C87" t="s">
        <v>59</v>
      </c>
      <c r="D87" s="2" t="s">
        <v>49</v>
      </c>
      <c r="E87" s="2">
        <v>24</v>
      </c>
      <c r="F87" s="2">
        <v>5</v>
      </c>
      <c r="G87" s="2">
        <v>26.2</v>
      </c>
      <c r="H87" s="2">
        <v>3.3</v>
      </c>
      <c r="I87" s="2">
        <v>7.4</v>
      </c>
      <c r="J87" s="2">
        <v>0.441</v>
      </c>
      <c r="K87" s="2">
        <v>1.2</v>
      </c>
      <c r="L87" s="2">
        <v>3.6</v>
      </c>
      <c r="M87" s="2">
        <v>0.33700000000000002</v>
      </c>
      <c r="N87" s="2">
        <v>2</v>
      </c>
      <c r="O87" s="2">
        <v>3.8</v>
      </c>
      <c r="P87" s="2">
        <v>0.53800000000000003</v>
      </c>
      <c r="Q87" s="2">
        <v>0.52300000000000002</v>
      </c>
      <c r="R87" s="2">
        <v>0.9</v>
      </c>
      <c r="S87" s="2">
        <v>1.3</v>
      </c>
      <c r="T87" s="2">
        <v>0.65600000000000003</v>
      </c>
      <c r="U87" s="2">
        <v>1.1000000000000001</v>
      </c>
      <c r="V87" s="2">
        <v>3.8</v>
      </c>
      <c r="W87" s="2">
        <v>4.9000000000000004</v>
      </c>
      <c r="X87" s="2">
        <v>2.4</v>
      </c>
      <c r="Y87" s="2">
        <v>1.1000000000000001</v>
      </c>
      <c r="Z87" s="2">
        <v>0.8</v>
      </c>
      <c r="AA87" s="2">
        <v>1</v>
      </c>
      <c r="AB87" s="2">
        <v>1.9</v>
      </c>
      <c r="AC87" s="2">
        <v>8.6</v>
      </c>
      <c r="AD87" s="2"/>
    </row>
    <row r="88" spans="1:30" x14ac:dyDescent="0.2">
      <c r="A88" t="s">
        <v>406</v>
      </c>
      <c r="B88" s="2">
        <v>20</v>
      </c>
      <c r="C88" t="s">
        <v>120</v>
      </c>
      <c r="D88" s="2" t="s">
        <v>52</v>
      </c>
      <c r="E88" s="2">
        <v>16</v>
      </c>
      <c r="F88" s="2">
        <v>7</v>
      </c>
      <c r="G88" s="2">
        <v>18.7</v>
      </c>
      <c r="H88" s="2">
        <v>1.1000000000000001</v>
      </c>
      <c r="I88" s="2">
        <v>4.2</v>
      </c>
      <c r="J88" s="2">
        <v>0.26900000000000002</v>
      </c>
      <c r="K88" s="2">
        <v>0.4</v>
      </c>
      <c r="L88" s="2">
        <v>2.2999999999999998</v>
      </c>
      <c r="M88" s="2">
        <v>0.189</v>
      </c>
      <c r="N88" s="2">
        <v>0.7</v>
      </c>
      <c r="O88" s="2">
        <v>1.9</v>
      </c>
      <c r="P88" s="2">
        <v>0.36699999999999999</v>
      </c>
      <c r="Q88" s="2">
        <v>0.32100000000000001</v>
      </c>
      <c r="R88" s="2">
        <v>0.4</v>
      </c>
      <c r="S88" s="2">
        <v>0.6</v>
      </c>
      <c r="T88" s="2">
        <v>0.6</v>
      </c>
      <c r="U88" s="2">
        <v>0.5</v>
      </c>
      <c r="V88" s="2">
        <v>1.8</v>
      </c>
      <c r="W88" s="2">
        <v>2.2999999999999998</v>
      </c>
      <c r="X88" s="2">
        <v>1.2</v>
      </c>
      <c r="Y88" s="2">
        <v>0.4</v>
      </c>
      <c r="Z88" s="2">
        <v>0.3</v>
      </c>
      <c r="AA88" s="2">
        <v>0.7</v>
      </c>
      <c r="AB88" s="2">
        <v>1.3</v>
      </c>
      <c r="AC88" s="2">
        <v>3.1</v>
      </c>
      <c r="AD88" s="2"/>
    </row>
    <row r="89" spans="1:30" x14ac:dyDescent="0.2">
      <c r="A89" t="s">
        <v>466</v>
      </c>
      <c r="B89" s="2">
        <v>22</v>
      </c>
      <c r="C89" t="s">
        <v>37</v>
      </c>
      <c r="D89" s="2" t="s">
        <v>52</v>
      </c>
      <c r="E89" s="2">
        <v>16</v>
      </c>
      <c r="F89" s="2">
        <v>0</v>
      </c>
      <c r="G89" s="2">
        <v>5.0999999999999996</v>
      </c>
      <c r="H89" s="2">
        <v>0.5</v>
      </c>
      <c r="I89" s="2">
        <v>1.2</v>
      </c>
      <c r="J89" s="2">
        <v>0.42099999999999999</v>
      </c>
      <c r="K89" s="2">
        <v>0.3</v>
      </c>
      <c r="L89" s="2">
        <v>0.4</v>
      </c>
      <c r="M89" s="2">
        <v>0.57099999999999995</v>
      </c>
      <c r="N89" s="2">
        <v>0.3</v>
      </c>
      <c r="O89" s="2">
        <v>0.8</v>
      </c>
      <c r="P89" s="2">
        <v>0.33300000000000002</v>
      </c>
      <c r="Q89" s="2">
        <v>0.52600000000000002</v>
      </c>
      <c r="R89" s="2">
        <v>0</v>
      </c>
      <c r="S89" s="2">
        <v>0</v>
      </c>
      <c r="T89" s="2"/>
      <c r="U89" s="2">
        <v>0.3</v>
      </c>
      <c r="V89" s="2">
        <v>0.6</v>
      </c>
      <c r="W89" s="2">
        <v>0.9</v>
      </c>
      <c r="X89" s="2">
        <v>0.3</v>
      </c>
      <c r="Y89" s="2">
        <v>0.3</v>
      </c>
      <c r="Z89" s="2">
        <v>0.3</v>
      </c>
      <c r="AA89" s="2">
        <v>0.4</v>
      </c>
      <c r="AB89" s="2">
        <v>0.5</v>
      </c>
      <c r="AC89" s="2">
        <v>1.3</v>
      </c>
      <c r="AD89" s="2"/>
    </row>
    <row r="90" spans="1:30" x14ac:dyDescent="0.2">
      <c r="A90" t="s">
        <v>308</v>
      </c>
      <c r="B90" s="2">
        <v>24</v>
      </c>
      <c r="C90" t="s">
        <v>48</v>
      </c>
      <c r="D90" s="2" t="s">
        <v>33</v>
      </c>
      <c r="E90" s="2">
        <v>24</v>
      </c>
      <c r="F90" s="2">
        <v>0</v>
      </c>
      <c r="G90" s="2">
        <v>11</v>
      </c>
      <c r="H90" s="2">
        <v>1.8</v>
      </c>
      <c r="I90" s="2">
        <v>4.8</v>
      </c>
      <c r="J90" s="2">
        <v>0.377</v>
      </c>
      <c r="K90" s="2">
        <v>0.7</v>
      </c>
      <c r="L90" s="2">
        <v>2.1</v>
      </c>
      <c r="M90" s="2">
        <v>0.32</v>
      </c>
      <c r="N90" s="2">
        <v>1.1000000000000001</v>
      </c>
      <c r="O90" s="2">
        <v>2.7</v>
      </c>
      <c r="P90" s="2">
        <v>0.42199999999999999</v>
      </c>
      <c r="Q90" s="2">
        <v>0.44700000000000001</v>
      </c>
      <c r="R90" s="2">
        <v>1</v>
      </c>
      <c r="S90" s="2">
        <v>1.3</v>
      </c>
      <c r="T90" s="2">
        <v>0.71899999999999997</v>
      </c>
      <c r="U90" s="2">
        <v>0.3</v>
      </c>
      <c r="V90" s="2">
        <v>1.6</v>
      </c>
      <c r="W90" s="2">
        <v>2</v>
      </c>
      <c r="X90" s="2">
        <v>1.8</v>
      </c>
      <c r="Y90" s="2">
        <v>0.4</v>
      </c>
      <c r="Z90" s="2">
        <v>0.1</v>
      </c>
      <c r="AA90" s="2">
        <v>1.2</v>
      </c>
      <c r="AB90" s="2">
        <v>1.4</v>
      </c>
      <c r="AC90" s="2">
        <v>5.2</v>
      </c>
      <c r="AD90" s="2"/>
    </row>
    <row r="91" spans="1:30" x14ac:dyDescent="0.2">
      <c r="A91" t="s">
        <v>566</v>
      </c>
      <c r="B91" s="2">
        <v>25</v>
      </c>
      <c r="C91" t="s">
        <v>75</v>
      </c>
      <c r="D91" s="2" t="s">
        <v>49</v>
      </c>
      <c r="E91" s="2">
        <v>2</v>
      </c>
      <c r="F91" s="2">
        <v>0</v>
      </c>
      <c r="G91" s="2">
        <v>6.5</v>
      </c>
      <c r="H91" s="2">
        <v>0</v>
      </c>
      <c r="I91" s="2">
        <v>2.5</v>
      </c>
      <c r="J91" s="2">
        <v>0</v>
      </c>
      <c r="K91" s="2">
        <v>0</v>
      </c>
      <c r="L91" s="2">
        <v>2.5</v>
      </c>
      <c r="M91" s="2">
        <v>0</v>
      </c>
      <c r="N91" s="2">
        <v>0</v>
      </c>
      <c r="O91" s="2">
        <v>0</v>
      </c>
      <c r="P91" s="2"/>
      <c r="Q91" s="2">
        <v>0</v>
      </c>
      <c r="R91" s="2">
        <v>0</v>
      </c>
      <c r="S91" s="2">
        <v>0</v>
      </c>
      <c r="T91" s="2"/>
      <c r="U91" s="2">
        <v>0</v>
      </c>
      <c r="V91" s="2">
        <v>1</v>
      </c>
      <c r="W91" s="2">
        <v>1</v>
      </c>
      <c r="X91" s="2">
        <v>0.5</v>
      </c>
      <c r="Y91" s="2">
        <v>0</v>
      </c>
      <c r="Z91" s="2">
        <v>0</v>
      </c>
      <c r="AA91" s="2">
        <v>0</v>
      </c>
      <c r="AB91" s="2">
        <v>0.5</v>
      </c>
      <c r="AC91" s="2">
        <v>0</v>
      </c>
      <c r="AD91" s="2"/>
    </row>
    <row r="92" spans="1:30" x14ac:dyDescent="0.2">
      <c r="A92" t="s">
        <v>496</v>
      </c>
      <c r="B92" s="2">
        <v>24</v>
      </c>
      <c r="C92" t="s">
        <v>80</v>
      </c>
      <c r="D92" s="2" t="s">
        <v>42</v>
      </c>
      <c r="E92" s="2">
        <v>7</v>
      </c>
      <c r="F92" s="2">
        <v>0</v>
      </c>
      <c r="G92" s="2">
        <v>3</v>
      </c>
      <c r="H92" s="2">
        <v>0.1</v>
      </c>
      <c r="I92" s="2">
        <v>0.6</v>
      </c>
      <c r="J92" s="2">
        <v>0.25</v>
      </c>
      <c r="K92" s="2">
        <v>0</v>
      </c>
      <c r="L92" s="2">
        <v>0.3</v>
      </c>
      <c r="M92" s="2">
        <v>0</v>
      </c>
      <c r="N92" s="2">
        <v>0.1</v>
      </c>
      <c r="O92" s="2">
        <v>0.3</v>
      </c>
      <c r="P92" s="2">
        <v>0.5</v>
      </c>
      <c r="Q92" s="2">
        <v>0.25</v>
      </c>
      <c r="R92" s="2">
        <v>1.1000000000000001</v>
      </c>
      <c r="S92" s="2">
        <v>1.1000000000000001</v>
      </c>
      <c r="T92" s="2">
        <v>1</v>
      </c>
      <c r="U92" s="2">
        <v>0.3</v>
      </c>
      <c r="V92" s="2">
        <v>0.7</v>
      </c>
      <c r="W92" s="2">
        <v>1</v>
      </c>
      <c r="X92" s="2">
        <v>0</v>
      </c>
      <c r="Y92" s="2">
        <v>0</v>
      </c>
      <c r="Z92" s="2">
        <v>0.1</v>
      </c>
      <c r="AA92" s="2">
        <v>0</v>
      </c>
      <c r="AB92" s="2">
        <v>0.4</v>
      </c>
      <c r="AC92" s="2">
        <v>1.4</v>
      </c>
      <c r="AD92" s="2"/>
    </row>
    <row r="93" spans="1:30" x14ac:dyDescent="0.2">
      <c r="A93" t="s">
        <v>536</v>
      </c>
      <c r="B93" s="2">
        <v>25</v>
      </c>
      <c r="C93" t="s">
        <v>54</v>
      </c>
      <c r="D93" s="2" t="s">
        <v>33</v>
      </c>
      <c r="E93" s="2">
        <v>1</v>
      </c>
      <c r="F93" s="2">
        <v>0</v>
      </c>
      <c r="G93" s="2">
        <v>3</v>
      </c>
      <c r="H93" s="2">
        <v>1</v>
      </c>
      <c r="I93" s="2">
        <v>2</v>
      </c>
      <c r="J93" s="2">
        <v>0.5</v>
      </c>
      <c r="K93" s="2">
        <v>1</v>
      </c>
      <c r="L93" s="2">
        <v>1</v>
      </c>
      <c r="M93" s="2">
        <v>1</v>
      </c>
      <c r="N93" s="2">
        <v>0</v>
      </c>
      <c r="O93" s="2">
        <v>1</v>
      </c>
      <c r="P93" s="2">
        <v>0</v>
      </c>
      <c r="Q93" s="2">
        <v>0.75</v>
      </c>
      <c r="R93" s="2">
        <v>0</v>
      </c>
      <c r="S93" s="2">
        <v>0</v>
      </c>
      <c r="T93" s="2"/>
      <c r="U93" s="2">
        <v>0</v>
      </c>
      <c r="V93" s="2">
        <v>0</v>
      </c>
      <c r="W93" s="2">
        <v>0</v>
      </c>
      <c r="X93" s="2">
        <v>0</v>
      </c>
      <c r="Y93" s="2">
        <v>0</v>
      </c>
      <c r="Z93" s="2">
        <v>0</v>
      </c>
      <c r="AA93" s="2">
        <v>0</v>
      </c>
      <c r="AB93" s="2">
        <v>0</v>
      </c>
      <c r="AC93" s="2">
        <v>3</v>
      </c>
      <c r="AD93" s="2"/>
    </row>
    <row r="94" spans="1:30" x14ac:dyDescent="0.2">
      <c r="A94" t="s">
        <v>123</v>
      </c>
      <c r="B94" s="2">
        <v>26</v>
      </c>
      <c r="C94" t="s">
        <v>120</v>
      </c>
      <c r="D94" s="2" t="s">
        <v>52</v>
      </c>
      <c r="E94" s="2">
        <v>23</v>
      </c>
      <c r="F94" s="2">
        <v>21</v>
      </c>
      <c r="G94" s="2">
        <v>27.9</v>
      </c>
      <c r="H94" s="2">
        <v>5.8</v>
      </c>
      <c r="I94" s="2">
        <v>12</v>
      </c>
      <c r="J94" s="2">
        <v>0.48</v>
      </c>
      <c r="K94" s="2">
        <v>1.8</v>
      </c>
      <c r="L94" s="2">
        <v>4.0999999999999996</v>
      </c>
      <c r="M94" s="2">
        <v>0.432</v>
      </c>
      <c r="N94" s="2">
        <v>4</v>
      </c>
      <c r="O94" s="2">
        <v>7.9</v>
      </c>
      <c r="P94" s="2">
        <v>0.505</v>
      </c>
      <c r="Q94" s="2">
        <v>0.55400000000000005</v>
      </c>
      <c r="R94" s="2">
        <v>3.4</v>
      </c>
      <c r="S94" s="2">
        <v>3.8</v>
      </c>
      <c r="T94" s="2">
        <v>0.89800000000000002</v>
      </c>
      <c r="U94" s="2">
        <v>0.7</v>
      </c>
      <c r="V94" s="2">
        <v>1.8</v>
      </c>
      <c r="W94" s="2">
        <v>2.5</v>
      </c>
      <c r="X94" s="2">
        <v>3.2</v>
      </c>
      <c r="Y94" s="2">
        <v>0.7</v>
      </c>
      <c r="Z94" s="2">
        <v>0.1</v>
      </c>
      <c r="AA94" s="2">
        <v>2.4</v>
      </c>
      <c r="AB94" s="2">
        <v>2.2000000000000002</v>
      </c>
      <c r="AC94" s="2">
        <v>16.8</v>
      </c>
      <c r="AD94" s="2"/>
    </row>
    <row r="95" spans="1:30" x14ac:dyDescent="0.2">
      <c r="A95" t="s">
        <v>224</v>
      </c>
      <c r="B95" s="2">
        <v>25</v>
      </c>
      <c r="C95" t="s">
        <v>114</v>
      </c>
      <c r="D95" s="2" t="s">
        <v>49</v>
      </c>
      <c r="E95" s="2">
        <v>19</v>
      </c>
      <c r="F95" s="2">
        <v>0</v>
      </c>
      <c r="G95" s="2">
        <v>27.6</v>
      </c>
      <c r="H95" s="2">
        <v>4</v>
      </c>
      <c r="I95" s="2">
        <v>9.6999999999999993</v>
      </c>
      <c r="J95" s="2">
        <v>0.41299999999999998</v>
      </c>
      <c r="K95" s="2">
        <v>1.8</v>
      </c>
      <c r="L95" s="2">
        <v>5.9</v>
      </c>
      <c r="M95" s="2">
        <v>0.313</v>
      </c>
      <c r="N95" s="2">
        <v>2.2000000000000002</v>
      </c>
      <c r="O95" s="2">
        <v>3.8</v>
      </c>
      <c r="P95" s="2">
        <v>0.56899999999999995</v>
      </c>
      <c r="Q95" s="2">
        <v>0.50800000000000001</v>
      </c>
      <c r="R95" s="2">
        <v>1.1000000000000001</v>
      </c>
      <c r="S95" s="2">
        <v>1.3</v>
      </c>
      <c r="T95" s="2">
        <v>0.83299999999999996</v>
      </c>
      <c r="U95" s="2">
        <v>0.4</v>
      </c>
      <c r="V95" s="2">
        <v>3.1</v>
      </c>
      <c r="W95" s="2">
        <v>3.4</v>
      </c>
      <c r="X95" s="2">
        <v>1.5</v>
      </c>
      <c r="Y95" s="2">
        <v>0.6</v>
      </c>
      <c r="Z95" s="2">
        <v>0.2</v>
      </c>
      <c r="AA95" s="2">
        <v>1.1000000000000001</v>
      </c>
      <c r="AB95" s="2">
        <v>1.7</v>
      </c>
      <c r="AC95" s="2">
        <v>10.9</v>
      </c>
      <c r="AD95" s="2"/>
    </row>
    <row r="96" spans="1:30" x14ac:dyDescent="0.2">
      <c r="A96" t="s">
        <v>485</v>
      </c>
      <c r="B96" s="2">
        <v>33</v>
      </c>
      <c r="C96" t="s">
        <v>48</v>
      </c>
      <c r="D96" s="2" t="s">
        <v>33</v>
      </c>
      <c r="E96" s="2">
        <v>13</v>
      </c>
      <c r="F96" s="2">
        <v>0</v>
      </c>
      <c r="G96" s="2">
        <v>3.5</v>
      </c>
      <c r="H96" s="2">
        <v>0.4</v>
      </c>
      <c r="I96" s="2">
        <v>1.2</v>
      </c>
      <c r="J96" s="2">
        <v>0.33300000000000002</v>
      </c>
      <c r="K96" s="2">
        <v>0.4</v>
      </c>
      <c r="L96" s="2">
        <v>0.9</v>
      </c>
      <c r="M96" s="2">
        <v>0.41699999999999998</v>
      </c>
      <c r="N96" s="2">
        <v>0</v>
      </c>
      <c r="O96" s="2">
        <v>0.2</v>
      </c>
      <c r="P96" s="2">
        <v>0</v>
      </c>
      <c r="Q96" s="2">
        <v>0.5</v>
      </c>
      <c r="R96" s="2">
        <v>0</v>
      </c>
      <c r="S96" s="2">
        <v>0</v>
      </c>
      <c r="T96" s="2"/>
      <c r="U96" s="2">
        <v>0.2</v>
      </c>
      <c r="V96" s="2">
        <v>0.5</v>
      </c>
      <c r="W96" s="2">
        <v>0.7</v>
      </c>
      <c r="X96" s="2">
        <v>0.7</v>
      </c>
      <c r="Y96" s="2">
        <v>0.2</v>
      </c>
      <c r="Z96" s="2">
        <v>0.2</v>
      </c>
      <c r="AA96" s="2">
        <v>0.2</v>
      </c>
      <c r="AB96" s="2">
        <v>0.2</v>
      </c>
      <c r="AC96" s="2">
        <v>1.2</v>
      </c>
      <c r="AD96" s="2"/>
    </row>
    <row r="97" spans="1:30" x14ac:dyDescent="0.2">
      <c r="A97" t="s">
        <v>415</v>
      </c>
      <c r="B97" s="2">
        <v>24</v>
      </c>
      <c r="C97" t="s">
        <v>57</v>
      </c>
      <c r="D97" s="2" t="s">
        <v>33</v>
      </c>
      <c r="E97" s="2">
        <v>16</v>
      </c>
      <c r="F97" s="2">
        <v>0</v>
      </c>
      <c r="G97" s="2">
        <v>9.4</v>
      </c>
      <c r="H97" s="2">
        <v>1.1000000000000001</v>
      </c>
      <c r="I97" s="2">
        <v>1.9</v>
      </c>
      <c r="J97" s="2">
        <v>0.58099999999999996</v>
      </c>
      <c r="K97" s="2">
        <v>0.3</v>
      </c>
      <c r="L97" s="2">
        <v>0.7</v>
      </c>
      <c r="M97" s="2">
        <v>0.45500000000000002</v>
      </c>
      <c r="N97" s="2">
        <v>0.8</v>
      </c>
      <c r="O97" s="2">
        <v>1.3</v>
      </c>
      <c r="P97" s="2">
        <v>0.65</v>
      </c>
      <c r="Q97" s="2">
        <v>0.66100000000000003</v>
      </c>
      <c r="R97" s="2">
        <v>0.2</v>
      </c>
      <c r="S97" s="2">
        <v>0.3</v>
      </c>
      <c r="T97" s="2">
        <v>0.6</v>
      </c>
      <c r="U97" s="2">
        <v>0.1</v>
      </c>
      <c r="V97" s="2">
        <v>0.8</v>
      </c>
      <c r="W97" s="2">
        <v>0.9</v>
      </c>
      <c r="X97" s="2">
        <v>1.4</v>
      </c>
      <c r="Y97" s="2">
        <v>0.3</v>
      </c>
      <c r="Z97" s="2">
        <v>0.4</v>
      </c>
      <c r="AA97" s="2">
        <v>0.6</v>
      </c>
      <c r="AB97" s="2">
        <v>0.4</v>
      </c>
      <c r="AC97" s="2">
        <v>2.8</v>
      </c>
      <c r="AD97" s="2"/>
    </row>
    <row r="98" spans="1:30" x14ac:dyDescent="0.2">
      <c r="A98" t="s">
        <v>534</v>
      </c>
      <c r="B98" s="2">
        <v>21</v>
      </c>
      <c r="C98" t="s">
        <v>103</v>
      </c>
      <c r="D98" s="2" t="s">
        <v>52</v>
      </c>
      <c r="E98" s="2">
        <v>5</v>
      </c>
      <c r="F98" s="2">
        <v>0</v>
      </c>
      <c r="G98" s="2">
        <v>2</v>
      </c>
      <c r="H98" s="2">
        <v>0.2</v>
      </c>
      <c r="I98" s="2">
        <v>1.4</v>
      </c>
      <c r="J98" s="2">
        <v>0.14299999999999999</v>
      </c>
      <c r="K98" s="2">
        <v>0</v>
      </c>
      <c r="L98" s="2">
        <v>0.6</v>
      </c>
      <c r="M98" s="2">
        <v>0</v>
      </c>
      <c r="N98" s="2">
        <v>0.2</v>
      </c>
      <c r="O98" s="2">
        <v>0.8</v>
      </c>
      <c r="P98" s="2">
        <v>0.25</v>
      </c>
      <c r="Q98" s="2">
        <v>0.14299999999999999</v>
      </c>
      <c r="R98" s="2">
        <v>0.2</v>
      </c>
      <c r="S98" s="2">
        <v>0.4</v>
      </c>
      <c r="T98" s="2">
        <v>0.5</v>
      </c>
      <c r="U98" s="2">
        <v>0</v>
      </c>
      <c r="V98" s="2">
        <v>0.4</v>
      </c>
      <c r="W98" s="2">
        <v>0.4</v>
      </c>
      <c r="X98" s="2">
        <v>0</v>
      </c>
      <c r="Y98" s="2">
        <v>0</v>
      </c>
      <c r="Z98" s="2">
        <v>0</v>
      </c>
      <c r="AA98" s="2">
        <v>0</v>
      </c>
      <c r="AB98" s="2">
        <v>0</v>
      </c>
      <c r="AC98" s="2">
        <v>0.6</v>
      </c>
      <c r="AD98" s="2"/>
    </row>
    <row r="99" spans="1:30" x14ac:dyDescent="0.2">
      <c r="A99" t="s">
        <v>533</v>
      </c>
      <c r="B99" s="2">
        <v>24</v>
      </c>
      <c r="C99" t="s">
        <v>66</v>
      </c>
      <c r="D99" s="2" t="s">
        <v>52</v>
      </c>
      <c r="E99" s="2">
        <v>4</v>
      </c>
      <c r="F99" s="2">
        <v>0</v>
      </c>
      <c r="G99" s="2">
        <v>8.3000000000000007</v>
      </c>
      <c r="H99" s="2">
        <v>0.3</v>
      </c>
      <c r="I99" s="2">
        <v>1.8</v>
      </c>
      <c r="J99" s="2">
        <v>0.14299999999999999</v>
      </c>
      <c r="K99" s="2">
        <v>0</v>
      </c>
      <c r="L99" s="2">
        <v>0.8</v>
      </c>
      <c r="M99" s="2">
        <v>0</v>
      </c>
      <c r="N99" s="2">
        <v>0.3</v>
      </c>
      <c r="O99" s="2">
        <v>1</v>
      </c>
      <c r="P99" s="2">
        <v>0.25</v>
      </c>
      <c r="Q99" s="2">
        <v>0.14299999999999999</v>
      </c>
      <c r="R99" s="2">
        <v>0.3</v>
      </c>
      <c r="S99" s="2">
        <v>0.3</v>
      </c>
      <c r="T99" s="2">
        <v>1</v>
      </c>
      <c r="U99" s="2">
        <v>0</v>
      </c>
      <c r="V99" s="2">
        <v>1</v>
      </c>
      <c r="W99" s="2">
        <v>1</v>
      </c>
      <c r="X99" s="2">
        <v>0.8</v>
      </c>
      <c r="Y99" s="2">
        <v>0.5</v>
      </c>
      <c r="Z99" s="2">
        <v>0</v>
      </c>
      <c r="AA99" s="2">
        <v>1</v>
      </c>
      <c r="AB99" s="2">
        <v>0.3</v>
      </c>
      <c r="AC99" s="2">
        <v>0.8</v>
      </c>
      <c r="AD99" s="2"/>
    </row>
    <row r="100" spans="1:30" x14ac:dyDescent="0.2">
      <c r="A100" t="s">
        <v>157</v>
      </c>
      <c r="B100" s="2">
        <v>28</v>
      </c>
      <c r="C100" t="s">
        <v>41</v>
      </c>
      <c r="D100" s="2" t="s">
        <v>33</v>
      </c>
      <c r="E100" s="2">
        <v>23</v>
      </c>
      <c r="F100" s="2">
        <v>10</v>
      </c>
      <c r="G100" s="2">
        <v>27.3</v>
      </c>
      <c r="H100" s="2">
        <v>4.5999999999999996</v>
      </c>
      <c r="I100" s="2">
        <v>10.9</v>
      </c>
      <c r="J100" s="2">
        <v>0.42199999999999999</v>
      </c>
      <c r="K100" s="2">
        <v>2</v>
      </c>
      <c r="L100" s="2">
        <v>5.8</v>
      </c>
      <c r="M100" s="2">
        <v>0.34300000000000003</v>
      </c>
      <c r="N100" s="2">
        <v>2.6</v>
      </c>
      <c r="O100" s="2">
        <v>5.0999999999999996</v>
      </c>
      <c r="P100" s="2">
        <v>0.51300000000000001</v>
      </c>
      <c r="Q100" s="2">
        <v>0.51400000000000001</v>
      </c>
      <c r="R100" s="2">
        <v>1.7</v>
      </c>
      <c r="S100" s="2">
        <v>2</v>
      </c>
      <c r="T100" s="2">
        <v>0.86699999999999999</v>
      </c>
      <c r="U100" s="2">
        <v>0.3</v>
      </c>
      <c r="V100" s="2">
        <v>2.2999999999999998</v>
      </c>
      <c r="W100" s="2">
        <v>2.7</v>
      </c>
      <c r="X100" s="2">
        <v>5.0999999999999996</v>
      </c>
      <c r="Y100" s="2">
        <v>0.9</v>
      </c>
      <c r="Z100" s="2">
        <v>0.1</v>
      </c>
      <c r="AA100" s="2">
        <v>1.8</v>
      </c>
      <c r="AB100" s="2">
        <v>1.9</v>
      </c>
      <c r="AC100" s="2">
        <v>12.9</v>
      </c>
      <c r="AD100" s="2"/>
    </row>
    <row r="101" spans="1:30" x14ac:dyDescent="0.2">
      <c r="A101" t="s">
        <v>554</v>
      </c>
      <c r="B101" s="2">
        <v>22</v>
      </c>
      <c r="C101" t="s">
        <v>51</v>
      </c>
      <c r="D101" s="2" t="s">
        <v>33</v>
      </c>
      <c r="E101" s="2">
        <v>3</v>
      </c>
      <c r="F101" s="2">
        <v>0</v>
      </c>
      <c r="G101" s="2">
        <v>4.3</v>
      </c>
      <c r="H101" s="2">
        <v>0</v>
      </c>
      <c r="I101" s="2">
        <v>0.3</v>
      </c>
      <c r="J101" s="2">
        <v>0</v>
      </c>
      <c r="K101" s="2">
        <v>0</v>
      </c>
      <c r="L101" s="2">
        <v>0.3</v>
      </c>
      <c r="M101" s="2">
        <v>0</v>
      </c>
      <c r="N101" s="2">
        <v>0</v>
      </c>
      <c r="O101" s="2">
        <v>0</v>
      </c>
      <c r="P101" s="2"/>
      <c r="Q101" s="2">
        <v>0</v>
      </c>
      <c r="R101" s="2">
        <v>0.3</v>
      </c>
      <c r="S101" s="2">
        <v>0.7</v>
      </c>
      <c r="T101" s="2">
        <v>0.5</v>
      </c>
      <c r="U101" s="2">
        <v>0</v>
      </c>
      <c r="V101" s="2">
        <v>1.3</v>
      </c>
      <c r="W101" s="2">
        <v>1.3</v>
      </c>
      <c r="X101" s="2">
        <v>1</v>
      </c>
      <c r="Y101" s="2">
        <v>0</v>
      </c>
      <c r="Z101" s="2">
        <v>0</v>
      </c>
      <c r="AA101" s="2">
        <v>1.3</v>
      </c>
      <c r="AB101" s="2">
        <v>0.3</v>
      </c>
      <c r="AC101" s="2">
        <v>0.3</v>
      </c>
      <c r="AD101" s="2"/>
    </row>
    <row r="102" spans="1:30" x14ac:dyDescent="0.2">
      <c r="A102" t="s">
        <v>209</v>
      </c>
      <c r="B102" s="2">
        <v>25</v>
      </c>
      <c r="C102" t="s">
        <v>135</v>
      </c>
      <c r="D102" s="2" t="s">
        <v>33</v>
      </c>
      <c r="E102" s="2">
        <v>22</v>
      </c>
      <c r="F102" s="2">
        <v>0</v>
      </c>
      <c r="G102" s="2">
        <v>17.2</v>
      </c>
      <c r="H102" s="2">
        <v>3.7</v>
      </c>
      <c r="I102" s="2">
        <v>8.5</v>
      </c>
      <c r="J102" s="2">
        <v>0.433</v>
      </c>
      <c r="K102" s="2">
        <v>1.4</v>
      </c>
      <c r="L102" s="2">
        <v>3.5</v>
      </c>
      <c r="M102" s="2">
        <v>0.38500000000000001</v>
      </c>
      <c r="N102" s="2">
        <v>2.2999999999999998</v>
      </c>
      <c r="O102" s="2">
        <v>5</v>
      </c>
      <c r="P102" s="2">
        <v>0.46800000000000003</v>
      </c>
      <c r="Q102" s="2">
        <v>0.51300000000000001</v>
      </c>
      <c r="R102" s="2">
        <v>1.6</v>
      </c>
      <c r="S102" s="2">
        <v>2.4</v>
      </c>
      <c r="T102" s="2">
        <v>0.67300000000000004</v>
      </c>
      <c r="U102" s="2">
        <v>0.3</v>
      </c>
      <c r="V102" s="2">
        <v>2</v>
      </c>
      <c r="W102" s="2">
        <v>2.2999999999999998</v>
      </c>
      <c r="X102" s="2">
        <v>2.6</v>
      </c>
      <c r="Y102" s="2">
        <v>1</v>
      </c>
      <c r="Z102" s="2">
        <v>0.6</v>
      </c>
      <c r="AA102" s="2">
        <v>1.7</v>
      </c>
      <c r="AB102" s="2">
        <v>1.1000000000000001</v>
      </c>
      <c r="AC102" s="2">
        <v>10.3</v>
      </c>
      <c r="AD102" s="2"/>
    </row>
    <row r="103" spans="1:30" x14ac:dyDescent="0.2">
      <c r="A103" t="s">
        <v>330</v>
      </c>
      <c r="B103" s="2">
        <v>22</v>
      </c>
      <c r="C103" t="s">
        <v>70</v>
      </c>
      <c r="D103" s="2" t="s">
        <v>52</v>
      </c>
      <c r="E103" s="2">
        <v>25</v>
      </c>
      <c r="F103" s="2">
        <v>0</v>
      </c>
      <c r="G103" s="2">
        <v>13.5</v>
      </c>
      <c r="H103" s="2">
        <v>1.5</v>
      </c>
      <c r="I103" s="2">
        <v>3</v>
      </c>
      <c r="J103" s="2">
        <v>0.5</v>
      </c>
      <c r="K103" s="2">
        <v>0.4</v>
      </c>
      <c r="L103" s="2">
        <v>1.1000000000000001</v>
      </c>
      <c r="M103" s="2">
        <v>0.37</v>
      </c>
      <c r="N103" s="2">
        <v>1.1000000000000001</v>
      </c>
      <c r="O103" s="2">
        <v>1.9</v>
      </c>
      <c r="P103" s="2">
        <v>0.57399999999999995</v>
      </c>
      <c r="Q103" s="2">
        <v>0.56799999999999995</v>
      </c>
      <c r="R103" s="2">
        <v>0.9</v>
      </c>
      <c r="S103" s="2">
        <v>1.1000000000000001</v>
      </c>
      <c r="T103" s="2">
        <v>0.78600000000000003</v>
      </c>
      <c r="U103" s="2">
        <v>0.6</v>
      </c>
      <c r="V103" s="2">
        <v>0.8</v>
      </c>
      <c r="W103" s="2">
        <v>1.4</v>
      </c>
      <c r="X103" s="2">
        <v>0.9</v>
      </c>
      <c r="Y103" s="2">
        <v>0.6</v>
      </c>
      <c r="Z103" s="2">
        <v>0.3</v>
      </c>
      <c r="AA103" s="2">
        <v>0.8</v>
      </c>
      <c r="AB103" s="2">
        <v>1.4</v>
      </c>
      <c r="AC103" s="2">
        <v>4.2</v>
      </c>
      <c r="AD103" s="2"/>
    </row>
    <row r="104" spans="1:30" x14ac:dyDescent="0.2">
      <c r="A104" t="s">
        <v>184</v>
      </c>
      <c r="B104" s="2">
        <v>23</v>
      </c>
      <c r="C104" t="s">
        <v>41</v>
      </c>
      <c r="D104" s="2" t="s">
        <v>49</v>
      </c>
      <c r="E104" s="2">
        <v>24</v>
      </c>
      <c r="F104" s="2">
        <v>12</v>
      </c>
      <c r="G104" s="2">
        <v>24.3</v>
      </c>
      <c r="H104" s="2">
        <v>4.0999999999999996</v>
      </c>
      <c r="I104" s="2">
        <v>8.8000000000000007</v>
      </c>
      <c r="J104" s="2">
        <v>0.46899999999999997</v>
      </c>
      <c r="K104" s="2">
        <v>2.1</v>
      </c>
      <c r="L104" s="2">
        <v>5.3</v>
      </c>
      <c r="M104" s="2">
        <v>0.39100000000000001</v>
      </c>
      <c r="N104" s="2">
        <v>2</v>
      </c>
      <c r="O104" s="2">
        <v>3.5</v>
      </c>
      <c r="P104" s="2">
        <v>0.59</v>
      </c>
      <c r="Q104" s="2">
        <v>0.58799999999999997</v>
      </c>
      <c r="R104" s="2">
        <v>0.7</v>
      </c>
      <c r="S104" s="2">
        <v>0.9</v>
      </c>
      <c r="T104" s="2">
        <v>0.77300000000000002</v>
      </c>
      <c r="U104" s="2">
        <v>0.6</v>
      </c>
      <c r="V104" s="2">
        <v>2.9</v>
      </c>
      <c r="W104" s="2">
        <v>3.5</v>
      </c>
      <c r="X104" s="2">
        <v>1.2</v>
      </c>
      <c r="Y104" s="2">
        <v>0.5</v>
      </c>
      <c r="Z104" s="2">
        <v>0</v>
      </c>
      <c r="AA104" s="2">
        <v>0.5</v>
      </c>
      <c r="AB104" s="2">
        <v>1.5</v>
      </c>
      <c r="AC104" s="2">
        <v>11</v>
      </c>
      <c r="AD104" s="2"/>
    </row>
    <row r="105" spans="1:30" x14ac:dyDescent="0.2">
      <c r="A105" t="s">
        <v>64</v>
      </c>
      <c r="B105" s="2">
        <v>34</v>
      </c>
      <c r="C105" t="s">
        <v>35</v>
      </c>
      <c r="D105" s="2" t="s">
        <v>33</v>
      </c>
      <c r="E105" s="2">
        <v>21</v>
      </c>
      <c r="F105" s="2">
        <v>21</v>
      </c>
      <c r="G105" s="2">
        <v>36.299999999999997</v>
      </c>
      <c r="H105" s="2">
        <v>7.9</v>
      </c>
      <c r="I105" s="2">
        <v>17.399999999999999</v>
      </c>
      <c r="J105" s="2">
        <v>0.45400000000000001</v>
      </c>
      <c r="K105" s="2">
        <v>3.4</v>
      </c>
      <c r="L105" s="2">
        <v>9.1</v>
      </c>
      <c r="M105" s="2">
        <v>0.372</v>
      </c>
      <c r="N105" s="2">
        <v>4.5</v>
      </c>
      <c r="O105" s="2">
        <v>8.3000000000000007</v>
      </c>
      <c r="P105" s="2">
        <v>0.54300000000000004</v>
      </c>
      <c r="Q105" s="2">
        <v>0.55100000000000005</v>
      </c>
      <c r="R105" s="2">
        <v>6.6</v>
      </c>
      <c r="S105" s="2">
        <v>7.1</v>
      </c>
      <c r="T105" s="2">
        <v>0.92</v>
      </c>
      <c r="U105" s="2">
        <v>0.6</v>
      </c>
      <c r="V105" s="2">
        <v>3.9</v>
      </c>
      <c r="W105" s="2">
        <v>4.4000000000000004</v>
      </c>
      <c r="X105" s="2">
        <v>7.6</v>
      </c>
      <c r="Y105" s="2">
        <v>1</v>
      </c>
      <c r="Z105" s="2">
        <v>0.2</v>
      </c>
      <c r="AA105" s="2">
        <v>3</v>
      </c>
      <c r="AB105" s="2">
        <v>1.9</v>
      </c>
      <c r="AC105" s="2">
        <v>25.8</v>
      </c>
      <c r="AD105" s="2"/>
    </row>
    <row r="106" spans="1:30" x14ac:dyDescent="0.2">
      <c r="A106" t="s">
        <v>486</v>
      </c>
      <c r="B106" s="2">
        <v>32</v>
      </c>
      <c r="C106" t="s">
        <v>54</v>
      </c>
      <c r="D106" s="2" t="s">
        <v>52</v>
      </c>
      <c r="E106" s="2">
        <v>4</v>
      </c>
      <c r="F106" s="2">
        <v>0</v>
      </c>
      <c r="G106" s="2">
        <v>9.3000000000000007</v>
      </c>
      <c r="H106" s="2">
        <v>1</v>
      </c>
      <c r="I106" s="2">
        <v>3.5</v>
      </c>
      <c r="J106" s="2">
        <v>0.28599999999999998</v>
      </c>
      <c r="K106" s="2">
        <v>0.3</v>
      </c>
      <c r="L106" s="2">
        <v>2.2999999999999998</v>
      </c>
      <c r="M106" s="2">
        <v>0.111</v>
      </c>
      <c r="N106" s="2">
        <v>0.8</v>
      </c>
      <c r="O106" s="2">
        <v>1.3</v>
      </c>
      <c r="P106" s="2">
        <v>0.6</v>
      </c>
      <c r="Q106" s="2">
        <v>0.32100000000000001</v>
      </c>
      <c r="R106" s="2">
        <v>1.5</v>
      </c>
      <c r="S106" s="2">
        <v>1.5</v>
      </c>
      <c r="T106" s="2">
        <v>1</v>
      </c>
      <c r="U106" s="2">
        <v>0</v>
      </c>
      <c r="V106" s="2">
        <v>1.3</v>
      </c>
      <c r="W106" s="2">
        <v>1.3</v>
      </c>
      <c r="X106" s="2">
        <v>1.3</v>
      </c>
      <c r="Y106" s="2">
        <v>0.5</v>
      </c>
      <c r="Z106" s="2">
        <v>0</v>
      </c>
      <c r="AA106" s="2">
        <v>0.8</v>
      </c>
      <c r="AB106" s="2">
        <v>0.3</v>
      </c>
      <c r="AC106" s="2">
        <v>3.8</v>
      </c>
      <c r="AD106" s="2"/>
    </row>
    <row r="107" spans="1:30" x14ac:dyDescent="0.2">
      <c r="A107" t="s">
        <v>155</v>
      </c>
      <c r="B107" s="2">
        <v>26</v>
      </c>
      <c r="C107" t="s">
        <v>63</v>
      </c>
      <c r="D107" s="2" t="s">
        <v>42</v>
      </c>
      <c r="E107" s="2">
        <v>24</v>
      </c>
      <c r="F107" s="2">
        <v>12</v>
      </c>
      <c r="G107" s="2">
        <v>20.8</v>
      </c>
      <c r="H107" s="2">
        <v>5.3</v>
      </c>
      <c r="I107" s="2">
        <v>7.2</v>
      </c>
      <c r="J107" s="4">
        <v>0.73799999999999999</v>
      </c>
      <c r="K107" s="2">
        <v>0</v>
      </c>
      <c r="L107" s="2">
        <v>0</v>
      </c>
      <c r="M107" s="2"/>
      <c r="N107" s="2">
        <v>5.3</v>
      </c>
      <c r="O107" s="2">
        <v>7.2</v>
      </c>
      <c r="P107" s="4">
        <v>0.73799999999999999</v>
      </c>
      <c r="Q107" s="4">
        <v>0.73799999999999999</v>
      </c>
      <c r="R107" s="2">
        <v>1.9</v>
      </c>
      <c r="S107" s="2">
        <v>2.8</v>
      </c>
      <c r="T107" s="2">
        <v>0.67600000000000005</v>
      </c>
      <c r="U107" s="2">
        <v>2.7</v>
      </c>
      <c r="V107" s="2">
        <v>3.7</v>
      </c>
      <c r="W107" s="2">
        <v>6.4</v>
      </c>
      <c r="X107" s="2">
        <v>1.3</v>
      </c>
      <c r="Y107" s="2">
        <v>0.5</v>
      </c>
      <c r="Z107" s="2">
        <v>1.3</v>
      </c>
      <c r="AA107" s="2">
        <v>0.9</v>
      </c>
      <c r="AB107" s="2">
        <v>2.5</v>
      </c>
      <c r="AC107" s="2">
        <v>12.5</v>
      </c>
      <c r="AD107" s="2"/>
    </row>
    <row r="108" spans="1:30" x14ac:dyDescent="0.2">
      <c r="A108" t="s">
        <v>380</v>
      </c>
      <c r="B108" s="2">
        <v>32</v>
      </c>
      <c r="C108" t="s">
        <v>117</v>
      </c>
      <c r="D108" s="2" t="s">
        <v>42</v>
      </c>
      <c r="E108" s="2">
        <v>18</v>
      </c>
      <c r="F108" s="2">
        <v>7</v>
      </c>
      <c r="G108" s="2">
        <v>14.3</v>
      </c>
      <c r="H108" s="2">
        <v>1.4</v>
      </c>
      <c r="I108" s="2">
        <v>3.3</v>
      </c>
      <c r="J108" s="2">
        <v>0.441</v>
      </c>
      <c r="K108" s="2">
        <v>0.3</v>
      </c>
      <c r="L108" s="2">
        <v>1.1000000000000001</v>
      </c>
      <c r="M108" s="2">
        <v>0.26300000000000001</v>
      </c>
      <c r="N108" s="2">
        <v>1.2</v>
      </c>
      <c r="O108" s="2">
        <v>2.2000000000000002</v>
      </c>
      <c r="P108" s="2">
        <v>0.52500000000000002</v>
      </c>
      <c r="Q108" s="2">
        <v>0.48299999999999998</v>
      </c>
      <c r="R108" s="2">
        <v>0.6</v>
      </c>
      <c r="S108" s="2">
        <v>0.7</v>
      </c>
      <c r="T108" s="2">
        <v>0.83299999999999996</v>
      </c>
      <c r="U108" s="2">
        <v>0.7</v>
      </c>
      <c r="V108" s="2">
        <v>2.6</v>
      </c>
      <c r="W108" s="2">
        <v>3.3</v>
      </c>
      <c r="X108" s="2">
        <v>1.3</v>
      </c>
      <c r="Y108" s="2">
        <v>0.3</v>
      </c>
      <c r="Z108" s="2">
        <v>0.6</v>
      </c>
      <c r="AA108" s="2">
        <v>0.7</v>
      </c>
      <c r="AB108" s="2">
        <v>1.7</v>
      </c>
      <c r="AC108" s="2">
        <v>3.7</v>
      </c>
      <c r="AD108" s="2"/>
    </row>
    <row r="109" spans="1:30" x14ac:dyDescent="0.2">
      <c r="A109" t="s">
        <v>560</v>
      </c>
      <c r="B109" s="2">
        <v>23</v>
      </c>
      <c r="C109" t="s">
        <v>75</v>
      </c>
      <c r="D109" s="2" t="s">
        <v>33</v>
      </c>
      <c r="E109" s="2">
        <v>2</v>
      </c>
      <c r="F109" s="2">
        <v>0</v>
      </c>
      <c r="G109" s="2">
        <v>2.5</v>
      </c>
      <c r="H109" s="2">
        <v>0</v>
      </c>
      <c r="I109" s="2">
        <v>1</v>
      </c>
      <c r="J109" s="2">
        <v>0</v>
      </c>
      <c r="K109" s="2">
        <v>0</v>
      </c>
      <c r="L109" s="2">
        <v>1</v>
      </c>
      <c r="M109" s="2">
        <v>0</v>
      </c>
      <c r="N109" s="2">
        <v>0</v>
      </c>
      <c r="O109" s="2">
        <v>0</v>
      </c>
      <c r="P109" s="2"/>
      <c r="Q109" s="2">
        <v>0</v>
      </c>
      <c r="R109" s="2">
        <v>0</v>
      </c>
      <c r="S109" s="2">
        <v>0</v>
      </c>
      <c r="T109" s="2"/>
      <c r="U109" s="2">
        <v>0</v>
      </c>
      <c r="V109" s="2">
        <v>0</v>
      </c>
      <c r="W109" s="2">
        <v>0</v>
      </c>
      <c r="X109" s="2">
        <v>0</v>
      </c>
      <c r="Y109" s="2">
        <v>0</v>
      </c>
      <c r="Z109" s="2">
        <v>0</v>
      </c>
      <c r="AA109" s="2">
        <v>0</v>
      </c>
      <c r="AB109" s="2">
        <v>0.5</v>
      </c>
      <c r="AC109" s="2">
        <v>0</v>
      </c>
      <c r="AD109" s="2"/>
    </row>
    <row r="110" spans="1:30" x14ac:dyDescent="0.2">
      <c r="A110" t="s">
        <v>431</v>
      </c>
      <c r="B110" s="2">
        <v>27</v>
      </c>
      <c r="C110" t="s">
        <v>59</v>
      </c>
      <c r="D110" s="2" t="s">
        <v>52</v>
      </c>
      <c r="E110" s="2">
        <v>3</v>
      </c>
      <c r="F110" s="2">
        <v>0</v>
      </c>
      <c r="G110" s="2">
        <v>20.3</v>
      </c>
      <c r="H110" s="2">
        <v>4.3</v>
      </c>
      <c r="I110" s="2">
        <v>6.7</v>
      </c>
      <c r="J110" s="2">
        <v>0.65</v>
      </c>
      <c r="K110" s="2">
        <v>2</v>
      </c>
      <c r="L110" s="2">
        <v>3.3</v>
      </c>
      <c r="M110" s="2">
        <v>0.6</v>
      </c>
      <c r="N110" s="2">
        <v>2.2999999999999998</v>
      </c>
      <c r="O110" s="2">
        <v>3.3</v>
      </c>
      <c r="P110" s="2">
        <v>0.7</v>
      </c>
      <c r="Q110" s="2">
        <v>0.8</v>
      </c>
      <c r="R110" s="2">
        <v>0.3</v>
      </c>
      <c r="S110" s="2">
        <v>0.7</v>
      </c>
      <c r="T110" s="2">
        <v>0.5</v>
      </c>
      <c r="U110" s="2">
        <v>1</v>
      </c>
      <c r="V110" s="2">
        <v>2.7</v>
      </c>
      <c r="W110" s="2">
        <v>3.7</v>
      </c>
      <c r="X110" s="2">
        <v>1</v>
      </c>
      <c r="Y110" s="2">
        <v>0.3</v>
      </c>
      <c r="Z110" s="2">
        <v>0.3</v>
      </c>
      <c r="AA110" s="2">
        <v>0.7</v>
      </c>
      <c r="AB110" s="2">
        <v>1.3</v>
      </c>
      <c r="AC110" s="2">
        <v>11</v>
      </c>
      <c r="AD110" s="2"/>
    </row>
    <row r="111" spans="1:30" x14ac:dyDescent="0.2">
      <c r="A111" t="s">
        <v>429</v>
      </c>
      <c r="B111" s="2">
        <v>30</v>
      </c>
      <c r="C111" t="s">
        <v>46</v>
      </c>
      <c r="D111" s="2" t="s">
        <v>42</v>
      </c>
      <c r="E111" s="2">
        <v>10</v>
      </c>
      <c r="F111" s="2">
        <v>3</v>
      </c>
      <c r="G111" s="2">
        <v>13.6</v>
      </c>
      <c r="H111" s="2">
        <v>1.2</v>
      </c>
      <c r="I111" s="2">
        <v>4</v>
      </c>
      <c r="J111" s="2">
        <v>0.3</v>
      </c>
      <c r="K111" s="2">
        <v>0.5</v>
      </c>
      <c r="L111" s="2">
        <v>1.9</v>
      </c>
      <c r="M111" s="2">
        <v>0.26300000000000001</v>
      </c>
      <c r="N111" s="2">
        <v>0.7</v>
      </c>
      <c r="O111" s="2">
        <v>2.1</v>
      </c>
      <c r="P111" s="2">
        <v>0.33300000000000002</v>
      </c>
      <c r="Q111" s="2">
        <v>0.36299999999999999</v>
      </c>
      <c r="R111" s="2">
        <v>0.5</v>
      </c>
      <c r="S111" s="2">
        <v>0.6</v>
      </c>
      <c r="T111" s="2">
        <v>0.83299999999999996</v>
      </c>
      <c r="U111" s="2">
        <v>0.9</v>
      </c>
      <c r="V111" s="2">
        <v>2.6</v>
      </c>
      <c r="W111" s="2">
        <v>3.5</v>
      </c>
      <c r="X111" s="2">
        <v>1.1000000000000001</v>
      </c>
      <c r="Y111" s="2">
        <v>0.6</v>
      </c>
      <c r="Z111" s="2">
        <v>0</v>
      </c>
      <c r="AA111" s="2">
        <v>1.1000000000000001</v>
      </c>
      <c r="AB111" s="2">
        <v>1.4</v>
      </c>
      <c r="AC111" s="2">
        <v>3.4</v>
      </c>
      <c r="AD111" s="2"/>
    </row>
    <row r="112" spans="1:30" x14ac:dyDescent="0.2">
      <c r="A112" t="s">
        <v>476</v>
      </c>
      <c r="B112" s="2">
        <v>20</v>
      </c>
      <c r="C112" t="s">
        <v>103</v>
      </c>
      <c r="D112" s="2" t="s">
        <v>49</v>
      </c>
      <c r="E112" s="2">
        <v>3</v>
      </c>
      <c r="F112" s="2">
        <v>0</v>
      </c>
      <c r="G112" s="2">
        <v>8.6999999999999993</v>
      </c>
      <c r="H112" s="2">
        <v>2</v>
      </c>
      <c r="I112" s="2">
        <v>3.7</v>
      </c>
      <c r="J112" s="2">
        <v>0.54500000000000004</v>
      </c>
      <c r="K112" s="2">
        <v>2</v>
      </c>
      <c r="L112" s="2">
        <v>3.3</v>
      </c>
      <c r="M112" s="2">
        <v>0.6</v>
      </c>
      <c r="N112" s="2">
        <v>0</v>
      </c>
      <c r="O112" s="2">
        <v>0.3</v>
      </c>
      <c r="P112" s="2">
        <v>0</v>
      </c>
      <c r="Q112" s="2">
        <v>0.81799999999999995</v>
      </c>
      <c r="R112" s="2">
        <v>0</v>
      </c>
      <c r="S112" s="2">
        <v>0</v>
      </c>
      <c r="T112" s="2"/>
      <c r="U112" s="2">
        <v>0</v>
      </c>
      <c r="V112" s="2">
        <v>1</v>
      </c>
      <c r="W112" s="2">
        <v>1</v>
      </c>
      <c r="X112" s="2">
        <v>0.3</v>
      </c>
      <c r="Y112" s="2">
        <v>0.7</v>
      </c>
      <c r="Z112" s="2">
        <v>0.3</v>
      </c>
      <c r="AA112" s="2">
        <v>1</v>
      </c>
      <c r="AB112" s="2">
        <v>0.3</v>
      </c>
      <c r="AC112" s="2">
        <v>6</v>
      </c>
      <c r="AD112" s="2"/>
    </row>
    <row r="113" spans="1:30" x14ac:dyDescent="0.2">
      <c r="A113" t="s">
        <v>83</v>
      </c>
      <c r="B113" s="2">
        <v>25</v>
      </c>
      <c r="C113" t="s">
        <v>57</v>
      </c>
      <c r="D113" s="2" t="s">
        <v>33</v>
      </c>
      <c r="E113" s="2">
        <v>24</v>
      </c>
      <c r="F113" s="2">
        <v>24</v>
      </c>
      <c r="G113" s="2">
        <v>30.3</v>
      </c>
      <c r="H113" s="2">
        <v>7.4</v>
      </c>
      <c r="I113" s="2">
        <v>15.2</v>
      </c>
      <c r="J113" s="2">
        <v>0.48799999999999999</v>
      </c>
      <c r="K113" s="2">
        <v>2.9</v>
      </c>
      <c r="L113" s="2">
        <v>6.8</v>
      </c>
      <c r="M113" s="2">
        <v>0.42299999999999999</v>
      </c>
      <c r="N113" s="2">
        <v>4.5</v>
      </c>
      <c r="O113" s="2">
        <v>8.4</v>
      </c>
      <c r="P113" s="2">
        <v>0.54</v>
      </c>
      <c r="Q113" s="2">
        <v>0.58199999999999996</v>
      </c>
      <c r="R113" s="2">
        <v>2.8</v>
      </c>
      <c r="S113" s="2">
        <v>3</v>
      </c>
      <c r="T113" s="2">
        <v>0.94399999999999995</v>
      </c>
      <c r="U113" s="2">
        <v>0.5</v>
      </c>
      <c r="V113" s="2">
        <v>1.9</v>
      </c>
      <c r="W113" s="2">
        <v>2.4</v>
      </c>
      <c r="X113" s="2">
        <v>6.5</v>
      </c>
      <c r="Y113" s="2">
        <v>1</v>
      </c>
      <c r="Z113" s="2">
        <v>0.3</v>
      </c>
      <c r="AA113" s="2">
        <v>2.2999999999999998</v>
      </c>
      <c r="AB113" s="2">
        <v>2.5</v>
      </c>
      <c r="AC113" s="2">
        <v>20.5</v>
      </c>
      <c r="AD113" s="2"/>
    </row>
    <row r="114" spans="1:30" x14ac:dyDescent="0.2">
      <c r="A114" t="s">
        <v>535</v>
      </c>
      <c r="B114" s="2">
        <v>25</v>
      </c>
      <c r="C114" t="s">
        <v>93</v>
      </c>
      <c r="D114" s="2" t="s">
        <v>52</v>
      </c>
      <c r="E114" s="2">
        <v>1</v>
      </c>
      <c r="F114" s="2">
        <v>0</v>
      </c>
      <c r="G114" s="2">
        <v>8</v>
      </c>
      <c r="H114" s="2">
        <v>1</v>
      </c>
      <c r="I114" s="2">
        <v>4</v>
      </c>
      <c r="J114" s="2">
        <v>0.25</v>
      </c>
      <c r="K114" s="2">
        <v>0</v>
      </c>
      <c r="L114" s="2">
        <v>1</v>
      </c>
      <c r="M114" s="2">
        <v>0</v>
      </c>
      <c r="N114" s="2">
        <v>1</v>
      </c>
      <c r="O114" s="2">
        <v>3</v>
      </c>
      <c r="P114" s="2">
        <v>0.33300000000000002</v>
      </c>
      <c r="Q114" s="2">
        <v>0.25</v>
      </c>
      <c r="R114" s="2">
        <v>1</v>
      </c>
      <c r="S114" s="2">
        <v>2</v>
      </c>
      <c r="T114" s="2">
        <v>0.5</v>
      </c>
      <c r="U114" s="2">
        <v>0</v>
      </c>
      <c r="V114" s="2">
        <v>0</v>
      </c>
      <c r="W114" s="2">
        <v>0</v>
      </c>
      <c r="X114" s="2">
        <v>2</v>
      </c>
      <c r="Y114" s="2">
        <v>0</v>
      </c>
      <c r="Z114" s="2">
        <v>0</v>
      </c>
      <c r="AA114" s="2">
        <v>0</v>
      </c>
      <c r="AB114" s="2">
        <v>1</v>
      </c>
      <c r="AC114" s="2">
        <v>3</v>
      </c>
      <c r="AD114" s="2"/>
    </row>
    <row r="115" spans="1:30" x14ac:dyDescent="0.2">
      <c r="A115" t="s">
        <v>370</v>
      </c>
      <c r="B115" s="2">
        <v>23</v>
      </c>
      <c r="C115" t="s">
        <v>72</v>
      </c>
      <c r="D115" s="2" t="s">
        <v>27</v>
      </c>
      <c r="E115" s="2">
        <v>14</v>
      </c>
      <c r="F115" s="2">
        <v>1</v>
      </c>
      <c r="G115" s="2">
        <v>14.6</v>
      </c>
      <c r="H115" s="2">
        <v>1.9</v>
      </c>
      <c r="I115" s="2">
        <v>3.4</v>
      </c>
      <c r="J115" s="2">
        <v>0.56299999999999994</v>
      </c>
      <c r="K115" s="2">
        <v>0.7</v>
      </c>
      <c r="L115" s="2">
        <v>1.7</v>
      </c>
      <c r="M115" s="2">
        <v>0.41699999999999998</v>
      </c>
      <c r="N115" s="2">
        <v>1.2</v>
      </c>
      <c r="O115" s="2">
        <v>1.7</v>
      </c>
      <c r="P115" s="2">
        <v>0.70799999999999996</v>
      </c>
      <c r="Q115" s="2">
        <v>0.66700000000000004</v>
      </c>
      <c r="R115" s="2">
        <v>0.8</v>
      </c>
      <c r="S115" s="2">
        <v>0.9</v>
      </c>
      <c r="T115" s="2">
        <v>0.84599999999999997</v>
      </c>
      <c r="U115" s="2">
        <v>0.3</v>
      </c>
      <c r="V115" s="2">
        <v>2.6</v>
      </c>
      <c r="W115" s="2">
        <v>2.9</v>
      </c>
      <c r="X115" s="2">
        <v>1.4</v>
      </c>
      <c r="Y115" s="2">
        <v>0.4</v>
      </c>
      <c r="Z115" s="2">
        <v>0.2</v>
      </c>
      <c r="AA115" s="2">
        <v>0.9</v>
      </c>
      <c r="AB115" s="2">
        <v>0.8</v>
      </c>
      <c r="AC115" s="2">
        <v>5.4</v>
      </c>
      <c r="AD115" s="2"/>
    </row>
    <row r="116" spans="1:30" x14ac:dyDescent="0.2">
      <c r="A116" t="s">
        <v>249</v>
      </c>
      <c r="B116" s="2">
        <v>26</v>
      </c>
      <c r="C116" t="s">
        <v>66</v>
      </c>
      <c r="D116" s="2" t="s">
        <v>33</v>
      </c>
      <c r="E116" s="2">
        <v>26</v>
      </c>
      <c r="F116" s="2">
        <v>13</v>
      </c>
      <c r="G116" s="2">
        <v>27.2</v>
      </c>
      <c r="H116" s="2">
        <v>2.6</v>
      </c>
      <c r="I116" s="2">
        <v>6.5</v>
      </c>
      <c r="J116" s="2">
        <v>0.39600000000000002</v>
      </c>
      <c r="K116" s="2">
        <v>0.9</v>
      </c>
      <c r="L116" s="2">
        <v>3.1</v>
      </c>
      <c r="M116" s="2">
        <v>0.28399999999999997</v>
      </c>
      <c r="N116" s="2">
        <v>1.7</v>
      </c>
      <c r="O116" s="2">
        <v>3.4</v>
      </c>
      <c r="P116" s="2">
        <v>0.5</v>
      </c>
      <c r="Q116" s="2">
        <v>0.46400000000000002</v>
      </c>
      <c r="R116" s="2">
        <v>0.8</v>
      </c>
      <c r="S116" s="2">
        <v>1.2</v>
      </c>
      <c r="T116" s="2">
        <v>0.67700000000000005</v>
      </c>
      <c r="U116" s="2">
        <v>0.5</v>
      </c>
      <c r="V116" s="2">
        <v>1.8</v>
      </c>
      <c r="W116" s="2">
        <v>2.2999999999999998</v>
      </c>
      <c r="X116" s="2">
        <v>5.0999999999999996</v>
      </c>
      <c r="Y116" s="2">
        <v>0.8</v>
      </c>
      <c r="Z116" s="2">
        <v>0.2</v>
      </c>
      <c r="AA116" s="2">
        <v>1.9</v>
      </c>
      <c r="AB116" s="2">
        <v>3</v>
      </c>
      <c r="AC116" s="2">
        <v>6.8</v>
      </c>
      <c r="AD116" s="2"/>
    </row>
    <row r="117" spans="1:30" x14ac:dyDescent="0.2">
      <c r="A117" t="s">
        <v>488</v>
      </c>
      <c r="B117" s="2">
        <v>23</v>
      </c>
      <c r="C117" t="s">
        <v>103</v>
      </c>
      <c r="D117" s="2" t="s">
        <v>42</v>
      </c>
      <c r="E117" s="2">
        <v>3</v>
      </c>
      <c r="F117" s="2">
        <v>0</v>
      </c>
      <c r="G117" s="2">
        <v>14.7</v>
      </c>
      <c r="H117" s="2">
        <v>1.3</v>
      </c>
      <c r="I117" s="2">
        <v>3.7</v>
      </c>
      <c r="J117" s="2">
        <v>0.36399999999999999</v>
      </c>
      <c r="K117" s="2">
        <v>0.3</v>
      </c>
      <c r="L117" s="2">
        <v>0.7</v>
      </c>
      <c r="M117" s="2">
        <v>0.5</v>
      </c>
      <c r="N117" s="2">
        <v>1</v>
      </c>
      <c r="O117" s="2">
        <v>3</v>
      </c>
      <c r="P117" s="2">
        <v>0.33300000000000002</v>
      </c>
      <c r="Q117" s="2">
        <v>0.40899999999999997</v>
      </c>
      <c r="R117" s="2">
        <v>2</v>
      </c>
      <c r="S117" s="2">
        <v>2</v>
      </c>
      <c r="T117" s="2">
        <v>1</v>
      </c>
      <c r="U117" s="2">
        <v>1.3</v>
      </c>
      <c r="V117" s="2">
        <v>1.7</v>
      </c>
      <c r="W117" s="2">
        <v>3</v>
      </c>
      <c r="X117" s="2">
        <v>1</v>
      </c>
      <c r="Y117" s="2">
        <v>1.3</v>
      </c>
      <c r="Z117" s="2">
        <v>0.3</v>
      </c>
      <c r="AA117" s="2">
        <v>0.3</v>
      </c>
      <c r="AB117" s="2">
        <v>1.3</v>
      </c>
      <c r="AC117" s="2">
        <v>5</v>
      </c>
      <c r="AD117" s="2"/>
    </row>
    <row r="118" spans="1:30" x14ac:dyDescent="0.2">
      <c r="A118" t="s">
        <v>36</v>
      </c>
      <c r="B118" s="2">
        <v>27</v>
      </c>
      <c r="C118" t="s">
        <v>37</v>
      </c>
      <c r="D118" s="2" t="s">
        <v>33</v>
      </c>
      <c r="E118" s="2">
        <v>26</v>
      </c>
      <c r="F118" s="2">
        <v>26</v>
      </c>
      <c r="G118" s="2">
        <v>37.200000000000003</v>
      </c>
      <c r="H118" s="2">
        <v>9.6999999999999993</v>
      </c>
      <c r="I118" s="2">
        <v>20</v>
      </c>
      <c r="J118" s="2">
        <v>0.48399999999999999</v>
      </c>
      <c r="K118" s="2">
        <v>2</v>
      </c>
      <c r="L118" s="2">
        <v>6.3</v>
      </c>
      <c r="M118" s="2">
        <v>0.32500000000000001</v>
      </c>
      <c r="N118" s="2">
        <v>7.7</v>
      </c>
      <c r="O118" s="2">
        <v>13.8</v>
      </c>
      <c r="P118" s="2">
        <v>0.55600000000000005</v>
      </c>
      <c r="Q118" s="2">
        <v>0.53500000000000003</v>
      </c>
      <c r="R118" s="2">
        <v>4.7</v>
      </c>
      <c r="S118" s="2">
        <v>5.8</v>
      </c>
      <c r="T118" s="2">
        <v>0.79600000000000004</v>
      </c>
      <c r="U118" s="2">
        <v>1.2</v>
      </c>
      <c r="V118" s="2">
        <v>3.9</v>
      </c>
      <c r="W118" s="2">
        <v>5.0999999999999996</v>
      </c>
      <c r="X118" s="2">
        <v>6.1</v>
      </c>
      <c r="Y118" s="2">
        <v>1.7</v>
      </c>
      <c r="Z118" s="2">
        <v>0.3</v>
      </c>
      <c r="AA118" s="2">
        <v>3.5</v>
      </c>
      <c r="AB118" s="2">
        <v>2.5</v>
      </c>
      <c r="AC118" s="2">
        <v>26.1</v>
      </c>
      <c r="AD118" s="2"/>
    </row>
    <row r="119" spans="1:30" x14ac:dyDescent="0.2">
      <c r="A119" t="s">
        <v>160</v>
      </c>
      <c r="B119" s="2">
        <v>27</v>
      </c>
      <c r="C119" t="s">
        <v>72</v>
      </c>
      <c r="D119" s="2" t="s">
        <v>49</v>
      </c>
      <c r="E119" s="2">
        <v>15</v>
      </c>
      <c r="F119" s="2">
        <v>2</v>
      </c>
      <c r="G119" s="2">
        <v>27.8</v>
      </c>
      <c r="H119" s="2">
        <v>6.5</v>
      </c>
      <c r="I119" s="2">
        <v>13.4</v>
      </c>
      <c r="J119" s="2">
        <v>0.48299999999999998</v>
      </c>
      <c r="K119" s="2">
        <v>2.7</v>
      </c>
      <c r="L119" s="2">
        <v>6.1</v>
      </c>
      <c r="M119" s="2">
        <v>0.44600000000000001</v>
      </c>
      <c r="N119" s="2">
        <v>3.7</v>
      </c>
      <c r="O119" s="2">
        <v>7.3</v>
      </c>
      <c r="P119" s="2">
        <v>0.51400000000000001</v>
      </c>
      <c r="Q119" s="2">
        <v>0.58499999999999996</v>
      </c>
      <c r="R119" s="2">
        <v>3.9</v>
      </c>
      <c r="S119" s="2">
        <v>4.5</v>
      </c>
      <c r="T119" s="2">
        <v>0.88100000000000001</v>
      </c>
      <c r="U119" s="2">
        <v>0.6</v>
      </c>
      <c r="V119" s="2">
        <v>3.2</v>
      </c>
      <c r="W119" s="2">
        <v>3.8</v>
      </c>
      <c r="X119" s="2">
        <v>1.2</v>
      </c>
      <c r="Y119" s="2">
        <v>0.8</v>
      </c>
      <c r="Z119" s="2">
        <v>0.1</v>
      </c>
      <c r="AA119" s="2">
        <v>1.1000000000000001</v>
      </c>
      <c r="AB119" s="2">
        <v>2.5</v>
      </c>
      <c r="AC119" s="2">
        <v>19.600000000000001</v>
      </c>
      <c r="AD119" s="2"/>
    </row>
    <row r="120" spans="1:30" x14ac:dyDescent="0.2">
      <c r="A120" t="s">
        <v>389</v>
      </c>
      <c r="B120" s="2">
        <v>26</v>
      </c>
      <c r="C120" t="s">
        <v>100</v>
      </c>
      <c r="D120" s="2" t="s">
        <v>52</v>
      </c>
      <c r="E120" s="2">
        <v>6</v>
      </c>
      <c r="F120" s="2">
        <v>2</v>
      </c>
      <c r="G120" s="2">
        <v>20.2</v>
      </c>
      <c r="H120" s="2">
        <v>3.7</v>
      </c>
      <c r="I120" s="2">
        <v>9</v>
      </c>
      <c r="J120" s="2">
        <v>0.40699999999999997</v>
      </c>
      <c r="K120" s="2">
        <v>2.2000000000000002</v>
      </c>
      <c r="L120" s="2">
        <v>5.8</v>
      </c>
      <c r="M120" s="2">
        <v>0.371</v>
      </c>
      <c r="N120" s="2">
        <v>1.5</v>
      </c>
      <c r="O120" s="2">
        <v>3.2</v>
      </c>
      <c r="P120" s="2">
        <v>0.47399999999999998</v>
      </c>
      <c r="Q120" s="2">
        <v>0.52800000000000002</v>
      </c>
      <c r="R120" s="2">
        <v>0.8</v>
      </c>
      <c r="S120" s="2">
        <v>1.3</v>
      </c>
      <c r="T120" s="2">
        <v>0.625</v>
      </c>
      <c r="U120" s="2">
        <v>1</v>
      </c>
      <c r="V120" s="2">
        <v>2.2999999999999998</v>
      </c>
      <c r="W120" s="2">
        <v>3.3</v>
      </c>
      <c r="X120" s="2">
        <v>2.8</v>
      </c>
      <c r="Y120" s="2">
        <v>1.2</v>
      </c>
      <c r="Z120" s="2">
        <v>0.3</v>
      </c>
      <c r="AA120" s="2">
        <v>1.7</v>
      </c>
      <c r="AB120" s="2">
        <v>3</v>
      </c>
      <c r="AC120" s="2">
        <v>10.3</v>
      </c>
      <c r="AD120" s="2"/>
    </row>
    <row r="121" spans="1:30" x14ac:dyDescent="0.2">
      <c r="A121" t="s">
        <v>348</v>
      </c>
      <c r="B121" s="2">
        <v>28</v>
      </c>
      <c r="C121" t="s">
        <v>57</v>
      </c>
      <c r="D121" s="2" t="s">
        <v>27</v>
      </c>
      <c r="E121" s="2">
        <v>17</v>
      </c>
      <c r="F121" s="2">
        <v>9</v>
      </c>
      <c r="G121" s="2">
        <v>22.1</v>
      </c>
      <c r="H121" s="2">
        <v>1.8</v>
      </c>
      <c r="I121" s="2">
        <v>5.0999999999999996</v>
      </c>
      <c r="J121" s="2">
        <v>0.36</v>
      </c>
      <c r="K121" s="2">
        <v>1.4</v>
      </c>
      <c r="L121" s="2">
        <v>4.3</v>
      </c>
      <c r="M121" s="2">
        <v>0.32900000000000001</v>
      </c>
      <c r="N121" s="2">
        <v>0.4</v>
      </c>
      <c r="O121" s="2">
        <v>0.8</v>
      </c>
      <c r="P121" s="2">
        <v>0.53800000000000003</v>
      </c>
      <c r="Q121" s="2">
        <v>0.5</v>
      </c>
      <c r="R121" s="2">
        <v>0.5</v>
      </c>
      <c r="S121" s="2">
        <v>1.1000000000000001</v>
      </c>
      <c r="T121" s="2">
        <v>0.42099999999999999</v>
      </c>
      <c r="U121" s="2">
        <v>0.6</v>
      </c>
      <c r="V121" s="2">
        <v>3.9</v>
      </c>
      <c r="W121" s="2">
        <v>4.5999999999999996</v>
      </c>
      <c r="X121" s="2">
        <v>1.5</v>
      </c>
      <c r="Y121" s="2">
        <v>1.1000000000000001</v>
      </c>
      <c r="Z121" s="2">
        <v>0.4</v>
      </c>
      <c r="AA121" s="2">
        <v>0.3</v>
      </c>
      <c r="AB121" s="2">
        <v>1.5</v>
      </c>
      <c r="AC121" s="2">
        <v>5.5</v>
      </c>
      <c r="AD121" s="2"/>
    </row>
    <row r="122" spans="1:30" x14ac:dyDescent="0.2">
      <c r="A122" t="s">
        <v>199</v>
      </c>
      <c r="B122" s="2">
        <v>26</v>
      </c>
      <c r="C122" t="s">
        <v>135</v>
      </c>
      <c r="D122" s="2" t="s">
        <v>42</v>
      </c>
      <c r="E122" s="2">
        <v>17</v>
      </c>
      <c r="F122" s="2">
        <v>17</v>
      </c>
      <c r="G122" s="2">
        <v>30.2</v>
      </c>
      <c r="H122" s="2">
        <v>6.6</v>
      </c>
      <c r="I122" s="2">
        <v>11.9</v>
      </c>
      <c r="J122" s="2">
        <v>0.55400000000000005</v>
      </c>
      <c r="K122" s="2">
        <v>0.3</v>
      </c>
      <c r="L122" s="2">
        <v>1.1000000000000001</v>
      </c>
      <c r="M122" s="2">
        <v>0.26300000000000001</v>
      </c>
      <c r="N122" s="2">
        <v>6.3</v>
      </c>
      <c r="O122" s="2">
        <v>10.8</v>
      </c>
      <c r="P122" s="2">
        <v>0.58499999999999996</v>
      </c>
      <c r="Q122" s="2">
        <v>0.56699999999999995</v>
      </c>
      <c r="R122" s="2">
        <v>0.8</v>
      </c>
      <c r="S122" s="2">
        <v>1.2</v>
      </c>
      <c r="T122" s="2">
        <v>0.61899999999999999</v>
      </c>
      <c r="U122" s="2">
        <v>2.8</v>
      </c>
      <c r="V122" s="2">
        <v>7.2</v>
      </c>
      <c r="W122" s="2">
        <v>10</v>
      </c>
      <c r="X122" s="2">
        <v>1.2</v>
      </c>
      <c r="Y122" s="2">
        <v>0.9</v>
      </c>
      <c r="Z122" s="2">
        <v>0.8</v>
      </c>
      <c r="AA122" s="2">
        <v>1.8</v>
      </c>
      <c r="AB122" s="2">
        <v>2.2999999999999998</v>
      </c>
      <c r="AC122" s="2">
        <v>14.2</v>
      </c>
      <c r="AD122" s="2"/>
    </row>
    <row r="123" spans="1:30" x14ac:dyDescent="0.2">
      <c r="A123" t="s">
        <v>449</v>
      </c>
      <c r="B123" s="2">
        <v>36</v>
      </c>
      <c r="C123" t="s">
        <v>46</v>
      </c>
      <c r="D123" s="2" t="s">
        <v>42</v>
      </c>
      <c r="E123" s="2">
        <v>10</v>
      </c>
      <c r="F123" s="2">
        <v>0</v>
      </c>
      <c r="G123" s="2">
        <v>9.8000000000000007</v>
      </c>
      <c r="H123" s="2">
        <v>1.2</v>
      </c>
      <c r="I123" s="2">
        <v>2.1</v>
      </c>
      <c r="J123" s="2">
        <v>0.57099999999999995</v>
      </c>
      <c r="K123" s="2">
        <v>0</v>
      </c>
      <c r="L123" s="2">
        <v>0</v>
      </c>
      <c r="M123" s="2"/>
      <c r="N123" s="2">
        <v>1.2</v>
      </c>
      <c r="O123" s="2">
        <v>2.1</v>
      </c>
      <c r="P123" s="2">
        <v>0.57099999999999995</v>
      </c>
      <c r="Q123" s="2">
        <v>0.57099999999999995</v>
      </c>
      <c r="R123" s="2">
        <v>0.2</v>
      </c>
      <c r="S123" s="2">
        <v>0.8</v>
      </c>
      <c r="T123" s="2">
        <v>0.25</v>
      </c>
      <c r="U123" s="2">
        <v>1.1000000000000001</v>
      </c>
      <c r="V123" s="2">
        <v>2.2000000000000002</v>
      </c>
      <c r="W123" s="2">
        <v>3.3</v>
      </c>
      <c r="X123" s="2">
        <v>0.8</v>
      </c>
      <c r="Y123" s="2">
        <v>0.2</v>
      </c>
      <c r="Z123" s="2">
        <v>0.2</v>
      </c>
      <c r="AA123" s="2">
        <v>1</v>
      </c>
      <c r="AB123" s="2">
        <v>1.1000000000000001</v>
      </c>
      <c r="AC123" s="2">
        <v>2.6</v>
      </c>
      <c r="AD123" s="2"/>
    </row>
    <row r="124" spans="1:30" x14ac:dyDescent="0.2">
      <c r="A124" t="s">
        <v>285</v>
      </c>
      <c r="B124" s="2">
        <v>28</v>
      </c>
      <c r="C124" t="s">
        <v>117</v>
      </c>
      <c r="D124" s="2" t="s">
        <v>33</v>
      </c>
      <c r="E124" s="2">
        <v>9</v>
      </c>
      <c r="F124" s="2">
        <v>9</v>
      </c>
      <c r="G124" s="2">
        <v>32.799999999999997</v>
      </c>
      <c r="H124" s="2">
        <v>5.7</v>
      </c>
      <c r="I124" s="2">
        <v>16.3</v>
      </c>
      <c r="J124" s="2">
        <v>0.34699999999999998</v>
      </c>
      <c r="K124" s="2">
        <v>1.6</v>
      </c>
      <c r="L124" s="2">
        <v>6</v>
      </c>
      <c r="M124" s="2">
        <v>0.25900000000000001</v>
      </c>
      <c r="N124" s="2">
        <v>4.0999999999999996</v>
      </c>
      <c r="O124" s="2">
        <v>10.3</v>
      </c>
      <c r="P124" s="2">
        <v>0.39800000000000002</v>
      </c>
      <c r="Q124" s="2">
        <v>0.39500000000000002</v>
      </c>
      <c r="R124" s="2">
        <v>3.4</v>
      </c>
      <c r="S124" s="2">
        <v>4</v>
      </c>
      <c r="T124" s="2">
        <v>0.86099999999999999</v>
      </c>
      <c r="U124" s="2">
        <v>0.3</v>
      </c>
      <c r="V124" s="2">
        <v>6.1</v>
      </c>
      <c r="W124" s="2">
        <v>6.4</v>
      </c>
      <c r="X124" s="2">
        <v>6.8</v>
      </c>
      <c r="Y124" s="2">
        <v>2.1</v>
      </c>
      <c r="Z124" s="2">
        <v>0.7</v>
      </c>
      <c r="AA124" s="2">
        <v>3.8</v>
      </c>
      <c r="AB124" s="2">
        <v>2.6</v>
      </c>
      <c r="AC124" s="2">
        <v>16.3</v>
      </c>
      <c r="AD124" s="2"/>
    </row>
    <row r="125" spans="1:30" x14ac:dyDescent="0.2">
      <c r="A125" t="s">
        <v>407</v>
      </c>
      <c r="B125" s="2">
        <v>32</v>
      </c>
      <c r="C125" t="s">
        <v>35</v>
      </c>
      <c r="D125" s="2" t="s">
        <v>33</v>
      </c>
      <c r="E125" s="2">
        <v>18</v>
      </c>
      <c r="F125" s="2">
        <v>2</v>
      </c>
      <c r="G125" s="2">
        <v>15.9</v>
      </c>
      <c r="H125" s="2">
        <v>0.9</v>
      </c>
      <c r="I125" s="2">
        <v>2.9</v>
      </c>
      <c r="J125" s="2">
        <v>0.32100000000000001</v>
      </c>
      <c r="K125" s="2">
        <v>0.5</v>
      </c>
      <c r="L125" s="2">
        <v>1.8</v>
      </c>
      <c r="M125" s="2">
        <v>0.28100000000000003</v>
      </c>
      <c r="N125" s="2">
        <v>0.4</v>
      </c>
      <c r="O125" s="2">
        <v>1.2</v>
      </c>
      <c r="P125" s="2">
        <v>0.38100000000000001</v>
      </c>
      <c r="Q125" s="2">
        <v>0.40600000000000003</v>
      </c>
      <c r="R125" s="2">
        <v>0.3</v>
      </c>
      <c r="S125" s="2">
        <v>0.6</v>
      </c>
      <c r="T125" s="2">
        <v>0.5</v>
      </c>
      <c r="U125" s="2">
        <v>0.6</v>
      </c>
      <c r="V125" s="2">
        <v>1.2</v>
      </c>
      <c r="W125" s="2">
        <v>1.8</v>
      </c>
      <c r="X125" s="2">
        <v>1.6</v>
      </c>
      <c r="Y125" s="2">
        <v>0.7</v>
      </c>
      <c r="Z125" s="2">
        <v>0.3</v>
      </c>
      <c r="AA125" s="2">
        <v>0.4</v>
      </c>
      <c r="AB125" s="2">
        <v>0.6</v>
      </c>
      <c r="AC125" s="2">
        <v>2.7</v>
      </c>
      <c r="AD125" s="2"/>
    </row>
    <row r="126" spans="1:30" x14ac:dyDescent="0.2">
      <c r="A126" t="s">
        <v>88</v>
      </c>
      <c r="B126" s="2">
        <v>35</v>
      </c>
      <c r="C126" t="s">
        <v>37</v>
      </c>
      <c r="D126" s="2" t="s">
        <v>49</v>
      </c>
      <c r="E126" s="2">
        <v>21</v>
      </c>
      <c r="F126" s="2">
        <v>21</v>
      </c>
      <c r="G126" s="2">
        <v>35.6</v>
      </c>
      <c r="H126" s="2">
        <v>8.3000000000000007</v>
      </c>
      <c r="I126" s="2">
        <v>16.600000000000001</v>
      </c>
      <c r="J126" s="2">
        <v>0.499</v>
      </c>
      <c r="K126" s="2">
        <v>0.7</v>
      </c>
      <c r="L126" s="2">
        <v>2.2000000000000002</v>
      </c>
      <c r="M126" s="2">
        <v>0.32600000000000001</v>
      </c>
      <c r="N126" s="2">
        <v>7.6</v>
      </c>
      <c r="O126" s="2">
        <v>14.4</v>
      </c>
      <c r="P126" s="2">
        <v>0.52500000000000002</v>
      </c>
      <c r="Q126" s="2">
        <v>0.52</v>
      </c>
      <c r="R126" s="2">
        <v>5.5</v>
      </c>
      <c r="S126" s="2">
        <v>6.5</v>
      </c>
      <c r="T126" s="2">
        <v>0.85299999999999998</v>
      </c>
      <c r="U126" s="2">
        <v>0.5</v>
      </c>
      <c r="V126" s="2">
        <v>3.4</v>
      </c>
      <c r="W126" s="2">
        <v>3.9</v>
      </c>
      <c r="X126" s="2">
        <v>4</v>
      </c>
      <c r="Y126" s="2">
        <v>1.6</v>
      </c>
      <c r="Z126" s="2">
        <v>0.5</v>
      </c>
      <c r="AA126" s="2">
        <v>1.7</v>
      </c>
      <c r="AB126" s="2">
        <v>1.9</v>
      </c>
      <c r="AC126" s="2">
        <v>22.8</v>
      </c>
      <c r="AD126" s="2"/>
    </row>
    <row r="127" spans="1:30" x14ac:dyDescent="0.2">
      <c r="A127" t="s">
        <v>169</v>
      </c>
      <c r="B127" s="2">
        <v>24</v>
      </c>
      <c r="C127" t="s">
        <v>135</v>
      </c>
      <c r="D127" s="2" t="s">
        <v>49</v>
      </c>
      <c r="E127" s="2">
        <v>24</v>
      </c>
      <c r="F127" s="2">
        <v>12</v>
      </c>
      <c r="G127" s="2">
        <v>26.6</v>
      </c>
      <c r="H127" s="2">
        <v>3.8</v>
      </c>
      <c r="I127" s="2">
        <v>9.3000000000000007</v>
      </c>
      <c r="J127" s="2">
        <v>0.41399999999999998</v>
      </c>
      <c r="K127" s="2">
        <v>1.3</v>
      </c>
      <c r="L127" s="2">
        <v>3.8</v>
      </c>
      <c r="M127" s="2">
        <v>0.34799999999999998</v>
      </c>
      <c r="N127" s="2">
        <v>2.5</v>
      </c>
      <c r="O127" s="2">
        <v>5.4</v>
      </c>
      <c r="P127" s="2">
        <v>0.46200000000000002</v>
      </c>
      <c r="Q127" s="2">
        <v>0.48599999999999999</v>
      </c>
      <c r="R127" s="2">
        <v>2.8</v>
      </c>
      <c r="S127" s="2">
        <v>3.5</v>
      </c>
      <c r="T127" s="2">
        <v>0.78800000000000003</v>
      </c>
      <c r="U127" s="2">
        <v>1.3</v>
      </c>
      <c r="V127" s="2">
        <v>4.5999999999999996</v>
      </c>
      <c r="W127" s="2">
        <v>5.8</v>
      </c>
      <c r="X127" s="2">
        <v>3.1</v>
      </c>
      <c r="Y127" s="2">
        <v>1</v>
      </c>
      <c r="Z127" s="2">
        <v>0.8</v>
      </c>
      <c r="AA127" s="2">
        <v>2</v>
      </c>
      <c r="AB127" s="2">
        <v>2.1</v>
      </c>
      <c r="AC127" s="2">
        <v>11.8</v>
      </c>
      <c r="AD127" s="2"/>
    </row>
    <row r="128" spans="1:30" x14ac:dyDescent="0.2">
      <c r="A128" t="s">
        <v>112</v>
      </c>
      <c r="B128" s="2">
        <v>31</v>
      </c>
      <c r="C128" t="s">
        <v>103</v>
      </c>
      <c r="D128" s="2" t="s">
        <v>33</v>
      </c>
      <c r="E128" s="2">
        <v>22</v>
      </c>
      <c r="F128" s="2">
        <v>22</v>
      </c>
      <c r="G128" s="2">
        <v>33.9</v>
      </c>
      <c r="H128" s="2">
        <v>6.4</v>
      </c>
      <c r="I128" s="2">
        <v>14.3</v>
      </c>
      <c r="J128" s="2">
        <v>0.44800000000000001</v>
      </c>
      <c r="K128" s="2">
        <v>2.5</v>
      </c>
      <c r="L128" s="2">
        <v>6.5</v>
      </c>
      <c r="M128" s="2">
        <v>0.38500000000000001</v>
      </c>
      <c r="N128" s="2">
        <v>3.9</v>
      </c>
      <c r="O128" s="2">
        <v>7.8</v>
      </c>
      <c r="P128" s="2">
        <v>0.5</v>
      </c>
      <c r="Q128" s="2">
        <v>0.53500000000000003</v>
      </c>
      <c r="R128" s="2">
        <v>3.3</v>
      </c>
      <c r="S128" s="2">
        <v>3.7</v>
      </c>
      <c r="T128" s="2">
        <v>0.88900000000000001</v>
      </c>
      <c r="U128" s="2">
        <v>0.2</v>
      </c>
      <c r="V128" s="2">
        <v>2.8</v>
      </c>
      <c r="W128" s="2">
        <v>3</v>
      </c>
      <c r="X128" s="2">
        <v>6.5</v>
      </c>
      <c r="Y128" s="2">
        <v>1.1000000000000001</v>
      </c>
      <c r="Z128" s="2">
        <v>0.2</v>
      </c>
      <c r="AA128" s="2">
        <v>2.4</v>
      </c>
      <c r="AB128" s="2">
        <v>2.5</v>
      </c>
      <c r="AC128" s="2">
        <v>18.600000000000001</v>
      </c>
      <c r="AD128" s="2"/>
    </row>
    <row r="129" spans="1:30" x14ac:dyDescent="0.2">
      <c r="A129" t="s">
        <v>256</v>
      </c>
      <c r="B129" s="2">
        <v>20</v>
      </c>
      <c r="C129" t="s">
        <v>63</v>
      </c>
      <c r="D129" s="2" t="s">
        <v>42</v>
      </c>
      <c r="E129" s="2">
        <v>20</v>
      </c>
      <c r="F129" s="2">
        <v>13</v>
      </c>
      <c r="G129" s="2">
        <v>23.5</v>
      </c>
      <c r="H129" s="2">
        <v>3.6</v>
      </c>
      <c r="I129" s="2">
        <v>5.3</v>
      </c>
      <c r="J129" s="2">
        <v>0.67600000000000005</v>
      </c>
      <c r="K129" s="2">
        <v>0</v>
      </c>
      <c r="L129" s="2">
        <v>0</v>
      </c>
      <c r="M129" s="2"/>
      <c r="N129" s="2">
        <v>3.6</v>
      </c>
      <c r="O129" s="2">
        <v>5.3</v>
      </c>
      <c r="P129" s="2">
        <v>0.67600000000000005</v>
      </c>
      <c r="Q129" s="2">
        <v>0.67600000000000005</v>
      </c>
      <c r="R129" s="2">
        <v>1.7</v>
      </c>
      <c r="S129" s="2">
        <v>2.7</v>
      </c>
      <c r="T129" s="2">
        <v>0.623</v>
      </c>
      <c r="U129" s="2">
        <v>3.1</v>
      </c>
      <c r="V129" s="2">
        <v>4.7</v>
      </c>
      <c r="W129" s="2">
        <v>7.8</v>
      </c>
      <c r="X129" s="2">
        <v>2.4</v>
      </c>
      <c r="Y129" s="2">
        <v>0.6</v>
      </c>
      <c r="Z129" s="2">
        <v>1.6</v>
      </c>
      <c r="AA129" s="2">
        <v>1.2</v>
      </c>
      <c r="AB129" s="2">
        <v>2.9</v>
      </c>
      <c r="AC129" s="2">
        <v>8.8000000000000007</v>
      </c>
      <c r="AD129" s="2"/>
    </row>
    <row r="130" spans="1:30" x14ac:dyDescent="0.2">
      <c r="A130" t="s">
        <v>188</v>
      </c>
      <c r="B130" s="2">
        <v>27</v>
      </c>
      <c r="C130" t="s">
        <v>77</v>
      </c>
      <c r="D130" s="2" t="s">
        <v>49</v>
      </c>
      <c r="E130" s="2">
        <v>25</v>
      </c>
      <c r="F130" s="2">
        <v>25</v>
      </c>
      <c r="G130" s="2">
        <v>25</v>
      </c>
      <c r="H130" s="2">
        <v>3.9</v>
      </c>
      <c r="I130" s="2">
        <v>7.8</v>
      </c>
      <c r="J130" s="2">
        <v>0.5</v>
      </c>
      <c r="K130" s="2">
        <v>1.2</v>
      </c>
      <c r="L130" s="2">
        <v>2.9</v>
      </c>
      <c r="M130" s="2">
        <v>0.41699999999999998</v>
      </c>
      <c r="N130" s="2">
        <v>2.7</v>
      </c>
      <c r="O130" s="2">
        <v>4.9000000000000004</v>
      </c>
      <c r="P130" s="2">
        <v>0.54900000000000004</v>
      </c>
      <c r="Q130" s="2">
        <v>0.57699999999999996</v>
      </c>
      <c r="R130" s="2">
        <v>1.1000000000000001</v>
      </c>
      <c r="S130" s="2">
        <v>1.2</v>
      </c>
      <c r="T130" s="2">
        <v>0.871</v>
      </c>
      <c r="U130" s="2">
        <v>1.2</v>
      </c>
      <c r="V130" s="2">
        <v>2.2000000000000002</v>
      </c>
      <c r="W130" s="2">
        <v>3.4</v>
      </c>
      <c r="X130" s="2">
        <v>0.9</v>
      </c>
      <c r="Y130" s="2">
        <v>1.3</v>
      </c>
      <c r="Z130" s="2">
        <v>0.2</v>
      </c>
      <c r="AA130" s="2">
        <v>1.1000000000000001</v>
      </c>
      <c r="AB130" s="2">
        <v>2.1</v>
      </c>
      <c r="AC130" s="2">
        <v>10</v>
      </c>
      <c r="AD130" s="2"/>
    </row>
    <row r="131" spans="1:30" x14ac:dyDescent="0.2">
      <c r="A131" t="s">
        <v>108</v>
      </c>
      <c r="B131" s="2">
        <v>30</v>
      </c>
      <c r="C131" t="s">
        <v>39</v>
      </c>
      <c r="D131" s="2" t="s">
        <v>52</v>
      </c>
      <c r="E131" s="2">
        <v>24</v>
      </c>
      <c r="F131" s="2">
        <v>24</v>
      </c>
      <c r="G131" s="2">
        <v>34.5</v>
      </c>
      <c r="H131" s="2">
        <v>6</v>
      </c>
      <c r="I131" s="2">
        <v>13.1</v>
      </c>
      <c r="J131" s="2">
        <v>0.45400000000000001</v>
      </c>
      <c r="K131" s="2">
        <v>3.7</v>
      </c>
      <c r="L131" s="2">
        <v>9.3000000000000007</v>
      </c>
      <c r="M131" s="2">
        <v>0.40100000000000002</v>
      </c>
      <c r="N131" s="2">
        <v>2.2999999999999998</v>
      </c>
      <c r="O131" s="2">
        <v>3.9</v>
      </c>
      <c r="P131" s="2">
        <v>0.58099999999999996</v>
      </c>
      <c r="Q131" s="2">
        <v>0.59499999999999997</v>
      </c>
      <c r="R131" s="2">
        <v>1.9</v>
      </c>
      <c r="S131" s="2">
        <v>2.2000000000000002</v>
      </c>
      <c r="T131" s="2">
        <v>0.86499999999999999</v>
      </c>
      <c r="U131" s="2">
        <v>1.2</v>
      </c>
      <c r="V131" s="2">
        <v>3.5</v>
      </c>
      <c r="W131" s="2">
        <v>4.8</v>
      </c>
      <c r="X131" s="2">
        <v>4.9000000000000004</v>
      </c>
      <c r="Y131" s="2">
        <v>1</v>
      </c>
      <c r="Z131" s="2">
        <v>1</v>
      </c>
      <c r="AA131" s="2">
        <v>1.5</v>
      </c>
      <c r="AB131" s="2">
        <v>2.2000000000000002</v>
      </c>
      <c r="AC131" s="2">
        <v>17.5</v>
      </c>
      <c r="AD131" s="2"/>
    </row>
    <row r="132" spans="1:30" x14ac:dyDescent="0.2">
      <c r="A132" t="s">
        <v>194</v>
      </c>
      <c r="B132" s="2">
        <v>26</v>
      </c>
      <c r="C132" t="s">
        <v>80</v>
      </c>
      <c r="D132" s="2" t="s">
        <v>52</v>
      </c>
      <c r="E132" s="2">
        <v>17</v>
      </c>
      <c r="F132" s="2">
        <v>16</v>
      </c>
      <c r="G132" s="2">
        <v>28.3</v>
      </c>
      <c r="H132" s="2">
        <v>5.4</v>
      </c>
      <c r="I132" s="2">
        <v>12.5</v>
      </c>
      <c r="J132" s="2">
        <v>0.434</v>
      </c>
      <c r="K132" s="2">
        <v>1.8</v>
      </c>
      <c r="L132" s="2">
        <v>5.6</v>
      </c>
      <c r="M132" s="2">
        <v>0.32300000000000001</v>
      </c>
      <c r="N132" s="2">
        <v>3.6</v>
      </c>
      <c r="O132" s="2">
        <v>6.8</v>
      </c>
      <c r="P132" s="2">
        <v>0.52600000000000002</v>
      </c>
      <c r="Q132" s="2">
        <v>0.50700000000000001</v>
      </c>
      <c r="R132" s="2">
        <v>1.8</v>
      </c>
      <c r="S132" s="2">
        <v>2.2000000000000002</v>
      </c>
      <c r="T132" s="2">
        <v>0.81599999999999995</v>
      </c>
      <c r="U132" s="2">
        <v>0.8</v>
      </c>
      <c r="V132" s="2">
        <v>5.2</v>
      </c>
      <c r="W132" s="2">
        <v>6</v>
      </c>
      <c r="X132" s="2">
        <v>4.0999999999999996</v>
      </c>
      <c r="Y132" s="2">
        <v>1</v>
      </c>
      <c r="Z132" s="2">
        <v>0.5</v>
      </c>
      <c r="AA132" s="2">
        <v>2.4</v>
      </c>
      <c r="AB132" s="2">
        <v>2.7</v>
      </c>
      <c r="AC132" s="2">
        <v>14.5</v>
      </c>
      <c r="AD132" s="2"/>
    </row>
    <row r="133" spans="1:30" x14ac:dyDescent="0.2">
      <c r="A133" t="s">
        <v>53</v>
      </c>
      <c r="B133" s="2">
        <v>28</v>
      </c>
      <c r="C133" t="s">
        <v>54</v>
      </c>
      <c r="D133" s="2" t="s">
        <v>52</v>
      </c>
      <c r="E133" s="2">
        <v>23</v>
      </c>
      <c r="F133" s="2">
        <v>23</v>
      </c>
      <c r="G133" s="2">
        <v>37</v>
      </c>
      <c r="H133" s="2">
        <v>7.9</v>
      </c>
      <c r="I133" s="2">
        <v>18.3</v>
      </c>
      <c r="J133" s="2">
        <v>0.432</v>
      </c>
      <c r="K133" s="2">
        <v>2.6</v>
      </c>
      <c r="L133" s="2">
        <v>7.7</v>
      </c>
      <c r="M133" s="2">
        <v>0.33500000000000002</v>
      </c>
      <c r="N133" s="2">
        <v>5.3</v>
      </c>
      <c r="O133" s="2">
        <v>10.7</v>
      </c>
      <c r="P133" s="2">
        <v>0.502</v>
      </c>
      <c r="Q133" s="2">
        <v>0.502</v>
      </c>
      <c r="R133" s="2">
        <v>6.5</v>
      </c>
      <c r="S133" s="2">
        <v>7.2</v>
      </c>
      <c r="T133" s="2">
        <v>0.90400000000000003</v>
      </c>
      <c r="U133" s="2">
        <v>1.1000000000000001</v>
      </c>
      <c r="V133" s="2">
        <v>2.7</v>
      </c>
      <c r="W133" s="2">
        <v>3.8</v>
      </c>
      <c r="X133" s="2">
        <v>6.4</v>
      </c>
      <c r="Y133" s="2">
        <v>1.1000000000000001</v>
      </c>
      <c r="Z133" s="2">
        <v>0.4</v>
      </c>
      <c r="AA133" s="2">
        <v>2.4</v>
      </c>
      <c r="AB133" s="2">
        <v>2.4</v>
      </c>
      <c r="AC133" s="2">
        <v>24.9</v>
      </c>
      <c r="AD133" s="2"/>
    </row>
    <row r="134" spans="1:30" x14ac:dyDescent="0.2">
      <c r="A134" t="s">
        <v>282</v>
      </c>
      <c r="B134" s="2">
        <v>24</v>
      </c>
      <c r="C134" t="s">
        <v>93</v>
      </c>
      <c r="D134" s="2" t="s">
        <v>52</v>
      </c>
      <c r="E134" s="2">
        <v>9</v>
      </c>
      <c r="F134" s="2">
        <v>0</v>
      </c>
      <c r="G134" s="2">
        <v>24</v>
      </c>
      <c r="H134" s="2">
        <v>6</v>
      </c>
      <c r="I134" s="2">
        <v>12.3</v>
      </c>
      <c r="J134" s="2">
        <v>0.48599999999999999</v>
      </c>
      <c r="K134" s="2">
        <v>2.4</v>
      </c>
      <c r="L134" s="2">
        <v>5.8</v>
      </c>
      <c r="M134" s="2">
        <v>0.42299999999999999</v>
      </c>
      <c r="N134" s="2">
        <v>3.6</v>
      </c>
      <c r="O134" s="2">
        <v>6.6</v>
      </c>
      <c r="P134" s="2">
        <v>0.54200000000000004</v>
      </c>
      <c r="Q134" s="2">
        <v>0.58599999999999997</v>
      </c>
      <c r="R134" s="2">
        <v>2.1</v>
      </c>
      <c r="S134" s="2">
        <v>2.2999999999999998</v>
      </c>
      <c r="T134" s="2">
        <v>0.90500000000000003</v>
      </c>
      <c r="U134" s="2">
        <v>0.3</v>
      </c>
      <c r="V134" s="2">
        <v>1.6</v>
      </c>
      <c r="W134" s="2">
        <v>1.9</v>
      </c>
      <c r="X134" s="2">
        <v>2.8</v>
      </c>
      <c r="Y134" s="2">
        <v>1.1000000000000001</v>
      </c>
      <c r="Z134" s="2">
        <v>0.4</v>
      </c>
      <c r="AA134" s="2">
        <v>1.7</v>
      </c>
      <c r="AB134" s="2">
        <v>2.2000000000000002</v>
      </c>
      <c r="AC134" s="2">
        <v>16.600000000000001</v>
      </c>
      <c r="AD134" s="2"/>
    </row>
    <row r="135" spans="1:30" x14ac:dyDescent="0.2">
      <c r="A135" t="s">
        <v>150</v>
      </c>
      <c r="B135" s="2">
        <v>29</v>
      </c>
      <c r="C135" t="s">
        <v>87</v>
      </c>
      <c r="D135" s="2" t="s">
        <v>49</v>
      </c>
      <c r="E135" s="2">
        <v>25</v>
      </c>
      <c r="F135" s="2">
        <v>25</v>
      </c>
      <c r="G135" s="2">
        <v>31.3</v>
      </c>
      <c r="H135" s="2">
        <v>4.7</v>
      </c>
      <c r="I135" s="2">
        <v>11</v>
      </c>
      <c r="J135" s="2">
        <v>0.42399999999999999</v>
      </c>
      <c r="K135" s="2">
        <v>2</v>
      </c>
      <c r="L135" s="2">
        <v>5.4</v>
      </c>
      <c r="M135" s="2">
        <v>0.38100000000000001</v>
      </c>
      <c r="N135" s="2">
        <v>2.6</v>
      </c>
      <c r="O135" s="2">
        <v>5.7</v>
      </c>
      <c r="P135" s="2">
        <v>0.46500000000000002</v>
      </c>
      <c r="Q135" s="2">
        <v>0.51600000000000001</v>
      </c>
      <c r="R135" s="2">
        <v>1.2</v>
      </c>
      <c r="S135" s="2">
        <v>1.4</v>
      </c>
      <c r="T135" s="2">
        <v>0.83299999999999996</v>
      </c>
      <c r="U135" s="2">
        <v>1.2</v>
      </c>
      <c r="V135" s="2">
        <v>2.5</v>
      </c>
      <c r="W135" s="2">
        <v>3.7</v>
      </c>
      <c r="X135" s="2">
        <v>1.6</v>
      </c>
      <c r="Y135" s="2">
        <v>0.6</v>
      </c>
      <c r="Z135" s="2">
        <v>0.3</v>
      </c>
      <c r="AA135" s="2">
        <v>1</v>
      </c>
      <c r="AB135" s="2">
        <v>3.3</v>
      </c>
      <c r="AC135" s="2">
        <v>12.6</v>
      </c>
      <c r="AD135" s="2"/>
    </row>
    <row r="136" spans="1:30" x14ac:dyDescent="0.2">
      <c r="A136" t="s">
        <v>404</v>
      </c>
      <c r="B136" s="2">
        <v>23</v>
      </c>
      <c r="C136" t="s">
        <v>32</v>
      </c>
      <c r="D136" s="2" t="s">
        <v>49</v>
      </c>
      <c r="E136" s="2">
        <v>21</v>
      </c>
      <c r="F136" s="2">
        <v>0</v>
      </c>
      <c r="G136" s="2">
        <v>8.4</v>
      </c>
      <c r="H136" s="2">
        <v>0.9</v>
      </c>
      <c r="I136" s="2">
        <v>2.6</v>
      </c>
      <c r="J136" s="2">
        <v>0.34499999999999997</v>
      </c>
      <c r="K136" s="2">
        <v>0.3</v>
      </c>
      <c r="L136" s="2">
        <v>1.6</v>
      </c>
      <c r="M136" s="2">
        <v>0.21199999999999999</v>
      </c>
      <c r="N136" s="2">
        <v>0.6</v>
      </c>
      <c r="O136" s="2">
        <v>1</v>
      </c>
      <c r="P136" s="2">
        <v>0.54500000000000004</v>
      </c>
      <c r="Q136" s="2">
        <v>0.40899999999999997</v>
      </c>
      <c r="R136" s="2">
        <v>0.2</v>
      </c>
      <c r="S136" s="2">
        <v>0.4</v>
      </c>
      <c r="T136" s="2">
        <v>0.625</v>
      </c>
      <c r="U136" s="2">
        <v>0.8</v>
      </c>
      <c r="V136" s="2">
        <v>1.2</v>
      </c>
      <c r="W136" s="2">
        <v>2</v>
      </c>
      <c r="X136" s="2">
        <v>0.7</v>
      </c>
      <c r="Y136" s="2">
        <v>0.2</v>
      </c>
      <c r="Z136" s="2">
        <v>0</v>
      </c>
      <c r="AA136" s="2">
        <v>0.4</v>
      </c>
      <c r="AB136" s="2">
        <v>0.9</v>
      </c>
      <c r="AC136" s="2">
        <v>2.4</v>
      </c>
      <c r="AD136" s="2"/>
    </row>
    <row r="137" spans="1:30" x14ac:dyDescent="0.2">
      <c r="A137" t="s">
        <v>78</v>
      </c>
      <c r="B137" s="2">
        <v>28</v>
      </c>
      <c r="C137" t="s">
        <v>37</v>
      </c>
      <c r="D137" s="2" t="s">
        <v>42</v>
      </c>
      <c r="E137" s="2">
        <v>24</v>
      </c>
      <c r="F137" s="2">
        <v>24</v>
      </c>
      <c r="G137" s="2">
        <v>35.799999999999997</v>
      </c>
      <c r="H137" s="2">
        <v>8.1</v>
      </c>
      <c r="I137" s="2">
        <v>12.9</v>
      </c>
      <c r="J137" s="2">
        <v>0.628</v>
      </c>
      <c r="K137" s="2">
        <v>1</v>
      </c>
      <c r="L137" s="2">
        <v>2.4</v>
      </c>
      <c r="M137" s="2">
        <v>0.439</v>
      </c>
      <c r="N137" s="2">
        <v>7</v>
      </c>
      <c r="O137" s="2">
        <v>10.5</v>
      </c>
      <c r="P137" s="2">
        <v>0.67100000000000004</v>
      </c>
      <c r="Q137" s="2">
        <v>0.66800000000000004</v>
      </c>
      <c r="R137" s="2">
        <v>4</v>
      </c>
      <c r="S137" s="2">
        <v>4.9000000000000004</v>
      </c>
      <c r="T137" s="2">
        <v>0.82899999999999996</v>
      </c>
      <c r="U137" s="2">
        <v>3.4</v>
      </c>
      <c r="V137" s="2">
        <v>9.6999999999999993</v>
      </c>
      <c r="W137" s="2">
        <v>13</v>
      </c>
      <c r="X137" s="2">
        <v>6</v>
      </c>
      <c r="Y137" s="2">
        <v>0.8</v>
      </c>
      <c r="Z137" s="2">
        <v>0.4</v>
      </c>
      <c r="AA137" s="2">
        <v>3.2</v>
      </c>
      <c r="AB137" s="2">
        <v>3.5</v>
      </c>
      <c r="AC137" s="2">
        <v>21.3</v>
      </c>
      <c r="AD137" s="2"/>
    </row>
    <row r="138" spans="1:30" x14ac:dyDescent="0.2">
      <c r="A138" t="s">
        <v>552</v>
      </c>
      <c r="B138" s="2">
        <v>21</v>
      </c>
      <c r="C138" t="s">
        <v>72</v>
      </c>
      <c r="D138" s="2" t="s">
        <v>49</v>
      </c>
      <c r="E138" s="2">
        <v>2</v>
      </c>
      <c r="F138" s="2">
        <v>0</v>
      </c>
      <c r="G138" s="2">
        <v>5.5</v>
      </c>
      <c r="H138" s="2">
        <v>0</v>
      </c>
      <c r="I138" s="2">
        <v>0.5</v>
      </c>
      <c r="J138" s="2">
        <v>0</v>
      </c>
      <c r="K138" s="2">
        <v>0</v>
      </c>
      <c r="L138" s="2">
        <v>0</v>
      </c>
      <c r="M138" s="2"/>
      <c r="N138" s="2">
        <v>0</v>
      </c>
      <c r="O138" s="2">
        <v>0.5</v>
      </c>
      <c r="P138" s="2">
        <v>0</v>
      </c>
      <c r="Q138" s="2">
        <v>0</v>
      </c>
      <c r="R138" s="2">
        <v>0.5</v>
      </c>
      <c r="S138" s="2">
        <v>1</v>
      </c>
      <c r="T138" s="2">
        <v>0.5</v>
      </c>
      <c r="U138" s="2">
        <v>0</v>
      </c>
      <c r="V138" s="2">
        <v>0</v>
      </c>
      <c r="W138" s="2">
        <v>0</v>
      </c>
      <c r="X138" s="2">
        <v>0</v>
      </c>
      <c r="Y138" s="2">
        <v>0</v>
      </c>
      <c r="Z138" s="2">
        <v>0</v>
      </c>
      <c r="AA138" s="2">
        <v>0</v>
      </c>
      <c r="AB138" s="2">
        <v>0.5</v>
      </c>
      <c r="AC138" s="2">
        <v>0.5</v>
      </c>
      <c r="AD138" s="2"/>
    </row>
    <row r="139" spans="1:30" x14ac:dyDescent="0.2">
      <c r="A139" t="s">
        <v>339</v>
      </c>
      <c r="B139" s="2">
        <v>20</v>
      </c>
      <c r="C139" t="s">
        <v>135</v>
      </c>
      <c r="D139" s="2" t="s">
        <v>42</v>
      </c>
      <c r="E139" s="2">
        <v>17</v>
      </c>
      <c r="F139" s="2">
        <v>6</v>
      </c>
      <c r="G139" s="2">
        <v>17</v>
      </c>
      <c r="H139" s="2">
        <v>2.4</v>
      </c>
      <c r="I139" s="2">
        <v>4.5</v>
      </c>
      <c r="J139" s="2">
        <v>0.52600000000000002</v>
      </c>
      <c r="K139" s="2">
        <v>0.2</v>
      </c>
      <c r="L139" s="2">
        <v>0.5</v>
      </c>
      <c r="M139" s="2">
        <v>0.33300000000000002</v>
      </c>
      <c r="N139" s="2">
        <v>2.2000000000000002</v>
      </c>
      <c r="O139" s="2">
        <v>3.9</v>
      </c>
      <c r="P139" s="2">
        <v>0.55200000000000005</v>
      </c>
      <c r="Q139" s="2">
        <v>0.54600000000000004</v>
      </c>
      <c r="R139" s="2">
        <v>0.9</v>
      </c>
      <c r="S139" s="2">
        <v>1.3</v>
      </c>
      <c r="T139" s="2">
        <v>0.72699999999999998</v>
      </c>
      <c r="U139" s="2">
        <v>3.2</v>
      </c>
      <c r="V139" s="2">
        <v>3.5</v>
      </c>
      <c r="W139" s="2">
        <v>6.7</v>
      </c>
      <c r="X139" s="2">
        <v>0.3</v>
      </c>
      <c r="Y139" s="2">
        <v>0.5</v>
      </c>
      <c r="Z139" s="2">
        <v>2.2000000000000002</v>
      </c>
      <c r="AA139" s="2">
        <v>1</v>
      </c>
      <c r="AB139" s="2">
        <v>2.9</v>
      </c>
      <c r="AC139" s="2">
        <v>5.8</v>
      </c>
      <c r="AD139" s="2"/>
    </row>
    <row r="140" spans="1:30" x14ac:dyDescent="0.2">
      <c r="A140" t="s">
        <v>56</v>
      </c>
      <c r="B140" s="2">
        <v>28</v>
      </c>
      <c r="C140" t="s">
        <v>57</v>
      </c>
      <c r="D140" s="2" t="s">
        <v>52</v>
      </c>
      <c r="E140" s="2">
        <v>24</v>
      </c>
      <c r="F140" s="2">
        <v>24</v>
      </c>
      <c r="G140" s="2">
        <v>31.9</v>
      </c>
      <c r="H140" s="2">
        <v>8.5</v>
      </c>
      <c r="I140" s="2">
        <v>18.8</v>
      </c>
      <c r="J140" s="2">
        <v>0.45100000000000001</v>
      </c>
      <c r="K140" s="2">
        <v>3.8</v>
      </c>
      <c r="L140" s="2">
        <v>9.1</v>
      </c>
      <c r="M140" s="2">
        <v>0.41099999999999998</v>
      </c>
      <c r="N140" s="2">
        <v>4.8</v>
      </c>
      <c r="O140" s="2">
        <v>9.6999999999999993</v>
      </c>
      <c r="P140" s="2">
        <v>0.48899999999999999</v>
      </c>
      <c r="Q140" s="2">
        <v>0.55100000000000005</v>
      </c>
      <c r="R140" s="2">
        <v>3</v>
      </c>
      <c r="S140" s="2">
        <v>3.7</v>
      </c>
      <c r="T140" s="2">
        <v>0.80700000000000005</v>
      </c>
      <c r="U140" s="2">
        <v>0.6</v>
      </c>
      <c r="V140" s="2">
        <v>4.2</v>
      </c>
      <c r="W140" s="2">
        <v>4.8</v>
      </c>
      <c r="X140" s="2">
        <v>4.4000000000000004</v>
      </c>
      <c r="Y140" s="2">
        <v>1.5</v>
      </c>
      <c r="Z140" s="2">
        <v>0.3</v>
      </c>
      <c r="AA140" s="2">
        <v>2.2000000000000002</v>
      </c>
      <c r="AB140" s="2">
        <v>2.2999999999999998</v>
      </c>
      <c r="AC140" s="2">
        <v>23.7</v>
      </c>
      <c r="AD140" s="2"/>
    </row>
    <row r="141" spans="1:30" x14ac:dyDescent="0.2">
      <c r="A141" t="s">
        <v>234</v>
      </c>
      <c r="B141" s="2">
        <v>28</v>
      </c>
      <c r="C141" t="s">
        <v>51</v>
      </c>
      <c r="D141" s="2" t="s">
        <v>52</v>
      </c>
      <c r="E141" s="2">
        <v>23</v>
      </c>
      <c r="F141" s="2">
        <v>2</v>
      </c>
      <c r="G141" s="2">
        <v>25.2</v>
      </c>
      <c r="H141" s="2">
        <v>3</v>
      </c>
      <c r="I141" s="2">
        <v>8.4</v>
      </c>
      <c r="J141" s="2">
        <v>0.35199999999999998</v>
      </c>
      <c r="K141" s="2">
        <v>2.1</v>
      </c>
      <c r="L141" s="2">
        <v>6.6</v>
      </c>
      <c r="M141" s="2">
        <v>0.32200000000000001</v>
      </c>
      <c r="N141" s="2">
        <v>0.8</v>
      </c>
      <c r="O141" s="2">
        <v>1.8</v>
      </c>
      <c r="P141" s="2">
        <v>0.46300000000000002</v>
      </c>
      <c r="Q141" s="2">
        <v>0.47899999999999998</v>
      </c>
      <c r="R141" s="2">
        <v>0.5</v>
      </c>
      <c r="S141" s="2">
        <v>0.7</v>
      </c>
      <c r="T141" s="2">
        <v>0.75</v>
      </c>
      <c r="U141" s="2">
        <v>0.3</v>
      </c>
      <c r="V141" s="2">
        <v>2.7</v>
      </c>
      <c r="W141" s="2">
        <v>3</v>
      </c>
      <c r="X141" s="2">
        <v>3.6</v>
      </c>
      <c r="Y141" s="2">
        <v>1.3</v>
      </c>
      <c r="Z141" s="2">
        <v>0.3</v>
      </c>
      <c r="AA141" s="2">
        <v>1.7</v>
      </c>
      <c r="AB141" s="2">
        <v>1.6</v>
      </c>
      <c r="AC141" s="2">
        <v>8.6</v>
      </c>
      <c r="AD141" s="2"/>
    </row>
    <row r="142" spans="1:30" x14ac:dyDescent="0.2">
      <c r="A142" t="s">
        <v>261</v>
      </c>
      <c r="B142" s="2">
        <v>31</v>
      </c>
      <c r="C142" t="s">
        <v>103</v>
      </c>
      <c r="D142" s="2" t="s">
        <v>27</v>
      </c>
      <c r="E142" s="2">
        <v>16</v>
      </c>
      <c r="F142" s="2">
        <v>16</v>
      </c>
      <c r="G142" s="2">
        <v>29.1</v>
      </c>
      <c r="H142" s="2">
        <v>3.8</v>
      </c>
      <c r="I142" s="2">
        <v>8.1</v>
      </c>
      <c r="J142" s="2">
        <v>0.46500000000000002</v>
      </c>
      <c r="K142" s="2">
        <v>2.4</v>
      </c>
      <c r="L142" s="2">
        <v>5.5</v>
      </c>
      <c r="M142" s="2">
        <v>0.432</v>
      </c>
      <c r="N142" s="2">
        <v>1.4</v>
      </c>
      <c r="O142" s="2">
        <v>2.6</v>
      </c>
      <c r="P142" s="2">
        <v>0.53700000000000003</v>
      </c>
      <c r="Q142" s="2">
        <v>0.61199999999999999</v>
      </c>
      <c r="R142" s="2">
        <v>0.7</v>
      </c>
      <c r="S142" s="2">
        <v>1.1000000000000001</v>
      </c>
      <c r="T142" s="2">
        <v>0.61099999999999999</v>
      </c>
      <c r="U142" s="2">
        <v>1.7</v>
      </c>
      <c r="V142" s="2">
        <v>2.6</v>
      </c>
      <c r="W142" s="2">
        <v>4.3</v>
      </c>
      <c r="X142" s="2">
        <v>1.8</v>
      </c>
      <c r="Y142" s="2">
        <v>0.9</v>
      </c>
      <c r="Z142" s="2">
        <v>0.5</v>
      </c>
      <c r="AA142" s="2">
        <v>1</v>
      </c>
      <c r="AB142" s="2">
        <v>3.1</v>
      </c>
      <c r="AC142" s="2">
        <v>10.6</v>
      </c>
      <c r="AD142" s="2"/>
    </row>
    <row r="143" spans="1:30" x14ac:dyDescent="0.2">
      <c r="A143" t="s">
        <v>382</v>
      </c>
      <c r="B143" s="2">
        <v>33</v>
      </c>
      <c r="C143" t="s">
        <v>37</v>
      </c>
      <c r="D143" s="2" t="s">
        <v>49</v>
      </c>
      <c r="E143" s="2">
        <v>19</v>
      </c>
      <c r="F143" s="2">
        <v>2</v>
      </c>
      <c r="G143" s="2">
        <v>8.1999999999999993</v>
      </c>
      <c r="H143" s="2">
        <v>1.2</v>
      </c>
      <c r="I143" s="2">
        <v>2.9</v>
      </c>
      <c r="J143" s="2">
        <v>0.4</v>
      </c>
      <c r="K143" s="2">
        <v>1</v>
      </c>
      <c r="L143" s="2">
        <v>2.5</v>
      </c>
      <c r="M143" s="2">
        <v>0.40400000000000003</v>
      </c>
      <c r="N143" s="2">
        <v>0.2</v>
      </c>
      <c r="O143" s="2">
        <v>0.4</v>
      </c>
      <c r="P143" s="2">
        <v>0.375</v>
      </c>
      <c r="Q143" s="2">
        <v>0.57299999999999995</v>
      </c>
      <c r="R143" s="2">
        <v>0.2</v>
      </c>
      <c r="S143" s="2">
        <v>0.3</v>
      </c>
      <c r="T143" s="2">
        <v>0.6</v>
      </c>
      <c r="U143" s="2">
        <v>0.1</v>
      </c>
      <c r="V143" s="2">
        <v>0.7</v>
      </c>
      <c r="W143" s="2">
        <v>0.7</v>
      </c>
      <c r="X143" s="2">
        <v>0.2</v>
      </c>
      <c r="Y143" s="2">
        <v>0.1</v>
      </c>
      <c r="Z143" s="2">
        <v>0.1</v>
      </c>
      <c r="AA143" s="2">
        <v>0.1</v>
      </c>
      <c r="AB143" s="2">
        <v>0.8</v>
      </c>
      <c r="AC143" s="2">
        <v>3.5</v>
      </c>
      <c r="AD143" s="2"/>
    </row>
    <row r="144" spans="1:30" x14ac:dyDescent="0.2">
      <c r="A144" t="s">
        <v>240</v>
      </c>
      <c r="B144" s="2">
        <v>34</v>
      </c>
      <c r="C144" t="s">
        <v>100</v>
      </c>
      <c r="D144" s="2" t="s">
        <v>27</v>
      </c>
      <c r="E144" s="2">
        <v>22</v>
      </c>
      <c r="F144" s="2">
        <v>21</v>
      </c>
      <c r="G144" s="2">
        <v>28.6</v>
      </c>
      <c r="H144" s="2">
        <v>3</v>
      </c>
      <c r="I144" s="2">
        <v>6.8</v>
      </c>
      <c r="J144" s="2">
        <v>0.443</v>
      </c>
      <c r="K144" s="2">
        <v>1.4</v>
      </c>
      <c r="L144" s="2">
        <v>3.6</v>
      </c>
      <c r="M144" s="2">
        <v>0.38</v>
      </c>
      <c r="N144" s="2">
        <v>1.6</v>
      </c>
      <c r="O144" s="2">
        <v>3.2</v>
      </c>
      <c r="P144" s="2">
        <v>0.51400000000000001</v>
      </c>
      <c r="Q144" s="2">
        <v>0.54400000000000004</v>
      </c>
      <c r="R144" s="2">
        <v>1.4</v>
      </c>
      <c r="S144" s="2">
        <v>2.2000000000000002</v>
      </c>
      <c r="T144" s="2">
        <v>0.61199999999999999</v>
      </c>
      <c r="U144" s="2">
        <v>0.9</v>
      </c>
      <c r="V144" s="2">
        <v>5.3</v>
      </c>
      <c r="W144" s="2">
        <v>6.2</v>
      </c>
      <c r="X144" s="2">
        <v>6</v>
      </c>
      <c r="Y144" s="2">
        <v>1</v>
      </c>
      <c r="Z144" s="2">
        <v>1</v>
      </c>
      <c r="AA144" s="2">
        <v>2.4</v>
      </c>
      <c r="AB144" s="2">
        <v>3.4</v>
      </c>
      <c r="AC144" s="2">
        <v>8.6999999999999993</v>
      </c>
      <c r="AD144" s="2"/>
    </row>
    <row r="145" spans="1:30" x14ac:dyDescent="0.2">
      <c r="A145" t="s">
        <v>353</v>
      </c>
      <c r="B145" s="2">
        <v>27</v>
      </c>
      <c r="C145" t="s">
        <v>120</v>
      </c>
      <c r="D145" s="2" t="s">
        <v>42</v>
      </c>
      <c r="E145" s="2">
        <v>20</v>
      </c>
      <c r="F145" s="2">
        <v>0</v>
      </c>
      <c r="G145" s="2">
        <v>13.6</v>
      </c>
      <c r="H145" s="2">
        <v>1.8</v>
      </c>
      <c r="I145" s="2">
        <v>3.1</v>
      </c>
      <c r="J145" s="2">
        <v>0.58099999999999996</v>
      </c>
      <c r="K145" s="2">
        <v>0.1</v>
      </c>
      <c r="L145" s="2">
        <v>0.2</v>
      </c>
      <c r="M145" s="2">
        <v>0.33300000000000002</v>
      </c>
      <c r="N145" s="2">
        <v>1.8</v>
      </c>
      <c r="O145" s="2">
        <v>3</v>
      </c>
      <c r="P145" s="2">
        <v>0.59299999999999997</v>
      </c>
      <c r="Q145" s="2">
        <v>0.58899999999999997</v>
      </c>
      <c r="R145" s="2">
        <v>0.9</v>
      </c>
      <c r="S145" s="2">
        <v>1.4</v>
      </c>
      <c r="T145" s="2">
        <v>0.63</v>
      </c>
      <c r="U145" s="2">
        <v>1.2</v>
      </c>
      <c r="V145" s="2">
        <v>2.8</v>
      </c>
      <c r="W145" s="2">
        <v>4</v>
      </c>
      <c r="X145" s="2">
        <v>1.2</v>
      </c>
      <c r="Y145" s="2">
        <v>0.3</v>
      </c>
      <c r="Z145" s="2">
        <v>0.7</v>
      </c>
      <c r="AA145" s="2">
        <v>0.8</v>
      </c>
      <c r="AB145" s="2">
        <v>1.2</v>
      </c>
      <c r="AC145" s="2">
        <v>4.5</v>
      </c>
      <c r="AD145" s="2"/>
    </row>
    <row r="146" spans="1:30" x14ac:dyDescent="0.2">
      <c r="A146" t="s">
        <v>467</v>
      </c>
      <c r="B146" s="2">
        <v>25</v>
      </c>
      <c r="C146" t="s">
        <v>39</v>
      </c>
      <c r="D146" s="2" t="s">
        <v>27</v>
      </c>
      <c r="E146" s="2">
        <v>7</v>
      </c>
      <c r="F146" s="2">
        <v>0</v>
      </c>
      <c r="G146" s="2">
        <v>11.6</v>
      </c>
      <c r="H146" s="2">
        <v>0.7</v>
      </c>
      <c r="I146" s="2">
        <v>2.1</v>
      </c>
      <c r="J146" s="2">
        <v>0.33300000000000002</v>
      </c>
      <c r="K146" s="2">
        <v>0.6</v>
      </c>
      <c r="L146" s="2">
        <v>1.9</v>
      </c>
      <c r="M146" s="2">
        <v>0.308</v>
      </c>
      <c r="N146" s="2">
        <v>0.1</v>
      </c>
      <c r="O146" s="2">
        <v>0.3</v>
      </c>
      <c r="P146" s="2">
        <v>0.5</v>
      </c>
      <c r="Q146" s="2">
        <v>0.46700000000000003</v>
      </c>
      <c r="R146" s="2">
        <v>0.9</v>
      </c>
      <c r="S146" s="2">
        <v>1</v>
      </c>
      <c r="T146" s="2">
        <v>0.85699999999999998</v>
      </c>
      <c r="U146" s="2">
        <v>0.6</v>
      </c>
      <c r="V146" s="2">
        <v>1.7</v>
      </c>
      <c r="W146" s="2">
        <v>2.2999999999999998</v>
      </c>
      <c r="X146" s="2">
        <v>0.6</v>
      </c>
      <c r="Y146" s="2">
        <v>0.3</v>
      </c>
      <c r="Z146" s="2">
        <v>0.3</v>
      </c>
      <c r="AA146" s="2">
        <v>0.4</v>
      </c>
      <c r="AB146" s="2">
        <v>1</v>
      </c>
      <c r="AC146" s="2">
        <v>2.9</v>
      </c>
      <c r="AD146" s="2"/>
    </row>
    <row r="147" spans="1:30" x14ac:dyDescent="0.2">
      <c r="A147" t="s">
        <v>400</v>
      </c>
      <c r="B147" s="2">
        <v>27</v>
      </c>
      <c r="C147" t="s">
        <v>61</v>
      </c>
      <c r="D147" s="2" t="s">
        <v>52</v>
      </c>
      <c r="E147" s="2">
        <v>10</v>
      </c>
      <c r="F147" s="2">
        <v>0</v>
      </c>
      <c r="G147" s="2">
        <v>17.399999999999999</v>
      </c>
      <c r="H147" s="2">
        <v>2</v>
      </c>
      <c r="I147" s="2">
        <v>4.2</v>
      </c>
      <c r="J147" s="2">
        <v>0.47599999999999998</v>
      </c>
      <c r="K147" s="2">
        <v>1</v>
      </c>
      <c r="L147" s="2">
        <v>2</v>
      </c>
      <c r="M147" s="2">
        <v>0.5</v>
      </c>
      <c r="N147" s="2">
        <v>1</v>
      </c>
      <c r="O147" s="2">
        <v>2.2000000000000002</v>
      </c>
      <c r="P147" s="2">
        <v>0.45500000000000002</v>
      </c>
      <c r="Q147" s="2">
        <v>0.59499999999999997</v>
      </c>
      <c r="R147" s="2">
        <v>0.4</v>
      </c>
      <c r="S147" s="2">
        <v>0.6</v>
      </c>
      <c r="T147" s="2">
        <v>0.66700000000000004</v>
      </c>
      <c r="U147" s="2">
        <v>1</v>
      </c>
      <c r="V147" s="2">
        <v>2.1</v>
      </c>
      <c r="W147" s="2">
        <v>3.1</v>
      </c>
      <c r="X147" s="2">
        <v>1.6</v>
      </c>
      <c r="Y147" s="2">
        <v>0.9</v>
      </c>
      <c r="Z147" s="2">
        <v>0.5</v>
      </c>
      <c r="AA147" s="2">
        <v>1</v>
      </c>
      <c r="AB147" s="2">
        <v>1.5</v>
      </c>
      <c r="AC147" s="2">
        <v>5.4</v>
      </c>
      <c r="AD147" s="2"/>
    </row>
    <row r="148" spans="1:30" x14ac:dyDescent="0.2">
      <c r="A148" t="s">
        <v>198</v>
      </c>
      <c r="B148" s="2">
        <v>30</v>
      </c>
      <c r="C148" t="s">
        <v>61</v>
      </c>
      <c r="D148" s="2" t="s">
        <v>49</v>
      </c>
      <c r="E148" s="2">
        <v>22</v>
      </c>
      <c r="F148" s="2">
        <v>11</v>
      </c>
      <c r="G148" s="2">
        <v>22.5</v>
      </c>
      <c r="H148" s="2">
        <v>4</v>
      </c>
      <c r="I148" s="2">
        <v>9.5</v>
      </c>
      <c r="J148" s="2">
        <v>0.41799999999999998</v>
      </c>
      <c r="K148" s="2">
        <v>2.5</v>
      </c>
      <c r="L148" s="2">
        <v>6.4</v>
      </c>
      <c r="M148" s="2">
        <v>0.38300000000000001</v>
      </c>
      <c r="N148" s="2">
        <v>1.5</v>
      </c>
      <c r="O148" s="2">
        <v>3</v>
      </c>
      <c r="P148" s="2">
        <v>0.49299999999999999</v>
      </c>
      <c r="Q148" s="2">
        <v>0.54800000000000004</v>
      </c>
      <c r="R148" s="2">
        <v>0.7</v>
      </c>
      <c r="S148" s="2">
        <v>0.8</v>
      </c>
      <c r="T148" s="2">
        <v>0.83299999999999996</v>
      </c>
      <c r="U148" s="2">
        <v>0.4</v>
      </c>
      <c r="V148" s="2">
        <v>2</v>
      </c>
      <c r="W148" s="2">
        <v>2.2999999999999998</v>
      </c>
      <c r="X148" s="2">
        <v>2.2999999999999998</v>
      </c>
      <c r="Y148" s="2">
        <v>0.5</v>
      </c>
      <c r="Z148" s="2">
        <v>0.1</v>
      </c>
      <c r="AA148" s="2">
        <v>0.9</v>
      </c>
      <c r="AB148" s="2">
        <v>2.1</v>
      </c>
      <c r="AC148" s="2">
        <v>11</v>
      </c>
      <c r="AD148" s="2"/>
    </row>
    <row r="149" spans="1:30" x14ac:dyDescent="0.2">
      <c r="A149" t="s">
        <v>447</v>
      </c>
      <c r="B149" s="2">
        <v>28</v>
      </c>
      <c r="C149" t="s">
        <v>135</v>
      </c>
      <c r="D149" s="2" t="s">
        <v>42</v>
      </c>
      <c r="E149" s="2">
        <v>13</v>
      </c>
      <c r="F149" s="2">
        <v>0</v>
      </c>
      <c r="G149" s="2">
        <v>6.4</v>
      </c>
      <c r="H149" s="2">
        <v>0.8</v>
      </c>
      <c r="I149" s="2">
        <v>2</v>
      </c>
      <c r="J149" s="2">
        <v>0.38500000000000001</v>
      </c>
      <c r="K149" s="2">
        <v>0.5</v>
      </c>
      <c r="L149" s="2">
        <v>1.5</v>
      </c>
      <c r="M149" s="2">
        <v>0.36799999999999999</v>
      </c>
      <c r="N149" s="2">
        <v>0.2</v>
      </c>
      <c r="O149" s="2">
        <v>0.5</v>
      </c>
      <c r="P149" s="2">
        <v>0.42899999999999999</v>
      </c>
      <c r="Q149" s="2">
        <v>0.51900000000000002</v>
      </c>
      <c r="R149" s="2">
        <v>0</v>
      </c>
      <c r="S149" s="2">
        <v>0</v>
      </c>
      <c r="T149" s="2"/>
      <c r="U149" s="2">
        <v>0.5</v>
      </c>
      <c r="V149" s="2">
        <v>0.5</v>
      </c>
      <c r="W149" s="2">
        <v>1</v>
      </c>
      <c r="X149" s="2">
        <v>0.2</v>
      </c>
      <c r="Y149" s="2">
        <v>0</v>
      </c>
      <c r="Z149" s="2">
        <v>0.2</v>
      </c>
      <c r="AA149" s="2">
        <v>0.1</v>
      </c>
      <c r="AB149" s="2">
        <v>0.8</v>
      </c>
      <c r="AC149" s="2">
        <v>2.1</v>
      </c>
      <c r="AD149" s="2"/>
    </row>
    <row r="150" spans="1:30" x14ac:dyDescent="0.2">
      <c r="A150" t="s">
        <v>434</v>
      </c>
      <c r="B150" s="2">
        <v>33</v>
      </c>
      <c r="C150" t="s">
        <v>63</v>
      </c>
      <c r="D150" s="2" t="s">
        <v>42</v>
      </c>
      <c r="E150" s="2">
        <v>19</v>
      </c>
      <c r="F150" s="2">
        <v>0</v>
      </c>
      <c r="G150" s="2">
        <v>8.1</v>
      </c>
      <c r="H150" s="2">
        <v>0.4</v>
      </c>
      <c r="I150" s="2">
        <v>0.5</v>
      </c>
      <c r="J150" s="2">
        <v>0.8</v>
      </c>
      <c r="K150" s="2">
        <v>0</v>
      </c>
      <c r="L150" s="2">
        <v>0</v>
      </c>
      <c r="M150" s="2"/>
      <c r="N150" s="2">
        <v>0.4</v>
      </c>
      <c r="O150" s="2">
        <v>0.5</v>
      </c>
      <c r="P150" s="2">
        <v>0.8</v>
      </c>
      <c r="Q150" s="2">
        <v>0.8</v>
      </c>
      <c r="R150" s="2">
        <v>0.9</v>
      </c>
      <c r="S150" s="2">
        <v>1.3</v>
      </c>
      <c r="T150" s="2">
        <v>0.70799999999999996</v>
      </c>
      <c r="U150" s="2">
        <v>0.6</v>
      </c>
      <c r="V150" s="2">
        <v>1.2</v>
      </c>
      <c r="W150" s="2">
        <v>1.8</v>
      </c>
      <c r="X150" s="2">
        <v>0.7</v>
      </c>
      <c r="Y150" s="2">
        <v>0.4</v>
      </c>
      <c r="Z150" s="2">
        <v>0.4</v>
      </c>
      <c r="AA150" s="2">
        <v>0.3</v>
      </c>
      <c r="AB150" s="2">
        <v>1.4</v>
      </c>
      <c r="AC150" s="2">
        <v>1.7</v>
      </c>
      <c r="AD150" s="2"/>
    </row>
    <row r="151" spans="1:30" x14ac:dyDescent="0.2">
      <c r="A151" t="s">
        <v>146</v>
      </c>
      <c r="B151" s="2">
        <v>21</v>
      </c>
      <c r="C151" t="s">
        <v>72</v>
      </c>
      <c r="D151" s="2" t="s">
        <v>52</v>
      </c>
      <c r="E151" s="2">
        <v>24</v>
      </c>
      <c r="F151" s="2">
        <v>24</v>
      </c>
      <c r="G151" s="2">
        <v>33.799999999999997</v>
      </c>
      <c r="H151" s="2">
        <v>5.6</v>
      </c>
      <c r="I151" s="2">
        <v>12.6</v>
      </c>
      <c r="J151" s="2">
        <v>0.44700000000000001</v>
      </c>
      <c r="K151" s="2">
        <v>1.2</v>
      </c>
      <c r="L151" s="2">
        <v>3.9</v>
      </c>
      <c r="M151" s="2">
        <v>0.312</v>
      </c>
      <c r="N151" s="2">
        <v>4.4000000000000004</v>
      </c>
      <c r="O151" s="2">
        <v>8.6999999999999993</v>
      </c>
      <c r="P151" s="2">
        <v>0.50700000000000001</v>
      </c>
      <c r="Q151" s="2">
        <v>0.495</v>
      </c>
      <c r="R151" s="2">
        <v>1</v>
      </c>
      <c r="S151" s="2">
        <v>1.5</v>
      </c>
      <c r="T151" s="2">
        <v>0.64900000000000002</v>
      </c>
      <c r="U151" s="2">
        <v>1.8</v>
      </c>
      <c r="V151" s="2">
        <v>3.3</v>
      </c>
      <c r="W151" s="2">
        <v>5</v>
      </c>
      <c r="X151" s="2">
        <v>3.3</v>
      </c>
      <c r="Y151" s="4">
        <v>3</v>
      </c>
      <c r="Z151" s="2">
        <v>0.9</v>
      </c>
      <c r="AA151" s="2">
        <v>1.8</v>
      </c>
      <c r="AB151" s="2">
        <v>2.8</v>
      </c>
      <c r="AC151" s="2">
        <v>13.5</v>
      </c>
      <c r="AD151" s="2"/>
    </row>
    <row r="152" spans="1:30" x14ac:dyDescent="0.2">
      <c r="A152" t="s">
        <v>487</v>
      </c>
      <c r="B152" s="2">
        <v>24</v>
      </c>
      <c r="C152" t="s">
        <v>70</v>
      </c>
      <c r="D152" s="2" t="s">
        <v>27</v>
      </c>
      <c r="E152" s="2">
        <v>6</v>
      </c>
      <c r="F152" s="2">
        <v>0</v>
      </c>
      <c r="G152" s="2">
        <v>5.2</v>
      </c>
      <c r="H152" s="2">
        <v>0.8</v>
      </c>
      <c r="I152" s="2">
        <v>1.3</v>
      </c>
      <c r="J152" s="2">
        <v>0.625</v>
      </c>
      <c r="K152" s="2">
        <v>0.5</v>
      </c>
      <c r="L152" s="2">
        <v>1</v>
      </c>
      <c r="M152" s="2">
        <v>0.5</v>
      </c>
      <c r="N152" s="2">
        <v>0.3</v>
      </c>
      <c r="O152" s="2">
        <v>0.3</v>
      </c>
      <c r="P152" s="2">
        <v>1</v>
      </c>
      <c r="Q152" s="2">
        <v>0.81299999999999994</v>
      </c>
      <c r="R152" s="2">
        <v>0.3</v>
      </c>
      <c r="S152" s="2">
        <v>0.3</v>
      </c>
      <c r="T152" s="2">
        <v>1</v>
      </c>
      <c r="U152" s="2">
        <v>0.2</v>
      </c>
      <c r="V152" s="2">
        <v>0.7</v>
      </c>
      <c r="W152" s="2">
        <v>0.8</v>
      </c>
      <c r="X152" s="2">
        <v>0.5</v>
      </c>
      <c r="Y152" s="2">
        <v>0.2</v>
      </c>
      <c r="Z152" s="2">
        <v>0.2</v>
      </c>
      <c r="AA152" s="2">
        <v>0.3</v>
      </c>
      <c r="AB152" s="2">
        <v>1.3</v>
      </c>
      <c r="AC152" s="2">
        <v>2.5</v>
      </c>
      <c r="AD152" s="2"/>
    </row>
    <row r="153" spans="1:30" x14ac:dyDescent="0.2">
      <c r="A153" t="s">
        <v>408</v>
      </c>
      <c r="B153" s="2">
        <v>30</v>
      </c>
      <c r="C153" t="s">
        <v>117</v>
      </c>
      <c r="D153" s="2" t="s">
        <v>33</v>
      </c>
      <c r="E153" s="2">
        <v>7</v>
      </c>
      <c r="F153" s="2">
        <v>3</v>
      </c>
      <c r="G153" s="2">
        <v>20.6</v>
      </c>
      <c r="H153" s="2">
        <v>3.3</v>
      </c>
      <c r="I153" s="2">
        <v>6.6</v>
      </c>
      <c r="J153" s="2">
        <v>0.5</v>
      </c>
      <c r="K153" s="2">
        <v>0</v>
      </c>
      <c r="L153" s="2">
        <v>0.1</v>
      </c>
      <c r="M153" s="2">
        <v>0</v>
      </c>
      <c r="N153" s="2">
        <v>3.3</v>
      </c>
      <c r="O153" s="2">
        <v>6.4</v>
      </c>
      <c r="P153" s="2">
        <v>0.51100000000000001</v>
      </c>
      <c r="Q153" s="2">
        <v>0.5</v>
      </c>
      <c r="R153" s="2">
        <v>0.1</v>
      </c>
      <c r="S153" s="2">
        <v>0.3</v>
      </c>
      <c r="T153" s="2">
        <v>0.5</v>
      </c>
      <c r="U153" s="2">
        <v>0.7</v>
      </c>
      <c r="V153" s="2">
        <v>2.7</v>
      </c>
      <c r="W153" s="2">
        <v>3.4</v>
      </c>
      <c r="X153" s="2">
        <v>6.9</v>
      </c>
      <c r="Y153" s="2">
        <v>1.4</v>
      </c>
      <c r="Z153" s="2">
        <v>0.4</v>
      </c>
      <c r="AA153" s="2">
        <v>2.9</v>
      </c>
      <c r="AB153" s="2">
        <v>1.4</v>
      </c>
      <c r="AC153" s="2">
        <v>6.7</v>
      </c>
      <c r="AD153" s="2"/>
    </row>
    <row r="154" spans="1:30" x14ac:dyDescent="0.2">
      <c r="A154" t="s">
        <v>458</v>
      </c>
      <c r="B154" s="2">
        <v>24</v>
      </c>
      <c r="C154" t="s">
        <v>82</v>
      </c>
      <c r="D154" s="2" t="s">
        <v>27</v>
      </c>
      <c r="E154" s="2">
        <v>15</v>
      </c>
      <c r="F154" s="2">
        <v>1</v>
      </c>
      <c r="G154" s="2">
        <v>7.4</v>
      </c>
      <c r="H154" s="2">
        <v>0.5</v>
      </c>
      <c r="I154" s="2">
        <v>1.2</v>
      </c>
      <c r="J154" s="2">
        <v>0.44400000000000001</v>
      </c>
      <c r="K154" s="2">
        <v>0.1</v>
      </c>
      <c r="L154" s="2">
        <v>0.3</v>
      </c>
      <c r="M154" s="2">
        <v>0.2</v>
      </c>
      <c r="N154" s="2">
        <v>0.5</v>
      </c>
      <c r="O154" s="2">
        <v>0.9</v>
      </c>
      <c r="P154" s="2">
        <v>0.53800000000000003</v>
      </c>
      <c r="Q154" s="2">
        <v>0.47199999999999998</v>
      </c>
      <c r="R154" s="2">
        <v>0.3</v>
      </c>
      <c r="S154" s="2">
        <v>0.6</v>
      </c>
      <c r="T154" s="2">
        <v>0.55600000000000005</v>
      </c>
      <c r="U154" s="2">
        <v>0.2</v>
      </c>
      <c r="V154" s="2">
        <v>0.6</v>
      </c>
      <c r="W154" s="2">
        <v>0.8</v>
      </c>
      <c r="X154" s="2">
        <v>0.4</v>
      </c>
      <c r="Y154" s="2">
        <v>0.1</v>
      </c>
      <c r="Z154" s="2">
        <v>0.1</v>
      </c>
      <c r="AA154" s="2">
        <v>0.3</v>
      </c>
      <c r="AB154" s="2">
        <v>1</v>
      </c>
      <c r="AC154" s="2">
        <v>1.5</v>
      </c>
      <c r="AD154" s="2"/>
    </row>
    <row r="155" spans="1:30" x14ac:dyDescent="0.2">
      <c r="A155" t="s">
        <v>367</v>
      </c>
      <c r="B155" s="2">
        <v>36</v>
      </c>
      <c r="C155" t="s">
        <v>122</v>
      </c>
      <c r="D155" s="2" t="s">
        <v>52</v>
      </c>
      <c r="E155" s="2">
        <v>16</v>
      </c>
      <c r="F155" s="2">
        <v>1</v>
      </c>
      <c r="G155" s="2">
        <v>16.5</v>
      </c>
      <c r="H155" s="2">
        <v>1.6</v>
      </c>
      <c r="I155" s="2">
        <v>4.8</v>
      </c>
      <c r="J155" s="2">
        <v>0.32500000000000001</v>
      </c>
      <c r="K155" s="2">
        <v>0.6</v>
      </c>
      <c r="L155" s="2">
        <v>2.6</v>
      </c>
      <c r="M155" s="2">
        <v>0.23799999999999999</v>
      </c>
      <c r="N155" s="2">
        <v>0.9</v>
      </c>
      <c r="O155" s="2">
        <v>2.2000000000000002</v>
      </c>
      <c r="P155" s="2">
        <v>0.42899999999999999</v>
      </c>
      <c r="Q155" s="2">
        <v>0.39</v>
      </c>
      <c r="R155" s="2">
        <v>1.1000000000000001</v>
      </c>
      <c r="S155" s="2">
        <v>1.4</v>
      </c>
      <c r="T155" s="2">
        <v>0.77300000000000002</v>
      </c>
      <c r="U155" s="2">
        <v>0.2</v>
      </c>
      <c r="V155" s="2">
        <v>0.8</v>
      </c>
      <c r="W155" s="2">
        <v>0.9</v>
      </c>
      <c r="X155" s="2">
        <v>1.3</v>
      </c>
      <c r="Y155" s="2">
        <v>0.6</v>
      </c>
      <c r="Z155" s="2">
        <v>0.3</v>
      </c>
      <c r="AA155" s="2">
        <v>0.8</v>
      </c>
      <c r="AB155" s="2">
        <v>0.8</v>
      </c>
      <c r="AC155" s="2">
        <v>4.8</v>
      </c>
      <c r="AD155" s="2"/>
    </row>
    <row r="156" spans="1:30" x14ac:dyDescent="0.2">
      <c r="A156" t="s">
        <v>96</v>
      </c>
      <c r="B156" s="2">
        <v>23</v>
      </c>
      <c r="C156" t="s">
        <v>57</v>
      </c>
      <c r="D156" s="2" t="s">
        <v>27</v>
      </c>
      <c r="E156" s="2">
        <v>24</v>
      </c>
      <c r="F156" s="2">
        <v>24</v>
      </c>
      <c r="G156" s="2">
        <v>30.7</v>
      </c>
      <c r="H156" s="2">
        <v>7</v>
      </c>
      <c r="I156" s="2">
        <v>12.6</v>
      </c>
      <c r="J156" s="2">
        <v>0.55800000000000005</v>
      </c>
      <c r="K156" s="2">
        <v>0.9</v>
      </c>
      <c r="L156" s="2">
        <v>2.2999999999999998</v>
      </c>
      <c r="M156" s="2">
        <v>0.4</v>
      </c>
      <c r="N156" s="2">
        <v>6.1</v>
      </c>
      <c r="O156" s="2">
        <v>10.3</v>
      </c>
      <c r="P156" s="2">
        <v>0.59299999999999997</v>
      </c>
      <c r="Q156" s="2">
        <v>0.59399999999999997</v>
      </c>
      <c r="R156" s="2">
        <v>3.3</v>
      </c>
      <c r="S156" s="2">
        <v>4.0999999999999996</v>
      </c>
      <c r="T156" s="2">
        <v>0.79600000000000004</v>
      </c>
      <c r="U156" s="2">
        <v>2.2999999999999998</v>
      </c>
      <c r="V156" s="2">
        <v>6.8</v>
      </c>
      <c r="W156" s="2">
        <v>9.1</v>
      </c>
      <c r="X156" s="2">
        <v>2.7</v>
      </c>
      <c r="Y156" s="2">
        <v>1.1000000000000001</v>
      </c>
      <c r="Z156" s="2">
        <v>1.5</v>
      </c>
      <c r="AA156" s="2">
        <v>2.2000000000000002</v>
      </c>
      <c r="AB156" s="2">
        <v>2.1</v>
      </c>
      <c r="AC156" s="2">
        <v>18.3</v>
      </c>
      <c r="AD156" s="2"/>
    </row>
    <row r="157" spans="1:30" x14ac:dyDescent="0.2">
      <c r="A157" t="s">
        <v>47</v>
      </c>
      <c r="B157" s="2">
        <v>23</v>
      </c>
      <c r="C157" t="s">
        <v>48</v>
      </c>
      <c r="D157" s="2" t="s">
        <v>49</v>
      </c>
      <c r="E157" s="2">
        <v>25</v>
      </c>
      <c r="F157" s="2">
        <v>25</v>
      </c>
      <c r="G157" s="2">
        <v>33.200000000000003</v>
      </c>
      <c r="H157" s="2">
        <v>8.8000000000000007</v>
      </c>
      <c r="I157" s="2">
        <v>18.899999999999999</v>
      </c>
      <c r="J157" s="2">
        <v>0.46500000000000002</v>
      </c>
      <c r="K157" s="2">
        <v>2</v>
      </c>
      <c r="L157" s="2">
        <v>6.4</v>
      </c>
      <c r="M157" s="2">
        <v>0.32100000000000001</v>
      </c>
      <c r="N157" s="2">
        <v>6.8</v>
      </c>
      <c r="O157" s="2">
        <v>12.6</v>
      </c>
      <c r="P157" s="2">
        <v>0.53800000000000003</v>
      </c>
      <c r="Q157" s="2">
        <v>0.51900000000000002</v>
      </c>
      <c r="R157" s="2">
        <v>4.8</v>
      </c>
      <c r="S157" s="2">
        <v>5.4</v>
      </c>
      <c r="T157" s="2">
        <v>0.88100000000000001</v>
      </c>
      <c r="U157" s="2">
        <v>0.9</v>
      </c>
      <c r="V157" s="2">
        <v>4.7</v>
      </c>
      <c r="W157" s="2">
        <v>5.6</v>
      </c>
      <c r="X157" s="2">
        <v>5.7</v>
      </c>
      <c r="Y157" s="2">
        <v>1.7</v>
      </c>
      <c r="Z157" s="2">
        <v>0.5</v>
      </c>
      <c r="AA157" s="2">
        <v>2.4</v>
      </c>
      <c r="AB157" s="2">
        <v>2.2999999999999998</v>
      </c>
      <c r="AC157" s="2">
        <v>24.4</v>
      </c>
      <c r="AD157" s="2"/>
    </row>
    <row r="158" spans="1:30" x14ac:dyDescent="0.2">
      <c r="A158" t="s">
        <v>127</v>
      </c>
      <c r="B158" s="2">
        <v>30</v>
      </c>
      <c r="C158" t="s">
        <v>87</v>
      </c>
      <c r="D158" s="2" t="s">
        <v>33</v>
      </c>
      <c r="E158" s="2">
        <v>23</v>
      </c>
      <c r="F158" s="2">
        <v>23</v>
      </c>
      <c r="G158" s="2">
        <v>35.1</v>
      </c>
      <c r="H158" s="2">
        <v>5.5</v>
      </c>
      <c r="I158" s="2">
        <v>14.3</v>
      </c>
      <c r="J158" s="2">
        <v>0.38500000000000001</v>
      </c>
      <c r="K158" s="2">
        <v>2.4</v>
      </c>
      <c r="L158" s="2">
        <v>7.7</v>
      </c>
      <c r="M158" s="2">
        <v>0.316</v>
      </c>
      <c r="N158" s="2">
        <v>3.1</v>
      </c>
      <c r="O158" s="2">
        <v>6.7</v>
      </c>
      <c r="P158" s="2">
        <v>0.46400000000000002</v>
      </c>
      <c r="Q158" s="2">
        <v>0.47</v>
      </c>
      <c r="R158" s="2">
        <v>2.1</v>
      </c>
      <c r="S158" s="2">
        <v>2.6</v>
      </c>
      <c r="T158" s="2">
        <v>0.83099999999999996</v>
      </c>
      <c r="U158" s="2">
        <v>0.6</v>
      </c>
      <c r="V158" s="2">
        <v>3.5</v>
      </c>
      <c r="W158" s="2">
        <v>4.0999999999999996</v>
      </c>
      <c r="X158" s="2">
        <v>5.9</v>
      </c>
      <c r="Y158" s="2">
        <v>1.5</v>
      </c>
      <c r="Z158" s="2">
        <v>0.4</v>
      </c>
      <c r="AA158" s="2">
        <v>1.3</v>
      </c>
      <c r="AB158" s="2">
        <v>2.5</v>
      </c>
      <c r="AC158" s="2">
        <v>15.6</v>
      </c>
      <c r="AD158" s="2"/>
    </row>
    <row r="159" spans="1:30" x14ac:dyDescent="0.2">
      <c r="A159" t="s">
        <v>351</v>
      </c>
      <c r="B159" s="2">
        <v>28</v>
      </c>
      <c r="C159" t="s">
        <v>41</v>
      </c>
      <c r="D159" s="2" t="s">
        <v>33</v>
      </c>
      <c r="E159" s="2">
        <v>24</v>
      </c>
      <c r="F159" s="2">
        <v>3</v>
      </c>
      <c r="G159" s="2">
        <v>18.899999999999999</v>
      </c>
      <c r="H159" s="2">
        <v>1.5</v>
      </c>
      <c r="I159" s="2">
        <v>4.3</v>
      </c>
      <c r="J159" s="2">
        <v>0.35</v>
      </c>
      <c r="K159" s="2">
        <v>0.7</v>
      </c>
      <c r="L159" s="2">
        <v>2.5</v>
      </c>
      <c r="M159" s="2">
        <v>0.26200000000000001</v>
      </c>
      <c r="N159" s="2">
        <v>0.8</v>
      </c>
      <c r="O159" s="2">
        <v>1.8</v>
      </c>
      <c r="P159" s="2">
        <v>0.47599999999999998</v>
      </c>
      <c r="Q159" s="2">
        <v>0.42699999999999999</v>
      </c>
      <c r="R159" s="2">
        <v>0.2</v>
      </c>
      <c r="S159" s="2">
        <v>0.3</v>
      </c>
      <c r="T159" s="2">
        <v>0.5</v>
      </c>
      <c r="U159" s="2">
        <v>0.3</v>
      </c>
      <c r="V159" s="2">
        <v>0.8</v>
      </c>
      <c r="W159" s="2">
        <v>1.1000000000000001</v>
      </c>
      <c r="X159" s="2">
        <v>0.8</v>
      </c>
      <c r="Y159" s="2">
        <v>0.9</v>
      </c>
      <c r="Z159" s="2">
        <v>0.1</v>
      </c>
      <c r="AA159" s="2">
        <v>0.5</v>
      </c>
      <c r="AB159" s="2">
        <v>1.9</v>
      </c>
      <c r="AC159" s="2">
        <v>3.8</v>
      </c>
      <c r="AD159" s="2"/>
    </row>
    <row r="160" spans="1:30" x14ac:dyDescent="0.2">
      <c r="A160" t="s">
        <v>521</v>
      </c>
      <c r="B160" s="2">
        <v>38</v>
      </c>
      <c r="C160" t="s">
        <v>66</v>
      </c>
      <c r="D160" s="2" t="s">
        <v>52</v>
      </c>
      <c r="E160" s="2">
        <v>8</v>
      </c>
      <c r="F160" s="2">
        <v>0</v>
      </c>
      <c r="G160" s="2">
        <v>3.9</v>
      </c>
      <c r="H160" s="2">
        <v>0.3</v>
      </c>
      <c r="I160" s="2">
        <v>0.8</v>
      </c>
      <c r="J160" s="2">
        <v>0.33300000000000002</v>
      </c>
      <c r="K160" s="2">
        <v>0.1</v>
      </c>
      <c r="L160" s="2">
        <v>0.3</v>
      </c>
      <c r="M160" s="2">
        <v>0.5</v>
      </c>
      <c r="N160" s="2">
        <v>0.1</v>
      </c>
      <c r="O160" s="2">
        <v>0.5</v>
      </c>
      <c r="P160" s="2">
        <v>0.25</v>
      </c>
      <c r="Q160" s="2">
        <v>0.41699999999999998</v>
      </c>
      <c r="R160" s="2">
        <v>0</v>
      </c>
      <c r="S160" s="2">
        <v>0</v>
      </c>
      <c r="T160" s="2"/>
      <c r="U160" s="2">
        <v>0.1</v>
      </c>
      <c r="V160" s="2">
        <v>0.4</v>
      </c>
      <c r="W160" s="2">
        <v>0.5</v>
      </c>
      <c r="X160" s="2">
        <v>0.6</v>
      </c>
      <c r="Y160" s="2">
        <v>0.5</v>
      </c>
      <c r="Z160" s="2">
        <v>0.1</v>
      </c>
      <c r="AA160" s="2">
        <v>0.1</v>
      </c>
      <c r="AB160" s="2">
        <v>0.8</v>
      </c>
      <c r="AC160" s="2">
        <v>0.6</v>
      </c>
      <c r="AD160" s="2"/>
    </row>
    <row r="161" spans="1:30" x14ac:dyDescent="0.2">
      <c r="A161" t="s">
        <v>280</v>
      </c>
      <c r="B161" s="2">
        <v>28</v>
      </c>
      <c r="C161" t="s">
        <v>72</v>
      </c>
      <c r="D161" s="2" t="s">
        <v>52</v>
      </c>
      <c r="E161" s="2">
        <v>19</v>
      </c>
      <c r="F161" s="2">
        <v>1</v>
      </c>
      <c r="G161" s="2">
        <v>18.100000000000001</v>
      </c>
      <c r="H161" s="2">
        <v>2.2999999999999998</v>
      </c>
      <c r="I161" s="2">
        <v>5.2</v>
      </c>
      <c r="J161" s="2">
        <v>0.434</v>
      </c>
      <c r="K161" s="2">
        <v>1.9</v>
      </c>
      <c r="L161" s="2">
        <v>4.4000000000000004</v>
      </c>
      <c r="M161" s="2">
        <v>0.44600000000000001</v>
      </c>
      <c r="N161" s="2">
        <v>0.3</v>
      </c>
      <c r="O161" s="2">
        <v>0.8</v>
      </c>
      <c r="P161" s="2">
        <v>0.375</v>
      </c>
      <c r="Q161" s="2">
        <v>0.621</v>
      </c>
      <c r="R161" s="2">
        <v>1.4</v>
      </c>
      <c r="S161" s="2">
        <v>1.6</v>
      </c>
      <c r="T161" s="2">
        <v>0.83899999999999997</v>
      </c>
      <c r="U161" s="2">
        <v>0.2</v>
      </c>
      <c r="V161" s="2">
        <v>0.9</v>
      </c>
      <c r="W161" s="2">
        <v>1.1000000000000001</v>
      </c>
      <c r="X161" s="2">
        <v>1.4</v>
      </c>
      <c r="Y161" s="2">
        <v>0.7</v>
      </c>
      <c r="Z161" s="2">
        <v>0.2</v>
      </c>
      <c r="AA161" s="2">
        <v>0.5</v>
      </c>
      <c r="AB161" s="2">
        <v>1.8</v>
      </c>
      <c r="AC161" s="2">
        <v>7.8</v>
      </c>
      <c r="AD161" s="2"/>
    </row>
    <row r="162" spans="1:30" x14ac:dyDescent="0.2">
      <c r="A162" t="s">
        <v>378</v>
      </c>
      <c r="B162" s="2">
        <v>30</v>
      </c>
      <c r="C162" t="s">
        <v>48</v>
      </c>
      <c r="D162" s="2" t="s">
        <v>52</v>
      </c>
      <c r="E162" s="2">
        <v>17</v>
      </c>
      <c r="F162" s="2">
        <v>2</v>
      </c>
      <c r="G162" s="2">
        <v>16.600000000000001</v>
      </c>
      <c r="H162" s="2">
        <v>1.4</v>
      </c>
      <c r="I162" s="2">
        <v>3.5</v>
      </c>
      <c r="J162" s="2">
        <v>0.4</v>
      </c>
      <c r="K162" s="2">
        <v>1</v>
      </c>
      <c r="L162" s="2">
        <v>2.7</v>
      </c>
      <c r="M162" s="2">
        <v>0.37</v>
      </c>
      <c r="N162" s="2">
        <v>0.4</v>
      </c>
      <c r="O162" s="2">
        <v>0.8</v>
      </c>
      <c r="P162" s="2">
        <v>0.5</v>
      </c>
      <c r="Q162" s="2">
        <v>0.54200000000000004</v>
      </c>
      <c r="R162" s="2">
        <v>0.2</v>
      </c>
      <c r="S162" s="2">
        <v>0.4</v>
      </c>
      <c r="T162" s="2">
        <v>0.66700000000000004</v>
      </c>
      <c r="U162" s="2">
        <v>0.5</v>
      </c>
      <c r="V162" s="2">
        <v>0.8</v>
      </c>
      <c r="W162" s="2">
        <v>1.4</v>
      </c>
      <c r="X162" s="2">
        <v>0.4</v>
      </c>
      <c r="Y162" s="2">
        <v>0.5</v>
      </c>
      <c r="Z162" s="2">
        <v>0.3</v>
      </c>
      <c r="AA162" s="2">
        <v>0.4</v>
      </c>
      <c r="AB162" s="2">
        <v>0.8</v>
      </c>
      <c r="AC162" s="2">
        <v>4.0999999999999996</v>
      </c>
      <c r="AD162" s="2"/>
    </row>
    <row r="163" spans="1:30" x14ac:dyDescent="0.2">
      <c r="A163" t="s">
        <v>321</v>
      </c>
      <c r="B163" s="2">
        <v>32</v>
      </c>
      <c r="C163" t="s">
        <v>100</v>
      </c>
      <c r="D163" s="2" t="s">
        <v>52</v>
      </c>
      <c r="E163" s="2">
        <v>24</v>
      </c>
      <c r="F163" s="2">
        <v>4</v>
      </c>
      <c r="G163" s="2">
        <v>13.5</v>
      </c>
      <c r="H163" s="2">
        <v>2.1</v>
      </c>
      <c r="I163" s="2">
        <v>3.9</v>
      </c>
      <c r="J163" s="2">
        <v>0.54800000000000004</v>
      </c>
      <c r="K163" s="2">
        <v>0.2</v>
      </c>
      <c r="L163" s="2">
        <v>1.1000000000000001</v>
      </c>
      <c r="M163" s="2">
        <v>0.14799999999999999</v>
      </c>
      <c r="N163" s="2">
        <v>2</v>
      </c>
      <c r="O163" s="2">
        <v>2.8</v>
      </c>
      <c r="P163" s="2">
        <v>0.71199999999999997</v>
      </c>
      <c r="Q163" s="2">
        <v>0.56999999999999995</v>
      </c>
      <c r="R163" s="2">
        <v>0.3</v>
      </c>
      <c r="S163" s="2">
        <v>0.5</v>
      </c>
      <c r="T163" s="2">
        <v>0.54500000000000004</v>
      </c>
      <c r="U163" s="2">
        <v>1.2</v>
      </c>
      <c r="V163" s="2">
        <v>1.6</v>
      </c>
      <c r="W163" s="2">
        <v>2.8</v>
      </c>
      <c r="X163" s="2">
        <v>1.2</v>
      </c>
      <c r="Y163" s="2">
        <v>0.8</v>
      </c>
      <c r="Z163" s="2">
        <v>0.4</v>
      </c>
      <c r="AA163" s="2">
        <v>0.6</v>
      </c>
      <c r="AB163" s="2">
        <v>1.4</v>
      </c>
      <c r="AC163" s="2">
        <v>4.7</v>
      </c>
      <c r="AD163" s="2"/>
    </row>
    <row r="164" spans="1:30" x14ac:dyDescent="0.2">
      <c r="A164" t="s">
        <v>228</v>
      </c>
      <c r="B164" s="2">
        <v>26</v>
      </c>
      <c r="C164" t="s">
        <v>35</v>
      </c>
      <c r="D164" s="2" t="s">
        <v>52</v>
      </c>
      <c r="E164" s="2">
        <v>22</v>
      </c>
      <c r="F164" s="2">
        <v>7</v>
      </c>
      <c r="G164" s="2">
        <v>26</v>
      </c>
      <c r="H164" s="2">
        <v>3.1</v>
      </c>
      <c r="I164" s="2">
        <v>7.5</v>
      </c>
      <c r="J164" s="2">
        <v>0.41599999999999998</v>
      </c>
      <c r="K164" s="2">
        <v>2</v>
      </c>
      <c r="L164" s="2">
        <v>5.0999999999999996</v>
      </c>
      <c r="M164" s="2">
        <v>0.40200000000000002</v>
      </c>
      <c r="N164" s="2">
        <v>1.1000000000000001</v>
      </c>
      <c r="O164" s="2">
        <v>2.5</v>
      </c>
      <c r="P164" s="2">
        <v>0.44400000000000001</v>
      </c>
      <c r="Q164" s="2">
        <v>0.55100000000000005</v>
      </c>
      <c r="R164" s="2">
        <v>1</v>
      </c>
      <c r="S164" s="2">
        <v>1</v>
      </c>
      <c r="T164" s="2">
        <v>0.91300000000000003</v>
      </c>
      <c r="U164" s="2">
        <v>0.1</v>
      </c>
      <c r="V164" s="2">
        <v>1.9</v>
      </c>
      <c r="W164" s="2">
        <v>2</v>
      </c>
      <c r="X164" s="2">
        <v>1</v>
      </c>
      <c r="Y164" s="2">
        <v>0.9</v>
      </c>
      <c r="Z164" s="2">
        <v>0</v>
      </c>
      <c r="AA164" s="2">
        <v>0.5</v>
      </c>
      <c r="AB164" s="2">
        <v>2.2999999999999998</v>
      </c>
      <c r="AC164" s="2">
        <v>9.3000000000000007</v>
      </c>
      <c r="AD164" s="2"/>
    </row>
    <row r="165" spans="1:30" x14ac:dyDescent="0.2">
      <c r="A165" t="s">
        <v>221</v>
      </c>
      <c r="B165" s="2">
        <v>31</v>
      </c>
      <c r="C165" t="s">
        <v>57</v>
      </c>
      <c r="D165" s="2" t="s">
        <v>27</v>
      </c>
      <c r="E165" s="2">
        <v>25</v>
      </c>
      <c r="F165" s="2">
        <v>1</v>
      </c>
      <c r="G165" s="2">
        <v>20.6</v>
      </c>
      <c r="H165" s="2">
        <v>3.2</v>
      </c>
      <c r="I165" s="2">
        <v>6.9</v>
      </c>
      <c r="J165" s="2">
        <v>0.46200000000000002</v>
      </c>
      <c r="K165" s="2">
        <v>1.6</v>
      </c>
      <c r="L165" s="2">
        <v>4.5999999999999996</v>
      </c>
      <c r="M165" s="2">
        <v>0.36</v>
      </c>
      <c r="N165" s="2">
        <v>1.6</v>
      </c>
      <c r="O165" s="2">
        <v>2.4</v>
      </c>
      <c r="P165" s="2">
        <v>0.66100000000000003</v>
      </c>
      <c r="Q165" s="2">
        <v>0.58099999999999996</v>
      </c>
      <c r="R165" s="2">
        <v>0.4</v>
      </c>
      <c r="S165" s="2">
        <v>0.5</v>
      </c>
      <c r="T165" s="2">
        <v>0.76900000000000002</v>
      </c>
      <c r="U165" s="2">
        <v>0.6</v>
      </c>
      <c r="V165" s="2">
        <v>3.2</v>
      </c>
      <c r="W165" s="2">
        <v>3.8</v>
      </c>
      <c r="X165" s="2">
        <v>1.2</v>
      </c>
      <c r="Y165" s="2">
        <v>0.4</v>
      </c>
      <c r="Z165" s="2">
        <v>0.2</v>
      </c>
      <c r="AA165" s="2">
        <v>1</v>
      </c>
      <c r="AB165" s="2">
        <v>2.2000000000000002</v>
      </c>
      <c r="AC165" s="2">
        <v>8.4</v>
      </c>
      <c r="AD165" s="2"/>
    </row>
    <row r="166" spans="1:30" x14ac:dyDescent="0.2">
      <c r="A166" t="s">
        <v>34</v>
      </c>
      <c r="B166" s="2">
        <v>30</v>
      </c>
      <c r="C166" t="s">
        <v>35</v>
      </c>
      <c r="D166" s="2" t="s">
        <v>27</v>
      </c>
      <c r="E166" s="2">
        <v>22</v>
      </c>
      <c r="F166" s="2">
        <v>22</v>
      </c>
      <c r="G166" s="2">
        <v>35.1</v>
      </c>
      <c r="H166" s="2">
        <v>12.9</v>
      </c>
      <c r="I166" s="2">
        <v>21.1</v>
      </c>
      <c r="J166" s="2">
        <v>0.61199999999999999</v>
      </c>
      <c r="K166" s="2">
        <v>0.1</v>
      </c>
      <c r="L166" s="2">
        <v>0.8</v>
      </c>
      <c r="M166" s="2">
        <v>0.17599999999999999</v>
      </c>
      <c r="N166" s="2">
        <v>12.8</v>
      </c>
      <c r="O166" s="2">
        <v>20.3</v>
      </c>
      <c r="P166" s="2">
        <v>0.629</v>
      </c>
      <c r="Q166" s="2">
        <v>0.61499999999999999</v>
      </c>
      <c r="R166" s="2">
        <v>6.8</v>
      </c>
      <c r="S166" s="2">
        <v>11.1</v>
      </c>
      <c r="T166" s="2">
        <v>0.61099999999999999</v>
      </c>
      <c r="U166" s="2">
        <v>2</v>
      </c>
      <c r="V166" s="2">
        <v>9.3000000000000007</v>
      </c>
      <c r="W166" s="2">
        <v>11.4</v>
      </c>
      <c r="X166" s="2">
        <v>6</v>
      </c>
      <c r="Y166" s="2">
        <v>0.6</v>
      </c>
      <c r="Z166" s="2">
        <v>1.5</v>
      </c>
      <c r="AA166" s="2">
        <v>3.5</v>
      </c>
      <c r="AB166" s="2">
        <v>2.4</v>
      </c>
      <c r="AC166" s="4">
        <v>32.700000000000003</v>
      </c>
      <c r="AD166" s="2"/>
    </row>
    <row r="167" spans="1:30" x14ac:dyDescent="0.2">
      <c r="A167" t="s">
        <v>235</v>
      </c>
      <c r="B167" s="2">
        <v>25</v>
      </c>
      <c r="C167" t="s">
        <v>48</v>
      </c>
      <c r="D167" s="2" t="s">
        <v>42</v>
      </c>
      <c r="E167" s="2">
        <v>22</v>
      </c>
      <c r="F167" s="2">
        <v>19</v>
      </c>
      <c r="G167" s="2">
        <v>23.5</v>
      </c>
      <c r="H167" s="2">
        <v>3.7</v>
      </c>
      <c r="I167" s="2">
        <v>5.9</v>
      </c>
      <c r="J167" s="2">
        <v>0.63600000000000001</v>
      </c>
      <c r="K167" s="2">
        <v>0</v>
      </c>
      <c r="L167" s="2">
        <v>0.5</v>
      </c>
      <c r="M167" s="2">
        <v>0</v>
      </c>
      <c r="N167" s="2">
        <v>3.7</v>
      </c>
      <c r="O167" s="2">
        <v>5.4</v>
      </c>
      <c r="P167" s="2">
        <v>0.69499999999999995</v>
      </c>
      <c r="Q167" s="2">
        <v>0.63600000000000001</v>
      </c>
      <c r="R167" s="2">
        <v>1.5</v>
      </c>
      <c r="S167" s="2">
        <v>1.9</v>
      </c>
      <c r="T167" s="2">
        <v>0.78</v>
      </c>
      <c r="U167" s="2">
        <v>2.9</v>
      </c>
      <c r="V167" s="2">
        <v>4.7</v>
      </c>
      <c r="W167" s="2">
        <v>7.6</v>
      </c>
      <c r="X167" s="2">
        <v>2</v>
      </c>
      <c r="Y167" s="2">
        <v>0.8</v>
      </c>
      <c r="Z167" s="2">
        <v>1.5</v>
      </c>
      <c r="AA167" s="2">
        <v>1.3</v>
      </c>
      <c r="AB167" s="2">
        <v>2.6</v>
      </c>
      <c r="AC167" s="2">
        <v>8.9</v>
      </c>
      <c r="AD167" s="2"/>
    </row>
    <row r="168" spans="1:30" x14ac:dyDescent="0.2">
      <c r="A168" t="s">
        <v>124</v>
      </c>
      <c r="B168" s="2">
        <v>21</v>
      </c>
      <c r="C168" t="s">
        <v>66</v>
      </c>
      <c r="D168" s="2" t="s">
        <v>52</v>
      </c>
      <c r="E168" s="2">
        <v>21</v>
      </c>
      <c r="F168" s="2">
        <v>21</v>
      </c>
      <c r="G168" s="2">
        <v>32.4</v>
      </c>
      <c r="H168" s="2">
        <v>6</v>
      </c>
      <c r="I168" s="2">
        <v>14.6</v>
      </c>
      <c r="J168" s="2">
        <v>0.41399999999999998</v>
      </c>
      <c r="K168" s="2">
        <v>2.5</v>
      </c>
      <c r="L168" s="2">
        <v>7.4</v>
      </c>
      <c r="M168" s="2">
        <v>0.34200000000000003</v>
      </c>
      <c r="N168" s="2">
        <v>3.5</v>
      </c>
      <c r="O168" s="2">
        <v>7.2</v>
      </c>
      <c r="P168" s="2">
        <v>0.48699999999999999</v>
      </c>
      <c r="Q168" s="2">
        <v>0.5</v>
      </c>
      <c r="R168" s="2">
        <v>3.4</v>
      </c>
      <c r="S168" s="2">
        <v>3.8</v>
      </c>
      <c r="T168" s="2">
        <v>0.9</v>
      </c>
      <c r="U168" s="2">
        <v>0.6</v>
      </c>
      <c r="V168" s="2">
        <v>2.6</v>
      </c>
      <c r="W168" s="2">
        <v>3.2</v>
      </c>
      <c r="X168" s="2">
        <v>2</v>
      </c>
      <c r="Y168" s="2">
        <v>0.9</v>
      </c>
      <c r="Z168" s="2">
        <v>0.2</v>
      </c>
      <c r="AA168" s="2">
        <v>1.6</v>
      </c>
      <c r="AB168" s="2">
        <v>2.1</v>
      </c>
      <c r="AC168" s="2">
        <v>18</v>
      </c>
      <c r="AD168" s="2"/>
    </row>
    <row r="169" spans="1:30" x14ac:dyDescent="0.2">
      <c r="A169" t="s">
        <v>265</v>
      </c>
      <c r="B169" s="2">
        <v>26</v>
      </c>
      <c r="C169" t="s">
        <v>59</v>
      </c>
      <c r="D169" s="2" t="s">
        <v>27</v>
      </c>
      <c r="E169" s="2">
        <v>16</v>
      </c>
      <c r="F169" s="2">
        <v>7</v>
      </c>
      <c r="G169" s="2">
        <v>29.9</v>
      </c>
      <c r="H169" s="2">
        <v>3.4</v>
      </c>
      <c r="I169" s="2">
        <v>7.7</v>
      </c>
      <c r="J169" s="2">
        <v>0.439</v>
      </c>
      <c r="K169" s="2">
        <v>1.7</v>
      </c>
      <c r="L169" s="2">
        <v>4.5999999999999996</v>
      </c>
      <c r="M169" s="2">
        <v>0.36499999999999999</v>
      </c>
      <c r="N169" s="2">
        <v>1.7</v>
      </c>
      <c r="O169" s="2">
        <v>3.1</v>
      </c>
      <c r="P169" s="2">
        <v>0.55100000000000005</v>
      </c>
      <c r="Q169" s="2">
        <v>0.54900000000000004</v>
      </c>
      <c r="R169" s="2">
        <v>1.9</v>
      </c>
      <c r="S169" s="2">
        <v>2.2999999999999998</v>
      </c>
      <c r="T169" s="2">
        <v>0.83799999999999997</v>
      </c>
      <c r="U169" s="2">
        <v>1.1000000000000001</v>
      </c>
      <c r="V169" s="2">
        <v>4</v>
      </c>
      <c r="W169" s="2">
        <v>5.0999999999999996</v>
      </c>
      <c r="X169" s="2">
        <v>2.2999999999999998</v>
      </c>
      <c r="Y169" s="2">
        <v>1.1000000000000001</v>
      </c>
      <c r="Z169" s="2">
        <v>0.8</v>
      </c>
      <c r="AA169" s="2">
        <v>1.8</v>
      </c>
      <c r="AB169" s="2">
        <v>2.9</v>
      </c>
      <c r="AC169" s="2">
        <v>10.4</v>
      </c>
      <c r="AD169" s="2"/>
    </row>
    <row r="170" spans="1:30" x14ac:dyDescent="0.2">
      <c r="A170" t="s">
        <v>223</v>
      </c>
      <c r="B170" s="2">
        <v>29</v>
      </c>
      <c r="C170" t="s">
        <v>54</v>
      </c>
      <c r="D170" s="2" t="s">
        <v>52</v>
      </c>
      <c r="E170" s="2">
        <v>19</v>
      </c>
      <c r="F170" s="2">
        <v>1</v>
      </c>
      <c r="G170" s="2">
        <v>23.8</v>
      </c>
      <c r="H170" s="2">
        <v>3.4</v>
      </c>
      <c r="I170" s="2">
        <v>8</v>
      </c>
      <c r="J170" s="2">
        <v>0.42099999999999999</v>
      </c>
      <c r="K170" s="2">
        <v>2.2999999999999998</v>
      </c>
      <c r="L170" s="2">
        <v>6.1</v>
      </c>
      <c r="M170" s="2">
        <v>0.38300000000000001</v>
      </c>
      <c r="N170" s="2">
        <v>1.1000000000000001</v>
      </c>
      <c r="O170" s="2">
        <v>1.9</v>
      </c>
      <c r="P170" s="2">
        <v>0.54100000000000004</v>
      </c>
      <c r="Q170" s="2">
        <v>0.56599999999999995</v>
      </c>
      <c r="R170" s="2">
        <v>2</v>
      </c>
      <c r="S170" s="2">
        <v>2.4</v>
      </c>
      <c r="T170" s="2">
        <v>0.82599999999999996</v>
      </c>
      <c r="U170" s="2">
        <v>0.5</v>
      </c>
      <c r="V170" s="2">
        <v>2.4</v>
      </c>
      <c r="W170" s="2">
        <v>2.9</v>
      </c>
      <c r="X170" s="2">
        <v>1.9</v>
      </c>
      <c r="Y170" s="2">
        <v>0.7</v>
      </c>
      <c r="Z170" s="2">
        <v>0.3</v>
      </c>
      <c r="AA170" s="2">
        <v>1.2</v>
      </c>
      <c r="AB170" s="2">
        <v>1.4</v>
      </c>
      <c r="AC170" s="2">
        <v>11.1</v>
      </c>
      <c r="AD170" s="2"/>
    </row>
    <row r="171" spans="1:30" x14ac:dyDescent="0.2">
      <c r="A171" t="s">
        <v>216</v>
      </c>
      <c r="B171" s="2">
        <v>29</v>
      </c>
      <c r="C171" t="s">
        <v>122</v>
      </c>
      <c r="D171" s="2" t="s">
        <v>27</v>
      </c>
      <c r="E171" s="2">
        <v>22</v>
      </c>
      <c r="F171" s="2">
        <v>9</v>
      </c>
      <c r="G171" s="2">
        <v>24.5</v>
      </c>
      <c r="H171" s="2">
        <v>3.6</v>
      </c>
      <c r="I171" s="2">
        <v>7.4</v>
      </c>
      <c r="J171" s="2">
        <v>0.49099999999999999</v>
      </c>
      <c r="K171" s="2">
        <v>1.5</v>
      </c>
      <c r="L171" s="2">
        <v>3.9</v>
      </c>
      <c r="M171" s="2">
        <v>0.39500000000000002</v>
      </c>
      <c r="N171" s="2">
        <v>2.1</v>
      </c>
      <c r="O171" s="2">
        <v>3.5</v>
      </c>
      <c r="P171" s="2">
        <v>0.59699999999999998</v>
      </c>
      <c r="Q171" s="2">
        <v>0.59499999999999997</v>
      </c>
      <c r="R171" s="2">
        <v>1</v>
      </c>
      <c r="S171" s="2">
        <v>1.8</v>
      </c>
      <c r="T171" s="2">
        <v>0.57499999999999996</v>
      </c>
      <c r="U171" s="2">
        <v>1.8</v>
      </c>
      <c r="V171" s="2">
        <v>3.8</v>
      </c>
      <c r="W171" s="2">
        <v>5.6</v>
      </c>
      <c r="X171" s="2">
        <v>2</v>
      </c>
      <c r="Y171" s="2">
        <v>0.7</v>
      </c>
      <c r="Z171" s="2">
        <v>0.5</v>
      </c>
      <c r="AA171" s="2">
        <v>1.3</v>
      </c>
      <c r="AB171" s="2">
        <v>2.7</v>
      </c>
      <c r="AC171" s="2">
        <v>9.9</v>
      </c>
      <c r="AD171" s="2"/>
    </row>
    <row r="172" spans="1:30" x14ac:dyDescent="0.2">
      <c r="A172" t="s">
        <v>512</v>
      </c>
      <c r="B172" s="2">
        <v>22</v>
      </c>
      <c r="C172" t="s">
        <v>100</v>
      </c>
      <c r="D172" s="2" t="s">
        <v>27</v>
      </c>
      <c r="E172" s="2">
        <v>6</v>
      </c>
      <c r="F172" s="2">
        <v>0</v>
      </c>
      <c r="G172" s="2">
        <v>3.7</v>
      </c>
      <c r="H172" s="2">
        <v>0.3</v>
      </c>
      <c r="I172" s="2">
        <v>0.8</v>
      </c>
      <c r="J172" s="2">
        <v>0.4</v>
      </c>
      <c r="K172" s="2">
        <v>0.2</v>
      </c>
      <c r="L172" s="2">
        <v>0.5</v>
      </c>
      <c r="M172" s="2">
        <v>0.33300000000000002</v>
      </c>
      <c r="N172" s="2">
        <v>0.2</v>
      </c>
      <c r="O172" s="2">
        <v>0.3</v>
      </c>
      <c r="P172" s="2">
        <v>0.5</v>
      </c>
      <c r="Q172" s="2">
        <v>0.5</v>
      </c>
      <c r="R172" s="2">
        <v>0.2</v>
      </c>
      <c r="S172" s="2">
        <v>0.3</v>
      </c>
      <c r="T172" s="2">
        <v>0.5</v>
      </c>
      <c r="U172" s="2">
        <v>0.2</v>
      </c>
      <c r="V172" s="2">
        <v>0.8</v>
      </c>
      <c r="W172" s="2">
        <v>1</v>
      </c>
      <c r="X172" s="2">
        <v>0.3</v>
      </c>
      <c r="Y172" s="2">
        <v>0</v>
      </c>
      <c r="Z172" s="2">
        <v>0</v>
      </c>
      <c r="AA172" s="2">
        <v>0.3</v>
      </c>
      <c r="AB172" s="2">
        <v>0.5</v>
      </c>
      <c r="AC172" s="2">
        <v>1</v>
      </c>
      <c r="AD172" s="2"/>
    </row>
    <row r="173" spans="1:30" x14ac:dyDescent="0.2">
      <c r="A173" t="s">
        <v>186</v>
      </c>
      <c r="B173" s="2">
        <v>32</v>
      </c>
      <c r="C173" t="s">
        <v>93</v>
      </c>
      <c r="D173" s="2" t="s">
        <v>27</v>
      </c>
      <c r="E173" s="2">
        <v>24</v>
      </c>
      <c r="F173" s="2">
        <v>24</v>
      </c>
      <c r="G173" s="2">
        <v>28.7</v>
      </c>
      <c r="H173" s="2">
        <v>3.6</v>
      </c>
      <c r="I173" s="2">
        <v>7.4</v>
      </c>
      <c r="J173" s="2">
        <v>0.48599999999999999</v>
      </c>
      <c r="K173" s="2">
        <v>1.4</v>
      </c>
      <c r="L173" s="2">
        <v>3.3</v>
      </c>
      <c r="M173" s="2">
        <v>0.43</v>
      </c>
      <c r="N173" s="2">
        <v>2.2000000000000002</v>
      </c>
      <c r="O173" s="2">
        <v>4.0999999999999996</v>
      </c>
      <c r="P173" s="2">
        <v>0.53100000000000003</v>
      </c>
      <c r="Q173" s="2">
        <v>0.58199999999999996</v>
      </c>
      <c r="R173" s="2">
        <v>2.4</v>
      </c>
      <c r="S173" s="2">
        <v>3</v>
      </c>
      <c r="T173" s="2">
        <v>0.81699999999999995</v>
      </c>
      <c r="U173" s="2">
        <v>1.6</v>
      </c>
      <c r="V173" s="2">
        <v>2.7</v>
      </c>
      <c r="W173" s="2">
        <v>4.3</v>
      </c>
      <c r="X173" s="2">
        <v>1.7</v>
      </c>
      <c r="Y173" s="2">
        <v>0.3</v>
      </c>
      <c r="Z173" s="2">
        <v>0.2</v>
      </c>
      <c r="AA173" s="2">
        <v>0.8</v>
      </c>
      <c r="AB173" s="2">
        <v>0.8</v>
      </c>
      <c r="AC173" s="2">
        <v>11</v>
      </c>
      <c r="AD173" s="2"/>
    </row>
    <row r="174" spans="1:30" x14ac:dyDescent="0.2">
      <c r="A174" t="s">
        <v>559</v>
      </c>
      <c r="B174" s="2">
        <v>22</v>
      </c>
      <c r="C174" t="s">
        <v>93</v>
      </c>
      <c r="D174" s="2" t="s">
        <v>49</v>
      </c>
      <c r="E174" s="2">
        <v>1</v>
      </c>
      <c r="F174" s="2">
        <v>0</v>
      </c>
      <c r="G174" s="2">
        <v>7</v>
      </c>
      <c r="H174" s="2">
        <v>0</v>
      </c>
      <c r="I174" s="2">
        <v>1</v>
      </c>
      <c r="J174" s="2">
        <v>0</v>
      </c>
      <c r="K174" s="2">
        <v>0</v>
      </c>
      <c r="L174" s="2">
        <v>0</v>
      </c>
      <c r="M174" s="2"/>
      <c r="N174" s="2">
        <v>0</v>
      </c>
      <c r="O174" s="2">
        <v>1</v>
      </c>
      <c r="P174" s="2">
        <v>0</v>
      </c>
      <c r="Q174" s="2">
        <v>0</v>
      </c>
      <c r="R174" s="2">
        <v>0</v>
      </c>
      <c r="S174" s="2">
        <v>0</v>
      </c>
      <c r="T174" s="2"/>
      <c r="U174" s="2">
        <v>0</v>
      </c>
      <c r="V174" s="2">
        <v>1</v>
      </c>
      <c r="W174" s="2">
        <v>1</v>
      </c>
      <c r="X174" s="2">
        <v>0</v>
      </c>
      <c r="Y174" s="2">
        <v>0</v>
      </c>
      <c r="Z174" s="2">
        <v>0</v>
      </c>
      <c r="AA174" s="2">
        <v>0</v>
      </c>
      <c r="AB174" s="2">
        <v>1</v>
      </c>
      <c r="AC174" s="2">
        <v>0</v>
      </c>
      <c r="AD174" s="2"/>
    </row>
    <row r="175" spans="1:30" x14ac:dyDescent="0.2">
      <c r="A175" t="s">
        <v>275</v>
      </c>
      <c r="B175" s="2">
        <v>28</v>
      </c>
      <c r="C175" t="s">
        <v>61</v>
      </c>
      <c r="D175" s="2" t="s">
        <v>49</v>
      </c>
      <c r="E175" s="2">
        <v>21</v>
      </c>
      <c r="F175" s="2">
        <v>15</v>
      </c>
      <c r="G175" s="2">
        <v>25.1</v>
      </c>
      <c r="H175" s="2">
        <v>2.7</v>
      </c>
      <c r="I175" s="2">
        <v>5.6</v>
      </c>
      <c r="J175" s="2">
        <v>0.47499999999999998</v>
      </c>
      <c r="K175" s="2">
        <v>1.3</v>
      </c>
      <c r="L175" s="2">
        <v>3.1</v>
      </c>
      <c r="M175" s="2">
        <v>0.42399999999999999</v>
      </c>
      <c r="N175" s="2">
        <v>1.3</v>
      </c>
      <c r="O175" s="2">
        <v>2.5</v>
      </c>
      <c r="P175" s="2">
        <v>0.53800000000000003</v>
      </c>
      <c r="Q175" s="2">
        <v>0.59299999999999997</v>
      </c>
      <c r="R175" s="2">
        <v>0.6</v>
      </c>
      <c r="S175" s="2">
        <v>0.9</v>
      </c>
      <c r="T175" s="2">
        <v>0.68400000000000005</v>
      </c>
      <c r="U175" s="2">
        <v>0.8</v>
      </c>
      <c r="V175" s="2">
        <v>2.2000000000000002</v>
      </c>
      <c r="W175" s="2">
        <v>3</v>
      </c>
      <c r="X175" s="2">
        <v>1.1000000000000001</v>
      </c>
      <c r="Y175" s="2">
        <v>1.1000000000000001</v>
      </c>
      <c r="Z175" s="2">
        <v>0.8</v>
      </c>
      <c r="AA175" s="2">
        <v>0.7</v>
      </c>
      <c r="AB175" s="2">
        <v>2.1</v>
      </c>
      <c r="AC175" s="2">
        <v>7.3</v>
      </c>
      <c r="AD175" s="2"/>
    </row>
    <row r="176" spans="1:30" x14ac:dyDescent="0.2">
      <c r="A176" t="s">
        <v>363</v>
      </c>
      <c r="B176" s="2">
        <v>26</v>
      </c>
      <c r="C176" t="s">
        <v>117</v>
      </c>
      <c r="D176" s="2" t="s">
        <v>49</v>
      </c>
      <c r="E176" s="2">
        <v>8</v>
      </c>
      <c r="F176" s="2">
        <v>8</v>
      </c>
      <c r="G176" s="2">
        <v>31.9</v>
      </c>
      <c r="H176" s="2">
        <v>4</v>
      </c>
      <c r="I176" s="2">
        <v>8.3000000000000007</v>
      </c>
      <c r="J176" s="2">
        <v>0.48499999999999999</v>
      </c>
      <c r="K176" s="2">
        <v>1</v>
      </c>
      <c r="L176" s="2">
        <v>3.5</v>
      </c>
      <c r="M176" s="2">
        <v>0.28599999999999998</v>
      </c>
      <c r="N176" s="2">
        <v>3</v>
      </c>
      <c r="O176" s="2">
        <v>4.8</v>
      </c>
      <c r="P176" s="2">
        <v>0.63200000000000001</v>
      </c>
      <c r="Q176" s="2">
        <v>0.54500000000000004</v>
      </c>
      <c r="R176" s="2">
        <v>1.3</v>
      </c>
      <c r="S176" s="2">
        <v>1.9</v>
      </c>
      <c r="T176" s="2">
        <v>0.66700000000000004</v>
      </c>
      <c r="U176" s="2">
        <v>0.9</v>
      </c>
      <c r="V176" s="2">
        <v>3</v>
      </c>
      <c r="W176" s="2">
        <v>3.9</v>
      </c>
      <c r="X176" s="2">
        <v>2.2999999999999998</v>
      </c>
      <c r="Y176" s="2">
        <v>1.8</v>
      </c>
      <c r="Z176" s="2">
        <v>0.5</v>
      </c>
      <c r="AA176" s="2">
        <v>1.8</v>
      </c>
      <c r="AB176" s="2">
        <v>2.9</v>
      </c>
      <c r="AC176" s="2">
        <v>10.3</v>
      </c>
      <c r="AD176" s="2"/>
    </row>
    <row r="177" spans="1:30" x14ac:dyDescent="0.2">
      <c r="A177" t="s">
        <v>424</v>
      </c>
      <c r="B177" s="2">
        <v>24</v>
      </c>
      <c r="C177" t="s">
        <v>46</v>
      </c>
      <c r="D177" s="2" t="s">
        <v>27</v>
      </c>
      <c r="E177" s="2">
        <v>14</v>
      </c>
      <c r="F177" s="2">
        <v>0</v>
      </c>
      <c r="G177" s="2">
        <v>9.1999999999999993</v>
      </c>
      <c r="H177" s="2">
        <v>0.9</v>
      </c>
      <c r="I177" s="2">
        <v>1.9</v>
      </c>
      <c r="J177" s="2">
        <v>0.44400000000000001</v>
      </c>
      <c r="K177" s="2">
        <v>0.3</v>
      </c>
      <c r="L177" s="2">
        <v>1.1000000000000001</v>
      </c>
      <c r="M177" s="2">
        <v>0.25</v>
      </c>
      <c r="N177" s="2">
        <v>0.6</v>
      </c>
      <c r="O177" s="2">
        <v>0.8</v>
      </c>
      <c r="P177" s="2">
        <v>0.72699999999999998</v>
      </c>
      <c r="Q177" s="2">
        <v>0.51900000000000002</v>
      </c>
      <c r="R177" s="2">
        <v>0.6</v>
      </c>
      <c r="S177" s="2">
        <v>0.6</v>
      </c>
      <c r="T177" s="2">
        <v>0.88900000000000001</v>
      </c>
      <c r="U177" s="2">
        <v>0.4</v>
      </c>
      <c r="V177" s="2">
        <v>1.4</v>
      </c>
      <c r="W177" s="2">
        <v>1.8</v>
      </c>
      <c r="X177" s="2">
        <v>0.5</v>
      </c>
      <c r="Y177" s="2">
        <v>0.1</v>
      </c>
      <c r="Z177" s="2">
        <v>0.2</v>
      </c>
      <c r="AA177" s="2">
        <v>0.4</v>
      </c>
      <c r="AB177" s="2">
        <v>1.1000000000000001</v>
      </c>
      <c r="AC177" s="2">
        <v>2.6</v>
      </c>
      <c r="AD177" s="2"/>
    </row>
    <row r="178" spans="1:30" x14ac:dyDescent="0.2">
      <c r="A178" t="s">
        <v>413</v>
      </c>
      <c r="B178" s="2">
        <v>25</v>
      </c>
      <c r="C178" t="s">
        <v>66</v>
      </c>
      <c r="D178" s="2" t="s">
        <v>33</v>
      </c>
      <c r="E178" s="2">
        <v>3</v>
      </c>
      <c r="F178" s="2">
        <v>3</v>
      </c>
      <c r="G178" s="2">
        <v>22.7</v>
      </c>
      <c r="H178" s="2">
        <v>5.3</v>
      </c>
      <c r="I178" s="2">
        <v>14</v>
      </c>
      <c r="J178" s="2">
        <v>0.38100000000000001</v>
      </c>
      <c r="K178" s="2">
        <v>2</v>
      </c>
      <c r="L178" s="2">
        <v>5.3</v>
      </c>
      <c r="M178" s="2">
        <v>0.375</v>
      </c>
      <c r="N178" s="2">
        <v>3.3</v>
      </c>
      <c r="O178" s="2">
        <v>8.6999999999999993</v>
      </c>
      <c r="P178" s="2">
        <v>0.38500000000000001</v>
      </c>
      <c r="Q178" s="2">
        <v>0.45200000000000001</v>
      </c>
      <c r="R178" s="2">
        <v>2.7</v>
      </c>
      <c r="S178" s="2">
        <v>3</v>
      </c>
      <c r="T178" s="2">
        <v>0.88900000000000001</v>
      </c>
      <c r="U178" s="2">
        <v>0.3</v>
      </c>
      <c r="V178" s="2">
        <v>1.7</v>
      </c>
      <c r="W178" s="2">
        <v>2</v>
      </c>
      <c r="X178" s="2">
        <v>4</v>
      </c>
      <c r="Y178" s="2">
        <v>0.7</v>
      </c>
      <c r="Z178" s="2">
        <v>0</v>
      </c>
      <c r="AA178" s="2">
        <v>1.3</v>
      </c>
      <c r="AB178" s="2">
        <v>2.2999999999999998</v>
      </c>
      <c r="AC178" s="2">
        <v>15.3</v>
      </c>
      <c r="AD178" s="2"/>
    </row>
    <row r="179" spans="1:30" x14ac:dyDescent="0.2">
      <c r="A179" t="s">
        <v>385</v>
      </c>
      <c r="B179" s="2">
        <v>24</v>
      </c>
      <c r="C179" t="s">
        <v>37</v>
      </c>
      <c r="D179" s="2" t="s">
        <v>27</v>
      </c>
      <c r="E179" s="2">
        <v>15</v>
      </c>
      <c r="F179" s="2">
        <v>0</v>
      </c>
      <c r="G179" s="2">
        <v>9.5</v>
      </c>
      <c r="H179" s="2">
        <v>1.9</v>
      </c>
      <c r="I179" s="2">
        <v>2.9</v>
      </c>
      <c r="J179" s="2">
        <v>0.65100000000000002</v>
      </c>
      <c r="K179" s="2">
        <v>0.1</v>
      </c>
      <c r="L179" s="2">
        <v>0.3</v>
      </c>
      <c r="M179" s="2">
        <v>0.25</v>
      </c>
      <c r="N179" s="2">
        <v>1.8</v>
      </c>
      <c r="O179" s="2">
        <v>2.6</v>
      </c>
      <c r="P179" s="2">
        <v>0.69199999999999995</v>
      </c>
      <c r="Q179" s="2">
        <v>0.66300000000000003</v>
      </c>
      <c r="R179" s="2">
        <v>0.5</v>
      </c>
      <c r="S179" s="2">
        <v>1</v>
      </c>
      <c r="T179" s="2">
        <v>0.46700000000000003</v>
      </c>
      <c r="U179" s="2">
        <v>0.5</v>
      </c>
      <c r="V179" s="2">
        <v>1</v>
      </c>
      <c r="W179" s="2">
        <v>1.5</v>
      </c>
      <c r="X179" s="2">
        <v>0.1</v>
      </c>
      <c r="Y179" s="2">
        <v>0.1</v>
      </c>
      <c r="Z179" s="2">
        <v>0.4</v>
      </c>
      <c r="AA179" s="2">
        <v>0.6</v>
      </c>
      <c r="AB179" s="2">
        <v>1.4</v>
      </c>
      <c r="AC179" s="2">
        <v>4.3</v>
      </c>
      <c r="AD179" s="2"/>
    </row>
    <row r="180" spans="1:30" x14ac:dyDescent="0.2">
      <c r="A180" t="s">
        <v>307</v>
      </c>
      <c r="B180" s="2">
        <v>24</v>
      </c>
      <c r="C180" t="s">
        <v>57</v>
      </c>
      <c r="D180" s="2" t="s">
        <v>52</v>
      </c>
      <c r="E180" s="2">
        <v>21</v>
      </c>
      <c r="F180" s="2">
        <v>14</v>
      </c>
      <c r="G180" s="2">
        <v>20.9</v>
      </c>
      <c r="H180" s="2">
        <v>2.1</v>
      </c>
      <c r="I180" s="2">
        <v>4.5</v>
      </c>
      <c r="J180" s="2">
        <v>0.47899999999999998</v>
      </c>
      <c r="K180" s="2">
        <v>1.2</v>
      </c>
      <c r="L180" s="2">
        <v>2.6</v>
      </c>
      <c r="M180" s="2">
        <v>0.46300000000000002</v>
      </c>
      <c r="N180" s="2">
        <v>1</v>
      </c>
      <c r="O180" s="2">
        <v>1.9</v>
      </c>
      <c r="P180" s="2">
        <v>0.5</v>
      </c>
      <c r="Q180" s="2">
        <v>0.61199999999999999</v>
      </c>
      <c r="R180" s="2">
        <v>0.5</v>
      </c>
      <c r="S180" s="2">
        <v>0.8</v>
      </c>
      <c r="T180" s="2">
        <v>0.64700000000000002</v>
      </c>
      <c r="U180" s="2">
        <v>0.9</v>
      </c>
      <c r="V180" s="2">
        <v>1.4</v>
      </c>
      <c r="W180" s="2">
        <v>2.2999999999999998</v>
      </c>
      <c r="X180" s="2">
        <v>1.8</v>
      </c>
      <c r="Y180" s="2">
        <v>0.7</v>
      </c>
      <c r="Z180" s="2">
        <v>0.4</v>
      </c>
      <c r="AA180" s="2">
        <v>0.3</v>
      </c>
      <c r="AB180" s="2">
        <v>2</v>
      </c>
      <c r="AC180" s="2">
        <v>6</v>
      </c>
      <c r="AD180" s="2"/>
    </row>
    <row r="181" spans="1:30" x14ac:dyDescent="0.2">
      <c r="A181" t="s">
        <v>394</v>
      </c>
      <c r="B181" s="2">
        <v>20</v>
      </c>
      <c r="C181" t="s">
        <v>120</v>
      </c>
      <c r="D181" s="2" t="s">
        <v>33</v>
      </c>
      <c r="E181" s="2">
        <v>16</v>
      </c>
      <c r="F181" s="2">
        <v>1</v>
      </c>
      <c r="G181" s="2">
        <v>17.399999999999999</v>
      </c>
      <c r="H181" s="2">
        <v>1.4</v>
      </c>
      <c r="I181" s="2">
        <v>4.4000000000000004</v>
      </c>
      <c r="J181" s="2">
        <v>0.31</v>
      </c>
      <c r="K181" s="2">
        <v>0.3</v>
      </c>
      <c r="L181" s="2">
        <v>1.7</v>
      </c>
      <c r="M181" s="2">
        <v>0.14799999999999999</v>
      </c>
      <c r="N181" s="2">
        <v>1.1000000000000001</v>
      </c>
      <c r="O181" s="2">
        <v>2.8</v>
      </c>
      <c r="P181" s="2">
        <v>0.40899999999999997</v>
      </c>
      <c r="Q181" s="2">
        <v>0.33800000000000002</v>
      </c>
      <c r="R181" s="2">
        <v>0.5</v>
      </c>
      <c r="S181" s="2">
        <v>1.1000000000000001</v>
      </c>
      <c r="T181" s="2">
        <v>0.44400000000000001</v>
      </c>
      <c r="U181" s="2">
        <v>0.1</v>
      </c>
      <c r="V181" s="2">
        <v>1.6</v>
      </c>
      <c r="W181" s="2">
        <v>1.7</v>
      </c>
      <c r="X181" s="2">
        <v>3.3</v>
      </c>
      <c r="Y181" s="2">
        <v>0.9</v>
      </c>
      <c r="Z181" s="2">
        <v>0.1</v>
      </c>
      <c r="AA181" s="2">
        <v>2.4</v>
      </c>
      <c r="AB181" s="2">
        <v>1.8</v>
      </c>
      <c r="AC181" s="2">
        <v>3.5</v>
      </c>
      <c r="AD181" s="2"/>
    </row>
    <row r="182" spans="1:30" x14ac:dyDescent="0.2">
      <c r="A182" t="s">
        <v>555</v>
      </c>
      <c r="B182" s="2">
        <v>23</v>
      </c>
      <c r="C182" t="s">
        <v>37</v>
      </c>
      <c r="D182" s="2" t="s">
        <v>49</v>
      </c>
      <c r="E182" s="2">
        <v>1</v>
      </c>
      <c r="F182" s="2">
        <v>0</v>
      </c>
      <c r="G182" s="2">
        <v>5</v>
      </c>
      <c r="H182" s="2">
        <v>0</v>
      </c>
      <c r="I182" s="2">
        <v>0</v>
      </c>
      <c r="J182" s="2"/>
      <c r="K182" s="2">
        <v>0</v>
      </c>
      <c r="L182" s="2">
        <v>0</v>
      </c>
      <c r="M182" s="2"/>
      <c r="N182" s="2">
        <v>0</v>
      </c>
      <c r="O182" s="2">
        <v>0</v>
      </c>
      <c r="P182" s="2"/>
      <c r="Q182" s="2"/>
      <c r="R182" s="2">
        <v>0</v>
      </c>
      <c r="S182" s="2">
        <v>0</v>
      </c>
      <c r="T182" s="2"/>
      <c r="U182" s="2">
        <v>0</v>
      </c>
      <c r="V182" s="2">
        <v>1</v>
      </c>
      <c r="W182" s="2">
        <v>1</v>
      </c>
      <c r="X182" s="2">
        <v>0</v>
      </c>
      <c r="Y182" s="2">
        <v>0</v>
      </c>
      <c r="Z182" s="2">
        <v>0</v>
      </c>
      <c r="AA182" s="2">
        <v>0</v>
      </c>
      <c r="AB182" s="2">
        <v>1</v>
      </c>
      <c r="AC182" s="2">
        <v>0</v>
      </c>
      <c r="AD182" s="2"/>
    </row>
    <row r="183" spans="1:30" x14ac:dyDescent="0.2">
      <c r="A183" t="s">
        <v>332</v>
      </c>
      <c r="B183" s="2">
        <v>26</v>
      </c>
      <c r="C183" t="s">
        <v>32</v>
      </c>
      <c r="D183" s="2" t="s">
        <v>42</v>
      </c>
      <c r="E183" s="2">
        <v>9</v>
      </c>
      <c r="F183" s="2">
        <v>8</v>
      </c>
      <c r="G183" s="2">
        <v>29.7</v>
      </c>
      <c r="H183" s="2">
        <v>5.0999999999999996</v>
      </c>
      <c r="I183" s="2">
        <v>9.1999999999999993</v>
      </c>
      <c r="J183" s="2">
        <v>0.55400000000000005</v>
      </c>
      <c r="K183" s="2">
        <v>0</v>
      </c>
      <c r="L183" s="2">
        <v>0.4</v>
      </c>
      <c r="M183" s="2">
        <v>0</v>
      </c>
      <c r="N183" s="2">
        <v>5.0999999999999996</v>
      </c>
      <c r="O183" s="2">
        <v>8.8000000000000007</v>
      </c>
      <c r="P183" s="2">
        <v>0.58199999999999996</v>
      </c>
      <c r="Q183" s="2">
        <v>0.55400000000000005</v>
      </c>
      <c r="R183" s="2">
        <v>1.3</v>
      </c>
      <c r="S183" s="2">
        <v>2.2999999999999998</v>
      </c>
      <c r="T183" s="2">
        <v>0.57099999999999995</v>
      </c>
      <c r="U183" s="2">
        <v>3.3</v>
      </c>
      <c r="V183" s="2">
        <v>9.4</v>
      </c>
      <c r="W183" s="2">
        <v>12.8</v>
      </c>
      <c r="X183" s="2">
        <v>4.3</v>
      </c>
      <c r="Y183" s="2">
        <v>0.8</v>
      </c>
      <c r="Z183" s="2">
        <v>1.2</v>
      </c>
      <c r="AA183" s="2">
        <v>2.1</v>
      </c>
      <c r="AB183" s="2">
        <v>3.3</v>
      </c>
      <c r="AC183" s="2">
        <v>11.6</v>
      </c>
      <c r="AD183" s="2"/>
    </row>
    <row r="184" spans="1:30" x14ac:dyDescent="0.2">
      <c r="A184" t="s">
        <v>425</v>
      </c>
      <c r="B184" s="2">
        <v>23</v>
      </c>
      <c r="C184" t="s">
        <v>82</v>
      </c>
      <c r="D184" s="2" t="s">
        <v>42</v>
      </c>
      <c r="E184" s="2">
        <v>5</v>
      </c>
      <c r="F184" s="2">
        <v>1</v>
      </c>
      <c r="G184" s="2">
        <v>16.8</v>
      </c>
      <c r="H184" s="2">
        <v>2.8</v>
      </c>
      <c r="I184" s="2">
        <v>4.5999999999999996</v>
      </c>
      <c r="J184" s="2">
        <v>0.60899999999999999</v>
      </c>
      <c r="K184" s="2">
        <v>0</v>
      </c>
      <c r="L184" s="2">
        <v>0</v>
      </c>
      <c r="M184" s="2"/>
      <c r="N184" s="2">
        <v>2.8</v>
      </c>
      <c r="O184" s="2">
        <v>4.5999999999999996</v>
      </c>
      <c r="P184" s="2">
        <v>0.60899999999999999</v>
      </c>
      <c r="Q184" s="2">
        <v>0.60899999999999999</v>
      </c>
      <c r="R184" s="2">
        <v>1.4</v>
      </c>
      <c r="S184" s="2">
        <v>2.8</v>
      </c>
      <c r="T184" s="2">
        <v>0.5</v>
      </c>
      <c r="U184" s="2">
        <v>2.2000000000000002</v>
      </c>
      <c r="V184" s="2">
        <v>3.4</v>
      </c>
      <c r="W184" s="2">
        <v>5.6</v>
      </c>
      <c r="X184" s="2">
        <v>1</v>
      </c>
      <c r="Y184" s="2">
        <v>0.6</v>
      </c>
      <c r="Z184" s="2">
        <v>1.6</v>
      </c>
      <c r="AA184" s="2">
        <v>1</v>
      </c>
      <c r="AB184" s="2">
        <v>2.8</v>
      </c>
      <c r="AC184" s="2">
        <v>7</v>
      </c>
      <c r="AD184" s="2"/>
    </row>
    <row r="185" spans="1:30" x14ac:dyDescent="0.2">
      <c r="A185" t="s">
        <v>232</v>
      </c>
      <c r="B185" s="2">
        <v>25</v>
      </c>
      <c r="C185" t="s">
        <v>32</v>
      </c>
      <c r="D185" s="2" t="s">
        <v>52</v>
      </c>
      <c r="E185" s="2">
        <v>22</v>
      </c>
      <c r="F185" s="2">
        <v>9</v>
      </c>
      <c r="G185" s="2">
        <v>21.5</v>
      </c>
      <c r="H185" s="2">
        <v>3.2</v>
      </c>
      <c r="I185" s="2">
        <v>7.7</v>
      </c>
      <c r="J185" s="2">
        <v>0.41199999999999998</v>
      </c>
      <c r="K185" s="2">
        <v>2.4</v>
      </c>
      <c r="L185" s="2">
        <v>6.2</v>
      </c>
      <c r="M185" s="2">
        <v>0.38200000000000001</v>
      </c>
      <c r="N185" s="2">
        <v>0.8</v>
      </c>
      <c r="O185" s="2">
        <v>1.5</v>
      </c>
      <c r="P185" s="2">
        <v>0.52900000000000003</v>
      </c>
      <c r="Q185" s="2">
        <v>0.56499999999999995</v>
      </c>
      <c r="R185" s="2">
        <v>0.3</v>
      </c>
      <c r="S185" s="2">
        <v>0.5</v>
      </c>
      <c r="T185" s="2">
        <v>0.7</v>
      </c>
      <c r="U185" s="2">
        <v>0.5</v>
      </c>
      <c r="V185" s="2">
        <v>2.2000000000000002</v>
      </c>
      <c r="W185" s="2">
        <v>2.8</v>
      </c>
      <c r="X185" s="2">
        <v>1.7</v>
      </c>
      <c r="Y185" s="2">
        <v>0.7</v>
      </c>
      <c r="Z185" s="2">
        <v>0.2</v>
      </c>
      <c r="AA185" s="2">
        <v>0.5</v>
      </c>
      <c r="AB185" s="2">
        <v>1.8</v>
      </c>
      <c r="AC185" s="2">
        <v>9</v>
      </c>
      <c r="AD185" s="2"/>
    </row>
    <row r="186" spans="1:30" x14ac:dyDescent="0.2">
      <c r="A186" t="s">
        <v>272</v>
      </c>
      <c r="B186" s="2">
        <v>23</v>
      </c>
      <c r="C186" t="s">
        <v>75</v>
      </c>
      <c r="D186" s="2" t="s">
        <v>42</v>
      </c>
      <c r="E186" s="2">
        <v>26</v>
      </c>
      <c r="F186" s="2">
        <v>3</v>
      </c>
      <c r="G186" s="2">
        <v>22</v>
      </c>
      <c r="H186" s="2">
        <v>2.4</v>
      </c>
      <c r="I186" s="2">
        <v>4.3</v>
      </c>
      <c r="J186" s="2">
        <v>0.55400000000000005</v>
      </c>
      <c r="K186" s="2">
        <v>0.2</v>
      </c>
      <c r="L186" s="2">
        <v>0.8</v>
      </c>
      <c r="M186" s="2">
        <v>0.25</v>
      </c>
      <c r="N186" s="2">
        <v>2.2000000000000002</v>
      </c>
      <c r="O186" s="2">
        <v>3.5</v>
      </c>
      <c r="P186" s="2">
        <v>0.62</v>
      </c>
      <c r="Q186" s="2">
        <v>0.57599999999999996</v>
      </c>
      <c r="R186" s="2">
        <v>1.1000000000000001</v>
      </c>
      <c r="S186" s="2">
        <v>1.3</v>
      </c>
      <c r="T186" s="2">
        <v>0.879</v>
      </c>
      <c r="U186" s="2">
        <v>2.2999999999999998</v>
      </c>
      <c r="V186" s="2">
        <v>3.8</v>
      </c>
      <c r="W186" s="2">
        <v>6.1</v>
      </c>
      <c r="X186" s="2">
        <v>1.8</v>
      </c>
      <c r="Y186" s="2">
        <v>0.5</v>
      </c>
      <c r="Z186" s="2">
        <v>1.3</v>
      </c>
      <c r="AA186" s="2">
        <v>1.1000000000000001</v>
      </c>
      <c r="AB186" s="2">
        <v>2.8</v>
      </c>
      <c r="AC186" s="2">
        <v>6.1</v>
      </c>
      <c r="AD186" s="2"/>
    </row>
    <row r="187" spans="1:30" x14ac:dyDescent="0.2">
      <c r="A187" t="s">
        <v>478</v>
      </c>
      <c r="B187" s="2">
        <v>24</v>
      </c>
      <c r="C187" t="s">
        <v>59</v>
      </c>
      <c r="D187" s="2" t="s">
        <v>52</v>
      </c>
      <c r="E187" s="2">
        <v>2</v>
      </c>
      <c r="F187" s="2">
        <v>0</v>
      </c>
      <c r="G187" s="2">
        <v>14.5</v>
      </c>
      <c r="H187" s="2">
        <v>2.5</v>
      </c>
      <c r="I187" s="2">
        <v>5.5</v>
      </c>
      <c r="J187" s="2">
        <v>0.45500000000000002</v>
      </c>
      <c r="K187" s="2">
        <v>0.5</v>
      </c>
      <c r="L187" s="2">
        <v>1</v>
      </c>
      <c r="M187" s="2">
        <v>0.5</v>
      </c>
      <c r="N187" s="2">
        <v>2</v>
      </c>
      <c r="O187" s="2">
        <v>4.5</v>
      </c>
      <c r="P187" s="2">
        <v>0.44400000000000001</v>
      </c>
      <c r="Q187" s="2">
        <v>0.5</v>
      </c>
      <c r="R187" s="2">
        <v>3.5</v>
      </c>
      <c r="S187" s="2">
        <v>4</v>
      </c>
      <c r="T187" s="2">
        <v>0.875</v>
      </c>
      <c r="U187" s="2">
        <v>1.5</v>
      </c>
      <c r="V187" s="2">
        <v>1</v>
      </c>
      <c r="W187" s="2">
        <v>2.5</v>
      </c>
      <c r="X187" s="2">
        <v>2</v>
      </c>
      <c r="Y187" s="2">
        <v>1</v>
      </c>
      <c r="Z187" s="2">
        <v>0</v>
      </c>
      <c r="AA187" s="2">
        <v>1.5</v>
      </c>
      <c r="AB187" s="2">
        <v>2.5</v>
      </c>
      <c r="AC187" s="2">
        <v>9</v>
      </c>
      <c r="AD187" s="2"/>
    </row>
    <row r="188" spans="1:30" x14ac:dyDescent="0.2">
      <c r="A188" t="s">
        <v>126</v>
      </c>
      <c r="B188" s="2">
        <v>27</v>
      </c>
      <c r="C188" t="s">
        <v>77</v>
      </c>
      <c r="D188" s="2" t="s">
        <v>42</v>
      </c>
      <c r="E188" s="2">
        <v>25</v>
      </c>
      <c r="F188" s="2">
        <v>25</v>
      </c>
      <c r="G188" s="2">
        <v>32.4</v>
      </c>
      <c r="H188" s="2">
        <v>6.6</v>
      </c>
      <c r="I188" s="2">
        <v>11</v>
      </c>
      <c r="J188" s="2">
        <v>0.60199999999999998</v>
      </c>
      <c r="K188" s="2">
        <v>0</v>
      </c>
      <c r="L188" s="2">
        <v>0</v>
      </c>
      <c r="M188" s="2"/>
      <c r="N188" s="2">
        <v>6.6</v>
      </c>
      <c r="O188" s="2">
        <v>11</v>
      </c>
      <c r="P188" s="2">
        <v>0.60199999999999998</v>
      </c>
      <c r="Q188" s="2">
        <v>0.60199999999999998</v>
      </c>
      <c r="R188" s="2">
        <v>1.6</v>
      </c>
      <c r="S188" s="2">
        <v>2.9</v>
      </c>
      <c r="T188" s="2">
        <v>0.53400000000000003</v>
      </c>
      <c r="U188" s="2">
        <v>4</v>
      </c>
      <c r="V188" s="2">
        <v>8.1999999999999993</v>
      </c>
      <c r="W188" s="2">
        <v>12.2</v>
      </c>
      <c r="X188" s="2">
        <v>2.2999999999999998</v>
      </c>
      <c r="Y188" s="2">
        <v>0.5</v>
      </c>
      <c r="Z188" s="2">
        <v>1</v>
      </c>
      <c r="AA188" s="2">
        <v>2</v>
      </c>
      <c r="AB188" s="2">
        <v>2.1</v>
      </c>
      <c r="AC188" s="2">
        <v>14.8</v>
      </c>
      <c r="AD188" s="2"/>
    </row>
    <row r="189" spans="1:30" x14ac:dyDescent="0.2">
      <c r="A189" t="s">
        <v>151</v>
      </c>
      <c r="B189" s="2">
        <v>25</v>
      </c>
      <c r="C189" t="s">
        <v>80</v>
      </c>
      <c r="D189" s="2" t="s">
        <v>33</v>
      </c>
      <c r="E189" s="2">
        <v>14</v>
      </c>
      <c r="F189" s="2">
        <v>14</v>
      </c>
      <c r="G189" s="2">
        <v>28.1</v>
      </c>
      <c r="H189" s="2">
        <v>7.3</v>
      </c>
      <c r="I189" s="2">
        <v>15.9</v>
      </c>
      <c r="J189" s="2">
        <v>0.45700000000000002</v>
      </c>
      <c r="K189" s="2">
        <v>1.4</v>
      </c>
      <c r="L189" s="2">
        <v>4.5</v>
      </c>
      <c r="M189" s="2">
        <v>0.30199999999999999</v>
      </c>
      <c r="N189" s="2">
        <v>5.9</v>
      </c>
      <c r="O189" s="2">
        <v>11.4</v>
      </c>
      <c r="P189" s="2">
        <v>0.51900000000000002</v>
      </c>
      <c r="Q189" s="2">
        <v>0.5</v>
      </c>
      <c r="R189" s="2">
        <v>5.8</v>
      </c>
      <c r="S189" s="2">
        <v>6.8</v>
      </c>
      <c r="T189" s="2">
        <v>0.85299999999999998</v>
      </c>
      <c r="U189" s="2">
        <v>0.6</v>
      </c>
      <c r="V189" s="2">
        <v>3.8</v>
      </c>
      <c r="W189" s="2">
        <v>4.4000000000000004</v>
      </c>
      <c r="X189" s="2">
        <v>8.5</v>
      </c>
      <c r="Y189" s="2">
        <v>1</v>
      </c>
      <c r="Z189" s="2">
        <v>0.4</v>
      </c>
      <c r="AA189" s="2">
        <v>3.7</v>
      </c>
      <c r="AB189" s="2">
        <v>1.7</v>
      </c>
      <c r="AC189" s="2">
        <v>21.7</v>
      </c>
      <c r="AD189" s="2"/>
    </row>
    <row r="190" spans="1:30" x14ac:dyDescent="0.2">
      <c r="A190" t="s">
        <v>359</v>
      </c>
      <c r="B190" s="2">
        <v>20</v>
      </c>
      <c r="C190" t="s">
        <v>66</v>
      </c>
      <c r="D190" s="2" t="s">
        <v>52</v>
      </c>
      <c r="E190" s="2">
        <v>12</v>
      </c>
      <c r="F190" s="2">
        <v>4</v>
      </c>
      <c r="G190" s="2">
        <v>18.899999999999999</v>
      </c>
      <c r="H190" s="2">
        <v>2.8</v>
      </c>
      <c r="I190" s="2">
        <v>7.7</v>
      </c>
      <c r="J190" s="2">
        <v>0.35899999999999999</v>
      </c>
      <c r="K190" s="2">
        <v>0.8</v>
      </c>
      <c r="L190" s="2">
        <v>3.8</v>
      </c>
      <c r="M190" s="2">
        <v>0.222</v>
      </c>
      <c r="N190" s="2">
        <v>1.9</v>
      </c>
      <c r="O190" s="2">
        <v>3.9</v>
      </c>
      <c r="P190" s="2">
        <v>0.48899999999999999</v>
      </c>
      <c r="Q190" s="2">
        <v>0.41299999999999998</v>
      </c>
      <c r="R190" s="2">
        <v>0.8</v>
      </c>
      <c r="S190" s="2">
        <v>1.2</v>
      </c>
      <c r="T190" s="2">
        <v>0.71399999999999997</v>
      </c>
      <c r="U190" s="2">
        <v>0.9</v>
      </c>
      <c r="V190" s="2">
        <v>2.2999999999999998</v>
      </c>
      <c r="W190" s="2">
        <v>3.2</v>
      </c>
      <c r="X190" s="2">
        <v>1.5</v>
      </c>
      <c r="Y190" s="2">
        <v>0.6</v>
      </c>
      <c r="Z190" s="2">
        <v>0.3</v>
      </c>
      <c r="AA190" s="2">
        <v>1</v>
      </c>
      <c r="AB190" s="2">
        <v>1.8</v>
      </c>
      <c r="AC190" s="2">
        <v>7.2</v>
      </c>
      <c r="AD190" s="2"/>
    </row>
    <row r="191" spans="1:30" x14ac:dyDescent="0.2">
      <c r="A191" t="s">
        <v>166</v>
      </c>
      <c r="B191" s="2">
        <v>21</v>
      </c>
      <c r="C191" t="s">
        <v>87</v>
      </c>
      <c r="D191" s="2" t="s">
        <v>27</v>
      </c>
      <c r="E191" s="2">
        <v>25</v>
      </c>
      <c r="F191" s="2">
        <v>25</v>
      </c>
      <c r="G191" s="2">
        <v>30.3</v>
      </c>
      <c r="H191" s="2">
        <v>4.0999999999999996</v>
      </c>
      <c r="I191" s="2">
        <v>9.4</v>
      </c>
      <c r="J191" s="2">
        <v>0.436</v>
      </c>
      <c r="K191" s="2">
        <v>1.7</v>
      </c>
      <c r="L191" s="2">
        <v>4.9000000000000004</v>
      </c>
      <c r="M191" s="2">
        <v>0.35199999999999998</v>
      </c>
      <c r="N191" s="2">
        <v>2.4</v>
      </c>
      <c r="O191" s="2">
        <v>4.5999999999999996</v>
      </c>
      <c r="P191" s="2">
        <v>0.52600000000000002</v>
      </c>
      <c r="Q191" s="2">
        <v>0.52800000000000002</v>
      </c>
      <c r="R191" s="2">
        <v>1.7</v>
      </c>
      <c r="S191" s="2">
        <v>2</v>
      </c>
      <c r="T191" s="2">
        <v>0.85699999999999998</v>
      </c>
      <c r="U191" s="2">
        <v>1.7</v>
      </c>
      <c r="V191" s="2">
        <v>5.0999999999999996</v>
      </c>
      <c r="W191" s="2">
        <v>6.8</v>
      </c>
      <c r="X191" s="2">
        <v>0.9</v>
      </c>
      <c r="Y191" s="2">
        <v>0.3</v>
      </c>
      <c r="Z191" s="2">
        <v>1</v>
      </c>
      <c r="AA191" s="2">
        <v>0.6</v>
      </c>
      <c r="AB191" s="2">
        <v>2.5</v>
      </c>
      <c r="AC191" s="2">
        <v>11.6</v>
      </c>
      <c r="AD191" s="2"/>
    </row>
    <row r="192" spans="1:30" x14ac:dyDescent="0.2">
      <c r="A192" t="s">
        <v>393</v>
      </c>
      <c r="B192" s="2">
        <v>22</v>
      </c>
      <c r="C192" t="s">
        <v>135</v>
      </c>
      <c r="D192" s="2" t="s">
        <v>49</v>
      </c>
      <c r="E192" s="2">
        <v>19</v>
      </c>
      <c r="F192" s="2">
        <v>0</v>
      </c>
      <c r="G192" s="2">
        <v>10.7</v>
      </c>
      <c r="H192" s="2">
        <v>1.2</v>
      </c>
      <c r="I192" s="2">
        <v>3.1</v>
      </c>
      <c r="J192" s="2">
        <v>0.373</v>
      </c>
      <c r="K192" s="2">
        <v>0.1</v>
      </c>
      <c r="L192" s="2">
        <v>0.9</v>
      </c>
      <c r="M192" s="2">
        <v>0.11799999999999999</v>
      </c>
      <c r="N192" s="2">
        <v>1.1000000000000001</v>
      </c>
      <c r="O192" s="2">
        <v>2.2000000000000002</v>
      </c>
      <c r="P192" s="2">
        <v>0.47599999999999998</v>
      </c>
      <c r="Q192" s="2">
        <v>0.39</v>
      </c>
      <c r="R192" s="2">
        <v>0.6</v>
      </c>
      <c r="S192" s="2">
        <v>0.7</v>
      </c>
      <c r="T192" s="2">
        <v>0.84599999999999997</v>
      </c>
      <c r="U192" s="2">
        <v>0.9</v>
      </c>
      <c r="V192" s="2">
        <v>2.1</v>
      </c>
      <c r="W192" s="2">
        <v>3.1</v>
      </c>
      <c r="X192" s="2">
        <v>0.7</v>
      </c>
      <c r="Y192" s="2">
        <v>0.3</v>
      </c>
      <c r="Z192" s="2">
        <v>0.2</v>
      </c>
      <c r="AA192" s="2">
        <v>0.7</v>
      </c>
      <c r="AB192" s="2">
        <v>1.2</v>
      </c>
      <c r="AC192" s="2">
        <v>3</v>
      </c>
      <c r="AD192" s="2"/>
    </row>
    <row r="193" spans="1:30" x14ac:dyDescent="0.2">
      <c r="A193" t="s">
        <v>503</v>
      </c>
      <c r="B193" s="2">
        <v>28</v>
      </c>
      <c r="C193" t="s">
        <v>87</v>
      </c>
      <c r="D193" s="2" t="s">
        <v>27</v>
      </c>
      <c r="E193" s="2">
        <v>6</v>
      </c>
      <c r="F193" s="2">
        <v>0</v>
      </c>
      <c r="G193" s="2">
        <v>3.5</v>
      </c>
      <c r="H193" s="2">
        <v>0.5</v>
      </c>
      <c r="I193" s="2">
        <v>1.8</v>
      </c>
      <c r="J193" s="2">
        <v>0.27300000000000002</v>
      </c>
      <c r="K193" s="2">
        <v>0.3</v>
      </c>
      <c r="L193" s="2">
        <v>1.3</v>
      </c>
      <c r="M193" s="2">
        <v>0.25</v>
      </c>
      <c r="N193" s="2">
        <v>0.2</v>
      </c>
      <c r="O193" s="2">
        <v>0.5</v>
      </c>
      <c r="P193" s="2">
        <v>0.33300000000000002</v>
      </c>
      <c r="Q193" s="2">
        <v>0.36399999999999999</v>
      </c>
      <c r="R193" s="2">
        <v>0</v>
      </c>
      <c r="S193" s="2">
        <v>0</v>
      </c>
      <c r="T193" s="2"/>
      <c r="U193" s="2">
        <v>0.2</v>
      </c>
      <c r="V193" s="2">
        <v>0.5</v>
      </c>
      <c r="W193" s="2">
        <v>0.7</v>
      </c>
      <c r="X193" s="2">
        <v>0.2</v>
      </c>
      <c r="Y193" s="2">
        <v>0</v>
      </c>
      <c r="Z193" s="2">
        <v>0.2</v>
      </c>
      <c r="AA193" s="2">
        <v>0.2</v>
      </c>
      <c r="AB193" s="2">
        <v>0.2</v>
      </c>
      <c r="AC193" s="2">
        <v>1.3</v>
      </c>
      <c r="AD193" s="2"/>
    </row>
    <row r="194" spans="1:30" x14ac:dyDescent="0.2">
      <c r="A194" t="s">
        <v>551</v>
      </c>
      <c r="B194" s="2">
        <v>24</v>
      </c>
      <c r="C194" t="s">
        <v>44</v>
      </c>
      <c r="D194" s="2" t="s">
        <v>49</v>
      </c>
      <c r="E194" s="2">
        <v>7</v>
      </c>
      <c r="F194" s="2">
        <v>0</v>
      </c>
      <c r="G194" s="2">
        <v>3</v>
      </c>
      <c r="H194" s="2">
        <v>0.1</v>
      </c>
      <c r="I194" s="2">
        <v>0.4</v>
      </c>
      <c r="J194" s="2">
        <v>0.33300000000000002</v>
      </c>
      <c r="K194" s="2">
        <v>0</v>
      </c>
      <c r="L194" s="2">
        <v>0.3</v>
      </c>
      <c r="M194" s="2">
        <v>0</v>
      </c>
      <c r="N194" s="2">
        <v>0.1</v>
      </c>
      <c r="O194" s="2">
        <v>0.1</v>
      </c>
      <c r="P194" s="2">
        <v>1</v>
      </c>
      <c r="Q194" s="2">
        <v>0.33300000000000002</v>
      </c>
      <c r="R194" s="2">
        <v>0</v>
      </c>
      <c r="S194" s="2">
        <v>0</v>
      </c>
      <c r="T194" s="2"/>
      <c r="U194" s="2">
        <v>0</v>
      </c>
      <c r="V194" s="2">
        <v>0.4</v>
      </c>
      <c r="W194" s="2">
        <v>0.4</v>
      </c>
      <c r="X194" s="2">
        <v>0.3</v>
      </c>
      <c r="Y194" s="2">
        <v>0</v>
      </c>
      <c r="Z194" s="2">
        <v>0</v>
      </c>
      <c r="AA194" s="2">
        <v>0.1</v>
      </c>
      <c r="AB194" s="2">
        <v>0</v>
      </c>
      <c r="AC194" s="2">
        <v>0.3</v>
      </c>
      <c r="AD194" s="2"/>
    </row>
    <row r="195" spans="1:30" x14ac:dyDescent="0.2">
      <c r="A195" t="s">
        <v>288</v>
      </c>
      <c r="B195" s="2">
        <v>22</v>
      </c>
      <c r="C195" t="s">
        <v>63</v>
      </c>
      <c r="D195" s="2" t="s">
        <v>52</v>
      </c>
      <c r="E195" s="2">
        <v>22</v>
      </c>
      <c r="F195" s="2">
        <v>2</v>
      </c>
      <c r="G195" s="2">
        <v>14.5</v>
      </c>
      <c r="H195" s="2">
        <v>2.4</v>
      </c>
      <c r="I195" s="2">
        <v>6</v>
      </c>
      <c r="J195" s="2">
        <v>0.39100000000000001</v>
      </c>
      <c r="K195" s="2">
        <v>0.8</v>
      </c>
      <c r="L195" s="2">
        <v>2.7</v>
      </c>
      <c r="M195" s="2">
        <v>0.30499999999999999</v>
      </c>
      <c r="N195" s="2">
        <v>1.5</v>
      </c>
      <c r="O195" s="2">
        <v>3.4</v>
      </c>
      <c r="P195" s="2">
        <v>0.45900000000000002</v>
      </c>
      <c r="Q195" s="2">
        <v>0.45900000000000002</v>
      </c>
      <c r="R195" s="2">
        <v>1</v>
      </c>
      <c r="S195" s="2">
        <v>1.1000000000000001</v>
      </c>
      <c r="T195" s="2">
        <v>0.88</v>
      </c>
      <c r="U195" s="2">
        <v>0.2</v>
      </c>
      <c r="V195" s="2">
        <v>1.2</v>
      </c>
      <c r="W195" s="2">
        <v>1.4</v>
      </c>
      <c r="X195" s="2">
        <v>1.2</v>
      </c>
      <c r="Y195" s="2">
        <v>0.6</v>
      </c>
      <c r="Z195" s="2">
        <v>0</v>
      </c>
      <c r="AA195" s="2">
        <v>1.4</v>
      </c>
      <c r="AB195" s="2">
        <v>1.4</v>
      </c>
      <c r="AC195" s="2">
        <v>6.5</v>
      </c>
      <c r="AD195" s="2"/>
    </row>
    <row r="196" spans="1:30" x14ac:dyDescent="0.2">
      <c r="A196" t="s">
        <v>101</v>
      </c>
      <c r="B196" s="2">
        <v>22</v>
      </c>
      <c r="C196" t="s">
        <v>75</v>
      </c>
      <c r="D196" s="2" t="s">
        <v>52</v>
      </c>
      <c r="E196" s="2">
        <v>25</v>
      </c>
      <c r="F196" s="2">
        <v>25</v>
      </c>
      <c r="G196" s="2">
        <v>30.4</v>
      </c>
      <c r="H196" s="2">
        <v>6.1</v>
      </c>
      <c r="I196" s="2">
        <v>14</v>
      </c>
      <c r="J196" s="2">
        <v>0.436</v>
      </c>
      <c r="K196" s="2">
        <v>1.9</v>
      </c>
      <c r="L196" s="2">
        <v>5.0999999999999996</v>
      </c>
      <c r="M196" s="2">
        <v>0.36699999999999999</v>
      </c>
      <c r="N196" s="2">
        <v>4.2</v>
      </c>
      <c r="O196" s="2">
        <v>8.9</v>
      </c>
      <c r="P196" s="2">
        <v>0.47499999999999998</v>
      </c>
      <c r="Q196" s="2">
        <v>0.503</v>
      </c>
      <c r="R196" s="2">
        <v>3.2</v>
      </c>
      <c r="S196" s="2">
        <v>4.3</v>
      </c>
      <c r="T196" s="2">
        <v>0.73099999999999998</v>
      </c>
      <c r="U196" s="2">
        <v>1.3</v>
      </c>
      <c r="V196" s="2">
        <v>2.8</v>
      </c>
      <c r="W196" s="2">
        <v>4.0999999999999996</v>
      </c>
      <c r="X196" s="2">
        <v>4.2</v>
      </c>
      <c r="Y196" s="2">
        <v>1</v>
      </c>
      <c r="Z196" s="2">
        <v>0.4</v>
      </c>
      <c r="AA196" s="2">
        <v>3</v>
      </c>
      <c r="AB196" s="2">
        <v>2.4</v>
      </c>
      <c r="AC196" s="2">
        <v>17.3</v>
      </c>
      <c r="AD196" s="2"/>
    </row>
    <row r="197" spans="1:30" x14ac:dyDescent="0.2">
      <c r="A197" t="s">
        <v>210</v>
      </c>
      <c r="B197" s="2">
        <v>24</v>
      </c>
      <c r="C197" t="s">
        <v>51</v>
      </c>
      <c r="D197" s="2" t="s">
        <v>27</v>
      </c>
      <c r="E197" s="2">
        <v>23</v>
      </c>
      <c r="F197" s="2">
        <v>23</v>
      </c>
      <c r="G197" s="2">
        <v>30</v>
      </c>
      <c r="H197" s="2">
        <v>4</v>
      </c>
      <c r="I197" s="2">
        <v>9</v>
      </c>
      <c r="J197" s="2">
        <v>0.44</v>
      </c>
      <c r="K197" s="2">
        <v>1.2</v>
      </c>
      <c r="L197" s="2">
        <v>3.8</v>
      </c>
      <c r="M197" s="2">
        <v>0.307</v>
      </c>
      <c r="N197" s="2">
        <v>2.8</v>
      </c>
      <c r="O197" s="2">
        <v>5.2</v>
      </c>
      <c r="P197" s="2">
        <v>0.53800000000000003</v>
      </c>
      <c r="Q197" s="2">
        <v>0.505</v>
      </c>
      <c r="R197" s="2">
        <v>0.8</v>
      </c>
      <c r="S197" s="2">
        <v>1.1000000000000001</v>
      </c>
      <c r="T197" s="2">
        <v>0.69199999999999995</v>
      </c>
      <c r="U197" s="2">
        <v>1.2</v>
      </c>
      <c r="V197" s="2">
        <v>2.5</v>
      </c>
      <c r="W197" s="2">
        <v>3.7</v>
      </c>
      <c r="X197" s="2">
        <v>1.8</v>
      </c>
      <c r="Y197" s="2">
        <v>1.1000000000000001</v>
      </c>
      <c r="Z197" s="2">
        <v>0.7</v>
      </c>
      <c r="AA197" s="2">
        <v>1</v>
      </c>
      <c r="AB197" s="2">
        <v>3.1</v>
      </c>
      <c r="AC197" s="2">
        <v>9.9</v>
      </c>
      <c r="AD197" s="2"/>
    </row>
    <row r="198" spans="1:30" x14ac:dyDescent="0.2">
      <c r="A198" t="s">
        <v>513</v>
      </c>
      <c r="B198" s="2">
        <v>22</v>
      </c>
      <c r="C198" t="s">
        <v>39</v>
      </c>
      <c r="D198" s="2" t="s">
        <v>52</v>
      </c>
      <c r="E198" s="2">
        <v>7</v>
      </c>
      <c r="F198" s="2">
        <v>0</v>
      </c>
      <c r="G198" s="2">
        <v>3.4</v>
      </c>
      <c r="H198" s="2">
        <v>0.3</v>
      </c>
      <c r="I198" s="2">
        <v>1</v>
      </c>
      <c r="J198" s="2">
        <v>0.28599999999999998</v>
      </c>
      <c r="K198" s="2">
        <v>0</v>
      </c>
      <c r="L198" s="2">
        <v>0.3</v>
      </c>
      <c r="M198" s="2">
        <v>0</v>
      </c>
      <c r="N198" s="2">
        <v>0.3</v>
      </c>
      <c r="O198" s="2">
        <v>0.7</v>
      </c>
      <c r="P198" s="2">
        <v>0.4</v>
      </c>
      <c r="Q198" s="2">
        <v>0.28599999999999998</v>
      </c>
      <c r="R198" s="2">
        <v>0.3</v>
      </c>
      <c r="S198" s="2">
        <v>0.6</v>
      </c>
      <c r="T198" s="2">
        <v>0.5</v>
      </c>
      <c r="U198" s="2">
        <v>0.4</v>
      </c>
      <c r="V198" s="2">
        <v>0.4</v>
      </c>
      <c r="W198" s="2">
        <v>0.9</v>
      </c>
      <c r="X198" s="2">
        <v>0.4</v>
      </c>
      <c r="Y198" s="2">
        <v>0.4</v>
      </c>
      <c r="Z198" s="2">
        <v>0</v>
      </c>
      <c r="AA198" s="2">
        <v>0.1</v>
      </c>
      <c r="AB198" s="2">
        <v>0.4</v>
      </c>
      <c r="AC198" s="2">
        <v>0.9</v>
      </c>
      <c r="AD198" s="2"/>
    </row>
    <row r="199" spans="1:30" x14ac:dyDescent="0.2">
      <c r="A199" t="s">
        <v>465</v>
      </c>
      <c r="B199" s="2">
        <v>34</v>
      </c>
      <c r="C199" t="s">
        <v>37</v>
      </c>
      <c r="D199" s="2" t="s">
        <v>49</v>
      </c>
      <c r="E199" s="2">
        <v>5</v>
      </c>
      <c r="F199" s="2">
        <v>2</v>
      </c>
      <c r="G199" s="2">
        <v>16.8</v>
      </c>
      <c r="H199" s="2">
        <v>1.2</v>
      </c>
      <c r="I199" s="2">
        <v>3.4</v>
      </c>
      <c r="J199" s="2">
        <v>0.35299999999999998</v>
      </c>
      <c r="K199" s="2">
        <v>0.6</v>
      </c>
      <c r="L199" s="2">
        <v>2.4</v>
      </c>
      <c r="M199" s="2">
        <v>0.25</v>
      </c>
      <c r="N199" s="2">
        <v>0.6</v>
      </c>
      <c r="O199" s="2">
        <v>1</v>
      </c>
      <c r="P199" s="2">
        <v>0.6</v>
      </c>
      <c r="Q199" s="2">
        <v>0.441</v>
      </c>
      <c r="R199" s="2">
        <v>1</v>
      </c>
      <c r="S199" s="2">
        <v>1.2</v>
      </c>
      <c r="T199" s="2">
        <v>0.83299999999999996</v>
      </c>
      <c r="U199" s="2">
        <v>1</v>
      </c>
      <c r="V199" s="2">
        <v>2</v>
      </c>
      <c r="W199" s="2">
        <v>3</v>
      </c>
      <c r="X199" s="2">
        <v>0.8</v>
      </c>
      <c r="Y199" s="2">
        <v>0.6</v>
      </c>
      <c r="Z199" s="2">
        <v>0</v>
      </c>
      <c r="AA199" s="2">
        <v>0.6</v>
      </c>
      <c r="AB199" s="2">
        <v>1.8</v>
      </c>
      <c r="AC199" s="2">
        <v>4</v>
      </c>
      <c r="AD199" s="2"/>
    </row>
    <row r="200" spans="1:30" x14ac:dyDescent="0.2">
      <c r="A200" t="s">
        <v>454</v>
      </c>
      <c r="B200" s="2">
        <v>29</v>
      </c>
      <c r="C200" t="s">
        <v>87</v>
      </c>
      <c r="D200" s="2" t="s">
        <v>49</v>
      </c>
      <c r="E200" s="2">
        <v>10</v>
      </c>
      <c r="F200" s="2">
        <v>0</v>
      </c>
      <c r="G200" s="2">
        <v>5.9</v>
      </c>
      <c r="H200" s="2">
        <v>0.9</v>
      </c>
      <c r="I200" s="2">
        <v>1.6</v>
      </c>
      <c r="J200" s="2">
        <v>0.56299999999999994</v>
      </c>
      <c r="K200" s="2">
        <v>0</v>
      </c>
      <c r="L200" s="2">
        <v>0.2</v>
      </c>
      <c r="M200" s="2">
        <v>0</v>
      </c>
      <c r="N200" s="2">
        <v>0.9</v>
      </c>
      <c r="O200" s="2">
        <v>1.4</v>
      </c>
      <c r="P200" s="2">
        <v>0.64300000000000002</v>
      </c>
      <c r="Q200" s="2">
        <v>0.56299999999999994</v>
      </c>
      <c r="R200" s="2">
        <v>0.6</v>
      </c>
      <c r="S200" s="2">
        <v>0.9</v>
      </c>
      <c r="T200" s="2">
        <v>0.66700000000000004</v>
      </c>
      <c r="U200" s="2">
        <v>0.4</v>
      </c>
      <c r="V200" s="2">
        <v>1.8</v>
      </c>
      <c r="W200" s="2">
        <v>2.2000000000000002</v>
      </c>
      <c r="X200" s="2">
        <v>0.6</v>
      </c>
      <c r="Y200" s="2">
        <v>0.5</v>
      </c>
      <c r="Z200" s="2">
        <v>0</v>
      </c>
      <c r="AA200" s="2">
        <v>0.6</v>
      </c>
      <c r="AB200" s="2">
        <v>1</v>
      </c>
      <c r="AC200" s="2">
        <v>2.4</v>
      </c>
      <c r="AD200" s="2"/>
    </row>
    <row r="201" spans="1:30" x14ac:dyDescent="0.2">
      <c r="A201" t="s">
        <v>270</v>
      </c>
      <c r="B201" s="2">
        <v>23</v>
      </c>
      <c r="C201" t="s">
        <v>61</v>
      </c>
      <c r="D201" s="2" t="s">
        <v>49</v>
      </c>
      <c r="E201" s="2">
        <v>19</v>
      </c>
      <c r="F201" s="2">
        <v>1</v>
      </c>
      <c r="G201" s="2">
        <v>21.2</v>
      </c>
      <c r="H201" s="2">
        <v>3.2</v>
      </c>
      <c r="I201" s="2">
        <v>7.6</v>
      </c>
      <c r="J201" s="2">
        <v>0.42099999999999999</v>
      </c>
      <c r="K201" s="2">
        <v>0.5</v>
      </c>
      <c r="L201" s="2">
        <v>1.9</v>
      </c>
      <c r="M201" s="2">
        <v>0.27</v>
      </c>
      <c r="N201" s="2">
        <v>2.7</v>
      </c>
      <c r="O201" s="2">
        <v>5.7</v>
      </c>
      <c r="P201" s="2">
        <v>0.47199999999999998</v>
      </c>
      <c r="Q201" s="2">
        <v>0.45500000000000002</v>
      </c>
      <c r="R201" s="2">
        <v>1.6</v>
      </c>
      <c r="S201" s="2">
        <v>2.2999999999999998</v>
      </c>
      <c r="T201" s="2">
        <v>0.70499999999999996</v>
      </c>
      <c r="U201" s="2">
        <v>1.4</v>
      </c>
      <c r="V201" s="2">
        <v>3.6</v>
      </c>
      <c r="W201" s="2">
        <v>5</v>
      </c>
      <c r="X201" s="2">
        <v>2.2000000000000002</v>
      </c>
      <c r="Y201" s="2">
        <v>1</v>
      </c>
      <c r="Z201" s="2">
        <v>0.1</v>
      </c>
      <c r="AA201" s="2">
        <v>1.5</v>
      </c>
      <c r="AB201" s="2">
        <v>1.5</v>
      </c>
      <c r="AC201" s="2">
        <v>8.6</v>
      </c>
      <c r="AD201" s="2"/>
    </row>
    <row r="202" spans="1:30" x14ac:dyDescent="0.2">
      <c r="A202" t="s">
        <v>218</v>
      </c>
      <c r="B202" s="2">
        <v>23</v>
      </c>
      <c r="C202" t="s">
        <v>80</v>
      </c>
      <c r="D202" s="2" t="s">
        <v>27</v>
      </c>
      <c r="E202" s="2">
        <v>25</v>
      </c>
      <c r="F202" s="2">
        <v>0</v>
      </c>
      <c r="G202" s="2">
        <v>23.4</v>
      </c>
      <c r="H202" s="2">
        <v>3</v>
      </c>
      <c r="I202" s="2">
        <v>6</v>
      </c>
      <c r="J202" s="2">
        <v>0.503</v>
      </c>
      <c r="K202" s="2">
        <v>0.9</v>
      </c>
      <c r="L202" s="2">
        <v>2.2000000000000002</v>
      </c>
      <c r="M202" s="2">
        <v>0.39300000000000002</v>
      </c>
      <c r="N202" s="2">
        <v>2.2000000000000002</v>
      </c>
      <c r="O202" s="2">
        <v>3.8</v>
      </c>
      <c r="P202" s="2">
        <v>0.56799999999999995</v>
      </c>
      <c r="Q202" s="2">
        <v>0.57599999999999996</v>
      </c>
      <c r="R202" s="2">
        <v>1.6</v>
      </c>
      <c r="S202" s="2">
        <v>2.4</v>
      </c>
      <c r="T202" s="2">
        <v>0.69499999999999995</v>
      </c>
      <c r="U202" s="2">
        <v>1.4</v>
      </c>
      <c r="V202" s="2">
        <v>3.2</v>
      </c>
      <c r="W202" s="2">
        <v>4.7</v>
      </c>
      <c r="X202" s="2">
        <v>3.5</v>
      </c>
      <c r="Y202" s="2">
        <v>0.9</v>
      </c>
      <c r="Z202" s="2">
        <v>0.7</v>
      </c>
      <c r="AA202" s="2">
        <v>1.4</v>
      </c>
      <c r="AB202" s="2">
        <v>2.2999999999999998</v>
      </c>
      <c r="AC202" s="2">
        <v>8.6</v>
      </c>
      <c r="AD202" s="2"/>
    </row>
    <row r="203" spans="1:30" x14ac:dyDescent="0.2">
      <c r="A203" t="s">
        <v>118</v>
      </c>
      <c r="B203" s="2">
        <v>29</v>
      </c>
      <c r="C203" t="s">
        <v>66</v>
      </c>
      <c r="D203" s="2" t="s">
        <v>42</v>
      </c>
      <c r="E203" s="2">
        <v>25</v>
      </c>
      <c r="F203" s="2">
        <v>24</v>
      </c>
      <c r="G203" s="2">
        <v>32.5</v>
      </c>
      <c r="H203" s="2">
        <v>6.8</v>
      </c>
      <c r="I203" s="2">
        <v>11.4</v>
      </c>
      <c r="J203" s="2">
        <v>0.59299999999999997</v>
      </c>
      <c r="K203" s="2">
        <v>0</v>
      </c>
      <c r="L203" s="2">
        <v>0.1</v>
      </c>
      <c r="M203" s="2">
        <v>0</v>
      </c>
      <c r="N203" s="2">
        <v>6.8</v>
      </c>
      <c r="O203" s="2">
        <v>11.3</v>
      </c>
      <c r="P203" s="2">
        <v>0.59699999999999998</v>
      </c>
      <c r="Q203" s="2">
        <v>0.59299999999999997</v>
      </c>
      <c r="R203" s="2">
        <v>2.4</v>
      </c>
      <c r="S203" s="2">
        <v>3.5</v>
      </c>
      <c r="T203" s="2">
        <v>0.68200000000000005</v>
      </c>
      <c r="U203" s="2">
        <v>4</v>
      </c>
      <c r="V203" s="2">
        <v>7.2</v>
      </c>
      <c r="W203" s="2">
        <v>11.3</v>
      </c>
      <c r="X203" s="2">
        <v>2.7</v>
      </c>
      <c r="Y203" s="2">
        <v>1.1000000000000001</v>
      </c>
      <c r="Z203" s="2">
        <v>1.3</v>
      </c>
      <c r="AA203" s="2">
        <v>2.2000000000000002</v>
      </c>
      <c r="AB203" s="2">
        <v>3.7</v>
      </c>
      <c r="AC203" s="2">
        <v>15.9</v>
      </c>
      <c r="AD203" s="2"/>
    </row>
    <row r="204" spans="1:30" x14ac:dyDescent="0.2">
      <c r="A204" t="s">
        <v>553</v>
      </c>
      <c r="B204" s="2">
        <v>23</v>
      </c>
      <c r="C204" t="s">
        <v>54</v>
      </c>
      <c r="D204" s="2" t="s">
        <v>49</v>
      </c>
      <c r="E204" s="2">
        <v>2</v>
      </c>
      <c r="F204" s="2">
        <v>0</v>
      </c>
      <c r="G204" s="2">
        <v>5.5</v>
      </c>
      <c r="H204" s="2">
        <v>0</v>
      </c>
      <c r="I204" s="2">
        <v>1</v>
      </c>
      <c r="J204" s="2">
        <v>0</v>
      </c>
      <c r="K204" s="2">
        <v>0</v>
      </c>
      <c r="L204" s="2">
        <v>1</v>
      </c>
      <c r="M204" s="2">
        <v>0</v>
      </c>
      <c r="N204" s="2">
        <v>0</v>
      </c>
      <c r="O204" s="2">
        <v>0</v>
      </c>
      <c r="P204" s="2"/>
      <c r="Q204" s="2">
        <v>0</v>
      </c>
      <c r="R204" s="2">
        <v>0.5</v>
      </c>
      <c r="S204" s="2">
        <v>1</v>
      </c>
      <c r="T204" s="2">
        <v>0.5</v>
      </c>
      <c r="U204" s="2">
        <v>0</v>
      </c>
      <c r="V204" s="2">
        <v>0.5</v>
      </c>
      <c r="W204" s="2">
        <v>0.5</v>
      </c>
      <c r="X204" s="2">
        <v>0</v>
      </c>
      <c r="Y204" s="2">
        <v>0</v>
      </c>
      <c r="Z204" s="2">
        <v>0</v>
      </c>
      <c r="AA204" s="2">
        <v>1</v>
      </c>
      <c r="AB204" s="2">
        <v>0</v>
      </c>
      <c r="AC204" s="2">
        <v>0.5</v>
      </c>
      <c r="AD204" s="2"/>
    </row>
    <row r="205" spans="1:30" x14ac:dyDescent="0.2">
      <c r="A205" t="s">
        <v>43</v>
      </c>
      <c r="B205" s="2">
        <v>28</v>
      </c>
      <c r="C205" t="s">
        <v>44</v>
      </c>
      <c r="D205" s="2" t="s">
        <v>33</v>
      </c>
      <c r="E205" s="2">
        <v>25</v>
      </c>
      <c r="F205" s="2">
        <v>25</v>
      </c>
      <c r="G205" s="2">
        <v>34.299999999999997</v>
      </c>
      <c r="H205" s="2">
        <v>8.4</v>
      </c>
      <c r="I205" s="2">
        <v>17.2</v>
      </c>
      <c r="J205" s="2">
        <v>0.49099999999999999</v>
      </c>
      <c r="K205" s="2">
        <v>2.6</v>
      </c>
      <c r="L205" s="2">
        <v>6.2</v>
      </c>
      <c r="M205" s="2">
        <v>0.42899999999999999</v>
      </c>
      <c r="N205" s="2">
        <v>5.8</v>
      </c>
      <c r="O205" s="2">
        <v>11</v>
      </c>
      <c r="P205" s="2">
        <v>0.52500000000000002</v>
      </c>
      <c r="Q205" s="2">
        <v>0.56699999999999995</v>
      </c>
      <c r="R205" s="2">
        <v>5.2</v>
      </c>
      <c r="S205" s="2">
        <v>6.3</v>
      </c>
      <c r="T205" s="2">
        <v>0.82299999999999995</v>
      </c>
      <c r="U205" s="2">
        <v>0.4</v>
      </c>
      <c r="V205" s="2">
        <v>2.5</v>
      </c>
      <c r="W205" s="2">
        <v>3</v>
      </c>
      <c r="X205" s="2">
        <v>7.8</v>
      </c>
      <c r="Y205" s="2">
        <v>0.6</v>
      </c>
      <c r="Z205" s="2">
        <v>0.1</v>
      </c>
      <c r="AA205" s="2">
        <v>2.4</v>
      </c>
      <c r="AB205" s="2">
        <v>2.2000000000000002</v>
      </c>
      <c r="AC205" s="2">
        <v>24.7</v>
      </c>
      <c r="AD205" s="2"/>
    </row>
    <row r="206" spans="1:30" x14ac:dyDescent="0.2">
      <c r="A206" t="s">
        <v>226</v>
      </c>
      <c r="B206" s="2">
        <v>21</v>
      </c>
      <c r="C206" t="s">
        <v>75</v>
      </c>
      <c r="D206" s="2" t="s">
        <v>42</v>
      </c>
      <c r="E206" s="2">
        <v>23</v>
      </c>
      <c r="F206" s="2">
        <v>23</v>
      </c>
      <c r="G206" s="2">
        <v>23.9</v>
      </c>
      <c r="H206" s="2">
        <v>3.6</v>
      </c>
      <c r="I206" s="2">
        <v>5.3</v>
      </c>
      <c r="J206" s="2">
        <v>0.68</v>
      </c>
      <c r="K206" s="2">
        <v>0</v>
      </c>
      <c r="L206" s="2">
        <v>0</v>
      </c>
      <c r="M206" s="2"/>
      <c r="N206" s="2">
        <v>3.6</v>
      </c>
      <c r="O206" s="2">
        <v>5.3</v>
      </c>
      <c r="P206" s="2">
        <v>0.68</v>
      </c>
      <c r="Q206" s="2">
        <v>0.68</v>
      </c>
      <c r="R206" s="2">
        <v>1.7</v>
      </c>
      <c r="S206" s="2">
        <v>2.9</v>
      </c>
      <c r="T206" s="2">
        <v>0.57599999999999996</v>
      </c>
      <c r="U206" s="2">
        <v>3</v>
      </c>
      <c r="V206" s="2">
        <v>5.9</v>
      </c>
      <c r="W206" s="2">
        <v>8.9</v>
      </c>
      <c r="X206" s="2">
        <v>2.2999999999999998</v>
      </c>
      <c r="Y206" s="2">
        <v>0.4</v>
      </c>
      <c r="Z206" s="2">
        <v>1.3</v>
      </c>
      <c r="AA206" s="2">
        <v>2</v>
      </c>
      <c r="AB206" s="2">
        <v>3.2</v>
      </c>
      <c r="AC206" s="2">
        <v>8.9</v>
      </c>
      <c r="AD206" s="2"/>
    </row>
    <row r="207" spans="1:30" x14ac:dyDescent="0.2">
      <c r="A207" t="s">
        <v>86</v>
      </c>
      <c r="B207" s="2">
        <v>22</v>
      </c>
      <c r="C207" t="s">
        <v>87</v>
      </c>
      <c r="D207" s="2" t="s">
        <v>52</v>
      </c>
      <c r="E207" s="2">
        <v>25</v>
      </c>
      <c r="F207" s="2">
        <v>25</v>
      </c>
      <c r="G207" s="2">
        <v>32.5</v>
      </c>
      <c r="H207" s="2">
        <v>6.4</v>
      </c>
      <c r="I207" s="2">
        <v>16.2</v>
      </c>
      <c r="J207" s="2">
        <v>0.39700000000000002</v>
      </c>
      <c r="K207" s="2">
        <v>2.5</v>
      </c>
      <c r="L207" s="2">
        <v>7.7</v>
      </c>
      <c r="M207" s="2">
        <v>0.32100000000000001</v>
      </c>
      <c r="N207" s="2">
        <v>4</v>
      </c>
      <c r="O207" s="2">
        <v>8.5</v>
      </c>
      <c r="P207" s="2">
        <v>0.46500000000000002</v>
      </c>
      <c r="Q207" s="2">
        <v>0.47299999999999998</v>
      </c>
      <c r="R207" s="2">
        <v>3.9</v>
      </c>
      <c r="S207" s="2">
        <v>4.4000000000000004</v>
      </c>
      <c r="T207" s="2">
        <v>0.874</v>
      </c>
      <c r="U207" s="2">
        <v>0.5</v>
      </c>
      <c r="V207" s="2">
        <v>4.2</v>
      </c>
      <c r="W207" s="2">
        <v>4.7</v>
      </c>
      <c r="X207" s="2">
        <v>2.6</v>
      </c>
      <c r="Y207" s="2">
        <v>1.2</v>
      </c>
      <c r="Z207" s="2">
        <v>0.3</v>
      </c>
      <c r="AA207" s="2">
        <v>2.7</v>
      </c>
      <c r="AB207" s="2">
        <v>1.7</v>
      </c>
      <c r="AC207" s="2">
        <v>19.2</v>
      </c>
      <c r="AD207" s="2"/>
    </row>
    <row r="208" spans="1:30" x14ac:dyDescent="0.2">
      <c r="A208" t="s">
        <v>526</v>
      </c>
      <c r="B208" s="2">
        <v>21</v>
      </c>
      <c r="C208" t="s">
        <v>41</v>
      </c>
      <c r="D208" s="2" t="s">
        <v>52</v>
      </c>
      <c r="E208" s="2">
        <v>2</v>
      </c>
      <c r="F208" s="2">
        <v>0</v>
      </c>
      <c r="G208" s="2">
        <v>7</v>
      </c>
      <c r="H208" s="2">
        <v>0.5</v>
      </c>
      <c r="I208" s="2">
        <v>0.5</v>
      </c>
      <c r="J208" s="2">
        <v>1</v>
      </c>
      <c r="K208" s="2">
        <v>0</v>
      </c>
      <c r="L208" s="2">
        <v>0</v>
      </c>
      <c r="M208" s="2"/>
      <c r="N208" s="2">
        <v>0.5</v>
      </c>
      <c r="O208" s="2">
        <v>0.5</v>
      </c>
      <c r="P208" s="2">
        <v>1</v>
      </c>
      <c r="Q208" s="2">
        <v>1</v>
      </c>
      <c r="R208" s="2">
        <v>1</v>
      </c>
      <c r="S208" s="2">
        <v>1</v>
      </c>
      <c r="T208" s="2">
        <v>1</v>
      </c>
      <c r="U208" s="2">
        <v>0.5</v>
      </c>
      <c r="V208" s="2">
        <v>0</v>
      </c>
      <c r="W208" s="2">
        <v>0.5</v>
      </c>
      <c r="X208" s="2">
        <v>0.5</v>
      </c>
      <c r="Y208" s="2">
        <v>0</v>
      </c>
      <c r="Z208" s="2">
        <v>0.5</v>
      </c>
      <c r="AA208" s="2">
        <v>0.5</v>
      </c>
      <c r="AB208" s="2">
        <v>1.5</v>
      </c>
      <c r="AC208" s="2">
        <v>2</v>
      </c>
      <c r="AD208" s="2"/>
    </row>
    <row r="209" spans="1:30" x14ac:dyDescent="0.2">
      <c r="A209" t="s">
        <v>89</v>
      </c>
      <c r="B209" s="2">
        <v>23</v>
      </c>
      <c r="C209" t="s">
        <v>72</v>
      </c>
      <c r="D209" s="2" t="s">
        <v>49</v>
      </c>
      <c r="E209" s="2">
        <v>24</v>
      </c>
      <c r="F209" s="2">
        <v>24</v>
      </c>
      <c r="G209" s="2">
        <v>36.5</v>
      </c>
      <c r="H209" s="2">
        <v>7.9</v>
      </c>
      <c r="I209" s="2">
        <v>15.7</v>
      </c>
      <c r="J209" s="2">
        <v>0.503</v>
      </c>
      <c r="K209" s="2">
        <v>1.6</v>
      </c>
      <c r="L209" s="2">
        <v>4.5</v>
      </c>
      <c r="M209" s="2">
        <v>0.34899999999999998</v>
      </c>
      <c r="N209" s="2">
        <v>6.3</v>
      </c>
      <c r="O209" s="2">
        <v>11.1</v>
      </c>
      <c r="P209" s="2">
        <v>0.56599999999999995</v>
      </c>
      <c r="Q209" s="2">
        <v>0.55300000000000005</v>
      </c>
      <c r="R209" s="2">
        <v>2.5</v>
      </c>
      <c r="S209" s="2">
        <v>3.3</v>
      </c>
      <c r="T209" s="2">
        <v>0.75</v>
      </c>
      <c r="U209" s="2">
        <v>1.8</v>
      </c>
      <c r="V209" s="2">
        <v>8.4</v>
      </c>
      <c r="W209" s="2">
        <v>10.1</v>
      </c>
      <c r="X209" s="2">
        <v>5.6</v>
      </c>
      <c r="Y209" s="2">
        <v>1.4</v>
      </c>
      <c r="Z209" s="2">
        <v>1.1000000000000001</v>
      </c>
      <c r="AA209" s="2">
        <v>3.3</v>
      </c>
      <c r="AB209" s="2">
        <v>2</v>
      </c>
      <c r="AC209" s="2">
        <v>19.8</v>
      </c>
      <c r="AD209" s="2"/>
    </row>
    <row r="210" spans="1:30" x14ac:dyDescent="0.2">
      <c r="A210" t="s">
        <v>519</v>
      </c>
      <c r="B210" s="2">
        <v>25</v>
      </c>
      <c r="C210" t="s">
        <v>46</v>
      </c>
      <c r="D210" s="2" t="s">
        <v>52</v>
      </c>
      <c r="E210" s="2">
        <v>4</v>
      </c>
      <c r="F210" s="2">
        <v>0</v>
      </c>
      <c r="G210" s="2">
        <v>9.3000000000000007</v>
      </c>
      <c r="H210" s="2">
        <v>0.5</v>
      </c>
      <c r="I210" s="2">
        <v>1</v>
      </c>
      <c r="J210" s="2">
        <v>0.5</v>
      </c>
      <c r="K210" s="2">
        <v>0.3</v>
      </c>
      <c r="L210" s="2">
        <v>0.8</v>
      </c>
      <c r="M210" s="2">
        <v>0.33300000000000002</v>
      </c>
      <c r="N210" s="2">
        <v>0.3</v>
      </c>
      <c r="O210" s="2">
        <v>0.3</v>
      </c>
      <c r="P210" s="2">
        <v>1</v>
      </c>
      <c r="Q210" s="2">
        <v>0.625</v>
      </c>
      <c r="R210" s="2">
        <v>0</v>
      </c>
      <c r="S210" s="2">
        <v>0</v>
      </c>
      <c r="T210" s="2"/>
      <c r="U210" s="2">
        <v>0.3</v>
      </c>
      <c r="V210" s="2">
        <v>1</v>
      </c>
      <c r="W210" s="2">
        <v>1.3</v>
      </c>
      <c r="X210" s="2">
        <v>1.8</v>
      </c>
      <c r="Y210" s="2">
        <v>0.3</v>
      </c>
      <c r="Z210" s="2">
        <v>0</v>
      </c>
      <c r="AA210" s="2">
        <v>0.5</v>
      </c>
      <c r="AB210" s="2">
        <v>1.5</v>
      </c>
      <c r="AC210" s="2">
        <v>1.3</v>
      </c>
      <c r="AD210" s="2"/>
    </row>
    <row r="211" spans="1:30" x14ac:dyDescent="0.2">
      <c r="A211" t="s">
        <v>254</v>
      </c>
      <c r="B211" s="2">
        <v>24</v>
      </c>
      <c r="C211" t="s">
        <v>70</v>
      </c>
      <c r="D211" s="2" t="s">
        <v>42</v>
      </c>
      <c r="E211" s="2">
        <v>22</v>
      </c>
      <c r="F211" s="2">
        <v>0</v>
      </c>
      <c r="G211" s="2">
        <v>14.8</v>
      </c>
      <c r="H211" s="2">
        <v>2.8</v>
      </c>
      <c r="I211" s="2">
        <v>6</v>
      </c>
      <c r="J211" s="2">
        <v>0.46200000000000002</v>
      </c>
      <c r="K211" s="2">
        <v>1.2</v>
      </c>
      <c r="L211" s="2">
        <v>3.4</v>
      </c>
      <c r="M211" s="2">
        <v>0.36</v>
      </c>
      <c r="N211" s="2">
        <v>1.5</v>
      </c>
      <c r="O211" s="2">
        <v>2.6</v>
      </c>
      <c r="P211" s="2">
        <v>0.59599999999999997</v>
      </c>
      <c r="Q211" s="2">
        <v>0.56399999999999995</v>
      </c>
      <c r="R211" s="2">
        <v>1.2</v>
      </c>
      <c r="S211" s="2">
        <v>1.5</v>
      </c>
      <c r="T211" s="2">
        <v>0.79400000000000004</v>
      </c>
      <c r="U211" s="2">
        <v>1.4</v>
      </c>
      <c r="V211" s="2">
        <v>3.7</v>
      </c>
      <c r="W211" s="2">
        <v>5.0999999999999996</v>
      </c>
      <c r="X211" s="2">
        <v>0.7</v>
      </c>
      <c r="Y211" s="2">
        <v>0.4</v>
      </c>
      <c r="Z211" s="2">
        <v>0.7</v>
      </c>
      <c r="AA211" s="2">
        <v>0.6</v>
      </c>
      <c r="AB211" s="2">
        <v>1.6</v>
      </c>
      <c r="AC211" s="2">
        <v>8</v>
      </c>
      <c r="AD211" s="2"/>
    </row>
    <row r="212" spans="1:30" x14ac:dyDescent="0.2">
      <c r="A212" t="s">
        <v>104</v>
      </c>
      <c r="B212" s="2">
        <v>23</v>
      </c>
      <c r="C212" t="s">
        <v>48</v>
      </c>
      <c r="D212" s="2" t="s">
        <v>33</v>
      </c>
      <c r="E212" s="2">
        <v>26</v>
      </c>
      <c r="F212" s="2">
        <v>26</v>
      </c>
      <c r="G212" s="2">
        <v>30.3</v>
      </c>
      <c r="H212" s="2">
        <v>5.7</v>
      </c>
      <c r="I212" s="2">
        <v>13.7</v>
      </c>
      <c r="J212" s="2">
        <v>0.41599999999999998</v>
      </c>
      <c r="K212" s="2">
        <v>2.2999999999999998</v>
      </c>
      <c r="L212" s="2">
        <v>7.3</v>
      </c>
      <c r="M212" s="2">
        <v>0.317</v>
      </c>
      <c r="N212" s="2">
        <v>3.4</v>
      </c>
      <c r="O212" s="2">
        <v>6.4</v>
      </c>
      <c r="P212" s="2">
        <v>0.52700000000000002</v>
      </c>
      <c r="Q212" s="2">
        <v>0.5</v>
      </c>
      <c r="R212" s="2">
        <v>2.9</v>
      </c>
      <c r="S212" s="2">
        <v>3.2</v>
      </c>
      <c r="T212" s="2">
        <v>0.91500000000000004</v>
      </c>
      <c r="U212" s="2">
        <v>0.7</v>
      </c>
      <c r="V212" s="2">
        <v>3.5</v>
      </c>
      <c r="W212" s="2">
        <v>4.0999999999999996</v>
      </c>
      <c r="X212" s="2">
        <v>3.8</v>
      </c>
      <c r="Y212" s="2">
        <v>1.6</v>
      </c>
      <c r="Z212" s="2">
        <v>0.9</v>
      </c>
      <c r="AA212" s="2">
        <v>2.8</v>
      </c>
      <c r="AB212" s="2">
        <v>2.7</v>
      </c>
      <c r="AC212" s="2">
        <v>16.600000000000001</v>
      </c>
      <c r="AD212" s="2"/>
    </row>
    <row r="213" spans="1:30" x14ac:dyDescent="0.2">
      <c r="A213" t="s">
        <v>73</v>
      </c>
      <c r="B213" s="2">
        <v>23</v>
      </c>
      <c r="C213" t="s">
        <v>32</v>
      </c>
      <c r="D213" s="2" t="s">
        <v>52</v>
      </c>
      <c r="E213" s="2">
        <v>24</v>
      </c>
      <c r="F213" s="2">
        <v>24</v>
      </c>
      <c r="G213" s="2">
        <v>31.8</v>
      </c>
      <c r="H213" s="2">
        <v>8.5</v>
      </c>
      <c r="I213" s="2">
        <v>16.8</v>
      </c>
      <c r="J213" s="2">
        <v>0.505</v>
      </c>
      <c r="K213" s="2">
        <v>2</v>
      </c>
      <c r="L213" s="2">
        <v>5.2</v>
      </c>
      <c r="M213" s="2">
        <v>0.38400000000000001</v>
      </c>
      <c r="N213" s="2">
        <v>6.5</v>
      </c>
      <c r="O213" s="2">
        <v>11.6</v>
      </c>
      <c r="P213" s="2">
        <v>0.55900000000000005</v>
      </c>
      <c r="Q213" s="2">
        <v>0.56399999999999995</v>
      </c>
      <c r="R213" s="2">
        <v>2.8</v>
      </c>
      <c r="S213" s="2">
        <v>3.5</v>
      </c>
      <c r="T213" s="2">
        <v>0.80700000000000005</v>
      </c>
      <c r="U213" s="2">
        <v>0.9</v>
      </c>
      <c r="V213" s="2">
        <v>5.2</v>
      </c>
      <c r="W213" s="2">
        <v>6.1</v>
      </c>
      <c r="X213" s="2">
        <v>5</v>
      </c>
      <c r="Y213" s="2">
        <v>2</v>
      </c>
      <c r="Z213" s="2">
        <v>0.8</v>
      </c>
      <c r="AA213" s="2">
        <v>2.2000000000000002</v>
      </c>
      <c r="AB213" s="2">
        <v>2.7</v>
      </c>
      <c r="AC213" s="2">
        <v>21.8</v>
      </c>
      <c r="AD213" s="2"/>
    </row>
    <row r="214" spans="1:30" x14ac:dyDescent="0.2">
      <c r="A214" t="s">
        <v>230</v>
      </c>
      <c r="B214" s="2">
        <v>24</v>
      </c>
      <c r="C214" t="s">
        <v>103</v>
      </c>
      <c r="D214" s="2" t="s">
        <v>27</v>
      </c>
      <c r="E214" s="2">
        <v>23</v>
      </c>
      <c r="F214" s="2">
        <v>6</v>
      </c>
      <c r="G214" s="2">
        <v>25</v>
      </c>
      <c r="H214" s="2">
        <v>3</v>
      </c>
      <c r="I214" s="2">
        <v>6.9</v>
      </c>
      <c r="J214" s="2">
        <v>0.43</v>
      </c>
      <c r="K214" s="2">
        <v>1.3</v>
      </c>
      <c r="L214" s="2">
        <v>3.8</v>
      </c>
      <c r="M214" s="2">
        <v>0.34499999999999997</v>
      </c>
      <c r="N214" s="2">
        <v>1.7</v>
      </c>
      <c r="O214" s="2">
        <v>3.1</v>
      </c>
      <c r="P214" s="2">
        <v>0.53500000000000003</v>
      </c>
      <c r="Q214" s="2">
        <v>0.52500000000000002</v>
      </c>
      <c r="R214" s="2">
        <v>1.5</v>
      </c>
      <c r="S214" s="2">
        <v>1.7</v>
      </c>
      <c r="T214" s="2">
        <v>0.875</v>
      </c>
      <c r="U214" s="2">
        <v>1</v>
      </c>
      <c r="V214" s="2">
        <v>2.5</v>
      </c>
      <c r="W214" s="2">
        <v>3.6</v>
      </c>
      <c r="X214" s="2">
        <v>1.7</v>
      </c>
      <c r="Y214" s="2">
        <v>0.3</v>
      </c>
      <c r="Z214" s="2">
        <v>0</v>
      </c>
      <c r="AA214" s="2">
        <v>0.9</v>
      </c>
      <c r="AB214" s="2">
        <v>2.2999999999999998</v>
      </c>
      <c r="AC214" s="2">
        <v>8.6999999999999993</v>
      </c>
      <c r="AD214" s="2"/>
    </row>
    <row r="215" spans="1:30" x14ac:dyDescent="0.2">
      <c r="A215" t="s">
        <v>376</v>
      </c>
      <c r="B215" s="2">
        <v>25</v>
      </c>
      <c r="C215" t="s">
        <v>117</v>
      </c>
      <c r="D215" s="2" t="s">
        <v>49</v>
      </c>
      <c r="E215" s="2">
        <v>15</v>
      </c>
      <c r="F215" s="2">
        <v>0</v>
      </c>
      <c r="G215" s="2">
        <v>14.5</v>
      </c>
      <c r="H215" s="2">
        <v>1.7</v>
      </c>
      <c r="I215" s="2">
        <v>3.5</v>
      </c>
      <c r="J215" s="2">
        <v>0.47199999999999998</v>
      </c>
      <c r="K215" s="2">
        <v>0.6</v>
      </c>
      <c r="L215" s="2">
        <v>1.8</v>
      </c>
      <c r="M215" s="2">
        <v>0.33300000000000002</v>
      </c>
      <c r="N215" s="2">
        <v>1.1000000000000001</v>
      </c>
      <c r="O215" s="2">
        <v>1.7</v>
      </c>
      <c r="P215" s="2">
        <v>0.61499999999999999</v>
      </c>
      <c r="Q215" s="2">
        <v>0.55700000000000005</v>
      </c>
      <c r="R215" s="2">
        <v>0.7</v>
      </c>
      <c r="S215" s="2">
        <v>1.1000000000000001</v>
      </c>
      <c r="T215" s="2">
        <v>0.625</v>
      </c>
      <c r="U215" s="2">
        <v>0.9</v>
      </c>
      <c r="V215" s="2">
        <v>1.9</v>
      </c>
      <c r="W215" s="2">
        <v>2.7</v>
      </c>
      <c r="X215" s="2">
        <v>0.7</v>
      </c>
      <c r="Y215" s="2">
        <v>0.5</v>
      </c>
      <c r="Z215" s="2">
        <v>0.5</v>
      </c>
      <c r="AA215" s="2">
        <v>0.5</v>
      </c>
      <c r="AB215" s="2">
        <v>1.3</v>
      </c>
      <c r="AC215" s="2">
        <v>4.5999999999999996</v>
      </c>
      <c r="AD215" s="2"/>
    </row>
    <row r="216" spans="1:30" x14ac:dyDescent="0.2">
      <c r="A216" t="s">
        <v>154</v>
      </c>
      <c r="B216" s="2">
        <v>27</v>
      </c>
      <c r="C216" t="s">
        <v>46</v>
      </c>
      <c r="D216" s="2" t="s">
        <v>33</v>
      </c>
      <c r="E216" s="2">
        <v>17</v>
      </c>
      <c r="F216" s="2">
        <v>17</v>
      </c>
      <c r="G216" s="2">
        <v>36.1</v>
      </c>
      <c r="H216" s="2">
        <v>6.4</v>
      </c>
      <c r="I216" s="2">
        <v>15.1</v>
      </c>
      <c r="J216" s="2">
        <v>0.42</v>
      </c>
      <c r="K216" s="2">
        <v>1.9</v>
      </c>
      <c r="L216" s="2">
        <v>5.8</v>
      </c>
      <c r="M216" s="2">
        <v>0.33300000000000002</v>
      </c>
      <c r="N216" s="2">
        <v>4.4000000000000004</v>
      </c>
      <c r="O216" s="2">
        <v>9.3000000000000007</v>
      </c>
      <c r="P216" s="2">
        <v>0.47499999999999998</v>
      </c>
      <c r="Q216" s="2">
        <v>0.48399999999999999</v>
      </c>
      <c r="R216" s="2">
        <v>3.1</v>
      </c>
      <c r="S216" s="2">
        <v>3.9</v>
      </c>
      <c r="T216" s="2">
        <v>0.80300000000000005</v>
      </c>
      <c r="U216" s="2">
        <v>0.5</v>
      </c>
      <c r="V216" s="2">
        <v>3.5</v>
      </c>
      <c r="W216" s="2">
        <v>4</v>
      </c>
      <c r="X216" s="2">
        <v>6.2</v>
      </c>
      <c r="Y216" s="2">
        <v>1.4</v>
      </c>
      <c r="Z216" s="2">
        <v>0.6</v>
      </c>
      <c r="AA216" s="2">
        <v>1.9</v>
      </c>
      <c r="AB216" s="2">
        <v>1.7</v>
      </c>
      <c r="AC216" s="2">
        <v>17.8</v>
      </c>
      <c r="AD216" s="2"/>
    </row>
    <row r="217" spans="1:30" x14ac:dyDescent="0.2">
      <c r="A217" t="s">
        <v>327</v>
      </c>
      <c r="B217" s="2">
        <v>22</v>
      </c>
      <c r="C217" t="s">
        <v>66</v>
      </c>
      <c r="D217" s="2" t="s">
        <v>33</v>
      </c>
      <c r="E217" s="2">
        <v>24</v>
      </c>
      <c r="F217" s="2">
        <v>0</v>
      </c>
      <c r="G217" s="2">
        <v>14.1</v>
      </c>
      <c r="H217" s="2">
        <v>1.8</v>
      </c>
      <c r="I217" s="2">
        <v>4.7</v>
      </c>
      <c r="J217" s="2">
        <v>0.38100000000000001</v>
      </c>
      <c r="K217" s="2">
        <v>0.6</v>
      </c>
      <c r="L217" s="2">
        <v>1.9</v>
      </c>
      <c r="M217" s="2">
        <v>0.311</v>
      </c>
      <c r="N217" s="2">
        <v>1.2</v>
      </c>
      <c r="O217" s="2">
        <v>2.8</v>
      </c>
      <c r="P217" s="2">
        <v>0.42599999999999999</v>
      </c>
      <c r="Q217" s="2">
        <v>0.442</v>
      </c>
      <c r="R217" s="2">
        <v>0.4</v>
      </c>
      <c r="S217" s="2">
        <v>0.5</v>
      </c>
      <c r="T217" s="2">
        <v>0.75</v>
      </c>
      <c r="U217" s="2">
        <v>0.1</v>
      </c>
      <c r="V217" s="2">
        <v>0.8</v>
      </c>
      <c r="W217" s="2">
        <v>0.9</v>
      </c>
      <c r="X217" s="2">
        <v>2.8</v>
      </c>
      <c r="Y217" s="2">
        <v>0.5</v>
      </c>
      <c r="Z217" s="2">
        <v>0.1</v>
      </c>
      <c r="AA217" s="2">
        <v>1.3</v>
      </c>
      <c r="AB217" s="2">
        <v>1.8</v>
      </c>
      <c r="AC217" s="2">
        <v>4.5</v>
      </c>
      <c r="AD217" s="2"/>
    </row>
    <row r="218" spans="1:30" x14ac:dyDescent="0.2">
      <c r="A218" t="s">
        <v>76</v>
      </c>
      <c r="B218" s="2">
        <v>35</v>
      </c>
      <c r="C218" t="s">
        <v>77</v>
      </c>
      <c r="D218" s="2" t="s">
        <v>33</v>
      </c>
      <c r="E218" s="2">
        <v>24</v>
      </c>
      <c r="F218" s="2">
        <v>24</v>
      </c>
      <c r="G218" s="2">
        <v>33.9</v>
      </c>
      <c r="H218" s="2">
        <v>6.2</v>
      </c>
      <c r="I218" s="2">
        <v>16.3</v>
      </c>
      <c r="J218" s="2">
        <v>0.379</v>
      </c>
      <c r="K218" s="2">
        <v>2.8</v>
      </c>
      <c r="L218" s="2">
        <v>8.4</v>
      </c>
      <c r="M218" s="2">
        <v>0.33800000000000002</v>
      </c>
      <c r="N218" s="2">
        <v>3.3</v>
      </c>
      <c r="O218" s="2">
        <v>7.9</v>
      </c>
      <c r="P218" s="2">
        <v>0.42099999999999999</v>
      </c>
      <c r="Q218" s="2">
        <v>0.46500000000000002</v>
      </c>
      <c r="R218" s="2">
        <v>6.5</v>
      </c>
      <c r="S218" s="2">
        <v>7.2</v>
      </c>
      <c r="T218" s="2">
        <v>0.89600000000000002</v>
      </c>
      <c r="U218" s="2">
        <v>0.6</v>
      </c>
      <c r="V218" s="2">
        <v>6.2</v>
      </c>
      <c r="W218" s="2">
        <v>6.8</v>
      </c>
      <c r="X218" s="2">
        <v>8.5</v>
      </c>
      <c r="Y218" s="2">
        <v>1.6</v>
      </c>
      <c r="Z218" s="2">
        <v>0.7</v>
      </c>
      <c r="AA218" s="2">
        <v>4.4000000000000004</v>
      </c>
      <c r="AB218" s="2">
        <v>2</v>
      </c>
      <c r="AC218" s="2">
        <v>21.6</v>
      </c>
      <c r="AD218" s="2"/>
    </row>
    <row r="219" spans="1:30" x14ac:dyDescent="0.2">
      <c r="A219" t="s">
        <v>528</v>
      </c>
      <c r="B219" s="2">
        <v>37</v>
      </c>
      <c r="C219" t="s">
        <v>82</v>
      </c>
      <c r="D219" s="2" t="s">
        <v>27</v>
      </c>
      <c r="E219" s="2">
        <v>3</v>
      </c>
      <c r="F219" s="2">
        <v>0</v>
      </c>
      <c r="G219" s="2">
        <v>3.3</v>
      </c>
      <c r="H219" s="2">
        <v>0.7</v>
      </c>
      <c r="I219" s="2">
        <v>1.3</v>
      </c>
      <c r="J219" s="2">
        <v>0.5</v>
      </c>
      <c r="K219" s="2">
        <v>0</v>
      </c>
      <c r="L219" s="2">
        <v>0.3</v>
      </c>
      <c r="M219" s="2">
        <v>0</v>
      </c>
      <c r="N219" s="2">
        <v>0.7</v>
      </c>
      <c r="O219" s="2">
        <v>1</v>
      </c>
      <c r="P219" s="2">
        <v>0.66700000000000004</v>
      </c>
      <c r="Q219" s="2">
        <v>0.5</v>
      </c>
      <c r="R219" s="2">
        <v>0</v>
      </c>
      <c r="S219" s="2">
        <v>0</v>
      </c>
      <c r="T219" s="2"/>
      <c r="U219" s="2">
        <v>0</v>
      </c>
      <c r="V219" s="2">
        <v>0.7</v>
      </c>
      <c r="W219" s="2">
        <v>0.7</v>
      </c>
      <c r="X219" s="2">
        <v>0.7</v>
      </c>
      <c r="Y219" s="2">
        <v>0</v>
      </c>
      <c r="Z219" s="2">
        <v>0.3</v>
      </c>
      <c r="AA219" s="2">
        <v>1</v>
      </c>
      <c r="AB219" s="2">
        <v>0</v>
      </c>
      <c r="AC219" s="2">
        <v>1.3</v>
      </c>
      <c r="AD219" s="2"/>
    </row>
    <row r="220" spans="1:30" x14ac:dyDescent="0.2">
      <c r="A220" t="s">
        <v>515</v>
      </c>
      <c r="B220" s="2">
        <v>23</v>
      </c>
      <c r="C220" t="s">
        <v>82</v>
      </c>
      <c r="D220" s="2" t="s">
        <v>42</v>
      </c>
      <c r="E220" s="2">
        <v>1</v>
      </c>
      <c r="F220" s="2">
        <v>0</v>
      </c>
      <c r="G220" s="2">
        <v>5</v>
      </c>
      <c r="H220" s="2">
        <v>2</v>
      </c>
      <c r="I220" s="2">
        <v>4</v>
      </c>
      <c r="J220" s="2">
        <v>0.5</v>
      </c>
      <c r="K220" s="2">
        <v>0</v>
      </c>
      <c r="L220" s="2">
        <v>1</v>
      </c>
      <c r="M220" s="2">
        <v>0</v>
      </c>
      <c r="N220" s="2">
        <v>2</v>
      </c>
      <c r="O220" s="2">
        <v>3</v>
      </c>
      <c r="P220" s="2">
        <v>0.66700000000000004</v>
      </c>
      <c r="Q220" s="2">
        <v>0.5</v>
      </c>
      <c r="R220" s="2">
        <v>2</v>
      </c>
      <c r="S220" s="2">
        <v>2</v>
      </c>
      <c r="T220" s="2">
        <v>1</v>
      </c>
      <c r="U220" s="2">
        <v>0</v>
      </c>
      <c r="V220" s="2">
        <v>1</v>
      </c>
      <c r="W220" s="2">
        <v>1</v>
      </c>
      <c r="X220" s="2">
        <v>0</v>
      </c>
      <c r="Y220" s="2">
        <v>0</v>
      </c>
      <c r="Z220" s="2">
        <v>0</v>
      </c>
      <c r="AA220" s="2">
        <v>0</v>
      </c>
      <c r="AB220" s="2">
        <v>0</v>
      </c>
      <c r="AC220" s="2">
        <v>6</v>
      </c>
      <c r="AD220" s="2"/>
    </row>
    <row r="221" spans="1:30" x14ac:dyDescent="0.2">
      <c r="A221" t="s">
        <v>295</v>
      </c>
      <c r="B221" s="2">
        <v>23</v>
      </c>
      <c r="C221" t="s">
        <v>66</v>
      </c>
      <c r="D221" s="2" t="s">
        <v>49</v>
      </c>
      <c r="E221" s="2">
        <v>24</v>
      </c>
      <c r="F221" s="2">
        <v>0</v>
      </c>
      <c r="G221" s="2">
        <v>13.6</v>
      </c>
      <c r="H221" s="2">
        <v>2</v>
      </c>
      <c r="I221" s="2">
        <v>4.2</v>
      </c>
      <c r="J221" s="2">
        <v>0.48499999999999999</v>
      </c>
      <c r="K221" s="2">
        <v>1.4</v>
      </c>
      <c r="L221" s="2">
        <v>3.1</v>
      </c>
      <c r="M221" s="2">
        <v>0.44</v>
      </c>
      <c r="N221" s="2">
        <v>0.7</v>
      </c>
      <c r="O221" s="2">
        <v>1.1000000000000001</v>
      </c>
      <c r="P221" s="2">
        <v>0.61499999999999999</v>
      </c>
      <c r="Q221" s="2">
        <v>0.64900000000000002</v>
      </c>
      <c r="R221" s="2">
        <v>0.4</v>
      </c>
      <c r="S221" s="2">
        <v>0.5</v>
      </c>
      <c r="T221" s="2">
        <v>0.81799999999999995</v>
      </c>
      <c r="U221" s="2">
        <v>0.6</v>
      </c>
      <c r="V221" s="2">
        <v>1.4</v>
      </c>
      <c r="W221" s="2">
        <v>2</v>
      </c>
      <c r="X221" s="2">
        <v>0.9</v>
      </c>
      <c r="Y221" s="2">
        <v>0.1</v>
      </c>
      <c r="Z221" s="2">
        <v>0.2</v>
      </c>
      <c r="AA221" s="2">
        <v>0.3</v>
      </c>
      <c r="AB221" s="2">
        <v>1.2</v>
      </c>
      <c r="AC221" s="2">
        <v>5.8</v>
      </c>
      <c r="AD221" s="2"/>
    </row>
    <row r="222" spans="1:30" x14ac:dyDescent="0.2">
      <c r="A222" t="s">
        <v>294</v>
      </c>
      <c r="B222" s="2">
        <v>21</v>
      </c>
      <c r="C222" t="s">
        <v>82</v>
      </c>
      <c r="D222" s="2" t="s">
        <v>27</v>
      </c>
      <c r="E222" s="2">
        <v>25</v>
      </c>
      <c r="F222" s="2">
        <v>1</v>
      </c>
      <c r="G222" s="2">
        <v>18.2</v>
      </c>
      <c r="H222" s="2">
        <v>2</v>
      </c>
      <c r="I222" s="2">
        <v>4.5</v>
      </c>
      <c r="J222" s="2">
        <v>0.434</v>
      </c>
      <c r="K222" s="2">
        <v>1</v>
      </c>
      <c r="L222" s="2">
        <v>2.4</v>
      </c>
      <c r="M222" s="2">
        <v>0.39300000000000002</v>
      </c>
      <c r="N222" s="2">
        <v>1</v>
      </c>
      <c r="O222" s="2">
        <v>2.1</v>
      </c>
      <c r="P222" s="2">
        <v>0.48099999999999998</v>
      </c>
      <c r="Q222" s="2">
        <v>0.54</v>
      </c>
      <c r="R222" s="2">
        <v>0.8</v>
      </c>
      <c r="S222" s="2">
        <v>1.2</v>
      </c>
      <c r="T222" s="2">
        <v>0.61299999999999999</v>
      </c>
      <c r="U222" s="2">
        <v>0.5</v>
      </c>
      <c r="V222" s="2">
        <v>3</v>
      </c>
      <c r="W222" s="2">
        <v>3.5</v>
      </c>
      <c r="X222" s="2">
        <v>1.6</v>
      </c>
      <c r="Y222" s="2">
        <v>1.2</v>
      </c>
      <c r="Z222" s="2">
        <v>0.4</v>
      </c>
      <c r="AA222" s="2">
        <v>1.4</v>
      </c>
      <c r="AB222" s="2">
        <v>1.6</v>
      </c>
      <c r="AC222" s="2">
        <v>5.6</v>
      </c>
      <c r="AD222" s="2"/>
    </row>
    <row r="223" spans="1:30" x14ac:dyDescent="0.2">
      <c r="A223" t="s">
        <v>343</v>
      </c>
      <c r="B223" s="2">
        <v>24</v>
      </c>
      <c r="C223" t="s">
        <v>114</v>
      </c>
      <c r="D223" s="2" t="s">
        <v>52</v>
      </c>
      <c r="E223" s="2">
        <v>17</v>
      </c>
      <c r="F223" s="2">
        <v>0</v>
      </c>
      <c r="G223" s="2">
        <v>10.6</v>
      </c>
      <c r="H223" s="2">
        <v>2.2000000000000002</v>
      </c>
      <c r="I223" s="2">
        <v>5</v>
      </c>
      <c r="J223" s="2">
        <v>0.44700000000000001</v>
      </c>
      <c r="K223" s="2">
        <v>0.3</v>
      </c>
      <c r="L223" s="2">
        <v>1.3</v>
      </c>
      <c r="M223" s="2">
        <v>0.22700000000000001</v>
      </c>
      <c r="N223" s="2">
        <v>1.9</v>
      </c>
      <c r="O223" s="2">
        <v>3.7</v>
      </c>
      <c r="P223" s="2">
        <v>0.52400000000000002</v>
      </c>
      <c r="Q223" s="2">
        <v>0.47599999999999998</v>
      </c>
      <c r="R223" s="2">
        <v>0.9</v>
      </c>
      <c r="S223" s="2">
        <v>1.3</v>
      </c>
      <c r="T223" s="2">
        <v>0.72699999999999998</v>
      </c>
      <c r="U223" s="2">
        <v>0.2</v>
      </c>
      <c r="V223" s="2">
        <v>0.6</v>
      </c>
      <c r="W223" s="2">
        <v>0.9</v>
      </c>
      <c r="X223" s="2">
        <v>2.7</v>
      </c>
      <c r="Y223" s="2">
        <v>0.4</v>
      </c>
      <c r="Z223" s="2">
        <v>0.1</v>
      </c>
      <c r="AA223" s="2">
        <v>0.7</v>
      </c>
      <c r="AB223" s="2">
        <v>1.2</v>
      </c>
      <c r="AC223" s="2">
        <v>5.7</v>
      </c>
      <c r="AD223" s="2"/>
    </row>
    <row r="224" spans="1:30" x14ac:dyDescent="0.2">
      <c r="A224" t="s">
        <v>133</v>
      </c>
      <c r="B224" s="2">
        <v>20</v>
      </c>
      <c r="C224" t="s">
        <v>122</v>
      </c>
      <c r="D224" s="2" t="s">
        <v>52</v>
      </c>
      <c r="E224" s="2">
        <v>22</v>
      </c>
      <c r="F224" s="2">
        <v>8</v>
      </c>
      <c r="G224" s="2">
        <v>25.6</v>
      </c>
      <c r="H224" s="2">
        <v>5.6</v>
      </c>
      <c r="I224" s="2">
        <v>12.2</v>
      </c>
      <c r="J224" s="2">
        <v>0.46300000000000002</v>
      </c>
      <c r="K224" s="2">
        <v>2.2999999999999998</v>
      </c>
      <c r="L224" s="2">
        <v>6</v>
      </c>
      <c r="M224" s="2">
        <v>0.38200000000000001</v>
      </c>
      <c r="N224" s="2">
        <v>3.4</v>
      </c>
      <c r="O224" s="2">
        <v>6.2</v>
      </c>
      <c r="P224" s="2">
        <v>0.54</v>
      </c>
      <c r="Q224" s="2">
        <v>0.55600000000000005</v>
      </c>
      <c r="R224" s="2">
        <v>2.2000000000000002</v>
      </c>
      <c r="S224" s="2">
        <v>2.5</v>
      </c>
      <c r="T224" s="2">
        <v>0.875</v>
      </c>
      <c r="U224" s="2">
        <v>0.6</v>
      </c>
      <c r="V224" s="2">
        <v>1.9</v>
      </c>
      <c r="W224" s="2">
        <v>2.5</v>
      </c>
      <c r="X224" s="2">
        <v>2.6</v>
      </c>
      <c r="Y224" s="2">
        <v>0.7</v>
      </c>
      <c r="Z224" s="2">
        <v>0</v>
      </c>
      <c r="AA224" s="2">
        <v>1.6</v>
      </c>
      <c r="AB224" s="2">
        <v>1.5</v>
      </c>
      <c r="AC224" s="2">
        <v>15.8</v>
      </c>
      <c r="AD224" s="2"/>
    </row>
    <row r="225" spans="1:30" x14ac:dyDescent="0.2">
      <c r="A225" t="s">
        <v>531</v>
      </c>
      <c r="B225" s="2">
        <v>25</v>
      </c>
      <c r="C225" t="s">
        <v>59</v>
      </c>
      <c r="D225" s="2" t="s">
        <v>52</v>
      </c>
      <c r="E225" s="2">
        <v>4</v>
      </c>
      <c r="F225" s="2">
        <v>0</v>
      </c>
      <c r="G225" s="2">
        <v>3</v>
      </c>
      <c r="H225" s="2">
        <v>0.5</v>
      </c>
      <c r="I225" s="2">
        <v>2</v>
      </c>
      <c r="J225" s="2">
        <v>0.25</v>
      </c>
      <c r="K225" s="2">
        <v>0</v>
      </c>
      <c r="L225" s="2">
        <v>0.5</v>
      </c>
      <c r="M225" s="2">
        <v>0</v>
      </c>
      <c r="N225" s="2">
        <v>0.5</v>
      </c>
      <c r="O225" s="2">
        <v>1.5</v>
      </c>
      <c r="P225" s="2">
        <v>0.33300000000000002</v>
      </c>
      <c r="Q225" s="2">
        <v>0.25</v>
      </c>
      <c r="R225" s="2">
        <v>0</v>
      </c>
      <c r="S225" s="2">
        <v>0</v>
      </c>
      <c r="T225" s="2"/>
      <c r="U225" s="2">
        <v>0.5</v>
      </c>
      <c r="V225" s="2">
        <v>0.5</v>
      </c>
      <c r="W225" s="2">
        <v>1</v>
      </c>
      <c r="X225" s="2">
        <v>0.5</v>
      </c>
      <c r="Y225" s="2">
        <v>0.3</v>
      </c>
      <c r="Z225" s="2">
        <v>0</v>
      </c>
      <c r="AA225" s="2">
        <v>0.3</v>
      </c>
      <c r="AB225" s="2">
        <v>0.3</v>
      </c>
      <c r="AC225" s="2">
        <v>1</v>
      </c>
      <c r="AD225" s="2"/>
    </row>
    <row r="226" spans="1:30" x14ac:dyDescent="0.2">
      <c r="A226" t="s">
        <v>79</v>
      </c>
      <c r="B226" s="2">
        <v>25</v>
      </c>
      <c r="C226" t="s">
        <v>80</v>
      </c>
      <c r="D226" s="2" t="s">
        <v>42</v>
      </c>
      <c r="E226" s="2">
        <v>23</v>
      </c>
      <c r="F226" s="2">
        <v>23</v>
      </c>
      <c r="G226" s="2">
        <v>28</v>
      </c>
      <c r="H226" s="2">
        <v>7.9</v>
      </c>
      <c r="I226" s="2">
        <v>15.2</v>
      </c>
      <c r="J226" s="2">
        <v>0.51700000000000002</v>
      </c>
      <c r="K226" s="2">
        <v>1.8</v>
      </c>
      <c r="L226" s="2">
        <v>5.2</v>
      </c>
      <c r="M226" s="2">
        <v>0.35</v>
      </c>
      <c r="N226" s="2">
        <v>6</v>
      </c>
      <c r="O226" s="2">
        <v>10</v>
      </c>
      <c r="P226" s="2">
        <v>0.60399999999999998</v>
      </c>
      <c r="Q226" s="2">
        <v>0.57699999999999996</v>
      </c>
      <c r="R226" s="2">
        <v>4.3</v>
      </c>
      <c r="S226" s="2">
        <v>5.3</v>
      </c>
      <c r="T226" s="2">
        <v>0.81299999999999994</v>
      </c>
      <c r="U226" s="2">
        <v>1.3</v>
      </c>
      <c r="V226" s="2">
        <v>4.5</v>
      </c>
      <c r="W226" s="2">
        <v>5.8</v>
      </c>
      <c r="X226" s="2">
        <v>1.3</v>
      </c>
      <c r="Y226" s="2">
        <v>1.4</v>
      </c>
      <c r="Z226" s="2">
        <v>1.9</v>
      </c>
      <c r="AA226" s="2">
        <v>2.1</v>
      </c>
      <c r="AB226" s="2">
        <v>3.3</v>
      </c>
      <c r="AC226" s="2">
        <v>21.9</v>
      </c>
      <c r="AD226" s="2"/>
    </row>
    <row r="227" spans="1:30" x14ac:dyDescent="0.2">
      <c r="A227" t="s">
        <v>143</v>
      </c>
      <c r="B227" s="2">
        <v>26</v>
      </c>
      <c r="C227" t="s">
        <v>57</v>
      </c>
      <c r="D227" s="2" t="s">
        <v>42</v>
      </c>
      <c r="E227" s="2">
        <v>25</v>
      </c>
      <c r="F227" s="2">
        <v>25</v>
      </c>
      <c r="G227" s="2">
        <v>29.8</v>
      </c>
      <c r="H227" s="2">
        <v>5.4</v>
      </c>
      <c r="I227" s="2">
        <v>8</v>
      </c>
      <c r="J227" s="2">
        <v>0.68300000000000005</v>
      </c>
      <c r="K227" s="2">
        <v>0</v>
      </c>
      <c r="L227" s="2">
        <v>0</v>
      </c>
      <c r="M227" s="2">
        <v>0</v>
      </c>
      <c r="N227" s="2">
        <v>5.4</v>
      </c>
      <c r="O227" s="2">
        <v>7.9</v>
      </c>
      <c r="P227" s="2">
        <v>0.68700000000000006</v>
      </c>
      <c r="Q227" s="2">
        <v>0.68300000000000005</v>
      </c>
      <c r="R227" s="2">
        <v>2.5</v>
      </c>
      <c r="S227" s="2">
        <v>3.4</v>
      </c>
      <c r="T227" s="2">
        <v>0.73799999999999999</v>
      </c>
      <c r="U227" s="2">
        <v>2.2999999999999998</v>
      </c>
      <c r="V227" s="2">
        <v>8.1</v>
      </c>
      <c r="W227" s="2">
        <v>10.4</v>
      </c>
      <c r="X227" s="2">
        <v>1.8</v>
      </c>
      <c r="Y227" s="2">
        <v>0.9</v>
      </c>
      <c r="Z227" s="2">
        <v>0.9</v>
      </c>
      <c r="AA227" s="2">
        <v>1</v>
      </c>
      <c r="AB227" s="2">
        <v>1.2</v>
      </c>
      <c r="AC227" s="2">
        <v>13.4</v>
      </c>
      <c r="AD227" s="2"/>
    </row>
    <row r="228" spans="1:30" x14ac:dyDescent="0.2">
      <c r="A228" t="s">
        <v>279</v>
      </c>
      <c r="B228" s="2">
        <v>31</v>
      </c>
      <c r="C228" t="s">
        <v>117</v>
      </c>
      <c r="D228" s="2" t="s">
        <v>52</v>
      </c>
      <c r="E228" s="2">
        <v>24</v>
      </c>
      <c r="F228" s="2">
        <v>12</v>
      </c>
      <c r="G228" s="2">
        <v>23.3</v>
      </c>
      <c r="H228" s="2">
        <v>2.2000000000000002</v>
      </c>
      <c r="I228" s="2">
        <v>5.0999999999999996</v>
      </c>
      <c r="J228" s="2">
        <v>0.42599999999999999</v>
      </c>
      <c r="K228" s="2">
        <v>0.7</v>
      </c>
      <c r="L228" s="2">
        <v>2.2999999999999998</v>
      </c>
      <c r="M228" s="2">
        <v>0.315</v>
      </c>
      <c r="N228" s="2">
        <v>1.5</v>
      </c>
      <c r="O228" s="2">
        <v>2.8</v>
      </c>
      <c r="P228" s="2">
        <v>0.51500000000000001</v>
      </c>
      <c r="Q228" s="2">
        <v>0.496</v>
      </c>
      <c r="R228" s="2">
        <v>1.3</v>
      </c>
      <c r="S228" s="2">
        <v>1.6</v>
      </c>
      <c r="T228" s="2">
        <v>0.76900000000000002</v>
      </c>
      <c r="U228" s="2">
        <v>1</v>
      </c>
      <c r="V228" s="2">
        <v>2.2999999999999998</v>
      </c>
      <c r="W228" s="2">
        <v>3.3</v>
      </c>
      <c r="X228" s="2">
        <v>0.8</v>
      </c>
      <c r="Y228" s="2">
        <v>1.1000000000000001</v>
      </c>
      <c r="Z228" s="2">
        <v>0.7</v>
      </c>
      <c r="AA228" s="2">
        <v>0.6</v>
      </c>
      <c r="AB228" s="2">
        <v>1.3</v>
      </c>
      <c r="AC228" s="2">
        <v>6.3</v>
      </c>
      <c r="AD228" s="2"/>
    </row>
    <row r="229" spans="1:30" x14ac:dyDescent="0.2">
      <c r="A229" t="s">
        <v>375</v>
      </c>
      <c r="B229" s="2">
        <v>24</v>
      </c>
      <c r="C229" t="s">
        <v>41</v>
      </c>
      <c r="D229" s="2" t="s">
        <v>42</v>
      </c>
      <c r="E229" s="2">
        <v>11</v>
      </c>
      <c r="F229" s="2">
        <v>1</v>
      </c>
      <c r="G229" s="2">
        <v>17.5</v>
      </c>
      <c r="H229" s="2">
        <v>2.4</v>
      </c>
      <c r="I229" s="2">
        <v>3.3</v>
      </c>
      <c r="J229" s="2">
        <v>0.72199999999999998</v>
      </c>
      <c r="K229" s="2">
        <v>0</v>
      </c>
      <c r="L229" s="2">
        <v>0</v>
      </c>
      <c r="M229" s="2"/>
      <c r="N229" s="2">
        <v>2.4</v>
      </c>
      <c r="O229" s="2">
        <v>3.3</v>
      </c>
      <c r="P229" s="2">
        <v>0.72199999999999998</v>
      </c>
      <c r="Q229" s="2">
        <v>0.72199999999999998</v>
      </c>
      <c r="R229" s="2">
        <v>1.6</v>
      </c>
      <c r="S229" s="2">
        <v>2.1</v>
      </c>
      <c r="T229" s="2">
        <v>0.78300000000000003</v>
      </c>
      <c r="U229" s="2">
        <v>1.9</v>
      </c>
      <c r="V229" s="2">
        <v>2.6</v>
      </c>
      <c r="W229" s="2">
        <v>4.5</v>
      </c>
      <c r="X229" s="2">
        <v>0.8</v>
      </c>
      <c r="Y229" s="2">
        <v>0.4</v>
      </c>
      <c r="Z229" s="2">
        <v>0.8</v>
      </c>
      <c r="AA229" s="2">
        <v>0.7</v>
      </c>
      <c r="AB229" s="2">
        <v>2.5</v>
      </c>
      <c r="AC229" s="2">
        <v>6.4</v>
      </c>
      <c r="AD229" s="2"/>
    </row>
    <row r="230" spans="1:30" x14ac:dyDescent="0.2">
      <c r="A230" t="s">
        <v>203</v>
      </c>
      <c r="B230" s="2">
        <v>26</v>
      </c>
      <c r="C230" t="s">
        <v>80</v>
      </c>
      <c r="D230" s="2" t="s">
        <v>42</v>
      </c>
      <c r="E230" s="2">
        <v>25</v>
      </c>
      <c r="F230" s="2">
        <v>1</v>
      </c>
      <c r="G230" s="2">
        <v>15.7</v>
      </c>
      <c r="H230" s="2">
        <v>3.3</v>
      </c>
      <c r="I230" s="2">
        <v>6.3</v>
      </c>
      <c r="J230" s="2">
        <v>0.51900000000000002</v>
      </c>
      <c r="K230" s="2">
        <v>1.7</v>
      </c>
      <c r="L230" s="2">
        <v>4.2</v>
      </c>
      <c r="M230" s="2">
        <v>0.41299999999999998</v>
      </c>
      <c r="N230" s="2">
        <v>1.6</v>
      </c>
      <c r="O230" s="2">
        <v>2.2000000000000002</v>
      </c>
      <c r="P230" s="2">
        <v>0.72199999999999998</v>
      </c>
      <c r="Q230" s="2">
        <v>0.65500000000000003</v>
      </c>
      <c r="R230" s="2">
        <v>1.2</v>
      </c>
      <c r="S230" s="2">
        <v>1.6</v>
      </c>
      <c r="T230" s="2">
        <v>0.75600000000000001</v>
      </c>
      <c r="U230" s="2">
        <v>0.6</v>
      </c>
      <c r="V230" s="2">
        <v>2.2000000000000002</v>
      </c>
      <c r="W230" s="2">
        <v>2.7</v>
      </c>
      <c r="X230" s="2">
        <v>0.8</v>
      </c>
      <c r="Y230" s="2">
        <v>0.3</v>
      </c>
      <c r="Z230" s="2">
        <v>1.3</v>
      </c>
      <c r="AA230" s="2">
        <v>0.6</v>
      </c>
      <c r="AB230" s="2">
        <v>1.6</v>
      </c>
      <c r="AC230" s="2">
        <v>9.5</v>
      </c>
      <c r="AD230" s="2"/>
    </row>
    <row r="231" spans="1:30" x14ac:dyDescent="0.2">
      <c r="A231" t="s">
        <v>84</v>
      </c>
      <c r="B231" s="2">
        <v>28</v>
      </c>
      <c r="C231" t="s">
        <v>39</v>
      </c>
      <c r="D231" s="2" t="s">
        <v>49</v>
      </c>
      <c r="E231" s="2">
        <v>20</v>
      </c>
      <c r="F231" s="2">
        <v>20</v>
      </c>
      <c r="G231" s="2">
        <v>35.799999999999997</v>
      </c>
      <c r="H231" s="2">
        <v>8.6</v>
      </c>
      <c r="I231" s="2">
        <v>19.2</v>
      </c>
      <c r="J231" s="2">
        <v>0.44600000000000001</v>
      </c>
      <c r="K231" s="2">
        <v>2.5</v>
      </c>
      <c r="L231" s="2">
        <v>7.3</v>
      </c>
      <c r="M231" s="2">
        <v>0.34200000000000003</v>
      </c>
      <c r="N231" s="2">
        <v>6.1</v>
      </c>
      <c r="O231" s="2">
        <v>11.9</v>
      </c>
      <c r="P231" s="2">
        <v>0.51100000000000001</v>
      </c>
      <c r="Q231" s="2">
        <v>0.51200000000000001</v>
      </c>
      <c r="R231" s="2">
        <v>4.9000000000000004</v>
      </c>
      <c r="S231" s="2">
        <v>6.4</v>
      </c>
      <c r="T231" s="2">
        <v>0.76400000000000001</v>
      </c>
      <c r="U231" s="2">
        <v>1.5</v>
      </c>
      <c r="V231" s="2">
        <v>4.7</v>
      </c>
      <c r="W231" s="2">
        <v>6.2</v>
      </c>
      <c r="X231" s="2">
        <v>4.7</v>
      </c>
      <c r="Y231" s="2">
        <v>1.1000000000000001</v>
      </c>
      <c r="Z231" s="2">
        <v>0.4</v>
      </c>
      <c r="AA231" s="2">
        <v>2.7</v>
      </c>
      <c r="AB231" s="2">
        <v>2.6</v>
      </c>
      <c r="AC231" s="2">
        <v>24.5</v>
      </c>
      <c r="AD231" s="2"/>
    </row>
    <row r="232" spans="1:30" x14ac:dyDescent="0.2">
      <c r="A232" t="s">
        <v>537</v>
      </c>
      <c r="B232" s="2">
        <v>21</v>
      </c>
      <c r="C232" t="s">
        <v>103</v>
      </c>
      <c r="D232" s="2" t="s">
        <v>49</v>
      </c>
      <c r="E232" s="2">
        <v>2</v>
      </c>
      <c r="F232" s="2">
        <v>0</v>
      </c>
      <c r="G232" s="2">
        <v>1.5</v>
      </c>
      <c r="H232" s="2">
        <v>0.5</v>
      </c>
      <c r="I232" s="2">
        <v>0.5</v>
      </c>
      <c r="J232" s="2">
        <v>1</v>
      </c>
      <c r="K232" s="2">
        <v>0.5</v>
      </c>
      <c r="L232" s="2">
        <v>0.5</v>
      </c>
      <c r="M232" s="2">
        <v>1</v>
      </c>
      <c r="N232" s="2">
        <v>0</v>
      </c>
      <c r="O232" s="2">
        <v>0</v>
      </c>
      <c r="P232" s="2"/>
      <c r="Q232" s="2">
        <v>1.5</v>
      </c>
      <c r="R232" s="2">
        <v>0</v>
      </c>
      <c r="S232" s="2">
        <v>0</v>
      </c>
      <c r="T232" s="2"/>
      <c r="U232" s="2">
        <v>0</v>
      </c>
      <c r="V232" s="2">
        <v>0</v>
      </c>
      <c r="W232" s="2">
        <v>0</v>
      </c>
      <c r="X232" s="2">
        <v>0</v>
      </c>
      <c r="Y232" s="2">
        <v>0</v>
      </c>
      <c r="Z232" s="2">
        <v>0</v>
      </c>
      <c r="AA232" s="2">
        <v>0</v>
      </c>
      <c r="AB232" s="2">
        <v>0.5</v>
      </c>
      <c r="AC232" s="2">
        <v>1.5</v>
      </c>
      <c r="AD232" s="2"/>
    </row>
    <row r="233" spans="1:30" x14ac:dyDescent="0.2">
      <c r="A233" t="s">
        <v>379</v>
      </c>
      <c r="B233" s="2">
        <v>25</v>
      </c>
      <c r="C233" t="s">
        <v>117</v>
      </c>
      <c r="D233" s="2" t="s">
        <v>52</v>
      </c>
      <c r="E233" s="2">
        <v>8</v>
      </c>
      <c r="F233" s="2">
        <v>0</v>
      </c>
      <c r="G233" s="2">
        <v>21</v>
      </c>
      <c r="H233" s="2">
        <v>3.3</v>
      </c>
      <c r="I233" s="2">
        <v>9.1</v>
      </c>
      <c r="J233" s="2">
        <v>0.35599999999999998</v>
      </c>
      <c r="K233" s="2">
        <v>1</v>
      </c>
      <c r="L233" s="2">
        <v>3.4</v>
      </c>
      <c r="M233" s="2">
        <v>0.29599999999999999</v>
      </c>
      <c r="N233" s="2">
        <v>2.2999999999999998</v>
      </c>
      <c r="O233" s="2">
        <v>5.8</v>
      </c>
      <c r="P233" s="2">
        <v>0.39100000000000001</v>
      </c>
      <c r="Q233" s="2">
        <v>0.41099999999999998</v>
      </c>
      <c r="R233" s="2">
        <v>0.9</v>
      </c>
      <c r="S233" s="2">
        <v>1.4</v>
      </c>
      <c r="T233" s="2">
        <v>0.63600000000000001</v>
      </c>
      <c r="U233" s="2">
        <v>0.8</v>
      </c>
      <c r="V233" s="2">
        <v>1.8</v>
      </c>
      <c r="W233" s="2">
        <v>2.5</v>
      </c>
      <c r="X233" s="2">
        <v>2.2999999999999998</v>
      </c>
      <c r="Y233" s="2">
        <v>0.1</v>
      </c>
      <c r="Z233" s="2">
        <v>0.5</v>
      </c>
      <c r="AA233" s="2">
        <v>1</v>
      </c>
      <c r="AB233" s="2">
        <v>1.1000000000000001</v>
      </c>
      <c r="AC233" s="2">
        <v>8.4</v>
      </c>
      <c r="AD233" s="2"/>
    </row>
    <row r="234" spans="1:30" x14ac:dyDescent="0.2">
      <c r="A234" t="s">
        <v>168</v>
      </c>
      <c r="B234" s="2">
        <v>21</v>
      </c>
      <c r="C234" t="s">
        <v>80</v>
      </c>
      <c r="D234" s="2" t="s">
        <v>52</v>
      </c>
      <c r="E234" s="2">
        <v>25</v>
      </c>
      <c r="F234" s="2">
        <v>20</v>
      </c>
      <c r="G234" s="2">
        <v>24.8</v>
      </c>
      <c r="H234" s="2">
        <v>4.0999999999999996</v>
      </c>
      <c r="I234" s="2">
        <v>9.1</v>
      </c>
      <c r="J234" s="2">
        <v>0.45200000000000001</v>
      </c>
      <c r="K234" s="2">
        <v>1.8</v>
      </c>
      <c r="L234" s="2">
        <v>4.8</v>
      </c>
      <c r="M234" s="2">
        <v>0.38300000000000001</v>
      </c>
      <c r="N234" s="2">
        <v>2.2999999999999998</v>
      </c>
      <c r="O234" s="2">
        <v>4.3</v>
      </c>
      <c r="P234" s="2">
        <v>0.52800000000000002</v>
      </c>
      <c r="Q234" s="2">
        <v>0.55300000000000005</v>
      </c>
      <c r="R234" s="2">
        <v>1.4</v>
      </c>
      <c r="S234" s="2">
        <v>1.8</v>
      </c>
      <c r="T234" s="2">
        <v>0.8</v>
      </c>
      <c r="U234" s="2">
        <v>1</v>
      </c>
      <c r="V234" s="2">
        <v>2.4</v>
      </c>
      <c r="W234" s="2">
        <v>3.3</v>
      </c>
      <c r="X234" s="2">
        <v>1.7</v>
      </c>
      <c r="Y234" s="2">
        <v>0.4</v>
      </c>
      <c r="Z234" s="2">
        <v>0.2</v>
      </c>
      <c r="AA234" s="2">
        <v>1.3</v>
      </c>
      <c r="AB234" s="2">
        <v>1.8</v>
      </c>
      <c r="AC234" s="2">
        <v>11.5</v>
      </c>
      <c r="AD234" s="2"/>
    </row>
    <row r="235" spans="1:30" x14ac:dyDescent="0.2">
      <c r="A235" t="s">
        <v>443</v>
      </c>
      <c r="B235" s="2">
        <v>22</v>
      </c>
      <c r="C235" t="s">
        <v>57</v>
      </c>
      <c r="D235" s="2" t="s">
        <v>52</v>
      </c>
      <c r="E235" s="2">
        <v>14</v>
      </c>
      <c r="F235" s="2">
        <v>1</v>
      </c>
      <c r="G235" s="2">
        <v>7.7</v>
      </c>
      <c r="H235" s="2">
        <v>0.9</v>
      </c>
      <c r="I235" s="2">
        <v>1.9</v>
      </c>
      <c r="J235" s="2">
        <v>0.44400000000000001</v>
      </c>
      <c r="K235" s="2">
        <v>0.2</v>
      </c>
      <c r="L235" s="2">
        <v>0.8</v>
      </c>
      <c r="M235" s="2">
        <v>0.27300000000000002</v>
      </c>
      <c r="N235" s="2">
        <v>0.6</v>
      </c>
      <c r="O235" s="2">
        <v>1.1000000000000001</v>
      </c>
      <c r="P235" s="2">
        <v>0.56299999999999994</v>
      </c>
      <c r="Q235" s="2">
        <v>0.5</v>
      </c>
      <c r="R235" s="2">
        <v>0.2</v>
      </c>
      <c r="S235" s="2">
        <v>0.4</v>
      </c>
      <c r="T235" s="2">
        <v>0.5</v>
      </c>
      <c r="U235" s="2">
        <v>0.7</v>
      </c>
      <c r="V235" s="2">
        <v>1</v>
      </c>
      <c r="W235" s="2">
        <v>1.7</v>
      </c>
      <c r="X235" s="2">
        <v>0.8</v>
      </c>
      <c r="Y235" s="2">
        <v>0.3</v>
      </c>
      <c r="Z235" s="2">
        <v>0</v>
      </c>
      <c r="AA235" s="2">
        <v>0.4</v>
      </c>
      <c r="AB235" s="2">
        <v>1.3</v>
      </c>
      <c r="AC235" s="2">
        <v>2.1</v>
      </c>
      <c r="AD235" s="2"/>
    </row>
    <row r="236" spans="1:30" x14ac:dyDescent="0.2">
      <c r="A236" t="s">
        <v>38</v>
      </c>
      <c r="B236" s="2">
        <v>26</v>
      </c>
      <c r="C236" t="s">
        <v>39</v>
      </c>
      <c r="D236" s="2" t="s">
        <v>27</v>
      </c>
      <c r="E236" s="2">
        <v>23</v>
      </c>
      <c r="F236" s="2">
        <v>23</v>
      </c>
      <c r="G236" s="2">
        <v>36.5</v>
      </c>
      <c r="H236" s="2">
        <v>9.1</v>
      </c>
      <c r="I236" s="2">
        <v>20.2</v>
      </c>
      <c r="J236" s="2">
        <v>0.45300000000000001</v>
      </c>
      <c r="K236" s="2">
        <v>3.8</v>
      </c>
      <c r="L236" s="2">
        <v>10.5</v>
      </c>
      <c r="M236" s="2">
        <v>0.36399999999999999</v>
      </c>
      <c r="N236" s="2">
        <v>5.3</v>
      </c>
      <c r="O236" s="2">
        <v>9.6999999999999993</v>
      </c>
      <c r="P236" s="2">
        <v>0.55000000000000004</v>
      </c>
      <c r="Q236" s="2">
        <v>0.54700000000000004</v>
      </c>
      <c r="R236" s="2">
        <v>6.1</v>
      </c>
      <c r="S236" s="2">
        <v>7.6</v>
      </c>
      <c r="T236" s="2">
        <v>0.8</v>
      </c>
      <c r="U236" s="2">
        <v>0.5</v>
      </c>
      <c r="V236" s="2">
        <v>8.3000000000000007</v>
      </c>
      <c r="W236" s="2">
        <v>8.9</v>
      </c>
      <c r="X236" s="2">
        <v>5.7</v>
      </c>
      <c r="Y236" s="2">
        <v>1.2</v>
      </c>
      <c r="Z236" s="2">
        <v>0.5</v>
      </c>
      <c r="AA236" s="2">
        <v>2.8</v>
      </c>
      <c r="AB236" s="2">
        <v>2.5</v>
      </c>
      <c r="AC236" s="2">
        <v>28.2</v>
      </c>
      <c r="AD236" s="2"/>
    </row>
    <row r="237" spans="1:30" x14ac:dyDescent="0.2">
      <c r="A237" t="s">
        <v>502</v>
      </c>
      <c r="B237" s="2">
        <v>21</v>
      </c>
      <c r="C237" t="s">
        <v>63</v>
      </c>
      <c r="D237" s="2" t="s">
        <v>33</v>
      </c>
      <c r="E237" s="2">
        <v>6</v>
      </c>
      <c r="F237" s="2">
        <v>0</v>
      </c>
      <c r="G237" s="2">
        <v>2.2999999999999998</v>
      </c>
      <c r="H237" s="2">
        <v>0.5</v>
      </c>
      <c r="I237" s="2">
        <v>0.8</v>
      </c>
      <c r="J237" s="2">
        <v>0.6</v>
      </c>
      <c r="K237" s="2">
        <v>0.3</v>
      </c>
      <c r="L237" s="2">
        <v>0.5</v>
      </c>
      <c r="M237" s="2">
        <v>0.66700000000000004</v>
      </c>
      <c r="N237" s="2">
        <v>0.2</v>
      </c>
      <c r="O237" s="2">
        <v>0.3</v>
      </c>
      <c r="P237" s="2">
        <v>0.5</v>
      </c>
      <c r="Q237" s="2">
        <v>0.8</v>
      </c>
      <c r="R237" s="2">
        <v>0</v>
      </c>
      <c r="S237" s="2">
        <v>0</v>
      </c>
      <c r="T237" s="2"/>
      <c r="U237" s="2">
        <v>0.2</v>
      </c>
      <c r="V237" s="2">
        <v>0</v>
      </c>
      <c r="W237" s="2">
        <v>0.2</v>
      </c>
      <c r="X237" s="2">
        <v>0</v>
      </c>
      <c r="Y237" s="2">
        <v>0</v>
      </c>
      <c r="Z237" s="2">
        <v>0.2</v>
      </c>
      <c r="AA237" s="2">
        <v>0.2</v>
      </c>
      <c r="AB237" s="2">
        <v>0.3</v>
      </c>
      <c r="AC237" s="2">
        <v>1.3</v>
      </c>
      <c r="AD237" s="2"/>
    </row>
    <row r="238" spans="1:30" x14ac:dyDescent="0.2">
      <c r="A238" t="s">
        <v>509</v>
      </c>
      <c r="B238" s="2">
        <v>22</v>
      </c>
      <c r="C238" t="s">
        <v>39</v>
      </c>
      <c r="D238" s="2" t="s">
        <v>33</v>
      </c>
      <c r="E238" s="2">
        <v>5</v>
      </c>
      <c r="F238" s="2">
        <v>0</v>
      </c>
      <c r="G238" s="2">
        <v>4.8</v>
      </c>
      <c r="H238" s="2">
        <v>0.4</v>
      </c>
      <c r="I238" s="2">
        <v>1</v>
      </c>
      <c r="J238" s="2">
        <v>0.4</v>
      </c>
      <c r="K238" s="2">
        <v>0.2</v>
      </c>
      <c r="L238" s="2">
        <v>0.6</v>
      </c>
      <c r="M238" s="2">
        <v>0.33300000000000002</v>
      </c>
      <c r="N238" s="2">
        <v>0.2</v>
      </c>
      <c r="O238" s="2">
        <v>0.4</v>
      </c>
      <c r="P238" s="2">
        <v>0.5</v>
      </c>
      <c r="Q238" s="2">
        <v>0.5</v>
      </c>
      <c r="R238" s="2">
        <v>0.2</v>
      </c>
      <c r="S238" s="2">
        <v>0.4</v>
      </c>
      <c r="T238" s="2">
        <v>0.5</v>
      </c>
      <c r="U238" s="2">
        <v>0</v>
      </c>
      <c r="V238" s="2">
        <v>0.4</v>
      </c>
      <c r="W238" s="2">
        <v>0.4</v>
      </c>
      <c r="X238" s="2">
        <v>0.2</v>
      </c>
      <c r="Y238" s="2">
        <v>0.2</v>
      </c>
      <c r="Z238" s="2">
        <v>0</v>
      </c>
      <c r="AA238" s="2">
        <v>1.2</v>
      </c>
      <c r="AB238" s="2">
        <v>0.2</v>
      </c>
      <c r="AC238" s="2">
        <v>1.2</v>
      </c>
      <c r="AD238" s="2"/>
    </row>
    <row r="239" spans="1:30" x14ac:dyDescent="0.2">
      <c r="A239" t="s">
        <v>508</v>
      </c>
      <c r="B239" s="2">
        <v>25</v>
      </c>
      <c r="C239" t="s">
        <v>87</v>
      </c>
      <c r="D239" s="2" t="s">
        <v>52</v>
      </c>
      <c r="E239" s="2">
        <v>3</v>
      </c>
      <c r="F239" s="2">
        <v>0</v>
      </c>
      <c r="G239" s="2">
        <v>3.3</v>
      </c>
      <c r="H239" s="2">
        <v>1</v>
      </c>
      <c r="I239" s="2">
        <v>1.3</v>
      </c>
      <c r="J239" s="2">
        <v>0.75</v>
      </c>
      <c r="K239" s="2">
        <v>0.3</v>
      </c>
      <c r="L239" s="2">
        <v>0.7</v>
      </c>
      <c r="M239" s="2">
        <v>0.5</v>
      </c>
      <c r="N239" s="2">
        <v>0.7</v>
      </c>
      <c r="O239" s="2">
        <v>0.7</v>
      </c>
      <c r="P239" s="2">
        <v>1</v>
      </c>
      <c r="Q239" s="2">
        <v>0.875</v>
      </c>
      <c r="R239" s="2">
        <v>0</v>
      </c>
      <c r="S239" s="2">
        <v>0</v>
      </c>
      <c r="T239" s="2"/>
      <c r="U239" s="2">
        <v>0</v>
      </c>
      <c r="V239" s="2">
        <v>1</v>
      </c>
      <c r="W239" s="2">
        <v>1</v>
      </c>
      <c r="X239" s="2">
        <v>0</v>
      </c>
      <c r="Y239" s="2">
        <v>0.3</v>
      </c>
      <c r="Z239" s="2">
        <v>0</v>
      </c>
      <c r="AA239" s="2">
        <v>0</v>
      </c>
      <c r="AB239" s="2">
        <v>0</v>
      </c>
      <c r="AC239" s="2">
        <v>2.2999999999999998</v>
      </c>
      <c r="AD239" s="2"/>
    </row>
    <row r="240" spans="1:30" x14ac:dyDescent="0.2">
      <c r="A240" t="s">
        <v>481</v>
      </c>
      <c r="B240" s="2">
        <v>27</v>
      </c>
      <c r="C240" t="s">
        <v>122</v>
      </c>
      <c r="D240" s="2" t="s">
        <v>33</v>
      </c>
      <c r="E240" s="2">
        <v>8</v>
      </c>
      <c r="F240" s="2">
        <v>0</v>
      </c>
      <c r="G240" s="2">
        <v>10</v>
      </c>
      <c r="H240" s="2">
        <v>0.8</v>
      </c>
      <c r="I240" s="2">
        <v>2.4</v>
      </c>
      <c r="J240" s="2">
        <v>0.316</v>
      </c>
      <c r="K240" s="2">
        <v>0.1</v>
      </c>
      <c r="L240" s="2">
        <v>1</v>
      </c>
      <c r="M240" s="2">
        <v>0.125</v>
      </c>
      <c r="N240" s="2">
        <v>0.6</v>
      </c>
      <c r="O240" s="2">
        <v>1.4</v>
      </c>
      <c r="P240" s="2">
        <v>0.45500000000000002</v>
      </c>
      <c r="Q240" s="2">
        <v>0.34200000000000003</v>
      </c>
      <c r="R240" s="2">
        <v>0.4</v>
      </c>
      <c r="S240" s="2">
        <v>0.5</v>
      </c>
      <c r="T240" s="2">
        <v>0.75</v>
      </c>
      <c r="U240" s="2">
        <v>0.3</v>
      </c>
      <c r="V240" s="2">
        <v>0.8</v>
      </c>
      <c r="W240" s="2">
        <v>1</v>
      </c>
      <c r="X240" s="2">
        <v>1.1000000000000001</v>
      </c>
      <c r="Y240" s="2">
        <v>0.4</v>
      </c>
      <c r="Z240" s="2">
        <v>0</v>
      </c>
      <c r="AA240" s="2">
        <v>0.1</v>
      </c>
      <c r="AB240" s="2">
        <v>0.6</v>
      </c>
      <c r="AC240" s="2">
        <v>2</v>
      </c>
      <c r="AD240" s="2"/>
    </row>
    <row r="241" spans="1:30" x14ac:dyDescent="0.2">
      <c r="A241" t="s">
        <v>480</v>
      </c>
      <c r="B241" s="2">
        <v>38</v>
      </c>
      <c r="C241" t="s">
        <v>87</v>
      </c>
      <c r="D241" s="2" t="s">
        <v>27</v>
      </c>
      <c r="E241" s="2">
        <v>7</v>
      </c>
      <c r="F241" s="2">
        <v>0</v>
      </c>
      <c r="G241" s="2">
        <v>5.7</v>
      </c>
      <c r="H241" s="2">
        <v>1</v>
      </c>
      <c r="I241" s="2">
        <v>1.9</v>
      </c>
      <c r="J241" s="2">
        <v>0.53800000000000003</v>
      </c>
      <c r="K241" s="2">
        <v>0.4</v>
      </c>
      <c r="L241" s="2">
        <v>1.1000000000000001</v>
      </c>
      <c r="M241" s="2">
        <v>0.375</v>
      </c>
      <c r="N241" s="2">
        <v>0.6</v>
      </c>
      <c r="O241" s="2">
        <v>0.7</v>
      </c>
      <c r="P241" s="2">
        <v>0.8</v>
      </c>
      <c r="Q241" s="2">
        <v>0.65400000000000003</v>
      </c>
      <c r="R241" s="2">
        <v>0</v>
      </c>
      <c r="S241" s="2">
        <v>0</v>
      </c>
      <c r="T241" s="2"/>
      <c r="U241" s="2">
        <v>0</v>
      </c>
      <c r="V241" s="2">
        <v>0.6</v>
      </c>
      <c r="W241" s="2">
        <v>0.6</v>
      </c>
      <c r="X241" s="2">
        <v>0.1</v>
      </c>
      <c r="Y241" s="2">
        <v>0.3</v>
      </c>
      <c r="Z241" s="2">
        <v>0</v>
      </c>
      <c r="AA241" s="2">
        <v>0.3</v>
      </c>
      <c r="AB241" s="2">
        <v>0.3</v>
      </c>
      <c r="AC241" s="2">
        <v>2.4</v>
      </c>
      <c r="AD241" s="2"/>
    </row>
    <row r="242" spans="1:30" x14ac:dyDescent="0.2">
      <c r="A242" t="s">
        <v>139</v>
      </c>
      <c r="B242" s="2">
        <v>30</v>
      </c>
      <c r="C242" t="s">
        <v>135</v>
      </c>
      <c r="D242" s="2" t="s">
        <v>27</v>
      </c>
      <c r="E242" s="2">
        <v>22</v>
      </c>
      <c r="F242" s="2">
        <v>22</v>
      </c>
      <c r="G242" s="2">
        <v>32.5</v>
      </c>
      <c r="H242" s="2">
        <v>5</v>
      </c>
      <c r="I242" s="2">
        <v>13</v>
      </c>
      <c r="J242" s="2">
        <v>0.38</v>
      </c>
      <c r="K242" s="2">
        <v>2.2000000000000002</v>
      </c>
      <c r="L242" s="2">
        <v>6.3</v>
      </c>
      <c r="M242" s="2">
        <v>0.35499999999999998</v>
      </c>
      <c r="N242" s="2">
        <v>2.7</v>
      </c>
      <c r="O242" s="2">
        <v>6.8</v>
      </c>
      <c r="P242" s="2">
        <v>0.40300000000000002</v>
      </c>
      <c r="Q242" s="2">
        <v>0.46500000000000002</v>
      </c>
      <c r="R242" s="2">
        <v>3.2</v>
      </c>
      <c r="S242" s="2">
        <v>3.9</v>
      </c>
      <c r="T242" s="2">
        <v>0.82399999999999995</v>
      </c>
      <c r="U242" s="2">
        <v>0.5</v>
      </c>
      <c r="V242" s="2">
        <v>3</v>
      </c>
      <c r="W242" s="2">
        <v>3.5</v>
      </c>
      <c r="X242" s="2">
        <v>2.2999999999999998</v>
      </c>
      <c r="Y242" s="2">
        <v>1</v>
      </c>
      <c r="Z242" s="2">
        <v>1.1000000000000001</v>
      </c>
      <c r="AA242" s="2">
        <v>1.4</v>
      </c>
      <c r="AB242" s="2">
        <v>2.2999999999999998</v>
      </c>
      <c r="AC242" s="2">
        <v>15.3</v>
      </c>
      <c r="AD242" s="2"/>
    </row>
    <row r="243" spans="1:30" x14ac:dyDescent="0.2">
      <c r="A243" t="s">
        <v>250</v>
      </c>
      <c r="B243" s="2">
        <v>24</v>
      </c>
      <c r="C243" t="s">
        <v>117</v>
      </c>
      <c r="D243" s="2" t="s">
        <v>27</v>
      </c>
      <c r="E243" s="2">
        <v>25</v>
      </c>
      <c r="F243" s="2">
        <v>4</v>
      </c>
      <c r="G243" s="2">
        <v>20.3</v>
      </c>
      <c r="H243" s="2">
        <v>2.7</v>
      </c>
      <c r="I243" s="2">
        <v>6.1</v>
      </c>
      <c r="J243" s="2">
        <v>0.438</v>
      </c>
      <c r="K243" s="2">
        <v>0.8</v>
      </c>
      <c r="L243" s="2">
        <v>2.6</v>
      </c>
      <c r="M243" s="2">
        <v>0.32300000000000001</v>
      </c>
      <c r="N243" s="2">
        <v>1.8</v>
      </c>
      <c r="O243" s="2">
        <v>3.5</v>
      </c>
      <c r="P243" s="2">
        <v>0.52300000000000002</v>
      </c>
      <c r="Q243" s="2">
        <v>0.50700000000000001</v>
      </c>
      <c r="R243" s="2">
        <v>0.9</v>
      </c>
      <c r="S243" s="2">
        <v>1</v>
      </c>
      <c r="T243" s="2">
        <v>0.88500000000000001</v>
      </c>
      <c r="U243" s="2">
        <v>2.1</v>
      </c>
      <c r="V243" s="2">
        <v>3</v>
      </c>
      <c r="W243" s="2">
        <v>5.0999999999999996</v>
      </c>
      <c r="X243" s="2">
        <v>1.2</v>
      </c>
      <c r="Y243" s="2">
        <v>0.8</v>
      </c>
      <c r="Z243" s="2">
        <v>0.1</v>
      </c>
      <c r="AA243" s="2">
        <v>0.9</v>
      </c>
      <c r="AB243" s="2">
        <v>1.4</v>
      </c>
      <c r="AC243" s="2">
        <v>7.1</v>
      </c>
      <c r="AD243" s="2"/>
    </row>
    <row r="244" spans="1:30" x14ac:dyDescent="0.2">
      <c r="A244" t="s">
        <v>271</v>
      </c>
      <c r="B244" s="2">
        <v>21</v>
      </c>
      <c r="C244" t="s">
        <v>93</v>
      </c>
      <c r="D244" s="2" t="s">
        <v>27</v>
      </c>
      <c r="E244" s="2">
        <v>11</v>
      </c>
      <c r="F244" s="2">
        <v>8</v>
      </c>
      <c r="G244" s="2">
        <v>27.6</v>
      </c>
      <c r="H244" s="2">
        <v>5.7</v>
      </c>
      <c r="I244" s="2">
        <v>11.5</v>
      </c>
      <c r="J244" s="2">
        <v>0.5</v>
      </c>
      <c r="K244" s="2">
        <v>0.4</v>
      </c>
      <c r="L244" s="2">
        <v>1.7</v>
      </c>
      <c r="M244" s="2">
        <v>0.21099999999999999</v>
      </c>
      <c r="N244" s="2">
        <v>5.4</v>
      </c>
      <c r="O244" s="2">
        <v>9.6999999999999993</v>
      </c>
      <c r="P244" s="2">
        <v>0.55100000000000005</v>
      </c>
      <c r="Q244" s="2">
        <v>0.51600000000000001</v>
      </c>
      <c r="R244" s="2">
        <v>2.6</v>
      </c>
      <c r="S244" s="2">
        <v>3.8</v>
      </c>
      <c r="T244" s="2">
        <v>0.69</v>
      </c>
      <c r="U244" s="2">
        <v>2.9</v>
      </c>
      <c r="V244" s="2">
        <v>5.3</v>
      </c>
      <c r="W244" s="2">
        <v>8.1999999999999993</v>
      </c>
      <c r="X244" s="2">
        <v>2.5</v>
      </c>
      <c r="Y244" s="2">
        <v>1</v>
      </c>
      <c r="Z244" s="2">
        <v>0.5</v>
      </c>
      <c r="AA244" s="2">
        <v>1.8</v>
      </c>
      <c r="AB244" s="2">
        <v>2.6</v>
      </c>
      <c r="AC244" s="2">
        <v>14.5</v>
      </c>
      <c r="AD244" s="2"/>
    </row>
    <row r="245" spans="1:30" x14ac:dyDescent="0.2">
      <c r="A245" t="s">
        <v>418</v>
      </c>
      <c r="B245" s="2">
        <v>26</v>
      </c>
      <c r="C245" t="s">
        <v>44</v>
      </c>
      <c r="D245" s="2" t="s">
        <v>42</v>
      </c>
      <c r="E245" s="2">
        <v>24</v>
      </c>
      <c r="F245" s="2">
        <v>2</v>
      </c>
      <c r="G245" s="2">
        <v>12.5</v>
      </c>
      <c r="H245" s="2">
        <v>0.8</v>
      </c>
      <c r="I245" s="2">
        <v>1.1000000000000001</v>
      </c>
      <c r="J245" s="2">
        <v>0.70399999999999996</v>
      </c>
      <c r="K245" s="2">
        <v>0</v>
      </c>
      <c r="L245" s="2">
        <v>0</v>
      </c>
      <c r="M245" s="2"/>
      <c r="N245" s="2">
        <v>0.8</v>
      </c>
      <c r="O245" s="2">
        <v>1.1000000000000001</v>
      </c>
      <c r="P245" s="2">
        <v>0.70399999999999996</v>
      </c>
      <c r="Q245" s="2">
        <v>0.70399999999999996</v>
      </c>
      <c r="R245" s="2">
        <v>0.2</v>
      </c>
      <c r="S245" s="2">
        <v>0.3</v>
      </c>
      <c r="T245" s="2">
        <v>0.57099999999999995</v>
      </c>
      <c r="U245" s="2">
        <v>1.3</v>
      </c>
      <c r="V245" s="2">
        <v>2.2999999999999998</v>
      </c>
      <c r="W245" s="2">
        <v>3.6</v>
      </c>
      <c r="X245" s="2">
        <v>0.6</v>
      </c>
      <c r="Y245" s="2">
        <v>0.3</v>
      </c>
      <c r="Z245" s="2">
        <v>0.4</v>
      </c>
      <c r="AA245" s="2">
        <v>0.5</v>
      </c>
      <c r="AB245" s="2">
        <v>1.3</v>
      </c>
      <c r="AC245" s="2">
        <v>1.8</v>
      </c>
      <c r="AD245" s="2"/>
    </row>
    <row r="246" spans="1:30" x14ac:dyDescent="0.2">
      <c r="A246" t="s">
        <v>333</v>
      </c>
      <c r="B246" s="2">
        <v>21</v>
      </c>
      <c r="C246" t="s">
        <v>48</v>
      </c>
      <c r="D246" s="2" t="s">
        <v>49</v>
      </c>
      <c r="E246" s="2">
        <v>25</v>
      </c>
      <c r="F246" s="2">
        <v>0</v>
      </c>
      <c r="G246" s="2">
        <v>10.7</v>
      </c>
      <c r="H246" s="2">
        <v>1.5</v>
      </c>
      <c r="I246" s="2">
        <v>3.9</v>
      </c>
      <c r="J246" s="2">
        <v>0.378</v>
      </c>
      <c r="K246" s="2">
        <v>1</v>
      </c>
      <c r="L246" s="2">
        <v>3</v>
      </c>
      <c r="M246" s="2">
        <v>0.32</v>
      </c>
      <c r="N246" s="2">
        <v>0.5</v>
      </c>
      <c r="O246" s="2">
        <v>0.9</v>
      </c>
      <c r="P246" s="2">
        <v>0.56499999999999995</v>
      </c>
      <c r="Q246" s="2">
        <v>0.5</v>
      </c>
      <c r="R246" s="2">
        <v>0.2</v>
      </c>
      <c r="S246" s="2">
        <v>0.3</v>
      </c>
      <c r="T246" s="2">
        <v>0.85699999999999998</v>
      </c>
      <c r="U246" s="2">
        <v>0.4</v>
      </c>
      <c r="V246" s="2">
        <v>0.8</v>
      </c>
      <c r="W246" s="2">
        <v>1.2</v>
      </c>
      <c r="X246" s="2">
        <v>0.5</v>
      </c>
      <c r="Y246" s="2">
        <v>0.2</v>
      </c>
      <c r="Z246" s="2">
        <v>0.2</v>
      </c>
      <c r="AA246" s="2">
        <v>0.3</v>
      </c>
      <c r="AB246" s="2">
        <v>0.9</v>
      </c>
      <c r="AC246" s="2">
        <v>4.2</v>
      </c>
      <c r="AD246" s="2"/>
    </row>
    <row r="247" spans="1:30" x14ac:dyDescent="0.2">
      <c r="A247" t="s">
        <v>475</v>
      </c>
      <c r="B247" s="2">
        <v>29</v>
      </c>
      <c r="C247" t="s">
        <v>70</v>
      </c>
      <c r="D247" s="2" t="s">
        <v>33</v>
      </c>
      <c r="E247" s="2">
        <v>11</v>
      </c>
      <c r="F247" s="2">
        <v>0</v>
      </c>
      <c r="G247" s="2">
        <v>4.8</v>
      </c>
      <c r="H247" s="2">
        <v>0.6</v>
      </c>
      <c r="I247" s="2">
        <v>2.1</v>
      </c>
      <c r="J247" s="2">
        <v>0.30399999999999999</v>
      </c>
      <c r="K247" s="2">
        <v>0.4</v>
      </c>
      <c r="L247" s="2">
        <v>1.5</v>
      </c>
      <c r="M247" s="2">
        <v>0.25</v>
      </c>
      <c r="N247" s="2">
        <v>0.3</v>
      </c>
      <c r="O247" s="2">
        <v>0.6</v>
      </c>
      <c r="P247" s="2">
        <v>0.42899999999999999</v>
      </c>
      <c r="Q247" s="2">
        <v>0.39100000000000001</v>
      </c>
      <c r="R247" s="2">
        <v>0</v>
      </c>
      <c r="S247" s="2">
        <v>0</v>
      </c>
      <c r="T247" s="2"/>
      <c r="U247" s="2">
        <v>0.1</v>
      </c>
      <c r="V247" s="2">
        <v>0.6</v>
      </c>
      <c r="W247" s="2">
        <v>0.7</v>
      </c>
      <c r="X247" s="2">
        <v>0.5</v>
      </c>
      <c r="Y247" s="2">
        <v>0.3</v>
      </c>
      <c r="Z247" s="2">
        <v>0</v>
      </c>
      <c r="AA247" s="2">
        <v>0.4</v>
      </c>
      <c r="AB247" s="2">
        <v>0.1</v>
      </c>
      <c r="AC247" s="2">
        <v>1.6</v>
      </c>
      <c r="AD247" s="2"/>
    </row>
    <row r="248" spans="1:30" x14ac:dyDescent="0.2">
      <c r="A248" t="s">
        <v>144</v>
      </c>
      <c r="B248" s="2">
        <v>35</v>
      </c>
      <c r="C248" t="s">
        <v>61</v>
      </c>
      <c r="D248" s="2" t="s">
        <v>27</v>
      </c>
      <c r="E248" s="2">
        <v>18</v>
      </c>
      <c r="F248" s="2">
        <v>18</v>
      </c>
      <c r="G248" s="2">
        <v>31.9</v>
      </c>
      <c r="H248" s="2">
        <v>6.1</v>
      </c>
      <c r="I248" s="2">
        <v>11.1</v>
      </c>
      <c r="J248" s="2">
        <v>0.55000000000000004</v>
      </c>
      <c r="K248" s="2">
        <v>0.5</v>
      </c>
      <c r="L248" s="2">
        <v>1.4</v>
      </c>
      <c r="M248" s="2">
        <v>0.36</v>
      </c>
      <c r="N248" s="2">
        <v>5.6</v>
      </c>
      <c r="O248" s="2">
        <v>9.6999999999999993</v>
      </c>
      <c r="P248" s="2">
        <v>0.57699999999999996</v>
      </c>
      <c r="Q248" s="2">
        <v>0.57299999999999995</v>
      </c>
      <c r="R248" s="2">
        <v>5.8</v>
      </c>
      <c r="S248" s="2">
        <v>7.5</v>
      </c>
      <c r="T248" s="2">
        <v>0.77800000000000002</v>
      </c>
      <c r="U248" s="2">
        <v>2.4</v>
      </c>
      <c r="V248" s="2">
        <v>2.9</v>
      </c>
      <c r="W248" s="2">
        <v>5.3</v>
      </c>
      <c r="X248" s="2">
        <v>4.7</v>
      </c>
      <c r="Y248" s="2">
        <v>1.2</v>
      </c>
      <c r="Z248" s="2">
        <v>0.4</v>
      </c>
      <c r="AA248" s="2">
        <v>1.4</v>
      </c>
      <c r="AB248" s="2">
        <v>1.1000000000000001</v>
      </c>
      <c r="AC248" s="2">
        <v>18.600000000000001</v>
      </c>
      <c r="AD248" s="2"/>
    </row>
    <row r="249" spans="1:30" x14ac:dyDescent="0.2">
      <c r="A249" t="s">
        <v>397</v>
      </c>
      <c r="B249" s="2">
        <v>29</v>
      </c>
      <c r="C249" t="s">
        <v>87</v>
      </c>
      <c r="D249" s="2" t="s">
        <v>42</v>
      </c>
      <c r="E249" s="2">
        <v>14</v>
      </c>
      <c r="F249" s="2">
        <v>0</v>
      </c>
      <c r="G249" s="2">
        <v>11.1</v>
      </c>
      <c r="H249" s="2">
        <v>1.5</v>
      </c>
      <c r="I249" s="2">
        <v>3.4</v>
      </c>
      <c r="J249" s="2">
        <v>0.44700000000000001</v>
      </c>
      <c r="K249" s="2">
        <v>0.2</v>
      </c>
      <c r="L249" s="2">
        <v>0.4</v>
      </c>
      <c r="M249" s="2">
        <v>0.5</v>
      </c>
      <c r="N249" s="2">
        <v>1.3</v>
      </c>
      <c r="O249" s="2">
        <v>2.9</v>
      </c>
      <c r="P249" s="2">
        <v>0.439</v>
      </c>
      <c r="Q249" s="2">
        <v>0.47899999999999998</v>
      </c>
      <c r="R249" s="2">
        <v>0.7</v>
      </c>
      <c r="S249" s="2">
        <v>1.4</v>
      </c>
      <c r="T249" s="2">
        <v>0.52600000000000002</v>
      </c>
      <c r="U249" s="2">
        <v>1.4</v>
      </c>
      <c r="V249" s="2">
        <v>1.9</v>
      </c>
      <c r="W249" s="2">
        <v>3.3</v>
      </c>
      <c r="X249" s="2">
        <v>1</v>
      </c>
      <c r="Y249" s="2">
        <v>0.2</v>
      </c>
      <c r="Z249" s="2">
        <v>0.4</v>
      </c>
      <c r="AA249" s="2">
        <v>0.5</v>
      </c>
      <c r="AB249" s="2">
        <v>1</v>
      </c>
      <c r="AC249" s="2">
        <v>3.9</v>
      </c>
      <c r="AD249" s="2"/>
    </row>
    <row r="250" spans="1:30" x14ac:dyDescent="0.2">
      <c r="A250" t="s">
        <v>558</v>
      </c>
      <c r="B250" s="2">
        <v>37</v>
      </c>
      <c r="C250" t="s">
        <v>51</v>
      </c>
      <c r="D250" s="2" t="s">
        <v>49</v>
      </c>
      <c r="E250" s="2">
        <v>7</v>
      </c>
      <c r="F250" s="2">
        <v>0</v>
      </c>
      <c r="G250" s="2">
        <v>3.7</v>
      </c>
      <c r="H250" s="2">
        <v>0</v>
      </c>
      <c r="I250" s="2">
        <v>0.3</v>
      </c>
      <c r="J250" s="2">
        <v>0</v>
      </c>
      <c r="K250" s="2">
        <v>0</v>
      </c>
      <c r="L250" s="2">
        <v>0.3</v>
      </c>
      <c r="M250" s="2">
        <v>0</v>
      </c>
      <c r="N250" s="2">
        <v>0</v>
      </c>
      <c r="O250" s="2">
        <v>0</v>
      </c>
      <c r="P250" s="2"/>
      <c r="Q250" s="2">
        <v>0</v>
      </c>
      <c r="R250" s="2">
        <v>0</v>
      </c>
      <c r="S250" s="2">
        <v>0</v>
      </c>
      <c r="T250" s="2"/>
      <c r="U250" s="2">
        <v>0.3</v>
      </c>
      <c r="V250" s="2">
        <v>0</v>
      </c>
      <c r="W250" s="2">
        <v>0.3</v>
      </c>
      <c r="X250" s="2">
        <v>1.3</v>
      </c>
      <c r="Y250" s="2">
        <v>0</v>
      </c>
      <c r="Z250" s="2">
        <v>0</v>
      </c>
      <c r="AA250" s="2">
        <v>0.1</v>
      </c>
      <c r="AB250" s="2">
        <v>0.7</v>
      </c>
      <c r="AC250" s="2">
        <v>0</v>
      </c>
      <c r="AD250" s="2"/>
    </row>
    <row r="251" spans="1:30" x14ac:dyDescent="0.2">
      <c r="A251" t="s">
        <v>324</v>
      </c>
      <c r="B251" s="2">
        <v>30</v>
      </c>
      <c r="C251" t="s">
        <v>122</v>
      </c>
      <c r="D251" s="2" t="s">
        <v>42</v>
      </c>
      <c r="E251" s="2">
        <v>5</v>
      </c>
      <c r="F251" s="2">
        <v>5</v>
      </c>
      <c r="G251" s="2">
        <v>31.6</v>
      </c>
      <c r="H251" s="2">
        <v>7</v>
      </c>
      <c r="I251" s="2">
        <v>17.2</v>
      </c>
      <c r="J251" s="2">
        <v>0.40699999999999997</v>
      </c>
      <c r="K251" s="2">
        <v>0.6</v>
      </c>
      <c r="L251" s="2">
        <v>4.5999999999999996</v>
      </c>
      <c r="M251" s="2">
        <v>0.13</v>
      </c>
      <c r="N251" s="2">
        <v>6.4</v>
      </c>
      <c r="O251" s="2">
        <v>12.6</v>
      </c>
      <c r="P251" s="2">
        <v>0.50800000000000001</v>
      </c>
      <c r="Q251" s="2">
        <v>0.42399999999999999</v>
      </c>
      <c r="R251" s="2">
        <v>7.4</v>
      </c>
      <c r="S251" s="2">
        <v>7.6</v>
      </c>
      <c r="T251" s="4">
        <v>0.97399999999999998</v>
      </c>
      <c r="U251" s="2">
        <v>1.6</v>
      </c>
      <c r="V251" s="2">
        <v>6.8</v>
      </c>
      <c r="W251" s="2">
        <v>8.4</v>
      </c>
      <c r="X251" s="2">
        <v>3.6</v>
      </c>
      <c r="Y251" s="2">
        <v>0.4</v>
      </c>
      <c r="Z251" s="2">
        <v>1.2</v>
      </c>
      <c r="AA251" s="2">
        <v>3.8</v>
      </c>
      <c r="AB251" s="2">
        <v>3</v>
      </c>
      <c r="AC251" s="2">
        <v>22</v>
      </c>
      <c r="AD251" s="2"/>
    </row>
    <row r="252" spans="1:30" x14ac:dyDescent="0.2">
      <c r="A252" t="s">
        <v>119</v>
      </c>
      <c r="B252" s="2">
        <v>27</v>
      </c>
      <c r="C252" t="s">
        <v>120</v>
      </c>
      <c r="D252" s="2" t="s">
        <v>27</v>
      </c>
      <c r="E252" s="2">
        <v>22</v>
      </c>
      <c r="F252" s="2">
        <v>13</v>
      </c>
      <c r="G252" s="2">
        <v>28.8</v>
      </c>
      <c r="H252" s="2">
        <v>6.7</v>
      </c>
      <c r="I252" s="2">
        <v>12.5</v>
      </c>
      <c r="J252" s="2">
        <v>0.53500000000000003</v>
      </c>
      <c r="K252" s="2">
        <v>1.4</v>
      </c>
      <c r="L252" s="2">
        <v>3.1</v>
      </c>
      <c r="M252" s="2">
        <v>0.435</v>
      </c>
      <c r="N252" s="2">
        <v>5.3</v>
      </c>
      <c r="O252" s="2">
        <v>9.4</v>
      </c>
      <c r="P252" s="2">
        <v>0.56799999999999995</v>
      </c>
      <c r="Q252" s="2">
        <v>0.58899999999999997</v>
      </c>
      <c r="R252" s="2">
        <v>3.2</v>
      </c>
      <c r="S252" s="2">
        <v>3.5</v>
      </c>
      <c r="T252" s="2">
        <v>0.92200000000000004</v>
      </c>
      <c r="U252" s="2">
        <v>2.4</v>
      </c>
      <c r="V252" s="2">
        <v>5.9</v>
      </c>
      <c r="W252" s="2">
        <v>8.3000000000000007</v>
      </c>
      <c r="X252" s="2">
        <v>2.5</v>
      </c>
      <c r="Y252" s="2">
        <v>1.1000000000000001</v>
      </c>
      <c r="Z252" s="2">
        <v>0.8</v>
      </c>
      <c r="AA252" s="2">
        <v>2.4</v>
      </c>
      <c r="AB252" s="2">
        <v>2.9</v>
      </c>
      <c r="AC252" s="2">
        <v>18</v>
      </c>
      <c r="AD252" s="2"/>
    </row>
    <row r="253" spans="1:30" x14ac:dyDescent="0.2">
      <c r="A253" t="s">
        <v>435</v>
      </c>
      <c r="B253" s="2">
        <v>28</v>
      </c>
      <c r="C253" t="s">
        <v>80</v>
      </c>
      <c r="D253" s="2" t="s">
        <v>52</v>
      </c>
      <c r="E253" s="2">
        <v>12</v>
      </c>
      <c r="F253" s="2">
        <v>0</v>
      </c>
      <c r="G253" s="2">
        <v>12.8</v>
      </c>
      <c r="H253" s="2">
        <v>0.9</v>
      </c>
      <c r="I253" s="2">
        <v>1.8</v>
      </c>
      <c r="J253" s="2">
        <v>0.5</v>
      </c>
      <c r="K253" s="2">
        <v>0.6</v>
      </c>
      <c r="L253" s="2">
        <v>1.5</v>
      </c>
      <c r="M253" s="2">
        <v>0.38900000000000001</v>
      </c>
      <c r="N253" s="2">
        <v>0.3</v>
      </c>
      <c r="O253" s="2">
        <v>0.3</v>
      </c>
      <c r="P253" s="2">
        <v>1</v>
      </c>
      <c r="Q253" s="2">
        <v>0.65900000000000003</v>
      </c>
      <c r="R253" s="2">
        <v>0.3</v>
      </c>
      <c r="S253" s="2">
        <v>0.3</v>
      </c>
      <c r="T253" s="2">
        <v>0.75</v>
      </c>
      <c r="U253" s="2">
        <v>1</v>
      </c>
      <c r="V253" s="2">
        <v>2.1</v>
      </c>
      <c r="W253" s="2">
        <v>3.1</v>
      </c>
      <c r="X253" s="2">
        <v>0.9</v>
      </c>
      <c r="Y253" s="2">
        <v>0.6</v>
      </c>
      <c r="Z253" s="2">
        <v>0.5</v>
      </c>
      <c r="AA253" s="2">
        <v>0.5</v>
      </c>
      <c r="AB253" s="2">
        <v>0.8</v>
      </c>
      <c r="AC253" s="2">
        <v>2.7</v>
      </c>
      <c r="AD253" s="2"/>
    </row>
    <row r="254" spans="1:30" x14ac:dyDescent="0.2">
      <c r="A254" t="s">
        <v>399</v>
      </c>
      <c r="B254" s="2">
        <v>22</v>
      </c>
      <c r="C254" t="s">
        <v>114</v>
      </c>
      <c r="D254" s="2" t="s">
        <v>52</v>
      </c>
      <c r="E254" s="2">
        <v>17</v>
      </c>
      <c r="F254" s="2">
        <v>0</v>
      </c>
      <c r="G254" s="2">
        <v>8.4</v>
      </c>
      <c r="H254" s="2">
        <v>1.3</v>
      </c>
      <c r="I254" s="2">
        <v>2.6</v>
      </c>
      <c r="J254" s="2">
        <v>0.5</v>
      </c>
      <c r="K254" s="2">
        <v>0.2</v>
      </c>
      <c r="L254" s="2">
        <v>0.7</v>
      </c>
      <c r="M254" s="2">
        <v>0.33300000000000002</v>
      </c>
      <c r="N254" s="2">
        <v>1.1000000000000001</v>
      </c>
      <c r="O254" s="2">
        <v>1.9</v>
      </c>
      <c r="P254" s="2">
        <v>0.56299999999999994</v>
      </c>
      <c r="Q254" s="2">
        <v>0.54500000000000004</v>
      </c>
      <c r="R254" s="2">
        <v>0.4</v>
      </c>
      <c r="S254" s="2">
        <v>0.5</v>
      </c>
      <c r="T254" s="2">
        <v>0.66700000000000004</v>
      </c>
      <c r="U254" s="2">
        <v>0.4</v>
      </c>
      <c r="V254" s="2">
        <v>1.1000000000000001</v>
      </c>
      <c r="W254" s="2">
        <v>1.5</v>
      </c>
      <c r="X254" s="2">
        <v>0.3</v>
      </c>
      <c r="Y254" s="2">
        <v>0.5</v>
      </c>
      <c r="Z254" s="2">
        <v>0.2</v>
      </c>
      <c r="AA254" s="2">
        <v>0.2</v>
      </c>
      <c r="AB254" s="2">
        <v>0.8</v>
      </c>
      <c r="AC254" s="2">
        <v>3.2</v>
      </c>
      <c r="AD254" s="2"/>
    </row>
    <row r="255" spans="1:30" x14ac:dyDescent="0.2">
      <c r="A255" t="s">
        <v>403</v>
      </c>
      <c r="B255" s="2">
        <v>20</v>
      </c>
      <c r="C255" t="s">
        <v>82</v>
      </c>
      <c r="D255" s="2" t="s">
        <v>52</v>
      </c>
      <c r="E255" s="2">
        <v>15</v>
      </c>
      <c r="F255" s="2">
        <v>0</v>
      </c>
      <c r="G255" s="2">
        <v>10</v>
      </c>
      <c r="H255" s="2">
        <v>1.1000000000000001</v>
      </c>
      <c r="I255" s="2">
        <v>2.8</v>
      </c>
      <c r="J255" s="2">
        <v>0.40500000000000003</v>
      </c>
      <c r="K255" s="2">
        <v>0.7</v>
      </c>
      <c r="L255" s="2">
        <v>1.6</v>
      </c>
      <c r="M255" s="2">
        <v>0.41699999999999998</v>
      </c>
      <c r="N255" s="2">
        <v>0.5</v>
      </c>
      <c r="O255" s="2">
        <v>1.2</v>
      </c>
      <c r="P255" s="2">
        <v>0.38900000000000001</v>
      </c>
      <c r="Q255" s="2">
        <v>0.52400000000000002</v>
      </c>
      <c r="R255" s="2">
        <v>0.5</v>
      </c>
      <c r="S255" s="2">
        <v>0.5</v>
      </c>
      <c r="T255" s="2">
        <v>1</v>
      </c>
      <c r="U255" s="2">
        <v>0.7</v>
      </c>
      <c r="V255" s="2">
        <v>0.8</v>
      </c>
      <c r="W255" s="2">
        <v>1.5</v>
      </c>
      <c r="X255" s="2">
        <v>0.4</v>
      </c>
      <c r="Y255" s="2">
        <v>0.3</v>
      </c>
      <c r="Z255" s="2">
        <v>0.3</v>
      </c>
      <c r="AA255" s="2">
        <v>0.5</v>
      </c>
      <c r="AB255" s="2">
        <v>0.8</v>
      </c>
      <c r="AC255" s="2">
        <v>3.4</v>
      </c>
      <c r="AD255" s="2"/>
    </row>
    <row r="256" spans="1:30" x14ac:dyDescent="0.2">
      <c r="A256" t="s">
        <v>305</v>
      </c>
      <c r="B256" s="2">
        <v>23</v>
      </c>
      <c r="C256" t="s">
        <v>120</v>
      </c>
      <c r="D256" s="2" t="s">
        <v>52</v>
      </c>
      <c r="E256" s="2">
        <v>19</v>
      </c>
      <c r="F256" s="2">
        <v>0</v>
      </c>
      <c r="G256" s="2">
        <v>17.3</v>
      </c>
      <c r="H256" s="2">
        <v>2.2999999999999998</v>
      </c>
      <c r="I256" s="2">
        <v>5.9</v>
      </c>
      <c r="J256" s="2">
        <v>0.39300000000000002</v>
      </c>
      <c r="K256" s="2">
        <v>1.5</v>
      </c>
      <c r="L256" s="2">
        <v>4.2</v>
      </c>
      <c r="M256" s="2">
        <v>0.36299999999999999</v>
      </c>
      <c r="N256" s="2">
        <v>0.8</v>
      </c>
      <c r="O256" s="2">
        <v>1.7</v>
      </c>
      <c r="P256" s="2">
        <v>0.46899999999999997</v>
      </c>
      <c r="Q256" s="2">
        <v>0.52200000000000002</v>
      </c>
      <c r="R256" s="2">
        <v>0.6</v>
      </c>
      <c r="S256" s="2">
        <v>0.7</v>
      </c>
      <c r="T256" s="2">
        <v>0.84599999999999997</v>
      </c>
      <c r="U256" s="2">
        <v>0.5</v>
      </c>
      <c r="V256" s="2">
        <v>1.6</v>
      </c>
      <c r="W256" s="2">
        <v>2.2000000000000002</v>
      </c>
      <c r="X256" s="2">
        <v>1.1000000000000001</v>
      </c>
      <c r="Y256" s="2">
        <v>0.4</v>
      </c>
      <c r="Z256" s="2">
        <v>0.2</v>
      </c>
      <c r="AA256" s="2">
        <v>0.6</v>
      </c>
      <c r="AB256" s="2">
        <v>1.9</v>
      </c>
      <c r="AC256" s="2">
        <v>6.7</v>
      </c>
      <c r="AD256" s="2"/>
    </row>
    <row r="257" spans="1:30" x14ac:dyDescent="0.2">
      <c r="A257" t="s">
        <v>175</v>
      </c>
      <c r="B257" s="2">
        <v>32</v>
      </c>
      <c r="C257" t="s">
        <v>114</v>
      </c>
      <c r="D257" s="2" t="s">
        <v>42</v>
      </c>
      <c r="E257" s="2">
        <v>22</v>
      </c>
      <c r="F257" s="2">
        <v>6</v>
      </c>
      <c r="G257" s="2">
        <v>20.3</v>
      </c>
      <c r="H257" s="2">
        <v>5</v>
      </c>
      <c r="I257" s="2">
        <v>8.9</v>
      </c>
      <c r="J257" s="2">
        <v>0.56599999999999995</v>
      </c>
      <c r="K257" s="2">
        <v>0.1</v>
      </c>
      <c r="L257" s="2">
        <v>0.5</v>
      </c>
      <c r="M257" s="2">
        <v>0.2</v>
      </c>
      <c r="N257" s="2">
        <v>5</v>
      </c>
      <c r="O257" s="2">
        <v>8.5</v>
      </c>
      <c r="P257" s="2">
        <v>0.58599999999999997</v>
      </c>
      <c r="Q257" s="2">
        <v>0.57099999999999995</v>
      </c>
      <c r="R257" s="2">
        <v>2.5</v>
      </c>
      <c r="S257" s="2">
        <v>2.7</v>
      </c>
      <c r="T257" s="2">
        <v>0.91500000000000004</v>
      </c>
      <c r="U257" s="2">
        <v>2.5</v>
      </c>
      <c r="V257" s="2">
        <v>5.5</v>
      </c>
      <c r="W257" s="2">
        <v>8.1</v>
      </c>
      <c r="X257" s="2">
        <v>2.2000000000000002</v>
      </c>
      <c r="Y257" s="2">
        <v>0.4</v>
      </c>
      <c r="Z257" s="2">
        <v>0.9</v>
      </c>
      <c r="AA257" s="2">
        <v>1.8</v>
      </c>
      <c r="AB257" s="2">
        <v>1.7</v>
      </c>
      <c r="AC257" s="2">
        <v>12.6</v>
      </c>
      <c r="AD257" s="2"/>
    </row>
    <row r="258" spans="1:30" x14ac:dyDescent="0.2">
      <c r="A258" t="s">
        <v>299</v>
      </c>
      <c r="B258" s="2">
        <v>27</v>
      </c>
      <c r="C258" t="s">
        <v>48</v>
      </c>
      <c r="D258" s="2" t="s">
        <v>27</v>
      </c>
      <c r="E258" s="2">
        <v>21</v>
      </c>
      <c r="F258" s="2">
        <v>0</v>
      </c>
      <c r="G258" s="2">
        <v>16.899999999999999</v>
      </c>
      <c r="H258" s="2">
        <v>2.4</v>
      </c>
      <c r="I258" s="2">
        <v>5.4</v>
      </c>
      <c r="J258" s="2">
        <v>0.442</v>
      </c>
      <c r="K258" s="2">
        <v>0.8</v>
      </c>
      <c r="L258" s="2">
        <v>2.8</v>
      </c>
      <c r="M258" s="2">
        <v>0.29299999999999998</v>
      </c>
      <c r="N258" s="2">
        <v>1.6</v>
      </c>
      <c r="O258" s="2">
        <v>2.6</v>
      </c>
      <c r="P258" s="2">
        <v>0.6</v>
      </c>
      <c r="Q258" s="2">
        <v>0.51800000000000002</v>
      </c>
      <c r="R258" s="2">
        <v>0.9</v>
      </c>
      <c r="S258" s="2">
        <v>1.3</v>
      </c>
      <c r="T258" s="2">
        <v>0.67900000000000005</v>
      </c>
      <c r="U258" s="2">
        <v>1.8</v>
      </c>
      <c r="V258" s="2">
        <v>3</v>
      </c>
      <c r="W258" s="2">
        <v>4.7</v>
      </c>
      <c r="X258" s="2">
        <v>0.2</v>
      </c>
      <c r="Y258" s="2">
        <v>0.9</v>
      </c>
      <c r="Z258" s="2">
        <v>1.4</v>
      </c>
      <c r="AA258" s="2">
        <v>0.4</v>
      </c>
      <c r="AB258" s="2">
        <v>1.5</v>
      </c>
      <c r="AC258" s="2">
        <v>6.5</v>
      </c>
      <c r="AD258" s="2"/>
    </row>
    <row r="259" spans="1:30" x14ac:dyDescent="0.2">
      <c r="A259" t="s">
        <v>141</v>
      </c>
      <c r="B259" s="2">
        <v>22</v>
      </c>
      <c r="C259" t="s">
        <v>100</v>
      </c>
      <c r="D259" s="2" t="s">
        <v>27</v>
      </c>
      <c r="E259" s="2">
        <v>22</v>
      </c>
      <c r="F259" s="2">
        <v>9</v>
      </c>
      <c r="G259" s="2">
        <v>25</v>
      </c>
      <c r="H259" s="2">
        <v>5.8</v>
      </c>
      <c r="I259" s="2">
        <v>13.1</v>
      </c>
      <c r="J259" s="2">
        <v>0.44400000000000001</v>
      </c>
      <c r="K259" s="2">
        <v>1.2</v>
      </c>
      <c r="L259" s="2">
        <v>3.8</v>
      </c>
      <c r="M259" s="2">
        <v>0.31</v>
      </c>
      <c r="N259" s="2">
        <v>4.5999999999999996</v>
      </c>
      <c r="O259" s="2">
        <v>9.3000000000000007</v>
      </c>
      <c r="P259" s="2">
        <v>0.5</v>
      </c>
      <c r="Q259" s="2">
        <v>0.49</v>
      </c>
      <c r="R259" s="2">
        <v>2.4</v>
      </c>
      <c r="S259" s="2">
        <v>4.0999999999999996</v>
      </c>
      <c r="T259" s="2">
        <v>0.58199999999999996</v>
      </c>
      <c r="U259" s="2">
        <v>1.2</v>
      </c>
      <c r="V259" s="2">
        <v>3.2</v>
      </c>
      <c r="W259" s="2">
        <v>4.5</v>
      </c>
      <c r="X259" s="2">
        <v>1.8</v>
      </c>
      <c r="Y259" s="2">
        <v>1</v>
      </c>
      <c r="Z259" s="2">
        <v>0.6</v>
      </c>
      <c r="AA259" s="2">
        <v>1.5</v>
      </c>
      <c r="AB259" s="2">
        <v>2.1</v>
      </c>
      <c r="AC259" s="2">
        <v>15.2</v>
      </c>
      <c r="AD259" s="2"/>
    </row>
    <row r="260" spans="1:30" x14ac:dyDescent="0.2">
      <c r="A260" t="s">
        <v>287</v>
      </c>
      <c r="B260" s="2">
        <v>23</v>
      </c>
      <c r="C260" t="s">
        <v>66</v>
      </c>
      <c r="D260" s="2" t="s">
        <v>27</v>
      </c>
      <c r="E260" s="2">
        <v>26</v>
      </c>
      <c r="F260" s="2">
        <v>2</v>
      </c>
      <c r="G260" s="2">
        <v>16.899999999999999</v>
      </c>
      <c r="H260" s="2">
        <v>2.1</v>
      </c>
      <c r="I260" s="2">
        <v>4.4000000000000004</v>
      </c>
      <c r="J260" s="2">
        <v>0.47399999999999998</v>
      </c>
      <c r="K260" s="2">
        <v>0.3</v>
      </c>
      <c r="L260" s="2">
        <v>0.8</v>
      </c>
      <c r="M260" s="2">
        <v>0.35</v>
      </c>
      <c r="N260" s="2">
        <v>1.8</v>
      </c>
      <c r="O260" s="2">
        <v>3.6</v>
      </c>
      <c r="P260" s="2">
        <v>0.5</v>
      </c>
      <c r="Q260" s="2">
        <v>0.504</v>
      </c>
      <c r="R260" s="2">
        <v>1.2</v>
      </c>
      <c r="S260" s="2">
        <v>1.6</v>
      </c>
      <c r="T260" s="2">
        <v>0.71399999999999997</v>
      </c>
      <c r="U260" s="2">
        <v>2.2000000000000002</v>
      </c>
      <c r="V260" s="2">
        <v>2.5</v>
      </c>
      <c r="W260" s="2">
        <v>4.5999999999999996</v>
      </c>
      <c r="X260" s="2">
        <v>1.8</v>
      </c>
      <c r="Y260" s="2">
        <v>0.8</v>
      </c>
      <c r="Z260" s="2">
        <v>0.4</v>
      </c>
      <c r="AA260" s="2">
        <v>0.9</v>
      </c>
      <c r="AB260" s="2">
        <v>1.8</v>
      </c>
      <c r="AC260" s="2">
        <v>5.6</v>
      </c>
      <c r="AD260" s="2"/>
    </row>
    <row r="261" spans="1:30" x14ac:dyDescent="0.2">
      <c r="A261" t="s">
        <v>236</v>
      </c>
      <c r="B261" s="2">
        <v>32</v>
      </c>
      <c r="C261" t="s">
        <v>120</v>
      </c>
      <c r="D261" s="2" t="s">
        <v>52</v>
      </c>
      <c r="E261" s="2">
        <v>13</v>
      </c>
      <c r="F261" s="2">
        <v>2</v>
      </c>
      <c r="G261" s="2">
        <v>26</v>
      </c>
      <c r="H261" s="2">
        <v>5.2</v>
      </c>
      <c r="I261" s="2">
        <v>13.4</v>
      </c>
      <c r="J261" s="2">
        <v>0.39100000000000001</v>
      </c>
      <c r="K261" s="2">
        <v>1.7</v>
      </c>
      <c r="L261" s="2">
        <v>6.2</v>
      </c>
      <c r="M261" s="2">
        <v>0.27500000000000002</v>
      </c>
      <c r="N261" s="2">
        <v>3.5</v>
      </c>
      <c r="O261" s="2">
        <v>7.2</v>
      </c>
      <c r="P261" s="2">
        <v>0.48899999999999999</v>
      </c>
      <c r="Q261" s="2">
        <v>0.45400000000000001</v>
      </c>
      <c r="R261" s="2">
        <v>2.8</v>
      </c>
      <c r="S261" s="2">
        <v>3.5</v>
      </c>
      <c r="T261" s="2">
        <v>0.80400000000000005</v>
      </c>
      <c r="U261" s="2">
        <v>0.8</v>
      </c>
      <c r="V261" s="2">
        <v>3.1</v>
      </c>
      <c r="W261" s="2">
        <v>3.8</v>
      </c>
      <c r="X261" s="2">
        <v>3.8</v>
      </c>
      <c r="Y261" s="2">
        <v>0.8</v>
      </c>
      <c r="Z261" s="2">
        <v>0.1</v>
      </c>
      <c r="AA261" s="2">
        <v>2</v>
      </c>
      <c r="AB261" s="2">
        <v>1.5</v>
      </c>
      <c r="AC261" s="2">
        <v>15</v>
      </c>
      <c r="AD261" s="2"/>
    </row>
    <row r="262" spans="1:30" x14ac:dyDescent="0.2">
      <c r="A262" t="s">
        <v>289</v>
      </c>
      <c r="B262" s="2">
        <v>22</v>
      </c>
      <c r="C262" t="s">
        <v>117</v>
      </c>
      <c r="D262" s="2" t="s">
        <v>52</v>
      </c>
      <c r="E262" s="2">
        <v>11</v>
      </c>
      <c r="F262" s="2">
        <v>3</v>
      </c>
      <c r="G262" s="2">
        <v>27.5</v>
      </c>
      <c r="H262" s="2">
        <v>4.3</v>
      </c>
      <c r="I262" s="2">
        <v>11.5</v>
      </c>
      <c r="J262" s="2">
        <v>0.373</v>
      </c>
      <c r="K262" s="2">
        <v>2</v>
      </c>
      <c r="L262" s="2">
        <v>6</v>
      </c>
      <c r="M262" s="2">
        <v>0.33300000000000002</v>
      </c>
      <c r="N262" s="2">
        <v>2.2999999999999998</v>
      </c>
      <c r="O262" s="2">
        <v>5.5</v>
      </c>
      <c r="P262" s="2">
        <v>0.41699999999999998</v>
      </c>
      <c r="Q262" s="2">
        <v>0.46</v>
      </c>
      <c r="R262" s="2">
        <v>2.5</v>
      </c>
      <c r="S262" s="2">
        <v>2.8</v>
      </c>
      <c r="T262" s="2">
        <v>0.90300000000000002</v>
      </c>
      <c r="U262" s="2">
        <v>0.5</v>
      </c>
      <c r="V262" s="2">
        <v>3.4</v>
      </c>
      <c r="W262" s="2">
        <v>3.8</v>
      </c>
      <c r="X262" s="2">
        <v>1.3</v>
      </c>
      <c r="Y262" s="2">
        <v>0.3</v>
      </c>
      <c r="Z262" s="2">
        <v>0.4</v>
      </c>
      <c r="AA262" s="2">
        <v>1.3</v>
      </c>
      <c r="AB262" s="2">
        <v>1.1000000000000001</v>
      </c>
      <c r="AC262" s="2">
        <v>13.1</v>
      </c>
      <c r="AD262" s="2"/>
    </row>
    <row r="263" spans="1:30" x14ac:dyDescent="0.2">
      <c r="A263" t="s">
        <v>412</v>
      </c>
      <c r="B263" s="2">
        <v>28</v>
      </c>
      <c r="C263" t="s">
        <v>37</v>
      </c>
      <c r="D263" s="2" t="s">
        <v>33</v>
      </c>
      <c r="E263" s="2">
        <v>20</v>
      </c>
      <c r="F263" s="2">
        <v>0</v>
      </c>
      <c r="G263" s="2">
        <v>7.9</v>
      </c>
      <c r="H263" s="2">
        <v>0.7</v>
      </c>
      <c r="I263" s="2">
        <v>1.9</v>
      </c>
      <c r="J263" s="2">
        <v>0.36799999999999999</v>
      </c>
      <c r="K263" s="2">
        <v>0.4</v>
      </c>
      <c r="L263" s="2">
        <v>1.1000000000000001</v>
      </c>
      <c r="M263" s="2">
        <v>0.36399999999999999</v>
      </c>
      <c r="N263" s="2">
        <v>0.3</v>
      </c>
      <c r="O263" s="2">
        <v>0.8</v>
      </c>
      <c r="P263" s="2">
        <v>0.375</v>
      </c>
      <c r="Q263" s="2">
        <v>0.47399999999999998</v>
      </c>
      <c r="R263" s="2">
        <v>0.5</v>
      </c>
      <c r="S263" s="2">
        <v>0.7</v>
      </c>
      <c r="T263" s="2">
        <v>0.71399999999999997</v>
      </c>
      <c r="U263" s="2">
        <v>0.2</v>
      </c>
      <c r="V263" s="2">
        <v>0.8</v>
      </c>
      <c r="W263" s="2">
        <v>1</v>
      </c>
      <c r="X263" s="2">
        <v>1</v>
      </c>
      <c r="Y263" s="2">
        <v>0.5</v>
      </c>
      <c r="Z263" s="2">
        <v>0</v>
      </c>
      <c r="AA263" s="2">
        <v>0.4</v>
      </c>
      <c r="AB263" s="2">
        <v>0.6</v>
      </c>
      <c r="AC263" s="2">
        <v>2.2999999999999998</v>
      </c>
      <c r="AD263" s="2"/>
    </row>
    <row r="264" spans="1:30" x14ac:dyDescent="0.2">
      <c r="A264" t="s">
        <v>325</v>
      </c>
      <c r="B264" s="2">
        <v>25</v>
      </c>
      <c r="C264" t="s">
        <v>77</v>
      </c>
      <c r="D264" s="2" t="s">
        <v>49</v>
      </c>
      <c r="E264" s="2">
        <v>14</v>
      </c>
      <c r="F264" s="2">
        <v>0</v>
      </c>
      <c r="G264" s="2">
        <v>16.3</v>
      </c>
      <c r="H264" s="2">
        <v>3.1</v>
      </c>
      <c r="I264" s="2">
        <v>6.6</v>
      </c>
      <c r="J264" s="2">
        <v>0.46700000000000003</v>
      </c>
      <c r="K264" s="2">
        <v>0.5</v>
      </c>
      <c r="L264" s="2">
        <v>1.6</v>
      </c>
      <c r="M264" s="2">
        <v>0.30399999999999999</v>
      </c>
      <c r="N264" s="2">
        <v>2.6</v>
      </c>
      <c r="O264" s="2">
        <v>4.9000000000000004</v>
      </c>
      <c r="P264" s="2">
        <v>0.52200000000000002</v>
      </c>
      <c r="Q264" s="2">
        <v>0.505</v>
      </c>
      <c r="R264" s="2">
        <v>1.2</v>
      </c>
      <c r="S264" s="2">
        <v>1.6</v>
      </c>
      <c r="T264" s="2">
        <v>0.77300000000000002</v>
      </c>
      <c r="U264" s="2">
        <v>1.2</v>
      </c>
      <c r="V264" s="2">
        <v>1.3</v>
      </c>
      <c r="W264" s="2">
        <v>2.5</v>
      </c>
      <c r="X264" s="2">
        <v>1.3</v>
      </c>
      <c r="Y264" s="2">
        <v>0.4</v>
      </c>
      <c r="Z264" s="2">
        <v>0.1</v>
      </c>
      <c r="AA264" s="2">
        <v>1</v>
      </c>
      <c r="AB264" s="2">
        <v>1.1000000000000001</v>
      </c>
      <c r="AC264" s="2">
        <v>7.9</v>
      </c>
      <c r="AD264" s="2"/>
    </row>
    <row r="265" spans="1:30" x14ac:dyDescent="0.2">
      <c r="A265" t="s">
        <v>113</v>
      </c>
      <c r="B265" s="2">
        <v>25</v>
      </c>
      <c r="C265" t="s">
        <v>114</v>
      </c>
      <c r="D265" s="2" t="s">
        <v>52</v>
      </c>
      <c r="E265" s="2">
        <v>20</v>
      </c>
      <c r="F265" s="2">
        <v>20</v>
      </c>
      <c r="G265" s="2">
        <v>30.3</v>
      </c>
      <c r="H265" s="2">
        <v>6.7</v>
      </c>
      <c r="I265" s="2">
        <v>15.4</v>
      </c>
      <c r="J265" s="2">
        <v>0.436</v>
      </c>
      <c r="K265" s="2">
        <v>3.2</v>
      </c>
      <c r="L265" s="2">
        <v>7.9</v>
      </c>
      <c r="M265" s="2">
        <v>0.40799999999999997</v>
      </c>
      <c r="N265" s="2">
        <v>3.5</v>
      </c>
      <c r="O265" s="2">
        <v>7.5</v>
      </c>
      <c r="P265" s="2">
        <v>0.46700000000000003</v>
      </c>
      <c r="Q265" s="2">
        <v>0.54100000000000004</v>
      </c>
      <c r="R265" s="2">
        <v>3.8</v>
      </c>
      <c r="S265" s="2">
        <v>4.5</v>
      </c>
      <c r="T265" s="2">
        <v>0.85399999999999998</v>
      </c>
      <c r="U265" s="2">
        <v>0.2</v>
      </c>
      <c r="V265" s="2">
        <v>2</v>
      </c>
      <c r="W265" s="2">
        <v>2.2000000000000002</v>
      </c>
      <c r="X265" s="2">
        <v>5</v>
      </c>
      <c r="Y265" s="2">
        <v>1.6</v>
      </c>
      <c r="Z265" s="2">
        <v>0.4</v>
      </c>
      <c r="AA265" s="2">
        <v>3.4</v>
      </c>
      <c r="AB265" s="2">
        <v>3.3</v>
      </c>
      <c r="AC265" s="2">
        <v>20.399999999999999</v>
      </c>
      <c r="AD265" s="2"/>
    </row>
    <row r="266" spans="1:30" x14ac:dyDescent="0.2">
      <c r="A266" t="s">
        <v>457</v>
      </c>
      <c r="B266" s="2">
        <v>20</v>
      </c>
      <c r="C266" t="s">
        <v>39</v>
      </c>
      <c r="D266" s="2" t="s">
        <v>27</v>
      </c>
      <c r="E266" s="2">
        <v>17</v>
      </c>
      <c r="F266" s="2">
        <v>1</v>
      </c>
      <c r="G266" s="2">
        <v>9.1</v>
      </c>
      <c r="H266" s="2">
        <v>0.5</v>
      </c>
      <c r="I266" s="2">
        <v>1.7</v>
      </c>
      <c r="J266" s="2">
        <v>0.31</v>
      </c>
      <c r="K266" s="2">
        <v>0.3</v>
      </c>
      <c r="L266" s="2">
        <v>1.3</v>
      </c>
      <c r="M266" s="2">
        <v>0.22700000000000001</v>
      </c>
      <c r="N266" s="2">
        <v>0.2</v>
      </c>
      <c r="O266" s="2">
        <v>0.4</v>
      </c>
      <c r="P266" s="2">
        <v>0.57099999999999995</v>
      </c>
      <c r="Q266" s="2">
        <v>0.39700000000000002</v>
      </c>
      <c r="R266" s="2">
        <v>0</v>
      </c>
      <c r="S266" s="2">
        <v>0.1</v>
      </c>
      <c r="T266" s="2">
        <v>0</v>
      </c>
      <c r="U266" s="2">
        <v>0.4</v>
      </c>
      <c r="V266" s="2">
        <v>0.8</v>
      </c>
      <c r="W266" s="2">
        <v>1.2</v>
      </c>
      <c r="X266" s="2">
        <v>0.2</v>
      </c>
      <c r="Y266" s="2">
        <v>0.3</v>
      </c>
      <c r="Z266" s="2">
        <v>0.4</v>
      </c>
      <c r="AA266" s="2">
        <v>0.2</v>
      </c>
      <c r="AB266" s="2">
        <v>0.6</v>
      </c>
      <c r="AC266" s="2">
        <v>1.4</v>
      </c>
      <c r="AD266" s="2"/>
    </row>
    <row r="267" spans="1:30" x14ac:dyDescent="0.2">
      <c r="A267" t="s">
        <v>317</v>
      </c>
      <c r="B267" s="2">
        <v>26</v>
      </c>
      <c r="C267" t="s">
        <v>117</v>
      </c>
      <c r="D267" s="2" t="s">
        <v>33</v>
      </c>
      <c r="E267" s="2">
        <v>11</v>
      </c>
      <c r="F267" s="2">
        <v>7</v>
      </c>
      <c r="G267" s="2">
        <v>25.6</v>
      </c>
      <c r="H267" s="2">
        <v>3.6</v>
      </c>
      <c r="I267" s="2">
        <v>9.1999999999999993</v>
      </c>
      <c r="J267" s="2">
        <v>0.39600000000000002</v>
      </c>
      <c r="K267" s="2">
        <v>2.2000000000000002</v>
      </c>
      <c r="L267" s="2">
        <v>5.5</v>
      </c>
      <c r="M267" s="2">
        <v>0.4</v>
      </c>
      <c r="N267" s="2">
        <v>1.5</v>
      </c>
      <c r="O267" s="2">
        <v>3.7</v>
      </c>
      <c r="P267" s="2">
        <v>0.39</v>
      </c>
      <c r="Q267" s="2">
        <v>0.51500000000000001</v>
      </c>
      <c r="R267" s="2">
        <v>1.3</v>
      </c>
      <c r="S267" s="2">
        <v>1.5</v>
      </c>
      <c r="T267" s="2">
        <v>0.82399999999999995</v>
      </c>
      <c r="U267" s="2">
        <v>0.5</v>
      </c>
      <c r="V267" s="2">
        <v>1.6</v>
      </c>
      <c r="W267" s="2">
        <v>2.2000000000000002</v>
      </c>
      <c r="X267" s="2">
        <v>4.5</v>
      </c>
      <c r="Y267" s="2">
        <v>1.5</v>
      </c>
      <c r="Z267" s="2">
        <v>0.3</v>
      </c>
      <c r="AA267" s="2">
        <v>1.3</v>
      </c>
      <c r="AB267" s="2">
        <v>2.4</v>
      </c>
      <c r="AC267" s="2">
        <v>10.7</v>
      </c>
      <c r="AD267" s="2"/>
    </row>
    <row r="268" spans="1:30" x14ac:dyDescent="0.2">
      <c r="A268" t="s">
        <v>161</v>
      </c>
      <c r="B268" s="2">
        <v>22</v>
      </c>
      <c r="C268" t="s">
        <v>70</v>
      </c>
      <c r="D268" s="2" t="s">
        <v>33</v>
      </c>
      <c r="E268" s="2">
        <v>25</v>
      </c>
      <c r="F268" s="2">
        <v>25</v>
      </c>
      <c r="G268" s="2">
        <v>27.2</v>
      </c>
      <c r="H268" s="2">
        <v>4.5</v>
      </c>
      <c r="I268" s="2">
        <v>10.1</v>
      </c>
      <c r="J268" s="2">
        <v>0.443</v>
      </c>
      <c r="K268" s="2">
        <v>1.2</v>
      </c>
      <c r="L268" s="2">
        <v>3.6</v>
      </c>
      <c r="M268" s="2">
        <v>0.31900000000000001</v>
      </c>
      <c r="N268" s="2">
        <v>3.3</v>
      </c>
      <c r="O268" s="2">
        <v>6.5</v>
      </c>
      <c r="P268" s="2">
        <v>0.51200000000000001</v>
      </c>
      <c r="Q268" s="2">
        <v>0.5</v>
      </c>
      <c r="R268" s="2">
        <v>1.6</v>
      </c>
      <c r="S268" s="2">
        <v>2.2999999999999998</v>
      </c>
      <c r="T268" s="2">
        <v>0.69</v>
      </c>
      <c r="U268" s="2">
        <v>1.2</v>
      </c>
      <c r="V268" s="2">
        <v>5</v>
      </c>
      <c r="W268" s="2">
        <v>6.2</v>
      </c>
      <c r="X268" s="2">
        <v>6.9</v>
      </c>
      <c r="Y268" s="2">
        <v>0.8</v>
      </c>
      <c r="Z268" s="2">
        <v>0.4</v>
      </c>
      <c r="AA268" s="2">
        <v>2.6</v>
      </c>
      <c r="AB268" s="2">
        <v>1.5</v>
      </c>
      <c r="AC268" s="2">
        <v>11.7</v>
      </c>
      <c r="AD268" s="2"/>
    </row>
    <row r="269" spans="1:30" x14ac:dyDescent="0.2">
      <c r="A269" t="s">
        <v>264</v>
      </c>
      <c r="B269" s="2">
        <v>24</v>
      </c>
      <c r="C269" t="s">
        <v>59</v>
      </c>
      <c r="D269" s="2" t="s">
        <v>52</v>
      </c>
      <c r="E269" s="2">
        <v>22</v>
      </c>
      <c r="F269" s="2">
        <v>21</v>
      </c>
      <c r="G269" s="2">
        <v>27.6</v>
      </c>
      <c r="H269" s="2">
        <v>2.7</v>
      </c>
      <c r="I269" s="2">
        <v>6.2</v>
      </c>
      <c r="J269" s="2">
        <v>0.438</v>
      </c>
      <c r="K269" s="2">
        <v>1.5</v>
      </c>
      <c r="L269" s="2">
        <v>3.3</v>
      </c>
      <c r="M269" s="2">
        <v>0.45200000000000001</v>
      </c>
      <c r="N269" s="2">
        <v>1.2</v>
      </c>
      <c r="O269" s="2">
        <v>2.9</v>
      </c>
      <c r="P269" s="2">
        <v>0.42199999999999999</v>
      </c>
      <c r="Q269" s="2">
        <v>0.55800000000000005</v>
      </c>
      <c r="R269" s="2">
        <v>0.6</v>
      </c>
      <c r="S269" s="2">
        <v>1</v>
      </c>
      <c r="T269" s="2">
        <v>0.59099999999999997</v>
      </c>
      <c r="U269" s="2">
        <v>1</v>
      </c>
      <c r="V269" s="2">
        <v>1.7</v>
      </c>
      <c r="W269" s="2">
        <v>2.6</v>
      </c>
      <c r="X269" s="2">
        <v>1.7</v>
      </c>
      <c r="Y269" s="2">
        <v>0.8</v>
      </c>
      <c r="Z269" s="2">
        <v>0.3</v>
      </c>
      <c r="AA269" s="2">
        <v>0.9</v>
      </c>
      <c r="AB269" s="2">
        <v>2.9</v>
      </c>
      <c r="AC269" s="2">
        <v>7.5</v>
      </c>
      <c r="AD269" s="2"/>
    </row>
    <row r="270" spans="1:30" x14ac:dyDescent="0.2">
      <c r="A270" t="s">
        <v>128</v>
      </c>
      <c r="B270" s="2">
        <v>29</v>
      </c>
      <c r="C270" t="s">
        <v>44</v>
      </c>
      <c r="D270" s="2" t="s">
        <v>52</v>
      </c>
      <c r="E270" s="2">
        <v>25</v>
      </c>
      <c r="F270" s="2">
        <v>25</v>
      </c>
      <c r="G270" s="2">
        <v>37</v>
      </c>
      <c r="H270" s="2">
        <v>5.5</v>
      </c>
      <c r="I270" s="2">
        <v>9.1999999999999993</v>
      </c>
      <c r="J270" s="2">
        <v>0.59599999999999997</v>
      </c>
      <c r="K270" s="2">
        <v>1.4</v>
      </c>
      <c r="L270" s="2">
        <v>3.4</v>
      </c>
      <c r="M270" s="2">
        <v>0.40699999999999997</v>
      </c>
      <c r="N270" s="2">
        <v>4.0999999999999996</v>
      </c>
      <c r="O270" s="2">
        <v>5.8</v>
      </c>
      <c r="P270" s="2">
        <v>0.70799999999999996</v>
      </c>
      <c r="Q270" s="2">
        <v>0.67200000000000004</v>
      </c>
      <c r="R270" s="2">
        <v>1.8</v>
      </c>
      <c r="S270" s="2">
        <v>2.1</v>
      </c>
      <c r="T270" s="2">
        <v>0.84899999999999998</v>
      </c>
      <c r="U270" s="2">
        <v>1.6</v>
      </c>
      <c r="V270" s="2">
        <v>6.7</v>
      </c>
      <c r="W270" s="2">
        <v>8.3000000000000007</v>
      </c>
      <c r="X270" s="2">
        <v>5.5</v>
      </c>
      <c r="Y270" s="2">
        <v>1.4</v>
      </c>
      <c r="Z270" s="2">
        <v>0.3</v>
      </c>
      <c r="AA270" s="2">
        <v>1.7</v>
      </c>
      <c r="AB270" s="2">
        <v>2.4</v>
      </c>
      <c r="AC270" s="2">
        <v>14.2</v>
      </c>
      <c r="AD270" s="2"/>
    </row>
    <row r="271" spans="1:30" x14ac:dyDescent="0.2">
      <c r="A271" t="s">
        <v>446</v>
      </c>
      <c r="B271" s="2">
        <v>22</v>
      </c>
      <c r="C271" t="s">
        <v>51</v>
      </c>
      <c r="D271" s="2" t="s">
        <v>49</v>
      </c>
      <c r="E271" s="2">
        <v>11</v>
      </c>
      <c r="F271" s="2">
        <v>0</v>
      </c>
      <c r="G271" s="2">
        <v>7.5</v>
      </c>
      <c r="H271" s="2">
        <v>1</v>
      </c>
      <c r="I271" s="2">
        <v>1.7</v>
      </c>
      <c r="J271" s="2">
        <v>0.57899999999999996</v>
      </c>
      <c r="K271" s="2">
        <v>0.2</v>
      </c>
      <c r="L271" s="2">
        <v>0.9</v>
      </c>
      <c r="M271" s="2">
        <v>0.2</v>
      </c>
      <c r="N271" s="2">
        <v>0.8</v>
      </c>
      <c r="O271" s="2">
        <v>0.8</v>
      </c>
      <c r="P271" s="2">
        <v>1</v>
      </c>
      <c r="Q271" s="2">
        <v>0.63200000000000001</v>
      </c>
      <c r="R271" s="2">
        <v>0.3</v>
      </c>
      <c r="S271" s="2">
        <v>0.5</v>
      </c>
      <c r="T271" s="2">
        <v>0.6</v>
      </c>
      <c r="U271" s="2">
        <v>0.1</v>
      </c>
      <c r="V271" s="2">
        <v>1.2</v>
      </c>
      <c r="W271" s="2">
        <v>1.3</v>
      </c>
      <c r="X271" s="2">
        <v>0.5</v>
      </c>
      <c r="Y271" s="2">
        <v>0.3</v>
      </c>
      <c r="Z271" s="2">
        <v>0.3</v>
      </c>
      <c r="AA271" s="2">
        <v>0.5</v>
      </c>
      <c r="AB271" s="2">
        <v>1.1000000000000001</v>
      </c>
      <c r="AC271" s="2">
        <v>2.5</v>
      </c>
      <c r="AD271" s="2"/>
    </row>
    <row r="272" spans="1:30" x14ac:dyDescent="0.2">
      <c r="A272" t="s">
        <v>342</v>
      </c>
      <c r="B272" s="2">
        <v>26</v>
      </c>
      <c r="C272" t="s">
        <v>54</v>
      </c>
      <c r="D272" s="2" t="s">
        <v>52</v>
      </c>
      <c r="E272" s="2">
        <v>13</v>
      </c>
      <c r="F272" s="2">
        <v>1</v>
      </c>
      <c r="G272" s="2">
        <v>14.9</v>
      </c>
      <c r="H272" s="2">
        <v>2.8</v>
      </c>
      <c r="I272" s="2">
        <v>5.4</v>
      </c>
      <c r="J272" s="2">
        <v>0.51400000000000001</v>
      </c>
      <c r="K272" s="2">
        <v>0.8</v>
      </c>
      <c r="L272" s="2">
        <v>1.8</v>
      </c>
      <c r="M272" s="2">
        <v>0.435</v>
      </c>
      <c r="N272" s="2">
        <v>2</v>
      </c>
      <c r="O272" s="2">
        <v>3.6</v>
      </c>
      <c r="P272" s="2">
        <v>0.55300000000000005</v>
      </c>
      <c r="Q272" s="2">
        <v>0.58599999999999997</v>
      </c>
      <c r="R272" s="2">
        <v>1.2</v>
      </c>
      <c r="S272" s="2">
        <v>1.8</v>
      </c>
      <c r="T272" s="2">
        <v>0.69599999999999995</v>
      </c>
      <c r="U272" s="2">
        <v>1.3</v>
      </c>
      <c r="V272" s="2">
        <v>1.9</v>
      </c>
      <c r="W272" s="2">
        <v>3.2</v>
      </c>
      <c r="X272" s="2">
        <v>0.6</v>
      </c>
      <c r="Y272" s="2">
        <v>0.9</v>
      </c>
      <c r="Z272" s="2">
        <v>0.3</v>
      </c>
      <c r="AA272" s="2">
        <v>0.8</v>
      </c>
      <c r="AB272" s="2">
        <v>1.2</v>
      </c>
      <c r="AC272" s="2">
        <v>7.5</v>
      </c>
      <c r="AD272" s="2"/>
    </row>
    <row r="273" spans="1:30" x14ac:dyDescent="0.2">
      <c r="A273" t="s">
        <v>437</v>
      </c>
      <c r="B273" s="2">
        <v>31</v>
      </c>
      <c r="C273" t="s">
        <v>61</v>
      </c>
      <c r="D273" s="2" t="s">
        <v>52</v>
      </c>
      <c r="E273" s="2">
        <v>8</v>
      </c>
      <c r="F273" s="2">
        <v>0</v>
      </c>
      <c r="G273" s="2">
        <v>18.8</v>
      </c>
      <c r="H273" s="2">
        <v>1.4</v>
      </c>
      <c r="I273" s="2">
        <v>4.8</v>
      </c>
      <c r="J273" s="2">
        <v>0.28899999999999998</v>
      </c>
      <c r="K273" s="2">
        <v>0.8</v>
      </c>
      <c r="L273" s="2">
        <v>2.8</v>
      </c>
      <c r="M273" s="2">
        <v>0.27300000000000002</v>
      </c>
      <c r="N273" s="2">
        <v>0.6</v>
      </c>
      <c r="O273" s="2">
        <v>2</v>
      </c>
      <c r="P273" s="2">
        <v>0.313</v>
      </c>
      <c r="Q273" s="2">
        <v>0.36799999999999999</v>
      </c>
      <c r="R273" s="2">
        <v>0.5</v>
      </c>
      <c r="S273" s="2">
        <v>0.5</v>
      </c>
      <c r="T273" s="2">
        <v>1</v>
      </c>
      <c r="U273" s="2">
        <v>0.8</v>
      </c>
      <c r="V273" s="2">
        <v>0.8</v>
      </c>
      <c r="W273" s="2">
        <v>1.5</v>
      </c>
      <c r="X273" s="2">
        <v>1.5</v>
      </c>
      <c r="Y273" s="2">
        <v>1</v>
      </c>
      <c r="Z273" s="2">
        <v>0.1</v>
      </c>
      <c r="AA273" s="2">
        <v>1</v>
      </c>
      <c r="AB273" s="2">
        <v>2.1</v>
      </c>
      <c r="AC273" s="2">
        <v>4</v>
      </c>
      <c r="AD273" s="2"/>
    </row>
    <row r="274" spans="1:30" x14ac:dyDescent="0.2">
      <c r="A274" t="s">
        <v>176</v>
      </c>
      <c r="B274" s="2">
        <v>34</v>
      </c>
      <c r="C274" t="s">
        <v>39</v>
      </c>
      <c r="D274" s="2" t="s">
        <v>33</v>
      </c>
      <c r="E274" s="2">
        <v>22</v>
      </c>
      <c r="F274" s="2">
        <v>22</v>
      </c>
      <c r="G274" s="2">
        <v>31</v>
      </c>
      <c r="H274" s="2">
        <v>4.5</v>
      </c>
      <c r="I274" s="2">
        <v>10.3</v>
      </c>
      <c r="J274" s="2">
        <v>0.436</v>
      </c>
      <c r="K274" s="2">
        <v>1.9</v>
      </c>
      <c r="L274" s="2">
        <v>5.7</v>
      </c>
      <c r="M274" s="2">
        <v>0.33300000000000002</v>
      </c>
      <c r="N274" s="2">
        <v>2.6</v>
      </c>
      <c r="O274" s="2">
        <v>4.5999999999999996</v>
      </c>
      <c r="P274" s="2">
        <v>0.56399999999999995</v>
      </c>
      <c r="Q274" s="2">
        <v>0.52900000000000003</v>
      </c>
      <c r="R274" s="2">
        <v>1.7</v>
      </c>
      <c r="S274" s="2">
        <v>1.9</v>
      </c>
      <c r="T274" s="2">
        <v>0.90200000000000002</v>
      </c>
      <c r="U274" s="2">
        <v>1.2</v>
      </c>
      <c r="V274" s="2">
        <v>3.2</v>
      </c>
      <c r="W274" s="2">
        <v>4.4000000000000004</v>
      </c>
      <c r="X274" s="2">
        <v>4.0999999999999996</v>
      </c>
      <c r="Y274" s="2">
        <v>0.7</v>
      </c>
      <c r="Z274" s="2">
        <v>0.4</v>
      </c>
      <c r="AA274" s="2">
        <v>1.5</v>
      </c>
      <c r="AB274" s="2">
        <v>1.5</v>
      </c>
      <c r="AC274" s="2">
        <v>12.6</v>
      </c>
      <c r="AD274" s="2"/>
    </row>
    <row r="275" spans="1:30" x14ac:dyDescent="0.2">
      <c r="A275" t="s">
        <v>473</v>
      </c>
      <c r="B275" s="2">
        <v>22</v>
      </c>
      <c r="C275" t="s">
        <v>57</v>
      </c>
      <c r="D275" s="2" t="s">
        <v>27</v>
      </c>
      <c r="E275" s="2">
        <v>3</v>
      </c>
      <c r="F275" s="2">
        <v>0</v>
      </c>
      <c r="G275" s="2">
        <v>5.3</v>
      </c>
      <c r="H275" s="2">
        <v>2.2999999999999998</v>
      </c>
      <c r="I275" s="2">
        <v>2.2999999999999998</v>
      </c>
      <c r="J275" s="2">
        <v>1</v>
      </c>
      <c r="K275" s="2">
        <v>1</v>
      </c>
      <c r="L275" s="2">
        <v>1</v>
      </c>
      <c r="M275" s="2">
        <v>1</v>
      </c>
      <c r="N275" s="2">
        <v>1.3</v>
      </c>
      <c r="O275" s="2">
        <v>1.3</v>
      </c>
      <c r="P275" s="2">
        <v>1</v>
      </c>
      <c r="Q275" s="2">
        <v>1.214</v>
      </c>
      <c r="R275" s="2">
        <v>0.7</v>
      </c>
      <c r="S275" s="2">
        <v>0.7</v>
      </c>
      <c r="T275" s="2">
        <v>1</v>
      </c>
      <c r="U275" s="2">
        <v>0</v>
      </c>
      <c r="V275" s="2">
        <v>0.7</v>
      </c>
      <c r="W275" s="2">
        <v>0.7</v>
      </c>
      <c r="X275" s="2">
        <v>0</v>
      </c>
      <c r="Y275" s="2">
        <v>0.7</v>
      </c>
      <c r="Z275" s="2">
        <v>0.7</v>
      </c>
      <c r="AA275" s="2">
        <v>0.7</v>
      </c>
      <c r="AB275" s="2">
        <v>0.7</v>
      </c>
      <c r="AC275" s="2">
        <v>6.3</v>
      </c>
      <c r="AD275" s="2"/>
    </row>
    <row r="276" spans="1:30" x14ac:dyDescent="0.2">
      <c r="A276" t="s">
        <v>153</v>
      </c>
      <c r="B276" s="2">
        <v>23</v>
      </c>
      <c r="C276" t="s">
        <v>93</v>
      </c>
      <c r="D276" s="2" t="s">
        <v>49</v>
      </c>
      <c r="E276" s="2">
        <v>24</v>
      </c>
      <c r="F276" s="2">
        <v>24</v>
      </c>
      <c r="G276" s="2">
        <v>29.6</v>
      </c>
      <c r="H276" s="2">
        <v>4.3</v>
      </c>
      <c r="I276" s="2">
        <v>9.9</v>
      </c>
      <c r="J276" s="2">
        <v>0.433</v>
      </c>
      <c r="K276" s="2">
        <v>2.5</v>
      </c>
      <c r="L276" s="2">
        <v>7</v>
      </c>
      <c r="M276" s="2">
        <v>0.35499999999999998</v>
      </c>
      <c r="N276" s="2">
        <v>1.8</v>
      </c>
      <c r="O276" s="2">
        <v>2.9</v>
      </c>
      <c r="P276" s="2">
        <v>0.623</v>
      </c>
      <c r="Q276" s="2">
        <v>0.55900000000000005</v>
      </c>
      <c r="R276" s="2">
        <v>1.5</v>
      </c>
      <c r="S276" s="2">
        <v>1.6</v>
      </c>
      <c r="T276" s="2">
        <v>0.92300000000000004</v>
      </c>
      <c r="U276" s="2">
        <v>0.9</v>
      </c>
      <c r="V276" s="2">
        <v>4.3</v>
      </c>
      <c r="W276" s="2">
        <v>5.0999999999999996</v>
      </c>
      <c r="X276" s="2">
        <v>1.5</v>
      </c>
      <c r="Y276" s="2">
        <v>0.8</v>
      </c>
      <c r="Z276" s="2">
        <v>0.6</v>
      </c>
      <c r="AA276" s="2">
        <v>1.1000000000000001</v>
      </c>
      <c r="AB276" s="2">
        <v>1.5</v>
      </c>
      <c r="AC276" s="2">
        <v>12.6</v>
      </c>
      <c r="AD276" s="2"/>
    </row>
    <row r="277" spans="1:30" x14ac:dyDescent="0.2">
      <c r="A277" t="s">
        <v>328</v>
      </c>
      <c r="B277" s="2">
        <v>21</v>
      </c>
      <c r="C277" t="s">
        <v>70</v>
      </c>
      <c r="D277" s="2" t="s">
        <v>49</v>
      </c>
      <c r="E277" s="2">
        <v>24</v>
      </c>
      <c r="F277" s="2">
        <v>2</v>
      </c>
      <c r="G277" s="2">
        <v>14.3</v>
      </c>
      <c r="H277" s="2">
        <v>1.6</v>
      </c>
      <c r="I277" s="2">
        <v>3.8</v>
      </c>
      <c r="J277" s="2">
        <v>0.41299999999999998</v>
      </c>
      <c r="K277" s="2">
        <v>0.8</v>
      </c>
      <c r="L277" s="2">
        <v>2.4</v>
      </c>
      <c r="M277" s="2">
        <v>0.316</v>
      </c>
      <c r="N277" s="2">
        <v>0.8</v>
      </c>
      <c r="O277" s="2">
        <v>1.5</v>
      </c>
      <c r="P277" s="2">
        <v>0.57099999999999995</v>
      </c>
      <c r="Q277" s="2">
        <v>0.51100000000000001</v>
      </c>
      <c r="R277" s="2">
        <v>0.5</v>
      </c>
      <c r="S277" s="2">
        <v>0.9</v>
      </c>
      <c r="T277" s="2">
        <v>0.61899999999999999</v>
      </c>
      <c r="U277" s="2">
        <v>0.8</v>
      </c>
      <c r="V277" s="2">
        <v>1.3</v>
      </c>
      <c r="W277" s="2">
        <v>2.1</v>
      </c>
      <c r="X277" s="2">
        <v>0.5</v>
      </c>
      <c r="Y277" s="2">
        <v>0.7</v>
      </c>
      <c r="Z277" s="2">
        <v>0.3</v>
      </c>
      <c r="AA277" s="2">
        <v>0.4</v>
      </c>
      <c r="AB277" s="2">
        <v>1.3</v>
      </c>
      <c r="AC277" s="2">
        <v>4.5</v>
      </c>
      <c r="AD277" s="2"/>
    </row>
    <row r="278" spans="1:30" x14ac:dyDescent="0.2">
      <c r="A278" t="s">
        <v>233</v>
      </c>
      <c r="B278" s="2">
        <v>22</v>
      </c>
      <c r="C278" t="s">
        <v>46</v>
      </c>
      <c r="D278" s="2" t="s">
        <v>52</v>
      </c>
      <c r="E278" s="2">
        <v>22</v>
      </c>
      <c r="F278" s="2">
        <v>0</v>
      </c>
      <c r="G278" s="2">
        <v>20.8</v>
      </c>
      <c r="H278" s="2">
        <v>3.1</v>
      </c>
      <c r="I278" s="2">
        <v>6.8</v>
      </c>
      <c r="J278" s="2">
        <v>0.46300000000000002</v>
      </c>
      <c r="K278" s="2">
        <v>1.4</v>
      </c>
      <c r="L278" s="2">
        <v>3.5</v>
      </c>
      <c r="M278" s="2">
        <v>0.40799999999999997</v>
      </c>
      <c r="N278" s="2">
        <v>1.7</v>
      </c>
      <c r="O278" s="2">
        <v>3.3</v>
      </c>
      <c r="P278" s="2">
        <v>0.52100000000000002</v>
      </c>
      <c r="Q278" s="2">
        <v>0.56699999999999995</v>
      </c>
      <c r="R278" s="2">
        <v>1.3</v>
      </c>
      <c r="S278" s="2">
        <v>1.6</v>
      </c>
      <c r="T278" s="2">
        <v>0.80600000000000005</v>
      </c>
      <c r="U278" s="2">
        <v>0.3</v>
      </c>
      <c r="V278" s="2">
        <v>1.7</v>
      </c>
      <c r="W278" s="2">
        <v>2</v>
      </c>
      <c r="X278" s="2">
        <v>1.4</v>
      </c>
      <c r="Y278" s="2">
        <v>0.8</v>
      </c>
      <c r="Z278" s="2">
        <v>0.4</v>
      </c>
      <c r="AA278" s="2">
        <v>1</v>
      </c>
      <c r="AB278" s="2">
        <v>2.7</v>
      </c>
      <c r="AC278" s="2">
        <v>9</v>
      </c>
      <c r="AD278" s="2"/>
    </row>
    <row r="279" spans="1:30" x14ac:dyDescent="0.2">
      <c r="A279" t="s">
        <v>91</v>
      </c>
      <c r="B279" s="2">
        <v>30</v>
      </c>
      <c r="C279" t="s">
        <v>51</v>
      </c>
      <c r="D279" s="2" t="s">
        <v>27</v>
      </c>
      <c r="E279" s="2">
        <v>23</v>
      </c>
      <c r="F279" s="2">
        <v>23</v>
      </c>
      <c r="G279" s="2">
        <v>33.200000000000003</v>
      </c>
      <c r="H279" s="2">
        <v>7</v>
      </c>
      <c r="I279" s="2">
        <v>14.3</v>
      </c>
      <c r="J279" s="2">
        <v>0.48899999999999999</v>
      </c>
      <c r="K279" s="2">
        <v>1.7</v>
      </c>
      <c r="L279" s="2">
        <v>4.7</v>
      </c>
      <c r="M279" s="2">
        <v>0.36699999999999999</v>
      </c>
      <c r="N279" s="2">
        <v>5.3</v>
      </c>
      <c r="O279" s="2">
        <v>9.6</v>
      </c>
      <c r="P279" s="2">
        <v>0.55000000000000004</v>
      </c>
      <c r="Q279" s="2">
        <v>0.55000000000000004</v>
      </c>
      <c r="R279" s="2">
        <v>4.7</v>
      </c>
      <c r="S279" s="2">
        <v>5.7</v>
      </c>
      <c r="T279" s="2">
        <v>0.82399999999999995</v>
      </c>
      <c r="U279" s="2">
        <v>1.7</v>
      </c>
      <c r="V279" s="2">
        <v>5.2</v>
      </c>
      <c r="W279" s="2">
        <v>7</v>
      </c>
      <c r="X279" s="2">
        <v>4</v>
      </c>
      <c r="Y279" s="2">
        <v>0.8</v>
      </c>
      <c r="Z279" s="2">
        <v>0.1</v>
      </c>
      <c r="AA279" s="2">
        <v>2.7</v>
      </c>
      <c r="AB279" s="2">
        <v>2.5</v>
      </c>
      <c r="AC279" s="2">
        <v>20.399999999999999</v>
      </c>
      <c r="AD279" s="2"/>
    </row>
    <row r="280" spans="1:30" x14ac:dyDescent="0.2">
      <c r="A280" t="s">
        <v>410</v>
      </c>
      <c r="B280" s="2">
        <v>23</v>
      </c>
      <c r="C280" t="s">
        <v>114</v>
      </c>
      <c r="D280" s="2" t="s">
        <v>49</v>
      </c>
      <c r="E280" s="2">
        <v>5</v>
      </c>
      <c r="F280" s="2">
        <v>2</v>
      </c>
      <c r="G280" s="2">
        <v>21</v>
      </c>
      <c r="H280" s="2">
        <v>3.8</v>
      </c>
      <c r="I280" s="2">
        <v>6.8</v>
      </c>
      <c r="J280" s="2">
        <v>0.55900000000000005</v>
      </c>
      <c r="K280" s="2">
        <v>1</v>
      </c>
      <c r="L280" s="2">
        <v>2.4</v>
      </c>
      <c r="M280" s="2">
        <v>0.41699999999999998</v>
      </c>
      <c r="N280" s="2">
        <v>2.8</v>
      </c>
      <c r="O280" s="2">
        <v>4.4000000000000004</v>
      </c>
      <c r="P280" s="2">
        <v>0.63600000000000001</v>
      </c>
      <c r="Q280" s="2">
        <v>0.63200000000000001</v>
      </c>
      <c r="R280" s="2">
        <v>0.6</v>
      </c>
      <c r="S280" s="2">
        <v>1</v>
      </c>
      <c r="T280" s="2">
        <v>0.6</v>
      </c>
      <c r="U280" s="2">
        <v>2</v>
      </c>
      <c r="V280" s="2">
        <v>2.6</v>
      </c>
      <c r="W280" s="2">
        <v>4.5999999999999996</v>
      </c>
      <c r="X280" s="2">
        <v>1</v>
      </c>
      <c r="Y280" s="2">
        <v>1.4</v>
      </c>
      <c r="Z280" s="2">
        <v>0.4</v>
      </c>
      <c r="AA280" s="2">
        <v>1</v>
      </c>
      <c r="AB280" s="2">
        <v>2.4</v>
      </c>
      <c r="AC280" s="2">
        <v>9.1999999999999993</v>
      </c>
      <c r="AD280" s="2"/>
    </row>
    <row r="281" spans="1:30" x14ac:dyDescent="0.2">
      <c r="A281" t="s">
        <v>524</v>
      </c>
      <c r="B281" s="2">
        <v>21</v>
      </c>
      <c r="C281" t="s">
        <v>122</v>
      </c>
      <c r="D281" s="2" t="s">
        <v>49</v>
      </c>
      <c r="E281" s="2">
        <v>2</v>
      </c>
      <c r="F281" s="2">
        <v>0</v>
      </c>
      <c r="G281" s="2">
        <v>4.5</v>
      </c>
      <c r="H281" s="2">
        <v>1</v>
      </c>
      <c r="I281" s="2">
        <v>1.5</v>
      </c>
      <c r="J281" s="2">
        <v>0.66700000000000004</v>
      </c>
      <c r="K281" s="2">
        <v>0</v>
      </c>
      <c r="L281" s="2">
        <v>0.5</v>
      </c>
      <c r="M281" s="2">
        <v>0</v>
      </c>
      <c r="N281" s="2">
        <v>1</v>
      </c>
      <c r="O281" s="2">
        <v>1</v>
      </c>
      <c r="P281" s="2">
        <v>1</v>
      </c>
      <c r="Q281" s="2">
        <v>0.66700000000000004</v>
      </c>
      <c r="R281" s="2">
        <v>0</v>
      </c>
      <c r="S281" s="2">
        <v>0.5</v>
      </c>
      <c r="T281" s="2">
        <v>0</v>
      </c>
      <c r="U281" s="2">
        <v>0</v>
      </c>
      <c r="V281" s="2">
        <v>1</v>
      </c>
      <c r="W281" s="2">
        <v>1</v>
      </c>
      <c r="X281" s="2">
        <v>0.5</v>
      </c>
      <c r="Y281" s="2">
        <v>0</v>
      </c>
      <c r="Z281" s="2">
        <v>0</v>
      </c>
      <c r="AA281" s="2">
        <v>0</v>
      </c>
      <c r="AB281" s="2">
        <v>0</v>
      </c>
      <c r="AC281" s="2">
        <v>2</v>
      </c>
      <c r="AD281" s="2"/>
    </row>
    <row r="282" spans="1:30" x14ac:dyDescent="0.2">
      <c r="A282" t="s">
        <v>564</v>
      </c>
      <c r="B282" s="2">
        <v>25</v>
      </c>
      <c r="C282" t="s">
        <v>135</v>
      </c>
      <c r="D282" s="2" t="s">
        <v>49</v>
      </c>
      <c r="E282" s="2">
        <v>1</v>
      </c>
      <c r="F282" s="2">
        <v>0</v>
      </c>
      <c r="G282" s="2">
        <v>6</v>
      </c>
      <c r="H282" s="2">
        <v>0</v>
      </c>
      <c r="I282" s="2">
        <v>0</v>
      </c>
      <c r="J282" s="2"/>
      <c r="K282" s="2">
        <v>0</v>
      </c>
      <c r="L282" s="2">
        <v>0</v>
      </c>
      <c r="M282" s="2"/>
      <c r="N282" s="2">
        <v>0</v>
      </c>
      <c r="O282" s="2">
        <v>0</v>
      </c>
      <c r="P282" s="2"/>
      <c r="Q282" s="2"/>
      <c r="R282" s="2">
        <v>0</v>
      </c>
      <c r="S282" s="2">
        <v>0</v>
      </c>
      <c r="T282" s="2"/>
      <c r="U282" s="2">
        <v>0</v>
      </c>
      <c r="V282" s="2">
        <v>1</v>
      </c>
      <c r="W282" s="2">
        <v>1</v>
      </c>
      <c r="X282" s="2">
        <v>0</v>
      </c>
      <c r="Y282" s="2">
        <v>0</v>
      </c>
      <c r="Z282" s="2">
        <v>0</v>
      </c>
      <c r="AA282" s="2">
        <v>0</v>
      </c>
      <c r="AB282" s="2">
        <v>1</v>
      </c>
      <c r="AC282" s="2">
        <v>0</v>
      </c>
      <c r="AD282" s="2"/>
    </row>
    <row r="283" spans="1:30" x14ac:dyDescent="0.2">
      <c r="A283" t="s">
        <v>293</v>
      </c>
      <c r="B283" s="2">
        <v>30</v>
      </c>
      <c r="C283" t="s">
        <v>54</v>
      </c>
      <c r="D283" s="2" t="s">
        <v>42</v>
      </c>
      <c r="E283" s="2">
        <v>16</v>
      </c>
      <c r="F283" s="2">
        <v>16</v>
      </c>
      <c r="G283" s="2">
        <v>24.1</v>
      </c>
      <c r="H283" s="2">
        <v>2.9</v>
      </c>
      <c r="I283" s="2">
        <v>7</v>
      </c>
      <c r="J283" s="2">
        <v>0.42</v>
      </c>
      <c r="K283" s="2">
        <v>0.9</v>
      </c>
      <c r="L283" s="2">
        <v>2.9</v>
      </c>
      <c r="M283" s="2">
        <v>0.29799999999999999</v>
      </c>
      <c r="N283" s="2">
        <v>2.1</v>
      </c>
      <c r="O283" s="2">
        <v>4.0999999999999996</v>
      </c>
      <c r="P283" s="2">
        <v>0.50800000000000001</v>
      </c>
      <c r="Q283" s="2">
        <v>0.48199999999999998</v>
      </c>
      <c r="R283" s="2">
        <v>2.2000000000000002</v>
      </c>
      <c r="S283" s="2">
        <v>3.3</v>
      </c>
      <c r="T283" s="2">
        <v>0.67300000000000004</v>
      </c>
      <c r="U283" s="2">
        <v>1.8</v>
      </c>
      <c r="V283" s="2">
        <v>8.1</v>
      </c>
      <c r="W283" s="2">
        <v>9.9</v>
      </c>
      <c r="X283" s="2">
        <v>1.3</v>
      </c>
      <c r="Y283" s="2">
        <v>0.9</v>
      </c>
      <c r="Z283" s="2">
        <v>0.6</v>
      </c>
      <c r="AA283" s="2">
        <v>2.2999999999999998</v>
      </c>
      <c r="AB283" s="2">
        <v>2.9</v>
      </c>
      <c r="AC283" s="2">
        <v>8.9</v>
      </c>
      <c r="AD283" s="2"/>
    </row>
    <row r="284" spans="1:30" x14ac:dyDescent="0.2">
      <c r="A284" t="s">
        <v>423</v>
      </c>
      <c r="B284" s="2">
        <v>24</v>
      </c>
      <c r="C284" t="s">
        <v>77</v>
      </c>
      <c r="D284" s="2" t="s">
        <v>42</v>
      </c>
      <c r="E284" s="2">
        <v>16</v>
      </c>
      <c r="F284" s="2">
        <v>0</v>
      </c>
      <c r="G284" s="2">
        <v>8.6999999999999993</v>
      </c>
      <c r="H284" s="2">
        <v>0.9</v>
      </c>
      <c r="I284" s="2">
        <v>1.3</v>
      </c>
      <c r="J284" s="2">
        <v>0.75</v>
      </c>
      <c r="K284" s="2">
        <v>0</v>
      </c>
      <c r="L284" s="2">
        <v>0</v>
      </c>
      <c r="M284" s="2"/>
      <c r="N284" s="2">
        <v>0.9</v>
      </c>
      <c r="O284" s="2">
        <v>1.3</v>
      </c>
      <c r="P284" s="2">
        <v>0.75</v>
      </c>
      <c r="Q284" s="2">
        <v>0.75</v>
      </c>
      <c r="R284" s="2">
        <v>0.4</v>
      </c>
      <c r="S284" s="2">
        <v>0.6</v>
      </c>
      <c r="T284" s="2">
        <v>0.7</v>
      </c>
      <c r="U284" s="2">
        <v>0.7</v>
      </c>
      <c r="V284" s="2">
        <v>1.3</v>
      </c>
      <c r="W284" s="2">
        <v>1.9</v>
      </c>
      <c r="X284" s="2">
        <v>0.4</v>
      </c>
      <c r="Y284" s="2">
        <v>0.3</v>
      </c>
      <c r="Z284" s="2">
        <v>0.6</v>
      </c>
      <c r="AA284" s="2">
        <v>0.4</v>
      </c>
      <c r="AB284" s="2">
        <v>1.1000000000000001</v>
      </c>
      <c r="AC284" s="2">
        <v>2.2999999999999998</v>
      </c>
      <c r="AD284" s="2"/>
    </row>
    <row r="285" spans="1:30" x14ac:dyDescent="0.2">
      <c r="A285" t="s">
        <v>55</v>
      </c>
      <c r="B285" s="2">
        <v>29</v>
      </c>
      <c r="C285" t="s">
        <v>44</v>
      </c>
      <c r="D285" s="2" t="s">
        <v>42</v>
      </c>
      <c r="E285" s="2">
        <v>23</v>
      </c>
      <c r="F285" s="2">
        <v>23</v>
      </c>
      <c r="G285" s="2">
        <v>34</v>
      </c>
      <c r="H285" s="2">
        <v>8.8000000000000007</v>
      </c>
      <c r="I285" s="2">
        <v>16.7</v>
      </c>
      <c r="J285" s="2">
        <v>0.52900000000000003</v>
      </c>
      <c r="K285" s="2">
        <v>2.2999999999999998</v>
      </c>
      <c r="L285" s="2">
        <v>5.2</v>
      </c>
      <c r="M285" s="2">
        <v>0.442</v>
      </c>
      <c r="N285" s="2">
        <v>6.5</v>
      </c>
      <c r="O285" s="2">
        <v>11.5</v>
      </c>
      <c r="P285" s="2">
        <v>0.56799999999999995</v>
      </c>
      <c r="Q285" s="2">
        <v>0.59799999999999998</v>
      </c>
      <c r="R285" s="2">
        <v>4.9000000000000004</v>
      </c>
      <c r="S285" s="2">
        <v>5.9</v>
      </c>
      <c r="T285" s="2">
        <v>0.83699999999999997</v>
      </c>
      <c r="U285" s="2">
        <v>2.9</v>
      </c>
      <c r="V285" s="2">
        <v>10.7</v>
      </c>
      <c r="W285" s="2">
        <v>13.6</v>
      </c>
      <c r="X285" s="2">
        <v>3.2</v>
      </c>
      <c r="Y285" s="2">
        <v>0.9</v>
      </c>
      <c r="Z285" s="2">
        <v>1</v>
      </c>
      <c r="AA285" s="2">
        <v>2.4</v>
      </c>
      <c r="AB285" s="2">
        <v>3.4</v>
      </c>
      <c r="AC285" s="2">
        <v>24.9</v>
      </c>
      <c r="AD285" s="2"/>
    </row>
    <row r="286" spans="1:30" x14ac:dyDescent="0.2">
      <c r="A286" t="s">
        <v>530</v>
      </c>
      <c r="B286" s="2">
        <v>23</v>
      </c>
      <c r="C286" t="s">
        <v>117</v>
      </c>
      <c r="D286" s="2" t="s">
        <v>27</v>
      </c>
      <c r="E286" s="2">
        <v>5</v>
      </c>
      <c r="F286" s="2">
        <v>0</v>
      </c>
      <c r="G286" s="2">
        <v>7.8</v>
      </c>
      <c r="H286" s="2">
        <v>0.4</v>
      </c>
      <c r="I286" s="2">
        <v>1</v>
      </c>
      <c r="J286" s="2">
        <v>0.4</v>
      </c>
      <c r="K286" s="2">
        <v>0</v>
      </c>
      <c r="L286" s="2">
        <v>0</v>
      </c>
      <c r="M286" s="2"/>
      <c r="N286" s="2">
        <v>0.4</v>
      </c>
      <c r="O286" s="2">
        <v>1</v>
      </c>
      <c r="P286" s="2">
        <v>0.4</v>
      </c>
      <c r="Q286" s="2">
        <v>0.4</v>
      </c>
      <c r="R286" s="2">
        <v>0</v>
      </c>
      <c r="S286" s="2">
        <v>0</v>
      </c>
      <c r="T286" s="2"/>
      <c r="U286" s="2">
        <v>1.2</v>
      </c>
      <c r="V286" s="2">
        <v>0.8</v>
      </c>
      <c r="W286" s="2">
        <v>2</v>
      </c>
      <c r="X286" s="2">
        <v>0</v>
      </c>
      <c r="Y286" s="2">
        <v>0.6</v>
      </c>
      <c r="Z286" s="2">
        <v>0.6</v>
      </c>
      <c r="AA286" s="2">
        <v>0.8</v>
      </c>
      <c r="AB286" s="2">
        <v>0.8</v>
      </c>
      <c r="AC286" s="2">
        <v>0.8</v>
      </c>
      <c r="AD286" s="2"/>
    </row>
    <row r="287" spans="1:30" x14ac:dyDescent="0.2">
      <c r="A287" t="s">
        <v>396</v>
      </c>
      <c r="B287" s="2">
        <v>25</v>
      </c>
      <c r="C287" t="s">
        <v>72</v>
      </c>
      <c r="D287" s="2" t="s">
        <v>33</v>
      </c>
      <c r="E287" s="2">
        <v>12</v>
      </c>
      <c r="F287" s="2">
        <v>1</v>
      </c>
      <c r="G287" s="2">
        <v>16.2</v>
      </c>
      <c r="H287" s="2">
        <v>1.8</v>
      </c>
      <c r="I287" s="2">
        <v>4.5999999999999996</v>
      </c>
      <c r="J287" s="2">
        <v>0.4</v>
      </c>
      <c r="K287" s="2">
        <v>0.7</v>
      </c>
      <c r="L287" s="2">
        <v>2.2000000000000002</v>
      </c>
      <c r="M287" s="2">
        <v>0.308</v>
      </c>
      <c r="N287" s="2">
        <v>1.2</v>
      </c>
      <c r="O287" s="2">
        <v>2.4</v>
      </c>
      <c r="P287" s="2">
        <v>0.48299999999999998</v>
      </c>
      <c r="Q287" s="2">
        <v>0.47299999999999998</v>
      </c>
      <c r="R287" s="2">
        <v>0.3</v>
      </c>
      <c r="S287" s="2">
        <v>0.3</v>
      </c>
      <c r="T287" s="2">
        <v>1</v>
      </c>
      <c r="U287" s="2">
        <v>0.2</v>
      </c>
      <c r="V287" s="2">
        <v>1.3</v>
      </c>
      <c r="W287" s="2">
        <v>1.5</v>
      </c>
      <c r="X287" s="2">
        <v>1.8</v>
      </c>
      <c r="Y287" s="2">
        <v>0.8</v>
      </c>
      <c r="Z287" s="2">
        <v>0.5</v>
      </c>
      <c r="AA287" s="2">
        <v>1</v>
      </c>
      <c r="AB287" s="2">
        <v>1.1000000000000001</v>
      </c>
      <c r="AC287" s="2">
        <v>4.7</v>
      </c>
      <c r="AD287" s="2"/>
    </row>
    <row r="288" spans="1:30" x14ac:dyDescent="0.2">
      <c r="A288" t="s">
        <v>147</v>
      </c>
      <c r="B288" s="2">
        <v>24</v>
      </c>
      <c r="C288" t="s">
        <v>37</v>
      </c>
      <c r="D288" s="2" t="s">
        <v>27</v>
      </c>
      <c r="E288" s="2">
        <v>26</v>
      </c>
      <c r="F288" s="2">
        <v>26</v>
      </c>
      <c r="G288" s="2">
        <v>36.299999999999997</v>
      </c>
      <c r="H288" s="2">
        <v>4.8</v>
      </c>
      <c r="I288" s="2">
        <v>11.3</v>
      </c>
      <c r="J288" s="2">
        <v>0.42899999999999999</v>
      </c>
      <c r="K288" s="2">
        <v>1.7</v>
      </c>
      <c r="L288" s="2">
        <v>5.5</v>
      </c>
      <c r="M288" s="2">
        <v>0.29899999999999999</v>
      </c>
      <c r="N288" s="2">
        <v>3.2</v>
      </c>
      <c r="O288" s="2">
        <v>5.8</v>
      </c>
      <c r="P288" s="2">
        <v>0.55300000000000005</v>
      </c>
      <c r="Q288" s="2">
        <v>0.502</v>
      </c>
      <c r="R288" s="2">
        <v>1</v>
      </c>
      <c r="S288" s="2">
        <v>1.2</v>
      </c>
      <c r="T288" s="2">
        <v>0.84399999999999997</v>
      </c>
      <c r="U288" s="2">
        <v>2.4</v>
      </c>
      <c r="V288" s="2">
        <v>5.3</v>
      </c>
      <c r="W288" s="2">
        <v>7.7</v>
      </c>
      <c r="X288" s="2">
        <v>1.5</v>
      </c>
      <c r="Y288" s="2">
        <v>0.7</v>
      </c>
      <c r="Z288" s="2">
        <v>0.8</v>
      </c>
      <c r="AA288" s="2">
        <v>1</v>
      </c>
      <c r="AB288" s="2">
        <v>3.1</v>
      </c>
      <c r="AC288" s="2">
        <v>12.4</v>
      </c>
      <c r="AD288" s="2"/>
    </row>
    <row r="289" spans="1:30" x14ac:dyDescent="0.2">
      <c r="A289" t="s">
        <v>455</v>
      </c>
      <c r="B289" s="2">
        <v>20</v>
      </c>
      <c r="C289" t="s">
        <v>61</v>
      </c>
      <c r="D289" s="2" t="s">
        <v>42</v>
      </c>
      <c r="E289" s="2">
        <v>10</v>
      </c>
      <c r="F289" s="2">
        <v>0</v>
      </c>
      <c r="G289" s="2">
        <v>6.9</v>
      </c>
      <c r="H289" s="2">
        <v>1</v>
      </c>
      <c r="I289" s="2">
        <v>2.5</v>
      </c>
      <c r="J289" s="2">
        <v>0.4</v>
      </c>
      <c r="K289" s="2">
        <v>0.2</v>
      </c>
      <c r="L289" s="2">
        <v>0.7</v>
      </c>
      <c r="M289" s="2">
        <v>0.28599999999999998</v>
      </c>
      <c r="N289" s="2">
        <v>0.8</v>
      </c>
      <c r="O289" s="2">
        <v>1.8</v>
      </c>
      <c r="P289" s="2">
        <v>0.44400000000000001</v>
      </c>
      <c r="Q289" s="2">
        <v>0.44</v>
      </c>
      <c r="R289" s="2">
        <v>0.2</v>
      </c>
      <c r="S289" s="2">
        <v>0.2</v>
      </c>
      <c r="T289" s="2">
        <v>1</v>
      </c>
      <c r="U289" s="2">
        <v>0.2</v>
      </c>
      <c r="V289" s="2">
        <v>1.4</v>
      </c>
      <c r="W289" s="2">
        <v>1.6</v>
      </c>
      <c r="X289" s="2">
        <v>0.1</v>
      </c>
      <c r="Y289" s="2">
        <v>0.3</v>
      </c>
      <c r="Z289" s="2">
        <v>0.5</v>
      </c>
      <c r="AA289" s="2">
        <v>0.4</v>
      </c>
      <c r="AB289" s="2">
        <v>0.6</v>
      </c>
      <c r="AC289" s="2">
        <v>2.4</v>
      </c>
      <c r="AD289" s="2"/>
    </row>
    <row r="290" spans="1:30" x14ac:dyDescent="0.2">
      <c r="A290" t="s">
        <v>164</v>
      </c>
      <c r="B290" s="2">
        <v>25</v>
      </c>
      <c r="C290" t="s">
        <v>93</v>
      </c>
      <c r="D290" s="2" t="s">
        <v>49</v>
      </c>
      <c r="E290" s="2">
        <v>23</v>
      </c>
      <c r="F290" s="2">
        <v>0</v>
      </c>
      <c r="G290" s="2">
        <v>25.3</v>
      </c>
      <c r="H290" s="2">
        <v>4.7</v>
      </c>
      <c r="I290" s="2">
        <v>10.4</v>
      </c>
      <c r="J290" s="2">
        <v>0.44800000000000001</v>
      </c>
      <c r="K290" s="2">
        <v>1.1000000000000001</v>
      </c>
      <c r="L290" s="2">
        <v>4</v>
      </c>
      <c r="M290" s="2">
        <v>0.28599999999999998</v>
      </c>
      <c r="N290" s="2">
        <v>3.5</v>
      </c>
      <c r="O290" s="2">
        <v>6.4</v>
      </c>
      <c r="P290" s="2">
        <v>0.54700000000000004</v>
      </c>
      <c r="Q290" s="2">
        <v>0.502</v>
      </c>
      <c r="R290" s="2">
        <v>2.2000000000000002</v>
      </c>
      <c r="S290" s="2">
        <v>2.9</v>
      </c>
      <c r="T290" s="2">
        <v>0.76100000000000001</v>
      </c>
      <c r="U290" s="2">
        <v>1.1000000000000001</v>
      </c>
      <c r="V290" s="2">
        <v>4.2</v>
      </c>
      <c r="W290" s="2">
        <v>5.3</v>
      </c>
      <c r="X290" s="2">
        <v>1.6</v>
      </c>
      <c r="Y290" s="2">
        <v>0.8</v>
      </c>
      <c r="Z290" s="2">
        <v>0.2</v>
      </c>
      <c r="AA290" s="2">
        <v>0.8</v>
      </c>
      <c r="AB290" s="2">
        <v>1.8</v>
      </c>
      <c r="AC290" s="2">
        <v>12.7</v>
      </c>
      <c r="AD290" s="2"/>
    </row>
    <row r="291" spans="1:30" x14ac:dyDescent="0.2">
      <c r="A291" t="s">
        <v>472</v>
      </c>
      <c r="B291" s="2">
        <v>33</v>
      </c>
      <c r="C291" t="s">
        <v>66</v>
      </c>
      <c r="D291" s="2" t="s">
        <v>42</v>
      </c>
      <c r="E291" s="2">
        <v>3</v>
      </c>
      <c r="F291" s="2">
        <v>0</v>
      </c>
      <c r="G291" s="2">
        <v>13.7</v>
      </c>
      <c r="H291" s="2">
        <v>2</v>
      </c>
      <c r="I291" s="2">
        <v>5.7</v>
      </c>
      <c r="J291" s="2">
        <v>0.35299999999999998</v>
      </c>
      <c r="K291" s="2">
        <v>1</v>
      </c>
      <c r="L291" s="2">
        <v>2.2999999999999998</v>
      </c>
      <c r="M291" s="2">
        <v>0.42899999999999999</v>
      </c>
      <c r="N291" s="2">
        <v>1</v>
      </c>
      <c r="O291" s="2">
        <v>3.3</v>
      </c>
      <c r="P291" s="2">
        <v>0.3</v>
      </c>
      <c r="Q291" s="2">
        <v>0.441</v>
      </c>
      <c r="R291" s="2">
        <v>1.3</v>
      </c>
      <c r="S291" s="2">
        <v>2</v>
      </c>
      <c r="T291" s="2">
        <v>0.66700000000000004</v>
      </c>
      <c r="U291" s="2">
        <v>1.3</v>
      </c>
      <c r="V291" s="2">
        <v>2.7</v>
      </c>
      <c r="W291" s="2">
        <v>4</v>
      </c>
      <c r="X291" s="2">
        <v>1.3</v>
      </c>
      <c r="Y291" s="2">
        <v>1.7</v>
      </c>
      <c r="Z291" s="2">
        <v>0.3</v>
      </c>
      <c r="AA291" s="2">
        <v>1</v>
      </c>
      <c r="AB291" s="2">
        <v>1</v>
      </c>
      <c r="AC291" s="2">
        <v>6.3</v>
      </c>
      <c r="AD291" s="2"/>
    </row>
    <row r="292" spans="1:30" x14ac:dyDescent="0.2">
      <c r="A292" t="s">
        <v>170</v>
      </c>
      <c r="B292" s="2">
        <v>29</v>
      </c>
      <c r="C292" t="s">
        <v>122</v>
      </c>
      <c r="D292" s="2" t="s">
        <v>49</v>
      </c>
      <c r="E292" s="2">
        <v>22</v>
      </c>
      <c r="F292" s="2">
        <v>19</v>
      </c>
      <c r="G292" s="2">
        <v>31.4</v>
      </c>
      <c r="H292" s="2">
        <v>4.9000000000000004</v>
      </c>
      <c r="I292" s="2">
        <v>11</v>
      </c>
      <c r="J292" s="2">
        <v>0.44400000000000001</v>
      </c>
      <c r="K292" s="2">
        <v>1.4</v>
      </c>
      <c r="L292" s="2">
        <v>4.4000000000000004</v>
      </c>
      <c r="M292" s="2">
        <v>0.32</v>
      </c>
      <c r="N292" s="2">
        <v>3.5</v>
      </c>
      <c r="O292" s="2">
        <v>6.6</v>
      </c>
      <c r="P292" s="2">
        <v>0.52700000000000002</v>
      </c>
      <c r="Q292" s="2">
        <v>0.50800000000000001</v>
      </c>
      <c r="R292" s="2">
        <v>1.6</v>
      </c>
      <c r="S292" s="2">
        <v>2.2000000000000002</v>
      </c>
      <c r="T292" s="2">
        <v>0.75</v>
      </c>
      <c r="U292" s="2">
        <v>1.5</v>
      </c>
      <c r="V292" s="2">
        <v>3.8</v>
      </c>
      <c r="W292" s="2">
        <v>5.3</v>
      </c>
      <c r="X292" s="2">
        <v>1.4</v>
      </c>
      <c r="Y292" s="2">
        <v>1.3</v>
      </c>
      <c r="Z292" s="2">
        <v>0.5</v>
      </c>
      <c r="AA292" s="2">
        <v>1.3</v>
      </c>
      <c r="AB292" s="2">
        <v>3.1</v>
      </c>
      <c r="AC292" s="2">
        <v>12.9</v>
      </c>
      <c r="AD292" s="2"/>
    </row>
    <row r="293" spans="1:30" x14ac:dyDescent="0.2">
      <c r="A293" t="s">
        <v>364</v>
      </c>
      <c r="B293" s="2">
        <v>30</v>
      </c>
      <c r="C293" t="s">
        <v>32</v>
      </c>
      <c r="D293" s="2" t="s">
        <v>27</v>
      </c>
      <c r="E293" s="2">
        <v>14</v>
      </c>
      <c r="F293" s="2">
        <v>0</v>
      </c>
      <c r="G293" s="2">
        <v>13.2</v>
      </c>
      <c r="H293" s="2">
        <v>2.2000000000000002</v>
      </c>
      <c r="I293" s="2">
        <v>4</v>
      </c>
      <c r="J293" s="2">
        <v>0.55400000000000005</v>
      </c>
      <c r="K293" s="2">
        <v>0.9</v>
      </c>
      <c r="L293" s="2">
        <v>2.2000000000000002</v>
      </c>
      <c r="M293" s="2">
        <v>0.41899999999999998</v>
      </c>
      <c r="N293" s="2">
        <v>1.3</v>
      </c>
      <c r="O293" s="2">
        <v>1.8</v>
      </c>
      <c r="P293" s="2">
        <v>0.72</v>
      </c>
      <c r="Q293" s="2">
        <v>0.67</v>
      </c>
      <c r="R293" s="2">
        <v>0.4</v>
      </c>
      <c r="S293" s="2">
        <v>0.4</v>
      </c>
      <c r="T293" s="2">
        <v>1</v>
      </c>
      <c r="U293" s="2">
        <v>0.9</v>
      </c>
      <c r="V293" s="2">
        <v>2.1</v>
      </c>
      <c r="W293" s="2">
        <v>3</v>
      </c>
      <c r="X293" s="2">
        <v>0.9</v>
      </c>
      <c r="Y293" s="2">
        <v>0.6</v>
      </c>
      <c r="Z293" s="2">
        <v>0.3</v>
      </c>
      <c r="AA293" s="2">
        <v>0.1</v>
      </c>
      <c r="AB293" s="2">
        <v>1.6</v>
      </c>
      <c r="AC293" s="2">
        <v>5.8</v>
      </c>
      <c r="AD293" s="2"/>
    </row>
    <row r="294" spans="1:30" x14ac:dyDescent="0.2">
      <c r="A294" t="s">
        <v>219</v>
      </c>
      <c r="B294" s="2">
        <v>31</v>
      </c>
      <c r="C294" t="s">
        <v>48</v>
      </c>
      <c r="D294" s="2" t="s">
        <v>52</v>
      </c>
      <c r="E294" s="2">
        <v>26</v>
      </c>
      <c r="F294" s="2">
        <v>26</v>
      </c>
      <c r="G294" s="2">
        <v>30.2</v>
      </c>
      <c r="H294" s="2">
        <v>2.8</v>
      </c>
      <c r="I294" s="2">
        <v>7.1</v>
      </c>
      <c r="J294" s="2">
        <v>0.4</v>
      </c>
      <c r="K294" s="2">
        <v>1.4</v>
      </c>
      <c r="L294" s="2">
        <v>4.8</v>
      </c>
      <c r="M294" s="2">
        <v>0.29799999999999999</v>
      </c>
      <c r="N294" s="2">
        <v>1.4</v>
      </c>
      <c r="O294" s="2">
        <v>2.2999999999999998</v>
      </c>
      <c r="P294" s="2">
        <v>0.60699999999999998</v>
      </c>
      <c r="Q294" s="2">
        <v>0.5</v>
      </c>
      <c r="R294" s="2">
        <v>1.1000000000000001</v>
      </c>
      <c r="S294" s="2">
        <v>1.3</v>
      </c>
      <c r="T294" s="2">
        <v>0.879</v>
      </c>
      <c r="U294" s="2">
        <v>0.3</v>
      </c>
      <c r="V294" s="2">
        <v>1.7</v>
      </c>
      <c r="W294" s="2">
        <v>2.1</v>
      </c>
      <c r="X294" s="2">
        <v>1.7</v>
      </c>
      <c r="Y294" s="2">
        <v>1.7</v>
      </c>
      <c r="Z294" s="2">
        <v>0.5</v>
      </c>
      <c r="AA294" s="2">
        <v>0.7</v>
      </c>
      <c r="AB294" s="2">
        <v>2.1</v>
      </c>
      <c r="AC294" s="2">
        <v>8.1999999999999993</v>
      </c>
      <c r="AD294" s="2"/>
    </row>
    <row r="295" spans="1:30" x14ac:dyDescent="0.2">
      <c r="A295" t="s">
        <v>277</v>
      </c>
      <c r="B295" s="2">
        <v>25</v>
      </c>
      <c r="C295" t="s">
        <v>37</v>
      </c>
      <c r="D295" s="2" t="s">
        <v>52</v>
      </c>
      <c r="E295" s="2">
        <v>24</v>
      </c>
      <c r="F295" s="2">
        <v>4</v>
      </c>
      <c r="G295" s="2">
        <v>20.5</v>
      </c>
      <c r="H295" s="2">
        <v>2</v>
      </c>
      <c r="I295" s="2">
        <v>4.4000000000000004</v>
      </c>
      <c r="J295" s="2">
        <v>0.46700000000000003</v>
      </c>
      <c r="K295" s="2">
        <v>1.3</v>
      </c>
      <c r="L295" s="2">
        <v>3.2</v>
      </c>
      <c r="M295" s="2">
        <v>0.42099999999999999</v>
      </c>
      <c r="N295" s="2">
        <v>0.7</v>
      </c>
      <c r="O295" s="2">
        <v>1.2</v>
      </c>
      <c r="P295" s="2">
        <v>0.58599999999999997</v>
      </c>
      <c r="Q295" s="2">
        <v>0.61899999999999999</v>
      </c>
      <c r="R295" s="2">
        <v>0.9</v>
      </c>
      <c r="S295" s="2">
        <v>1.1000000000000001</v>
      </c>
      <c r="T295" s="2">
        <v>0.81499999999999995</v>
      </c>
      <c r="U295" s="2">
        <v>0.8</v>
      </c>
      <c r="V295" s="2">
        <v>1.3</v>
      </c>
      <c r="W295" s="2">
        <v>2.1</v>
      </c>
      <c r="X295" s="2">
        <v>1.1000000000000001</v>
      </c>
      <c r="Y295" s="2">
        <v>1.2</v>
      </c>
      <c r="Z295" s="2">
        <v>0.8</v>
      </c>
      <c r="AA295" s="2">
        <v>0.8</v>
      </c>
      <c r="AB295" s="2">
        <v>2</v>
      </c>
      <c r="AC295" s="2">
        <v>6.3</v>
      </c>
      <c r="AD295" s="2"/>
    </row>
    <row r="296" spans="1:30" x14ac:dyDescent="0.2">
      <c r="A296" t="s">
        <v>309</v>
      </c>
      <c r="B296" s="2">
        <v>22</v>
      </c>
      <c r="C296" t="s">
        <v>103</v>
      </c>
      <c r="D296" s="2" t="s">
        <v>52</v>
      </c>
      <c r="E296" s="2">
        <v>22</v>
      </c>
      <c r="F296" s="2">
        <v>3</v>
      </c>
      <c r="G296" s="2">
        <v>17</v>
      </c>
      <c r="H296" s="2">
        <v>2.1</v>
      </c>
      <c r="I296" s="2">
        <v>6</v>
      </c>
      <c r="J296" s="2">
        <v>0.34799999999999998</v>
      </c>
      <c r="K296" s="2">
        <v>1.1000000000000001</v>
      </c>
      <c r="L296" s="2">
        <v>3.8</v>
      </c>
      <c r="M296" s="2">
        <v>0.30099999999999999</v>
      </c>
      <c r="N296" s="2">
        <v>1</v>
      </c>
      <c r="O296" s="2">
        <v>2.2000000000000002</v>
      </c>
      <c r="P296" s="2">
        <v>0.42899999999999999</v>
      </c>
      <c r="Q296" s="2">
        <v>0.443</v>
      </c>
      <c r="R296" s="2">
        <v>0.4</v>
      </c>
      <c r="S296" s="2">
        <v>0.5</v>
      </c>
      <c r="T296" s="2">
        <v>0.72699999999999998</v>
      </c>
      <c r="U296" s="2">
        <v>0.6</v>
      </c>
      <c r="V296" s="2">
        <v>2.2999999999999998</v>
      </c>
      <c r="W296" s="2">
        <v>2.9</v>
      </c>
      <c r="X296" s="2">
        <v>1.1000000000000001</v>
      </c>
      <c r="Y296" s="2">
        <v>0.5</v>
      </c>
      <c r="Z296" s="2">
        <v>0.3</v>
      </c>
      <c r="AA296" s="2">
        <v>1</v>
      </c>
      <c r="AB296" s="2">
        <v>2.1</v>
      </c>
      <c r="AC296" s="2">
        <v>5.7</v>
      </c>
      <c r="AD296" s="2"/>
    </row>
    <row r="297" spans="1:30" x14ac:dyDescent="0.2">
      <c r="A297" t="s">
        <v>546</v>
      </c>
      <c r="B297" s="2">
        <v>23</v>
      </c>
      <c r="C297" t="s">
        <v>61</v>
      </c>
      <c r="D297" s="2" t="s">
        <v>49</v>
      </c>
      <c r="E297" s="2">
        <v>2</v>
      </c>
      <c r="F297" s="2">
        <v>0</v>
      </c>
      <c r="G297" s="2">
        <v>6</v>
      </c>
      <c r="H297" s="2">
        <v>0.5</v>
      </c>
      <c r="I297" s="2">
        <v>1</v>
      </c>
      <c r="J297" s="2">
        <v>0.5</v>
      </c>
      <c r="K297" s="2">
        <v>0</v>
      </c>
      <c r="L297" s="2">
        <v>0.5</v>
      </c>
      <c r="M297" s="2">
        <v>0</v>
      </c>
      <c r="N297" s="2">
        <v>0.5</v>
      </c>
      <c r="O297" s="2">
        <v>0.5</v>
      </c>
      <c r="P297" s="2">
        <v>1</v>
      </c>
      <c r="Q297" s="2">
        <v>0.5</v>
      </c>
      <c r="R297" s="2">
        <v>0</v>
      </c>
      <c r="S297" s="2">
        <v>0</v>
      </c>
      <c r="T297" s="2"/>
      <c r="U297" s="2">
        <v>0</v>
      </c>
      <c r="V297" s="2">
        <v>1</v>
      </c>
      <c r="W297" s="2">
        <v>1</v>
      </c>
      <c r="X297" s="2">
        <v>0</v>
      </c>
      <c r="Y297" s="2">
        <v>0</v>
      </c>
      <c r="Z297" s="2">
        <v>0</v>
      </c>
      <c r="AA297" s="2">
        <v>0</v>
      </c>
      <c r="AB297" s="2">
        <v>0</v>
      </c>
      <c r="AC297" s="2">
        <v>1</v>
      </c>
      <c r="AD297" s="2"/>
    </row>
    <row r="298" spans="1:30" x14ac:dyDescent="0.2">
      <c r="A298" t="s">
        <v>557</v>
      </c>
      <c r="B298" s="2">
        <v>24</v>
      </c>
      <c r="C298" t="s">
        <v>63</v>
      </c>
      <c r="D298" s="2" t="s">
        <v>49</v>
      </c>
      <c r="E298" s="2">
        <v>5</v>
      </c>
      <c r="F298" s="2">
        <v>0</v>
      </c>
      <c r="G298" s="2">
        <v>2</v>
      </c>
      <c r="H298" s="2">
        <v>0</v>
      </c>
      <c r="I298" s="2">
        <v>0.4</v>
      </c>
      <c r="J298" s="2">
        <v>0</v>
      </c>
      <c r="K298" s="2">
        <v>0</v>
      </c>
      <c r="L298" s="2">
        <v>0.4</v>
      </c>
      <c r="M298" s="2">
        <v>0</v>
      </c>
      <c r="N298" s="2">
        <v>0</v>
      </c>
      <c r="O298" s="2">
        <v>0</v>
      </c>
      <c r="P298" s="2"/>
      <c r="Q298" s="2">
        <v>0</v>
      </c>
      <c r="R298" s="2">
        <v>0</v>
      </c>
      <c r="S298" s="2">
        <v>0</v>
      </c>
      <c r="T298" s="2"/>
      <c r="U298" s="2">
        <v>0</v>
      </c>
      <c r="V298" s="2">
        <v>0</v>
      </c>
      <c r="W298" s="2">
        <v>0</v>
      </c>
      <c r="X298" s="2">
        <v>0</v>
      </c>
      <c r="Y298" s="2">
        <v>0</v>
      </c>
      <c r="Z298" s="2">
        <v>0</v>
      </c>
      <c r="AA298" s="2">
        <v>0.2</v>
      </c>
      <c r="AB298" s="2">
        <v>0.4</v>
      </c>
      <c r="AC298" s="2">
        <v>0</v>
      </c>
      <c r="AD298" s="2"/>
    </row>
    <row r="299" spans="1:30" x14ac:dyDescent="0.2">
      <c r="A299" t="s">
        <v>140</v>
      </c>
      <c r="B299" s="2">
        <v>36</v>
      </c>
      <c r="C299" t="s">
        <v>54</v>
      </c>
      <c r="D299" s="2" t="s">
        <v>27</v>
      </c>
      <c r="E299" s="2">
        <v>13</v>
      </c>
      <c r="F299" s="2">
        <v>13</v>
      </c>
      <c r="G299" s="2">
        <v>35.700000000000003</v>
      </c>
      <c r="H299" s="2">
        <v>9.1999999999999993</v>
      </c>
      <c r="I299" s="2">
        <v>17.2</v>
      </c>
      <c r="J299" s="2">
        <v>0.53600000000000003</v>
      </c>
      <c r="K299" s="2">
        <v>2.7</v>
      </c>
      <c r="L299" s="2">
        <v>6</v>
      </c>
      <c r="M299" s="2">
        <v>0.44900000000000001</v>
      </c>
      <c r="N299" s="2">
        <v>6.5</v>
      </c>
      <c r="O299" s="2">
        <v>11.2</v>
      </c>
      <c r="P299" s="2">
        <v>0.58199999999999996</v>
      </c>
      <c r="Q299" s="2">
        <v>0.61399999999999999</v>
      </c>
      <c r="R299" s="2">
        <v>4.5999999999999996</v>
      </c>
      <c r="S299" s="2">
        <v>5.8</v>
      </c>
      <c r="T299" s="2">
        <v>0.8</v>
      </c>
      <c r="U299" s="2">
        <v>0.2</v>
      </c>
      <c r="V299" s="2">
        <v>6.5</v>
      </c>
      <c r="W299" s="2">
        <v>6.7</v>
      </c>
      <c r="X299" s="2">
        <v>3.1</v>
      </c>
      <c r="Y299" s="2">
        <v>0.5</v>
      </c>
      <c r="Z299" s="2">
        <v>1.5</v>
      </c>
      <c r="AA299" s="2">
        <v>3.3</v>
      </c>
      <c r="AB299" s="2">
        <v>1.7</v>
      </c>
      <c r="AC299" s="2">
        <v>25.8</v>
      </c>
      <c r="AD299" s="2"/>
    </row>
    <row r="300" spans="1:30" x14ac:dyDescent="0.2">
      <c r="A300" t="s">
        <v>208</v>
      </c>
      <c r="B300" s="2">
        <v>26</v>
      </c>
      <c r="C300" t="s">
        <v>37</v>
      </c>
      <c r="D300" s="2" t="s">
        <v>52</v>
      </c>
      <c r="E300" s="2">
        <v>23</v>
      </c>
      <c r="F300" s="2">
        <v>15</v>
      </c>
      <c r="G300" s="2">
        <v>25.6</v>
      </c>
      <c r="H300" s="2">
        <v>3.8</v>
      </c>
      <c r="I300" s="2">
        <v>8.8000000000000007</v>
      </c>
      <c r="J300" s="2">
        <v>0.43099999999999999</v>
      </c>
      <c r="K300" s="2">
        <v>1.8</v>
      </c>
      <c r="L300" s="2">
        <v>5.9</v>
      </c>
      <c r="M300" s="2">
        <v>0.311</v>
      </c>
      <c r="N300" s="2">
        <v>2</v>
      </c>
      <c r="O300" s="2">
        <v>2.9</v>
      </c>
      <c r="P300" s="2">
        <v>0.67200000000000004</v>
      </c>
      <c r="Q300" s="2">
        <v>0.53500000000000003</v>
      </c>
      <c r="R300" s="2">
        <v>0.5</v>
      </c>
      <c r="S300" s="2">
        <v>0.7</v>
      </c>
      <c r="T300" s="2">
        <v>0.70599999999999996</v>
      </c>
      <c r="U300" s="2">
        <v>0.4</v>
      </c>
      <c r="V300" s="2">
        <v>3.1</v>
      </c>
      <c r="W300" s="2">
        <v>3.5</v>
      </c>
      <c r="X300" s="2">
        <v>2</v>
      </c>
      <c r="Y300" s="2">
        <v>1.1000000000000001</v>
      </c>
      <c r="Z300" s="2">
        <v>0.5</v>
      </c>
      <c r="AA300" s="2">
        <v>1</v>
      </c>
      <c r="AB300" s="2">
        <v>2.2999999999999998</v>
      </c>
      <c r="AC300" s="2">
        <v>9.9</v>
      </c>
      <c r="AD300" s="2"/>
    </row>
    <row r="301" spans="1:30" x14ac:dyDescent="0.2">
      <c r="A301" t="s">
        <v>358</v>
      </c>
      <c r="B301" s="2">
        <v>36</v>
      </c>
      <c r="C301" t="s">
        <v>61</v>
      </c>
      <c r="D301" s="2" t="s">
        <v>27</v>
      </c>
      <c r="E301" s="2">
        <v>13</v>
      </c>
      <c r="F301" s="2">
        <v>4</v>
      </c>
      <c r="G301" s="2">
        <v>11.8</v>
      </c>
      <c r="H301" s="2">
        <v>2.2000000000000002</v>
      </c>
      <c r="I301" s="2">
        <v>6.1</v>
      </c>
      <c r="J301" s="2">
        <v>0.36699999999999999</v>
      </c>
      <c r="K301" s="2">
        <v>1.4</v>
      </c>
      <c r="L301" s="2">
        <v>3.6</v>
      </c>
      <c r="M301" s="2">
        <v>0.38300000000000001</v>
      </c>
      <c r="N301" s="2">
        <v>0.8</v>
      </c>
      <c r="O301" s="2">
        <v>2.5</v>
      </c>
      <c r="P301" s="2">
        <v>0.34399999999999997</v>
      </c>
      <c r="Q301" s="2">
        <v>0.48099999999999998</v>
      </c>
      <c r="R301" s="2">
        <v>0.8</v>
      </c>
      <c r="S301" s="2">
        <v>1.2</v>
      </c>
      <c r="T301" s="2">
        <v>0.66700000000000004</v>
      </c>
      <c r="U301" s="2">
        <v>1.1000000000000001</v>
      </c>
      <c r="V301" s="2">
        <v>3.6</v>
      </c>
      <c r="W301" s="2">
        <v>4.7</v>
      </c>
      <c r="X301" s="2">
        <v>1.3</v>
      </c>
      <c r="Y301" s="2">
        <v>1</v>
      </c>
      <c r="Z301" s="2">
        <v>0.2</v>
      </c>
      <c r="AA301" s="2">
        <v>0.7</v>
      </c>
      <c r="AB301" s="2">
        <v>0.8</v>
      </c>
      <c r="AC301" s="2">
        <v>6.6</v>
      </c>
      <c r="AD301" s="2"/>
    </row>
    <row r="302" spans="1:30" x14ac:dyDescent="0.2">
      <c r="A302" t="s">
        <v>227</v>
      </c>
      <c r="B302" s="2">
        <v>24</v>
      </c>
      <c r="C302" t="s">
        <v>77</v>
      </c>
      <c r="D302" s="2" t="s">
        <v>52</v>
      </c>
      <c r="E302" s="2">
        <v>22</v>
      </c>
      <c r="F302" s="2">
        <v>1</v>
      </c>
      <c r="G302" s="2">
        <v>19.5</v>
      </c>
      <c r="H302" s="2">
        <v>3.9</v>
      </c>
      <c r="I302" s="2">
        <v>9.3000000000000007</v>
      </c>
      <c r="J302" s="2">
        <v>0.41699999999999998</v>
      </c>
      <c r="K302" s="2">
        <v>0.5</v>
      </c>
      <c r="L302" s="2">
        <v>2.5</v>
      </c>
      <c r="M302" s="2">
        <v>0.20399999999999999</v>
      </c>
      <c r="N302" s="2">
        <v>3.4</v>
      </c>
      <c r="O302" s="2">
        <v>6.8</v>
      </c>
      <c r="P302" s="2">
        <v>0.49299999999999999</v>
      </c>
      <c r="Q302" s="2">
        <v>0.44400000000000001</v>
      </c>
      <c r="R302" s="2">
        <v>1</v>
      </c>
      <c r="S302" s="2">
        <v>1.7</v>
      </c>
      <c r="T302" s="2">
        <v>0.622</v>
      </c>
      <c r="U302" s="2">
        <v>0.6</v>
      </c>
      <c r="V302" s="2">
        <v>2.8</v>
      </c>
      <c r="W302" s="2">
        <v>3.5</v>
      </c>
      <c r="X302" s="2">
        <v>2.9</v>
      </c>
      <c r="Y302" s="2">
        <v>0.9</v>
      </c>
      <c r="Z302" s="2">
        <v>0.3</v>
      </c>
      <c r="AA302" s="2">
        <v>2.2999999999999998</v>
      </c>
      <c r="AB302" s="2">
        <v>1.4</v>
      </c>
      <c r="AC302" s="2">
        <v>9.3000000000000007</v>
      </c>
      <c r="AD302" s="2"/>
    </row>
    <row r="303" spans="1:30" x14ac:dyDescent="0.2">
      <c r="A303" t="s">
        <v>315</v>
      </c>
      <c r="B303" s="2">
        <v>28</v>
      </c>
      <c r="C303" t="s">
        <v>100</v>
      </c>
      <c r="D303" s="2" t="s">
        <v>42</v>
      </c>
      <c r="E303" s="2">
        <v>22</v>
      </c>
      <c r="F303" s="2">
        <v>3</v>
      </c>
      <c r="G303" s="2">
        <v>16.399999999999999</v>
      </c>
      <c r="H303" s="2">
        <v>2.2999999999999998</v>
      </c>
      <c r="I303" s="2">
        <v>4.4000000000000004</v>
      </c>
      <c r="J303" s="2">
        <v>0.53100000000000003</v>
      </c>
      <c r="K303" s="2">
        <v>0</v>
      </c>
      <c r="L303" s="2">
        <v>0</v>
      </c>
      <c r="M303" s="2"/>
      <c r="N303" s="2">
        <v>2.2999999999999998</v>
      </c>
      <c r="O303" s="2">
        <v>4.4000000000000004</v>
      </c>
      <c r="P303" s="2">
        <v>0.53100000000000003</v>
      </c>
      <c r="Q303" s="2">
        <v>0.53100000000000003</v>
      </c>
      <c r="R303" s="2">
        <v>0.8</v>
      </c>
      <c r="S303" s="2">
        <v>1.7</v>
      </c>
      <c r="T303" s="2">
        <v>0.45900000000000002</v>
      </c>
      <c r="U303" s="2">
        <v>3.5</v>
      </c>
      <c r="V303" s="2">
        <v>4.3</v>
      </c>
      <c r="W303" s="2">
        <v>7.9</v>
      </c>
      <c r="X303" s="2">
        <v>1.7</v>
      </c>
      <c r="Y303" s="2">
        <v>0.8</v>
      </c>
      <c r="Z303" s="2">
        <v>0.3</v>
      </c>
      <c r="AA303" s="2">
        <v>0.7</v>
      </c>
      <c r="AB303" s="2">
        <v>2.5</v>
      </c>
      <c r="AC303" s="2">
        <v>5.4</v>
      </c>
      <c r="AD303" s="2"/>
    </row>
    <row r="304" spans="1:30" x14ac:dyDescent="0.2">
      <c r="A304" t="s">
        <v>130</v>
      </c>
      <c r="B304" s="2">
        <v>21</v>
      </c>
      <c r="C304" t="s">
        <v>120</v>
      </c>
      <c r="D304" s="2" t="s">
        <v>33</v>
      </c>
      <c r="E304" s="2">
        <v>22</v>
      </c>
      <c r="F304" s="2">
        <v>22</v>
      </c>
      <c r="G304" s="2">
        <v>31.5</v>
      </c>
      <c r="H304" s="2">
        <v>5.4</v>
      </c>
      <c r="I304" s="2">
        <v>13.7</v>
      </c>
      <c r="J304" s="2">
        <v>0.39400000000000002</v>
      </c>
      <c r="K304" s="2">
        <v>2.6</v>
      </c>
      <c r="L304" s="2">
        <v>7.7</v>
      </c>
      <c r="M304" s="2">
        <v>0.33500000000000002</v>
      </c>
      <c r="N304" s="2">
        <v>2.8</v>
      </c>
      <c r="O304" s="2">
        <v>6</v>
      </c>
      <c r="P304" s="2">
        <v>0.47</v>
      </c>
      <c r="Q304" s="2">
        <v>0.48799999999999999</v>
      </c>
      <c r="R304" s="2">
        <v>2.5</v>
      </c>
      <c r="S304" s="2">
        <v>3</v>
      </c>
      <c r="T304" s="2">
        <v>0.82099999999999995</v>
      </c>
      <c r="U304" s="2">
        <v>0.5</v>
      </c>
      <c r="V304" s="2">
        <v>2.7</v>
      </c>
      <c r="W304" s="2">
        <v>3.2</v>
      </c>
      <c r="X304" s="2">
        <v>5.6</v>
      </c>
      <c r="Y304" s="2">
        <v>0.8</v>
      </c>
      <c r="Z304" s="2">
        <v>0.1</v>
      </c>
      <c r="AA304" s="2">
        <v>3.3</v>
      </c>
      <c r="AB304" s="2">
        <v>1.8</v>
      </c>
      <c r="AC304" s="2">
        <v>15.9</v>
      </c>
      <c r="AD304" s="2"/>
    </row>
    <row r="305" spans="1:30" x14ac:dyDescent="0.2">
      <c r="A305" t="s">
        <v>459</v>
      </c>
      <c r="B305" s="2">
        <v>33</v>
      </c>
      <c r="C305" t="s">
        <v>35</v>
      </c>
      <c r="D305" s="2" t="s">
        <v>49</v>
      </c>
      <c r="E305" s="2">
        <v>3</v>
      </c>
      <c r="F305" s="2">
        <v>0</v>
      </c>
      <c r="G305" s="2">
        <v>21</v>
      </c>
      <c r="H305" s="2">
        <v>1.7</v>
      </c>
      <c r="I305" s="2">
        <v>6.7</v>
      </c>
      <c r="J305" s="2">
        <v>0.25</v>
      </c>
      <c r="K305" s="2">
        <v>0.7</v>
      </c>
      <c r="L305" s="2">
        <v>2.2999999999999998</v>
      </c>
      <c r="M305" s="2">
        <v>0.28599999999999998</v>
      </c>
      <c r="N305" s="2">
        <v>1</v>
      </c>
      <c r="O305" s="2">
        <v>4.3</v>
      </c>
      <c r="P305" s="2">
        <v>0.23100000000000001</v>
      </c>
      <c r="Q305" s="2">
        <v>0.3</v>
      </c>
      <c r="R305" s="2">
        <v>3.3</v>
      </c>
      <c r="S305" s="2">
        <v>3.3</v>
      </c>
      <c r="T305" s="2">
        <v>1</v>
      </c>
      <c r="U305" s="2">
        <v>0</v>
      </c>
      <c r="V305" s="2">
        <v>3</v>
      </c>
      <c r="W305" s="2">
        <v>3</v>
      </c>
      <c r="X305" s="2">
        <v>6.3</v>
      </c>
      <c r="Y305" s="2">
        <v>1.7</v>
      </c>
      <c r="Z305" s="2">
        <v>0.3</v>
      </c>
      <c r="AA305" s="2">
        <v>1</v>
      </c>
      <c r="AB305" s="2">
        <v>2.2999999999999998</v>
      </c>
      <c r="AC305" s="2">
        <v>7.3</v>
      </c>
      <c r="AD305" s="2"/>
    </row>
    <row r="306" spans="1:30" x14ac:dyDescent="0.2">
      <c r="A306" t="s">
        <v>306</v>
      </c>
      <c r="B306" s="2">
        <v>24</v>
      </c>
      <c r="C306" t="s">
        <v>122</v>
      </c>
      <c r="D306" s="2" t="s">
        <v>27</v>
      </c>
      <c r="E306" s="2">
        <v>19</v>
      </c>
      <c r="F306" s="2">
        <v>3</v>
      </c>
      <c r="G306" s="2">
        <v>18.899999999999999</v>
      </c>
      <c r="H306" s="2">
        <v>2.6</v>
      </c>
      <c r="I306" s="2">
        <v>4</v>
      </c>
      <c r="J306" s="2">
        <v>0.64500000000000002</v>
      </c>
      <c r="K306" s="2">
        <v>0.3</v>
      </c>
      <c r="L306" s="2">
        <v>0.7</v>
      </c>
      <c r="M306" s="2">
        <v>0.35699999999999998</v>
      </c>
      <c r="N306" s="2">
        <v>2.2999999999999998</v>
      </c>
      <c r="O306" s="2">
        <v>3.3</v>
      </c>
      <c r="P306" s="2">
        <v>0.71</v>
      </c>
      <c r="Q306" s="2">
        <v>0.67800000000000005</v>
      </c>
      <c r="R306" s="2">
        <v>1.2</v>
      </c>
      <c r="S306" s="2">
        <v>1.4</v>
      </c>
      <c r="T306" s="2">
        <v>0.85199999999999998</v>
      </c>
      <c r="U306" s="2">
        <v>0.9</v>
      </c>
      <c r="V306" s="2">
        <v>1.8</v>
      </c>
      <c r="W306" s="2">
        <v>2.7</v>
      </c>
      <c r="X306" s="2">
        <v>0.9</v>
      </c>
      <c r="Y306" s="2">
        <v>0.4</v>
      </c>
      <c r="Z306" s="2">
        <v>0.7</v>
      </c>
      <c r="AA306" s="2">
        <v>0.4</v>
      </c>
      <c r="AB306" s="2">
        <v>2.4</v>
      </c>
      <c r="AC306" s="2">
        <v>6.6</v>
      </c>
      <c r="AD306" s="2"/>
    </row>
    <row r="307" spans="1:30" x14ac:dyDescent="0.2">
      <c r="A307" t="s">
        <v>427</v>
      </c>
      <c r="B307" s="2">
        <v>22</v>
      </c>
      <c r="C307" t="s">
        <v>59</v>
      </c>
      <c r="D307" s="2" t="s">
        <v>33</v>
      </c>
      <c r="E307" s="2">
        <v>8</v>
      </c>
      <c r="F307" s="2">
        <v>0</v>
      </c>
      <c r="G307" s="2">
        <v>14.5</v>
      </c>
      <c r="H307" s="2">
        <v>1.5</v>
      </c>
      <c r="I307" s="2">
        <v>4.9000000000000004</v>
      </c>
      <c r="J307" s="2">
        <v>0.308</v>
      </c>
      <c r="K307" s="2">
        <v>0.4</v>
      </c>
      <c r="L307" s="2">
        <v>2.4</v>
      </c>
      <c r="M307" s="2">
        <v>0.158</v>
      </c>
      <c r="N307" s="2">
        <v>1.1000000000000001</v>
      </c>
      <c r="O307" s="2">
        <v>2.5</v>
      </c>
      <c r="P307" s="2">
        <v>0.45</v>
      </c>
      <c r="Q307" s="2">
        <v>0.34599999999999997</v>
      </c>
      <c r="R307" s="2">
        <v>1</v>
      </c>
      <c r="S307" s="2">
        <v>1.3</v>
      </c>
      <c r="T307" s="2">
        <v>0.8</v>
      </c>
      <c r="U307" s="2">
        <v>1.1000000000000001</v>
      </c>
      <c r="V307" s="2">
        <v>0.8</v>
      </c>
      <c r="W307" s="2">
        <v>1.9</v>
      </c>
      <c r="X307" s="2">
        <v>2.1</v>
      </c>
      <c r="Y307" s="2">
        <v>0.6</v>
      </c>
      <c r="Z307" s="2">
        <v>0.1</v>
      </c>
      <c r="AA307" s="2">
        <v>1.1000000000000001</v>
      </c>
      <c r="AB307" s="2">
        <v>1.5</v>
      </c>
      <c r="AC307" s="2">
        <v>4.4000000000000004</v>
      </c>
      <c r="AD307" s="2"/>
    </row>
    <row r="308" spans="1:30" x14ac:dyDescent="0.2">
      <c r="A308" t="s">
        <v>173</v>
      </c>
      <c r="B308" s="2">
        <v>34</v>
      </c>
      <c r="C308" t="s">
        <v>63</v>
      </c>
      <c r="D308" s="2" t="s">
        <v>49</v>
      </c>
      <c r="E308" s="2">
        <v>21</v>
      </c>
      <c r="F308" s="2">
        <v>21</v>
      </c>
      <c r="G308" s="2">
        <v>27.6</v>
      </c>
      <c r="H308" s="2">
        <v>4.8</v>
      </c>
      <c r="I308" s="2">
        <v>12</v>
      </c>
      <c r="J308" s="2">
        <v>0.39500000000000002</v>
      </c>
      <c r="K308" s="2">
        <v>2.9</v>
      </c>
      <c r="L308" s="2">
        <v>7.8</v>
      </c>
      <c r="M308" s="2">
        <v>0.374</v>
      </c>
      <c r="N308" s="2">
        <v>1.9</v>
      </c>
      <c r="O308" s="2">
        <v>4.3</v>
      </c>
      <c r="P308" s="2">
        <v>0.433</v>
      </c>
      <c r="Q308" s="2">
        <v>0.51600000000000001</v>
      </c>
      <c r="R308" s="2">
        <v>0.9</v>
      </c>
      <c r="S308" s="2">
        <v>1</v>
      </c>
      <c r="T308" s="2">
        <v>0.9</v>
      </c>
      <c r="U308" s="2">
        <v>0.8</v>
      </c>
      <c r="V308" s="2">
        <v>2.8</v>
      </c>
      <c r="W308" s="2">
        <v>3.5</v>
      </c>
      <c r="X308" s="2">
        <v>1.7</v>
      </c>
      <c r="Y308" s="2">
        <v>0.6</v>
      </c>
      <c r="Z308" s="2">
        <v>0.3</v>
      </c>
      <c r="AA308" s="2">
        <v>1</v>
      </c>
      <c r="AB308" s="2">
        <v>1.3</v>
      </c>
      <c r="AC308" s="2">
        <v>13.3</v>
      </c>
      <c r="AD308" s="2"/>
    </row>
    <row r="309" spans="1:30" x14ac:dyDescent="0.2">
      <c r="A309" t="s">
        <v>464</v>
      </c>
      <c r="B309" s="2">
        <v>25</v>
      </c>
      <c r="C309" t="s">
        <v>77</v>
      </c>
      <c r="D309" s="2" t="s">
        <v>27</v>
      </c>
      <c r="E309" s="2">
        <v>7</v>
      </c>
      <c r="F309" s="2">
        <v>0</v>
      </c>
      <c r="G309" s="2">
        <v>6.7</v>
      </c>
      <c r="H309" s="2">
        <v>1.3</v>
      </c>
      <c r="I309" s="2">
        <v>2.9</v>
      </c>
      <c r="J309" s="2">
        <v>0.45</v>
      </c>
      <c r="K309" s="2">
        <v>0.1</v>
      </c>
      <c r="L309" s="2">
        <v>0.9</v>
      </c>
      <c r="M309" s="2">
        <v>0.16700000000000001</v>
      </c>
      <c r="N309" s="2">
        <v>1.1000000000000001</v>
      </c>
      <c r="O309" s="2">
        <v>2</v>
      </c>
      <c r="P309" s="2">
        <v>0.57099999999999995</v>
      </c>
      <c r="Q309" s="2">
        <v>0.47499999999999998</v>
      </c>
      <c r="R309" s="2">
        <v>0.1</v>
      </c>
      <c r="S309" s="2">
        <v>0.3</v>
      </c>
      <c r="T309" s="2">
        <v>0.5</v>
      </c>
      <c r="U309" s="2">
        <v>0.7</v>
      </c>
      <c r="V309" s="2">
        <v>1.6</v>
      </c>
      <c r="W309" s="2">
        <v>2.2999999999999998</v>
      </c>
      <c r="X309" s="2">
        <v>0.6</v>
      </c>
      <c r="Y309" s="2">
        <v>0.1</v>
      </c>
      <c r="Z309" s="2">
        <v>0</v>
      </c>
      <c r="AA309" s="2">
        <v>0</v>
      </c>
      <c r="AB309" s="2">
        <v>0.7</v>
      </c>
      <c r="AC309" s="2">
        <v>2.9</v>
      </c>
      <c r="AD309" s="2"/>
    </row>
    <row r="310" spans="1:30" x14ac:dyDescent="0.2">
      <c r="A310" t="s">
        <v>401</v>
      </c>
      <c r="B310" s="2">
        <v>21</v>
      </c>
      <c r="C310" t="s">
        <v>72</v>
      </c>
      <c r="D310" s="2" t="s">
        <v>52</v>
      </c>
      <c r="E310" s="2">
        <v>10</v>
      </c>
      <c r="F310" s="2">
        <v>0</v>
      </c>
      <c r="G310" s="2">
        <v>12.4</v>
      </c>
      <c r="H310" s="2">
        <v>1.8</v>
      </c>
      <c r="I310" s="2">
        <v>4.7</v>
      </c>
      <c r="J310" s="2">
        <v>0.38300000000000001</v>
      </c>
      <c r="K310" s="2">
        <v>0.4</v>
      </c>
      <c r="L310" s="2">
        <v>1.9</v>
      </c>
      <c r="M310" s="2">
        <v>0.21099999999999999</v>
      </c>
      <c r="N310" s="2">
        <v>1.4</v>
      </c>
      <c r="O310" s="2">
        <v>2.8</v>
      </c>
      <c r="P310" s="2">
        <v>0.5</v>
      </c>
      <c r="Q310" s="2">
        <v>0.42599999999999999</v>
      </c>
      <c r="R310" s="2">
        <v>1.3</v>
      </c>
      <c r="S310" s="2">
        <v>1.8</v>
      </c>
      <c r="T310" s="2">
        <v>0.72199999999999998</v>
      </c>
      <c r="U310" s="2">
        <v>0.5</v>
      </c>
      <c r="V310" s="2">
        <v>1.6</v>
      </c>
      <c r="W310" s="2">
        <v>2.1</v>
      </c>
      <c r="X310" s="2">
        <v>1.7</v>
      </c>
      <c r="Y310" s="2">
        <v>0.3</v>
      </c>
      <c r="Z310" s="2">
        <v>0.2</v>
      </c>
      <c r="AA310" s="2">
        <v>0.8</v>
      </c>
      <c r="AB310" s="2">
        <v>0.9</v>
      </c>
      <c r="AC310" s="2">
        <v>5.3</v>
      </c>
      <c r="AD310" s="2"/>
    </row>
    <row r="311" spans="1:30" x14ac:dyDescent="0.2">
      <c r="A311" t="s">
        <v>266</v>
      </c>
      <c r="B311" s="2">
        <v>30</v>
      </c>
      <c r="C311" t="s">
        <v>77</v>
      </c>
      <c r="D311" s="2" t="s">
        <v>33</v>
      </c>
      <c r="E311" s="2">
        <v>25</v>
      </c>
      <c r="F311" s="2">
        <v>14</v>
      </c>
      <c r="G311" s="2">
        <v>22.6</v>
      </c>
      <c r="H311" s="2">
        <v>2.7</v>
      </c>
      <c r="I311" s="2">
        <v>6.2</v>
      </c>
      <c r="J311" s="2">
        <v>0.439</v>
      </c>
      <c r="K311" s="2">
        <v>1</v>
      </c>
      <c r="L311" s="2">
        <v>3</v>
      </c>
      <c r="M311" s="2">
        <v>0.32</v>
      </c>
      <c r="N311" s="2">
        <v>1.8</v>
      </c>
      <c r="O311" s="2">
        <v>3.2</v>
      </c>
      <c r="P311" s="2">
        <v>0.55000000000000004</v>
      </c>
      <c r="Q311" s="2">
        <v>0.51600000000000001</v>
      </c>
      <c r="R311" s="2">
        <v>0.2</v>
      </c>
      <c r="S311" s="2">
        <v>0.4</v>
      </c>
      <c r="T311" s="2">
        <v>0.5</v>
      </c>
      <c r="U311" s="2">
        <v>0.8</v>
      </c>
      <c r="V311" s="2">
        <v>3</v>
      </c>
      <c r="W311" s="2">
        <v>3.8</v>
      </c>
      <c r="X311" s="2">
        <v>2.6</v>
      </c>
      <c r="Y311" s="2">
        <v>1.6</v>
      </c>
      <c r="Z311" s="2">
        <v>0.3</v>
      </c>
      <c r="AA311" s="2">
        <v>1.1000000000000001</v>
      </c>
      <c r="AB311" s="2">
        <v>2.7</v>
      </c>
      <c r="AC311" s="2">
        <v>6.6</v>
      </c>
      <c r="AD311" s="2"/>
    </row>
    <row r="312" spans="1:30" x14ac:dyDescent="0.2">
      <c r="A312" t="s">
        <v>345</v>
      </c>
      <c r="B312" s="2">
        <v>24</v>
      </c>
      <c r="C312" t="s">
        <v>135</v>
      </c>
      <c r="D312" s="2" t="s">
        <v>49</v>
      </c>
      <c r="E312" s="2">
        <v>21</v>
      </c>
      <c r="F312" s="2">
        <v>0</v>
      </c>
      <c r="G312" s="2">
        <v>12.7</v>
      </c>
      <c r="H312" s="2">
        <v>1.8</v>
      </c>
      <c r="I312" s="2">
        <v>3.8</v>
      </c>
      <c r="J312" s="2">
        <v>0.47499999999999998</v>
      </c>
      <c r="K312" s="2">
        <v>0.5</v>
      </c>
      <c r="L312" s="2">
        <v>1.6</v>
      </c>
      <c r="M312" s="2">
        <v>0.33300000000000002</v>
      </c>
      <c r="N312" s="2">
        <v>1.3</v>
      </c>
      <c r="O312" s="2">
        <v>2.2000000000000002</v>
      </c>
      <c r="P312" s="2">
        <v>0.57399999999999995</v>
      </c>
      <c r="Q312" s="2">
        <v>0.54400000000000004</v>
      </c>
      <c r="R312" s="2">
        <v>0.4</v>
      </c>
      <c r="S312" s="2">
        <v>1</v>
      </c>
      <c r="T312" s="2">
        <v>0.4</v>
      </c>
      <c r="U312" s="2">
        <v>1</v>
      </c>
      <c r="V312" s="2">
        <v>1.2</v>
      </c>
      <c r="W312" s="2">
        <v>2.2999999999999998</v>
      </c>
      <c r="X312" s="2">
        <v>0.7</v>
      </c>
      <c r="Y312" s="2">
        <v>0.4</v>
      </c>
      <c r="Z312" s="2">
        <v>0.1</v>
      </c>
      <c r="AA312" s="2">
        <v>0.6</v>
      </c>
      <c r="AB312" s="2">
        <v>1</v>
      </c>
      <c r="AC312" s="2">
        <v>4.5</v>
      </c>
      <c r="AD312" s="2"/>
    </row>
    <row r="313" spans="1:30" x14ac:dyDescent="0.2">
      <c r="A313" t="s">
        <v>313</v>
      </c>
      <c r="B313" s="2">
        <v>29</v>
      </c>
      <c r="C313" t="s">
        <v>39</v>
      </c>
      <c r="D313" s="2" t="s">
        <v>42</v>
      </c>
      <c r="E313" s="2">
        <v>6</v>
      </c>
      <c r="F313" s="2">
        <v>6</v>
      </c>
      <c r="G313" s="2">
        <v>28.8</v>
      </c>
      <c r="H313" s="2">
        <v>7</v>
      </c>
      <c r="I313" s="2">
        <v>15.3</v>
      </c>
      <c r="J313" s="2">
        <v>0.45700000000000002</v>
      </c>
      <c r="K313" s="2">
        <v>2.2999999999999998</v>
      </c>
      <c r="L313" s="2">
        <v>7</v>
      </c>
      <c r="M313" s="2">
        <v>0.33300000000000002</v>
      </c>
      <c r="N313" s="2">
        <v>4.7</v>
      </c>
      <c r="O313" s="2">
        <v>8.3000000000000007</v>
      </c>
      <c r="P313" s="2">
        <v>0.56000000000000005</v>
      </c>
      <c r="Q313" s="2">
        <v>0.53300000000000003</v>
      </c>
      <c r="R313" s="2">
        <v>4</v>
      </c>
      <c r="S313" s="2">
        <v>5.2</v>
      </c>
      <c r="T313" s="2">
        <v>0.77400000000000002</v>
      </c>
      <c r="U313" s="2">
        <v>1.7</v>
      </c>
      <c r="V313" s="2">
        <v>6.2</v>
      </c>
      <c r="W313" s="2">
        <v>7.8</v>
      </c>
      <c r="X313" s="2">
        <v>1.8</v>
      </c>
      <c r="Y313" s="2">
        <v>1</v>
      </c>
      <c r="Z313" s="2">
        <v>1.5</v>
      </c>
      <c r="AA313" s="2">
        <v>0.8</v>
      </c>
      <c r="AB313" s="2">
        <v>2.2000000000000002</v>
      </c>
      <c r="AC313" s="2">
        <v>20.3</v>
      </c>
      <c r="AD313" s="2"/>
    </row>
    <row r="314" spans="1:30" x14ac:dyDescent="0.2">
      <c r="A314" t="s">
        <v>322</v>
      </c>
      <c r="B314" s="2">
        <v>31</v>
      </c>
      <c r="C314" t="s">
        <v>100</v>
      </c>
      <c r="D314" s="2" t="s">
        <v>27</v>
      </c>
      <c r="E314" s="2">
        <v>23</v>
      </c>
      <c r="F314" s="2">
        <v>0</v>
      </c>
      <c r="G314" s="2">
        <v>14.2</v>
      </c>
      <c r="H314" s="2">
        <v>1.9</v>
      </c>
      <c r="I314" s="2">
        <v>4.7</v>
      </c>
      <c r="J314" s="2">
        <v>0.41099999999999998</v>
      </c>
      <c r="K314" s="2">
        <v>0.4</v>
      </c>
      <c r="L314" s="2">
        <v>1.5</v>
      </c>
      <c r="M314" s="2">
        <v>0.28599999999999998</v>
      </c>
      <c r="N314" s="2">
        <v>1.5</v>
      </c>
      <c r="O314" s="2">
        <v>3.1</v>
      </c>
      <c r="P314" s="2">
        <v>0.47199999999999998</v>
      </c>
      <c r="Q314" s="2">
        <v>0.45800000000000002</v>
      </c>
      <c r="R314" s="2">
        <v>0.6</v>
      </c>
      <c r="S314" s="2">
        <v>0.9</v>
      </c>
      <c r="T314" s="2">
        <v>0.65</v>
      </c>
      <c r="U314" s="2">
        <v>0.5</v>
      </c>
      <c r="V314" s="2">
        <v>2.4</v>
      </c>
      <c r="W314" s="2">
        <v>2.9</v>
      </c>
      <c r="X314" s="2">
        <v>2.2999999999999998</v>
      </c>
      <c r="Y314" s="2">
        <v>0.8</v>
      </c>
      <c r="Z314" s="2">
        <v>0.4</v>
      </c>
      <c r="AA314" s="2">
        <v>0.5</v>
      </c>
      <c r="AB314" s="2">
        <v>1</v>
      </c>
      <c r="AC314" s="2">
        <v>4.8</v>
      </c>
      <c r="AD314" s="2"/>
    </row>
    <row r="315" spans="1:30" x14ac:dyDescent="0.2">
      <c r="A315" t="s">
        <v>331</v>
      </c>
      <c r="B315" s="2">
        <v>21</v>
      </c>
      <c r="C315" t="s">
        <v>120</v>
      </c>
      <c r="D315" s="2" t="s">
        <v>42</v>
      </c>
      <c r="E315" s="2">
        <v>15</v>
      </c>
      <c r="F315" s="2">
        <v>8</v>
      </c>
      <c r="G315" s="2">
        <v>18.399999999999999</v>
      </c>
      <c r="H315" s="2">
        <v>2.7</v>
      </c>
      <c r="I315" s="2">
        <v>5.3</v>
      </c>
      <c r="J315" s="2">
        <v>0.50600000000000001</v>
      </c>
      <c r="K315" s="2">
        <v>0.6</v>
      </c>
      <c r="L315" s="2">
        <v>2.1</v>
      </c>
      <c r="M315" s="2">
        <v>0.28999999999999998</v>
      </c>
      <c r="N315" s="2">
        <v>2.1</v>
      </c>
      <c r="O315" s="2">
        <v>3.2</v>
      </c>
      <c r="P315" s="2">
        <v>0.64600000000000002</v>
      </c>
      <c r="Q315" s="2">
        <v>0.56299999999999994</v>
      </c>
      <c r="R315" s="2">
        <v>1.1000000000000001</v>
      </c>
      <c r="S315" s="2">
        <v>2</v>
      </c>
      <c r="T315" s="2">
        <v>0.53300000000000003</v>
      </c>
      <c r="U315" s="2">
        <v>0.9</v>
      </c>
      <c r="V315" s="2">
        <v>3.5</v>
      </c>
      <c r="W315" s="2">
        <v>4.5</v>
      </c>
      <c r="X315" s="2">
        <v>2</v>
      </c>
      <c r="Y315" s="2">
        <v>0.5</v>
      </c>
      <c r="Z315" s="2">
        <v>0.1</v>
      </c>
      <c r="AA315" s="2">
        <v>1</v>
      </c>
      <c r="AB315" s="2">
        <v>1.7</v>
      </c>
      <c r="AC315" s="2">
        <v>7</v>
      </c>
      <c r="AD315" s="2"/>
    </row>
    <row r="316" spans="1:30" x14ac:dyDescent="0.2">
      <c r="A316" t="s">
        <v>241</v>
      </c>
      <c r="B316" s="2">
        <v>29</v>
      </c>
      <c r="C316" t="s">
        <v>114</v>
      </c>
      <c r="D316" s="2" t="s">
        <v>27</v>
      </c>
      <c r="E316" s="2">
        <v>12</v>
      </c>
      <c r="F316" s="2">
        <v>12</v>
      </c>
      <c r="G316" s="2">
        <v>27.5</v>
      </c>
      <c r="H316" s="2">
        <v>6.3</v>
      </c>
      <c r="I316" s="2">
        <v>15.1</v>
      </c>
      <c r="J316" s="2">
        <v>0.42</v>
      </c>
      <c r="K316" s="2">
        <v>1.3</v>
      </c>
      <c r="L316" s="2">
        <v>4.8</v>
      </c>
      <c r="M316" s="2">
        <v>0.27600000000000002</v>
      </c>
      <c r="N316" s="2">
        <v>5</v>
      </c>
      <c r="O316" s="2">
        <v>10.3</v>
      </c>
      <c r="P316" s="2">
        <v>0.48799999999999999</v>
      </c>
      <c r="Q316" s="2">
        <v>0.46400000000000002</v>
      </c>
      <c r="R316" s="2">
        <v>1.8</v>
      </c>
      <c r="S316" s="2">
        <v>2.7</v>
      </c>
      <c r="T316" s="2">
        <v>0.68799999999999994</v>
      </c>
      <c r="U316" s="2">
        <v>0.7</v>
      </c>
      <c r="V316" s="2">
        <v>4.9000000000000004</v>
      </c>
      <c r="W316" s="2">
        <v>5.6</v>
      </c>
      <c r="X316" s="2">
        <v>1.9</v>
      </c>
      <c r="Y316" s="2">
        <v>0.4</v>
      </c>
      <c r="Z316" s="2">
        <v>0.3</v>
      </c>
      <c r="AA316" s="2">
        <v>2.4</v>
      </c>
      <c r="AB316" s="2">
        <v>1.9</v>
      </c>
      <c r="AC316" s="2">
        <v>15.8</v>
      </c>
      <c r="AD316" s="2"/>
    </row>
    <row r="317" spans="1:30" x14ac:dyDescent="0.2">
      <c r="A317" t="s">
        <v>362</v>
      </c>
      <c r="B317" s="2">
        <v>38</v>
      </c>
      <c r="C317" t="s">
        <v>122</v>
      </c>
      <c r="D317" s="2" t="s">
        <v>33</v>
      </c>
      <c r="E317" s="2">
        <v>16</v>
      </c>
      <c r="F317" s="2">
        <v>10</v>
      </c>
      <c r="G317" s="2">
        <v>21.9</v>
      </c>
      <c r="H317" s="2">
        <v>1.6</v>
      </c>
      <c r="I317" s="2">
        <v>4.2</v>
      </c>
      <c r="J317" s="2">
        <v>0.373</v>
      </c>
      <c r="K317" s="2">
        <v>1.1000000000000001</v>
      </c>
      <c r="L317" s="2">
        <v>3.2</v>
      </c>
      <c r="M317" s="2">
        <v>0.35299999999999998</v>
      </c>
      <c r="N317" s="2">
        <v>0.4</v>
      </c>
      <c r="O317" s="2">
        <v>1</v>
      </c>
      <c r="P317" s="2">
        <v>0.438</v>
      </c>
      <c r="Q317" s="2">
        <v>0.50700000000000001</v>
      </c>
      <c r="R317" s="2">
        <v>0.9</v>
      </c>
      <c r="S317" s="2">
        <v>1.2</v>
      </c>
      <c r="T317" s="2">
        <v>0.78900000000000003</v>
      </c>
      <c r="U317" s="2">
        <v>0.4</v>
      </c>
      <c r="V317" s="2">
        <v>1.7</v>
      </c>
      <c r="W317" s="2">
        <v>2.1</v>
      </c>
      <c r="X317" s="2">
        <v>2.9</v>
      </c>
      <c r="Y317" s="2">
        <v>1.1000000000000001</v>
      </c>
      <c r="Z317" s="2">
        <v>0.3</v>
      </c>
      <c r="AA317" s="2">
        <v>0.8</v>
      </c>
      <c r="AB317" s="2">
        <v>1.9</v>
      </c>
      <c r="AC317" s="2">
        <v>5.2</v>
      </c>
      <c r="AD317" s="2"/>
    </row>
    <row r="318" spans="1:30" x14ac:dyDescent="0.2">
      <c r="A318" t="s">
        <v>62</v>
      </c>
      <c r="B318" s="2">
        <v>32</v>
      </c>
      <c r="C318" t="s">
        <v>63</v>
      </c>
      <c r="D318" s="2" t="s">
        <v>52</v>
      </c>
      <c r="E318" s="2">
        <v>23</v>
      </c>
      <c r="F318" s="2">
        <v>23</v>
      </c>
      <c r="G318" s="2">
        <v>35.299999999999997</v>
      </c>
      <c r="H318" s="2">
        <v>8.9</v>
      </c>
      <c r="I318" s="2">
        <v>17.7</v>
      </c>
      <c r="J318" s="2">
        <v>0.504</v>
      </c>
      <c r="K318" s="2">
        <v>3.2</v>
      </c>
      <c r="L318" s="2">
        <v>6.7</v>
      </c>
      <c r="M318" s="2">
        <v>0.47399999999999998</v>
      </c>
      <c r="N318" s="2">
        <v>5.7</v>
      </c>
      <c r="O318" s="2">
        <v>11</v>
      </c>
      <c r="P318" s="2">
        <v>0.52200000000000002</v>
      </c>
      <c r="Q318" s="2">
        <v>0.59299999999999997</v>
      </c>
      <c r="R318" s="2">
        <v>3</v>
      </c>
      <c r="S318" s="2">
        <v>3.4</v>
      </c>
      <c r="T318" s="2">
        <v>0.88500000000000001</v>
      </c>
      <c r="U318" s="2">
        <v>1.1000000000000001</v>
      </c>
      <c r="V318" s="2">
        <v>3.7</v>
      </c>
      <c r="W318" s="2">
        <v>4.8</v>
      </c>
      <c r="X318" s="2">
        <v>5.2</v>
      </c>
      <c r="Y318" s="2">
        <v>1.3</v>
      </c>
      <c r="Z318" s="2">
        <v>0.3</v>
      </c>
      <c r="AA318" s="2">
        <v>2.2000000000000002</v>
      </c>
      <c r="AB318" s="2">
        <v>2.2999999999999998</v>
      </c>
      <c r="AC318" s="2">
        <v>24</v>
      </c>
      <c r="AD318" s="2"/>
    </row>
    <row r="319" spans="1:30" x14ac:dyDescent="0.2">
      <c r="A319" t="s">
        <v>292</v>
      </c>
      <c r="B319" s="2">
        <v>21</v>
      </c>
      <c r="C319" t="s">
        <v>114</v>
      </c>
      <c r="D319" s="2" t="s">
        <v>52</v>
      </c>
      <c r="E319" s="2">
        <v>19</v>
      </c>
      <c r="F319" s="2">
        <v>6</v>
      </c>
      <c r="G319" s="2">
        <v>26.2</v>
      </c>
      <c r="H319" s="2">
        <v>2.6</v>
      </c>
      <c r="I319" s="2">
        <v>7.8</v>
      </c>
      <c r="J319" s="2">
        <v>0.33600000000000002</v>
      </c>
      <c r="K319" s="2">
        <v>1.3</v>
      </c>
      <c r="L319" s="2">
        <v>5.0999999999999996</v>
      </c>
      <c r="M319" s="2">
        <v>0.247</v>
      </c>
      <c r="N319" s="2">
        <v>1.4</v>
      </c>
      <c r="O319" s="2">
        <v>2.7</v>
      </c>
      <c r="P319" s="2">
        <v>0.5</v>
      </c>
      <c r="Q319" s="2">
        <v>0.41599999999999998</v>
      </c>
      <c r="R319" s="2">
        <v>1</v>
      </c>
      <c r="S319" s="2">
        <v>1.4</v>
      </c>
      <c r="T319" s="2">
        <v>0.73099999999999998</v>
      </c>
      <c r="U319" s="2">
        <v>0.7</v>
      </c>
      <c r="V319" s="2">
        <v>3.4</v>
      </c>
      <c r="W319" s="2">
        <v>4.0999999999999996</v>
      </c>
      <c r="X319" s="2">
        <v>2.6</v>
      </c>
      <c r="Y319" s="2">
        <v>0.7</v>
      </c>
      <c r="Z319" s="2">
        <v>0.7</v>
      </c>
      <c r="AA319" s="2">
        <v>1</v>
      </c>
      <c r="AB319" s="2">
        <v>3.2</v>
      </c>
      <c r="AC319" s="2">
        <v>7.5</v>
      </c>
      <c r="AD319" s="2"/>
    </row>
    <row r="320" spans="1:30" x14ac:dyDescent="0.2">
      <c r="A320" t="s">
        <v>58</v>
      </c>
      <c r="B320" s="2">
        <v>23</v>
      </c>
      <c r="C320" t="s">
        <v>59</v>
      </c>
      <c r="D320" s="2" t="s">
        <v>33</v>
      </c>
      <c r="E320" s="2">
        <v>18</v>
      </c>
      <c r="F320" s="2">
        <v>18</v>
      </c>
      <c r="G320" s="2">
        <v>34.1</v>
      </c>
      <c r="H320" s="2">
        <v>10.7</v>
      </c>
      <c r="I320" s="2">
        <v>24.9</v>
      </c>
      <c r="J320" s="2">
        <v>0.43</v>
      </c>
      <c r="K320" s="2">
        <v>4.7</v>
      </c>
      <c r="L320" s="2">
        <v>13.1</v>
      </c>
      <c r="M320" s="2">
        <v>0.35599999999999998</v>
      </c>
      <c r="N320" s="2">
        <v>6.1</v>
      </c>
      <c r="O320" s="2">
        <v>11.8</v>
      </c>
      <c r="P320" s="2">
        <v>0.51200000000000001</v>
      </c>
      <c r="Q320" s="2">
        <v>0.52300000000000002</v>
      </c>
      <c r="R320" s="2">
        <v>4.9000000000000004</v>
      </c>
      <c r="S320" s="2">
        <v>5.8</v>
      </c>
      <c r="T320" s="2">
        <v>0.84799999999999998</v>
      </c>
      <c r="U320" s="2">
        <v>0.9</v>
      </c>
      <c r="V320" s="2">
        <v>4.4000000000000004</v>
      </c>
      <c r="W320" s="2">
        <v>5.4</v>
      </c>
      <c r="X320" s="2">
        <v>6.9</v>
      </c>
      <c r="Y320" s="2">
        <v>1.1000000000000001</v>
      </c>
      <c r="Z320" s="2">
        <v>0.2</v>
      </c>
      <c r="AA320" s="2">
        <v>4.5</v>
      </c>
      <c r="AB320" s="2">
        <v>4.0999999999999996</v>
      </c>
      <c r="AC320" s="2">
        <v>31.1</v>
      </c>
      <c r="AD320" s="2"/>
    </row>
    <row r="321" spans="1:30" x14ac:dyDescent="0.2">
      <c r="A321" t="s">
        <v>357</v>
      </c>
      <c r="B321" s="2">
        <v>32</v>
      </c>
      <c r="C321" t="s">
        <v>72</v>
      </c>
      <c r="D321" s="2" t="s">
        <v>27</v>
      </c>
      <c r="E321" s="2">
        <v>10</v>
      </c>
      <c r="F321" s="2">
        <v>2</v>
      </c>
      <c r="G321" s="2">
        <v>16.5</v>
      </c>
      <c r="H321" s="2">
        <v>3.4</v>
      </c>
      <c r="I321" s="2">
        <v>5.4</v>
      </c>
      <c r="J321" s="2">
        <v>0.63</v>
      </c>
      <c r="K321" s="2">
        <v>1.6</v>
      </c>
      <c r="L321" s="2">
        <v>2.9</v>
      </c>
      <c r="M321" s="2">
        <v>0.55200000000000005</v>
      </c>
      <c r="N321" s="2">
        <v>1.8</v>
      </c>
      <c r="O321" s="2">
        <v>2.5</v>
      </c>
      <c r="P321" s="2">
        <v>0.72</v>
      </c>
      <c r="Q321" s="2">
        <v>0.77800000000000002</v>
      </c>
      <c r="R321" s="2">
        <v>0.3</v>
      </c>
      <c r="S321" s="2">
        <v>0.4</v>
      </c>
      <c r="T321" s="2">
        <v>0.75</v>
      </c>
      <c r="U321" s="2">
        <v>1</v>
      </c>
      <c r="V321" s="2">
        <v>1.6</v>
      </c>
      <c r="W321" s="2">
        <v>2.6</v>
      </c>
      <c r="X321" s="2">
        <v>1.4</v>
      </c>
      <c r="Y321" s="2">
        <v>0.9</v>
      </c>
      <c r="Z321" s="2">
        <v>0.3</v>
      </c>
      <c r="AA321" s="2">
        <v>0.4</v>
      </c>
      <c r="AB321" s="2">
        <v>1.3</v>
      </c>
      <c r="AC321" s="2">
        <v>8.6999999999999993</v>
      </c>
      <c r="AD321" s="2"/>
    </row>
    <row r="322" spans="1:30" x14ac:dyDescent="0.2">
      <c r="A322" t="s">
        <v>142</v>
      </c>
      <c r="B322" s="2">
        <v>27</v>
      </c>
      <c r="C322" t="s">
        <v>120</v>
      </c>
      <c r="D322" s="2" t="s">
        <v>27</v>
      </c>
      <c r="E322" s="2">
        <v>18</v>
      </c>
      <c r="F322" s="2">
        <v>18</v>
      </c>
      <c r="G322" s="2">
        <v>31.8</v>
      </c>
      <c r="H322" s="2">
        <v>5.8</v>
      </c>
      <c r="I322" s="2">
        <v>13.2</v>
      </c>
      <c r="J322" s="2">
        <v>0.443</v>
      </c>
      <c r="K322" s="2">
        <v>2.5</v>
      </c>
      <c r="L322" s="2">
        <v>6.7</v>
      </c>
      <c r="M322" s="2">
        <v>0.372</v>
      </c>
      <c r="N322" s="2">
        <v>3.3</v>
      </c>
      <c r="O322" s="2">
        <v>6.4</v>
      </c>
      <c r="P322" s="2">
        <v>0.51700000000000002</v>
      </c>
      <c r="Q322" s="2">
        <v>0.53800000000000003</v>
      </c>
      <c r="R322" s="2">
        <v>4.4000000000000004</v>
      </c>
      <c r="S322" s="2">
        <v>5.2</v>
      </c>
      <c r="T322" s="2">
        <v>0.86</v>
      </c>
      <c r="U322" s="2">
        <v>1.6</v>
      </c>
      <c r="V322" s="2">
        <v>4.7</v>
      </c>
      <c r="W322" s="2">
        <v>6.3</v>
      </c>
      <c r="X322" s="2">
        <v>2.2999999999999998</v>
      </c>
      <c r="Y322" s="2">
        <v>0.7</v>
      </c>
      <c r="Z322" s="2">
        <v>0.1</v>
      </c>
      <c r="AA322" s="2">
        <v>1.4</v>
      </c>
      <c r="AB322" s="2">
        <v>1.7</v>
      </c>
      <c r="AC322" s="2">
        <v>18.600000000000001</v>
      </c>
      <c r="AD322" s="2"/>
    </row>
    <row r="323" spans="1:30" x14ac:dyDescent="0.2">
      <c r="A323" t="s">
        <v>68</v>
      </c>
      <c r="B323" s="2">
        <v>40</v>
      </c>
      <c r="C323" t="s">
        <v>41</v>
      </c>
      <c r="D323" s="2" t="s">
        <v>49</v>
      </c>
      <c r="E323" s="2">
        <v>23</v>
      </c>
      <c r="F323" s="2">
        <v>23</v>
      </c>
      <c r="G323" s="2">
        <v>35</v>
      </c>
      <c r="H323" s="2">
        <v>8.6999999999999993</v>
      </c>
      <c r="I323" s="2">
        <v>17.7</v>
      </c>
      <c r="J323" s="2">
        <v>0.495</v>
      </c>
      <c r="K323" s="2">
        <v>2</v>
      </c>
      <c r="L323" s="2">
        <v>5.7</v>
      </c>
      <c r="M323" s="2">
        <v>0.35899999999999999</v>
      </c>
      <c r="N323" s="2">
        <v>6.7</v>
      </c>
      <c r="O323" s="2">
        <v>12</v>
      </c>
      <c r="P323" s="2">
        <v>0.56000000000000005</v>
      </c>
      <c r="Q323" s="2">
        <v>0.55300000000000005</v>
      </c>
      <c r="R323" s="2">
        <v>3.5</v>
      </c>
      <c r="S323" s="2">
        <v>4.5999999999999996</v>
      </c>
      <c r="T323" s="2">
        <v>0.76200000000000001</v>
      </c>
      <c r="U323" s="2">
        <v>0.9</v>
      </c>
      <c r="V323" s="2">
        <v>7.1</v>
      </c>
      <c r="W323" s="2">
        <v>8</v>
      </c>
      <c r="X323" s="2">
        <v>9.1</v>
      </c>
      <c r="Y323" s="2">
        <v>0.7</v>
      </c>
      <c r="Z323" s="2">
        <v>0.6</v>
      </c>
      <c r="AA323" s="2">
        <v>4.0999999999999996</v>
      </c>
      <c r="AB323" s="2">
        <v>1.2</v>
      </c>
      <c r="AC323" s="2">
        <v>23</v>
      </c>
      <c r="AD323" s="2"/>
    </row>
    <row r="324" spans="1:30" x14ac:dyDescent="0.2">
      <c r="A324" t="s">
        <v>500</v>
      </c>
      <c r="B324" s="2">
        <v>24</v>
      </c>
      <c r="C324" t="s">
        <v>122</v>
      </c>
      <c r="D324" s="2" t="s">
        <v>52</v>
      </c>
      <c r="E324" s="2">
        <v>4</v>
      </c>
      <c r="F324" s="2">
        <v>0</v>
      </c>
      <c r="G324" s="2">
        <v>4.3</v>
      </c>
      <c r="H324" s="2">
        <v>1</v>
      </c>
      <c r="I324" s="2">
        <v>2</v>
      </c>
      <c r="J324" s="2">
        <v>0.5</v>
      </c>
      <c r="K324" s="2">
        <v>0</v>
      </c>
      <c r="L324" s="2">
        <v>0.8</v>
      </c>
      <c r="M324" s="2">
        <v>0</v>
      </c>
      <c r="N324" s="2">
        <v>1</v>
      </c>
      <c r="O324" s="2">
        <v>1.3</v>
      </c>
      <c r="P324" s="2">
        <v>0.8</v>
      </c>
      <c r="Q324" s="2">
        <v>0.5</v>
      </c>
      <c r="R324" s="2">
        <v>0.3</v>
      </c>
      <c r="S324" s="2">
        <v>0.3</v>
      </c>
      <c r="T324" s="2">
        <v>1</v>
      </c>
      <c r="U324" s="2">
        <v>0.8</v>
      </c>
      <c r="V324" s="2">
        <v>0.3</v>
      </c>
      <c r="W324" s="2">
        <v>1</v>
      </c>
      <c r="X324" s="2">
        <v>0.3</v>
      </c>
      <c r="Y324" s="2">
        <v>0</v>
      </c>
      <c r="Z324" s="2">
        <v>0</v>
      </c>
      <c r="AA324" s="2">
        <v>1</v>
      </c>
      <c r="AB324" s="2">
        <v>0</v>
      </c>
      <c r="AC324" s="2">
        <v>2.2999999999999998</v>
      </c>
      <c r="AD324" s="2"/>
    </row>
    <row r="325" spans="1:30" x14ac:dyDescent="0.2">
      <c r="A325" t="s">
        <v>520</v>
      </c>
      <c r="B325" s="2">
        <v>25</v>
      </c>
      <c r="C325" t="s">
        <v>35</v>
      </c>
      <c r="D325" s="2" t="s">
        <v>42</v>
      </c>
      <c r="E325" s="2">
        <v>5</v>
      </c>
      <c r="F325" s="2">
        <v>0</v>
      </c>
      <c r="G325" s="2">
        <v>4</v>
      </c>
      <c r="H325" s="2">
        <v>0.4</v>
      </c>
      <c r="I325" s="2">
        <v>0.6</v>
      </c>
      <c r="J325" s="2">
        <v>0.66700000000000004</v>
      </c>
      <c r="K325" s="2">
        <v>0</v>
      </c>
      <c r="L325" s="2">
        <v>0.2</v>
      </c>
      <c r="M325" s="2">
        <v>0</v>
      </c>
      <c r="N325" s="2">
        <v>0.4</v>
      </c>
      <c r="O325" s="2">
        <v>0.4</v>
      </c>
      <c r="P325" s="2">
        <v>1</v>
      </c>
      <c r="Q325" s="2">
        <v>0.66700000000000004</v>
      </c>
      <c r="R325" s="2">
        <v>0.2</v>
      </c>
      <c r="S325" s="2">
        <v>0.8</v>
      </c>
      <c r="T325" s="2">
        <v>0.25</v>
      </c>
      <c r="U325" s="2">
        <v>0.4</v>
      </c>
      <c r="V325" s="2">
        <v>0.2</v>
      </c>
      <c r="W325" s="2">
        <v>0.6</v>
      </c>
      <c r="X325" s="2">
        <v>0</v>
      </c>
      <c r="Y325" s="2">
        <v>0</v>
      </c>
      <c r="Z325" s="2">
        <v>0</v>
      </c>
      <c r="AA325" s="2">
        <v>0</v>
      </c>
      <c r="AB325" s="2">
        <v>0.6</v>
      </c>
      <c r="AC325" s="2">
        <v>1</v>
      </c>
      <c r="AD325" s="2"/>
    </row>
    <row r="326" spans="1:30" x14ac:dyDescent="0.2">
      <c r="A326" t="s">
        <v>319</v>
      </c>
      <c r="B326" s="2">
        <v>27</v>
      </c>
      <c r="C326" t="s">
        <v>100</v>
      </c>
      <c r="D326" s="2" t="s">
        <v>52</v>
      </c>
      <c r="E326" s="2">
        <v>20</v>
      </c>
      <c r="F326" s="2">
        <v>8</v>
      </c>
      <c r="G326" s="2">
        <v>17.8</v>
      </c>
      <c r="H326" s="2">
        <v>2.1</v>
      </c>
      <c r="I326" s="2">
        <v>5.4</v>
      </c>
      <c r="J326" s="2">
        <v>0.38900000000000001</v>
      </c>
      <c r="K326" s="2">
        <v>1.3</v>
      </c>
      <c r="L326" s="2">
        <v>3.8</v>
      </c>
      <c r="M326" s="2">
        <v>0.34200000000000003</v>
      </c>
      <c r="N326" s="2">
        <v>0.8</v>
      </c>
      <c r="O326" s="2">
        <v>1.6</v>
      </c>
      <c r="P326" s="2">
        <v>0.5</v>
      </c>
      <c r="Q326" s="2">
        <v>0.50900000000000001</v>
      </c>
      <c r="R326" s="2">
        <v>0.2</v>
      </c>
      <c r="S326" s="2">
        <v>0.3</v>
      </c>
      <c r="T326" s="2">
        <v>0.8</v>
      </c>
      <c r="U326" s="2">
        <v>0.5</v>
      </c>
      <c r="V326" s="2">
        <v>2.1</v>
      </c>
      <c r="W326" s="2">
        <v>2.6</v>
      </c>
      <c r="X326" s="2">
        <v>1.4</v>
      </c>
      <c r="Y326" s="2">
        <v>0.5</v>
      </c>
      <c r="Z326" s="2">
        <v>0.3</v>
      </c>
      <c r="AA326" s="2">
        <v>0.4</v>
      </c>
      <c r="AB326" s="2">
        <v>1.6</v>
      </c>
      <c r="AC326" s="2">
        <v>5.7</v>
      </c>
      <c r="AD326" s="2"/>
    </row>
    <row r="327" spans="1:30" x14ac:dyDescent="0.2">
      <c r="A327" t="s">
        <v>421</v>
      </c>
      <c r="B327" s="2">
        <v>27</v>
      </c>
      <c r="C327" t="s">
        <v>70</v>
      </c>
      <c r="D327" s="2" t="s">
        <v>33</v>
      </c>
      <c r="E327" s="2">
        <v>8</v>
      </c>
      <c r="F327" s="2">
        <v>0</v>
      </c>
      <c r="G327" s="2">
        <v>16.8</v>
      </c>
      <c r="H327" s="2">
        <v>1.8</v>
      </c>
      <c r="I327" s="2">
        <v>4.8</v>
      </c>
      <c r="J327" s="2">
        <v>0.36799999999999999</v>
      </c>
      <c r="K327" s="2">
        <v>1.4</v>
      </c>
      <c r="L327" s="2">
        <v>3.9</v>
      </c>
      <c r="M327" s="2">
        <v>0.35499999999999998</v>
      </c>
      <c r="N327" s="2">
        <v>0.4</v>
      </c>
      <c r="O327" s="2">
        <v>0.9</v>
      </c>
      <c r="P327" s="2">
        <v>0.42899999999999999</v>
      </c>
      <c r="Q327" s="2">
        <v>0.51300000000000001</v>
      </c>
      <c r="R327" s="2">
        <v>0</v>
      </c>
      <c r="S327" s="2">
        <v>0</v>
      </c>
      <c r="T327" s="2"/>
      <c r="U327" s="2">
        <v>0.1</v>
      </c>
      <c r="V327" s="2">
        <v>2.2999999999999998</v>
      </c>
      <c r="W327" s="2">
        <v>2.4</v>
      </c>
      <c r="X327" s="2">
        <v>3.4</v>
      </c>
      <c r="Y327" s="2">
        <v>1.1000000000000001</v>
      </c>
      <c r="Z327" s="2">
        <v>0.5</v>
      </c>
      <c r="AA327" s="2">
        <v>0.6</v>
      </c>
      <c r="AB327" s="2">
        <v>1</v>
      </c>
      <c r="AC327" s="2">
        <v>4.9000000000000004</v>
      </c>
      <c r="AD327" s="2"/>
    </row>
    <row r="328" spans="1:30" x14ac:dyDescent="0.2">
      <c r="A328" t="s">
        <v>204</v>
      </c>
      <c r="B328" s="2">
        <v>25</v>
      </c>
      <c r="C328" t="s">
        <v>32</v>
      </c>
      <c r="D328" s="2" t="s">
        <v>49</v>
      </c>
      <c r="E328" s="2">
        <v>24</v>
      </c>
      <c r="F328" s="2">
        <v>24</v>
      </c>
      <c r="G328" s="2">
        <v>29.4</v>
      </c>
      <c r="H328" s="2">
        <v>3.4</v>
      </c>
      <c r="I328" s="2">
        <v>8.3000000000000007</v>
      </c>
      <c r="J328" s="2">
        <v>0.40899999999999997</v>
      </c>
      <c r="K328" s="2">
        <v>2.1</v>
      </c>
      <c r="L328" s="2">
        <v>5.4</v>
      </c>
      <c r="M328" s="2">
        <v>0.39200000000000002</v>
      </c>
      <c r="N328" s="2">
        <v>1.3</v>
      </c>
      <c r="O328" s="2">
        <v>2.8</v>
      </c>
      <c r="P328" s="2">
        <v>0.441</v>
      </c>
      <c r="Q328" s="2">
        <v>0.53800000000000003</v>
      </c>
      <c r="R328" s="2">
        <v>1</v>
      </c>
      <c r="S328" s="2">
        <v>1.2</v>
      </c>
      <c r="T328" s="2">
        <v>0.82799999999999996</v>
      </c>
      <c r="U328" s="2">
        <v>1.5</v>
      </c>
      <c r="V328" s="2">
        <v>3.1</v>
      </c>
      <c r="W328" s="2">
        <v>4.5999999999999996</v>
      </c>
      <c r="X328" s="2">
        <v>1.8</v>
      </c>
      <c r="Y328" s="2">
        <v>1.2</v>
      </c>
      <c r="Z328" s="2">
        <v>0.9</v>
      </c>
      <c r="AA328" s="2">
        <v>0.6</v>
      </c>
      <c r="AB328" s="2">
        <v>3</v>
      </c>
      <c r="AC328" s="2">
        <v>9.9</v>
      </c>
      <c r="AD328" s="2"/>
    </row>
    <row r="329" spans="1:30" x14ac:dyDescent="0.2">
      <c r="A329" t="s">
        <v>67</v>
      </c>
      <c r="B329" s="2">
        <v>25</v>
      </c>
      <c r="C329" t="s">
        <v>63</v>
      </c>
      <c r="D329" s="2" t="s">
        <v>33</v>
      </c>
      <c r="E329" s="2">
        <v>19</v>
      </c>
      <c r="F329" s="2">
        <v>19</v>
      </c>
      <c r="G329" s="2">
        <v>36.9</v>
      </c>
      <c r="H329" s="2">
        <v>9.6999999999999993</v>
      </c>
      <c r="I329" s="2">
        <v>21.8</v>
      </c>
      <c r="J329" s="2">
        <v>0.44600000000000001</v>
      </c>
      <c r="K329" s="2">
        <v>3.4</v>
      </c>
      <c r="L329" s="2">
        <v>9.9</v>
      </c>
      <c r="M329" s="2">
        <v>0.34399999999999997</v>
      </c>
      <c r="N329" s="2">
        <v>6.3</v>
      </c>
      <c r="O329" s="2">
        <v>11.9</v>
      </c>
      <c r="P329" s="2">
        <v>0.53100000000000003</v>
      </c>
      <c r="Q329" s="2">
        <v>0.52400000000000002</v>
      </c>
      <c r="R329" s="2">
        <v>5.2</v>
      </c>
      <c r="S329" s="2">
        <v>6.7</v>
      </c>
      <c r="T329" s="2">
        <v>0.76600000000000001</v>
      </c>
      <c r="U329" s="2">
        <v>0.6</v>
      </c>
      <c r="V329" s="2">
        <v>7.8</v>
      </c>
      <c r="W329" s="2">
        <v>8.4</v>
      </c>
      <c r="X329" s="2">
        <v>7.9</v>
      </c>
      <c r="Y329" s="2">
        <v>2.1</v>
      </c>
      <c r="Z329" s="2">
        <v>0.4</v>
      </c>
      <c r="AA329" s="2">
        <v>3.5</v>
      </c>
      <c r="AB329" s="2">
        <v>2.8</v>
      </c>
      <c r="AC329" s="2">
        <v>28.1</v>
      </c>
      <c r="AD329" s="2"/>
    </row>
    <row r="330" spans="1:30" x14ac:dyDescent="0.2">
      <c r="A330" t="s">
        <v>448</v>
      </c>
      <c r="B330" s="2">
        <v>26</v>
      </c>
      <c r="C330" t="s">
        <v>51</v>
      </c>
      <c r="D330" s="2" t="s">
        <v>42</v>
      </c>
      <c r="E330" s="2">
        <v>7</v>
      </c>
      <c r="F330" s="2">
        <v>0</v>
      </c>
      <c r="G330" s="2">
        <v>4.7</v>
      </c>
      <c r="H330" s="2">
        <v>1.6</v>
      </c>
      <c r="I330" s="2">
        <v>2.9</v>
      </c>
      <c r="J330" s="2">
        <v>0.55000000000000004</v>
      </c>
      <c r="K330" s="2">
        <v>0.1</v>
      </c>
      <c r="L330" s="2">
        <v>0.9</v>
      </c>
      <c r="M330" s="2">
        <v>0.16700000000000001</v>
      </c>
      <c r="N330" s="2">
        <v>1.4</v>
      </c>
      <c r="O330" s="2">
        <v>2</v>
      </c>
      <c r="P330" s="2">
        <v>0.71399999999999997</v>
      </c>
      <c r="Q330" s="2">
        <v>0.57499999999999996</v>
      </c>
      <c r="R330" s="2">
        <v>0.4</v>
      </c>
      <c r="S330" s="2">
        <v>0.9</v>
      </c>
      <c r="T330" s="2">
        <v>0.5</v>
      </c>
      <c r="U330" s="2">
        <v>0.6</v>
      </c>
      <c r="V330" s="2">
        <v>0.7</v>
      </c>
      <c r="W330" s="2">
        <v>1.3</v>
      </c>
      <c r="X330" s="2">
        <v>0</v>
      </c>
      <c r="Y330" s="2">
        <v>0.1</v>
      </c>
      <c r="Z330" s="2">
        <v>0</v>
      </c>
      <c r="AA330" s="2">
        <v>0.3</v>
      </c>
      <c r="AB330" s="2">
        <v>0.4</v>
      </c>
      <c r="AC330" s="2">
        <v>3.7</v>
      </c>
      <c r="AD330" s="2"/>
    </row>
    <row r="331" spans="1:30" x14ac:dyDescent="0.2">
      <c r="A331" t="s">
        <v>346</v>
      </c>
      <c r="B331" s="2">
        <v>28</v>
      </c>
      <c r="C331" t="s">
        <v>80</v>
      </c>
      <c r="D331" s="2" t="s">
        <v>52</v>
      </c>
      <c r="E331" s="2">
        <v>14</v>
      </c>
      <c r="F331" s="2">
        <v>0</v>
      </c>
      <c r="G331" s="2">
        <v>19.7</v>
      </c>
      <c r="H331" s="2">
        <v>2.2000000000000002</v>
      </c>
      <c r="I331" s="2">
        <v>5.0999999999999996</v>
      </c>
      <c r="J331" s="2">
        <v>0.43099999999999999</v>
      </c>
      <c r="K331" s="2">
        <v>1.5</v>
      </c>
      <c r="L331" s="2">
        <v>3.7</v>
      </c>
      <c r="M331" s="2">
        <v>0.40400000000000003</v>
      </c>
      <c r="N331" s="2">
        <v>0.7</v>
      </c>
      <c r="O331" s="2">
        <v>1.4</v>
      </c>
      <c r="P331" s="2">
        <v>0.5</v>
      </c>
      <c r="Q331" s="2">
        <v>0.57599999999999996</v>
      </c>
      <c r="R331" s="2">
        <v>0.8</v>
      </c>
      <c r="S331" s="2">
        <v>1</v>
      </c>
      <c r="T331" s="2">
        <v>0.78600000000000003</v>
      </c>
      <c r="U331" s="2">
        <v>0.5</v>
      </c>
      <c r="V331" s="2">
        <v>1.9</v>
      </c>
      <c r="W331" s="2">
        <v>2.4</v>
      </c>
      <c r="X331" s="2">
        <v>2.9</v>
      </c>
      <c r="Y331" s="2">
        <v>0.6</v>
      </c>
      <c r="Z331" s="2">
        <v>0.1</v>
      </c>
      <c r="AA331" s="2">
        <v>0.7</v>
      </c>
      <c r="AB331" s="2">
        <v>0.6</v>
      </c>
      <c r="AC331" s="2">
        <v>6.7</v>
      </c>
      <c r="AD331" s="2"/>
    </row>
    <row r="332" spans="1:30" x14ac:dyDescent="0.2">
      <c r="A332" t="s">
        <v>350</v>
      </c>
      <c r="B332" s="2">
        <v>29</v>
      </c>
      <c r="C332" t="s">
        <v>39</v>
      </c>
      <c r="D332" s="2" t="s">
        <v>42</v>
      </c>
      <c r="E332" s="2">
        <v>19</v>
      </c>
      <c r="F332" s="2">
        <v>3</v>
      </c>
      <c r="G332" s="2">
        <v>16.8</v>
      </c>
      <c r="H332" s="2">
        <v>1.8</v>
      </c>
      <c r="I332" s="2">
        <v>2.8</v>
      </c>
      <c r="J332" s="2">
        <v>0.66</v>
      </c>
      <c r="K332" s="2">
        <v>0</v>
      </c>
      <c r="L332" s="2">
        <v>0</v>
      </c>
      <c r="M332" s="2"/>
      <c r="N332" s="2">
        <v>1.8</v>
      </c>
      <c r="O332" s="2">
        <v>2.8</v>
      </c>
      <c r="P332" s="2">
        <v>0.66</v>
      </c>
      <c r="Q332" s="2">
        <v>0.66</v>
      </c>
      <c r="R332" s="2">
        <v>1.2</v>
      </c>
      <c r="S332" s="2">
        <v>1.4</v>
      </c>
      <c r="T332" s="2">
        <v>0.84599999999999997</v>
      </c>
      <c r="U332" s="2">
        <v>1.8</v>
      </c>
      <c r="V332" s="2">
        <v>2.6</v>
      </c>
      <c r="W332" s="2">
        <v>4.4000000000000004</v>
      </c>
      <c r="X332" s="2">
        <v>1.5</v>
      </c>
      <c r="Y332" s="2">
        <v>0.5</v>
      </c>
      <c r="Z332" s="2">
        <v>1.1000000000000001</v>
      </c>
      <c r="AA332" s="2">
        <v>0.4</v>
      </c>
      <c r="AB332" s="2">
        <v>1.4</v>
      </c>
      <c r="AC332" s="2">
        <v>4.8</v>
      </c>
      <c r="AD332" s="2"/>
    </row>
    <row r="333" spans="1:30" x14ac:dyDescent="0.2">
      <c r="A333" t="s">
        <v>504</v>
      </c>
      <c r="B333" s="2">
        <v>23</v>
      </c>
      <c r="C333" t="s">
        <v>57</v>
      </c>
      <c r="D333" s="2" t="s">
        <v>52</v>
      </c>
      <c r="E333" s="2">
        <v>6</v>
      </c>
      <c r="F333" s="2">
        <v>0</v>
      </c>
      <c r="G333" s="2">
        <v>7</v>
      </c>
      <c r="H333" s="2">
        <v>0.5</v>
      </c>
      <c r="I333" s="2">
        <v>1.2</v>
      </c>
      <c r="J333" s="2">
        <v>0.42899999999999999</v>
      </c>
      <c r="K333" s="2">
        <v>0</v>
      </c>
      <c r="L333" s="2">
        <v>0.5</v>
      </c>
      <c r="M333" s="2">
        <v>0</v>
      </c>
      <c r="N333" s="2">
        <v>0.5</v>
      </c>
      <c r="O333" s="2">
        <v>0.7</v>
      </c>
      <c r="P333" s="2">
        <v>0.75</v>
      </c>
      <c r="Q333" s="2">
        <v>0.42899999999999999</v>
      </c>
      <c r="R333" s="2">
        <v>0.3</v>
      </c>
      <c r="S333" s="2">
        <v>0.3</v>
      </c>
      <c r="T333" s="2">
        <v>1</v>
      </c>
      <c r="U333" s="2">
        <v>0.2</v>
      </c>
      <c r="V333" s="2">
        <v>0.8</v>
      </c>
      <c r="W333" s="2">
        <v>1</v>
      </c>
      <c r="X333" s="2">
        <v>0.8</v>
      </c>
      <c r="Y333" s="2">
        <v>0.2</v>
      </c>
      <c r="Z333" s="2">
        <v>0.2</v>
      </c>
      <c r="AA333" s="2">
        <v>0.3</v>
      </c>
      <c r="AB333" s="2">
        <v>0.5</v>
      </c>
      <c r="AC333" s="2">
        <v>1.3</v>
      </c>
      <c r="AD333" s="2"/>
    </row>
    <row r="334" spans="1:30" x14ac:dyDescent="0.2">
      <c r="A334" t="s">
        <v>563</v>
      </c>
      <c r="B334" s="2">
        <v>26</v>
      </c>
      <c r="C334" t="s">
        <v>48</v>
      </c>
      <c r="D334" s="2" t="s">
        <v>52</v>
      </c>
      <c r="E334" s="2">
        <v>1</v>
      </c>
      <c r="F334" s="2">
        <v>0</v>
      </c>
      <c r="G334" s="2">
        <v>5</v>
      </c>
      <c r="H334" s="2">
        <v>0</v>
      </c>
      <c r="I334" s="2">
        <v>0</v>
      </c>
      <c r="J334" s="2"/>
      <c r="K334" s="2">
        <v>0</v>
      </c>
      <c r="L334" s="2">
        <v>0</v>
      </c>
      <c r="M334" s="2"/>
      <c r="N334" s="2">
        <v>0</v>
      </c>
      <c r="O334" s="2">
        <v>0</v>
      </c>
      <c r="P334" s="2"/>
      <c r="Q334" s="2"/>
      <c r="R334" s="2">
        <v>0</v>
      </c>
      <c r="S334" s="2">
        <v>0</v>
      </c>
      <c r="T334" s="2"/>
      <c r="U334" s="2">
        <v>0</v>
      </c>
      <c r="V334" s="2">
        <v>1</v>
      </c>
      <c r="W334" s="2">
        <v>1</v>
      </c>
      <c r="X334" s="2">
        <v>2</v>
      </c>
      <c r="Y334" s="2">
        <v>0</v>
      </c>
      <c r="Z334" s="2">
        <v>0</v>
      </c>
      <c r="AA334" s="2">
        <v>0</v>
      </c>
      <c r="AB334" s="2">
        <v>0</v>
      </c>
      <c r="AC334" s="2">
        <v>0</v>
      </c>
      <c r="AD334" s="2"/>
    </row>
    <row r="335" spans="1:30" x14ac:dyDescent="0.2">
      <c r="A335" t="s">
        <v>314</v>
      </c>
      <c r="B335" s="2">
        <v>21</v>
      </c>
      <c r="C335" t="s">
        <v>93</v>
      </c>
      <c r="D335" s="2" t="s">
        <v>52</v>
      </c>
      <c r="E335" s="2">
        <v>18</v>
      </c>
      <c r="F335" s="2">
        <v>0</v>
      </c>
      <c r="G335" s="2">
        <v>12.9</v>
      </c>
      <c r="H335" s="2">
        <v>2.4</v>
      </c>
      <c r="I335" s="2">
        <v>5.3</v>
      </c>
      <c r="J335" s="2">
        <v>0.44800000000000001</v>
      </c>
      <c r="K335" s="2">
        <v>0.9</v>
      </c>
      <c r="L335" s="2">
        <v>2.2999999999999998</v>
      </c>
      <c r="M335" s="2">
        <v>0.41499999999999998</v>
      </c>
      <c r="N335" s="2">
        <v>1.4</v>
      </c>
      <c r="O335" s="2">
        <v>3.1</v>
      </c>
      <c r="P335" s="2">
        <v>0.47299999999999998</v>
      </c>
      <c r="Q335" s="2">
        <v>0.53600000000000003</v>
      </c>
      <c r="R335" s="2">
        <v>0.9</v>
      </c>
      <c r="S335" s="2">
        <v>1.1000000000000001</v>
      </c>
      <c r="T335" s="2">
        <v>0.85</v>
      </c>
      <c r="U335" s="2">
        <v>0.2</v>
      </c>
      <c r="V335" s="2">
        <v>1.4</v>
      </c>
      <c r="W335" s="2">
        <v>1.6</v>
      </c>
      <c r="X335" s="2">
        <v>1.2</v>
      </c>
      <c r="Y335" s="2">
        <v>0.4</v>
      </c>
      <c r="Z335" s="2">
        <v>0.1</v>
      </c>
      <c r="AA335" s="2">
        <v>1.3</v>
      </c>
      <c r="AB335" s="2">
        <v>0.7</v>
      </c>
      <c r="AC335" s="2">
        <v>6.7</v>
      </c>
      <c r="AD335" s="2"/>
    </row>
    <row r="336" spans="1:30" x14ac:dyDescent="0.2">
      <c r="A336" t="s">
        <v>310</v>
      </c>
      <c r="B336" s="2">
        <v>32</v>
      </c>
      <c r="C336" t="s">
        <v>114</v>
      </c>
      <c r="D336" s="2" t="s">
        <v>33</v>
      </c>
      <c r="E336" s="2">
        <v>9</v>
      </c>
      <c r="F336" s="2">
        <v>8</v>
      </c>
      <c r="G336" s="2">
        <v>23.8</v>
      </c>
      <c r="H336" s="2">
        <v>5</v>
      </c>
      <c r="I336" s="2">
        <v>10.1</v>
      </c>
      <c r="J336" s="2">
        <v>0.495</v>
      </c>
      <c r="K336" s="2">
        <v>0.8</v>
      </c>
      <c r="L336" s="2">
        <v>2.2999999999999998</v>
      </c>
      <c r="M336" s="2">
        <v>0.33300000000000002</v>
      </c>
      <c r="N336" s="2">
        <v>4.2</v>
      </c>
      <c r="O336" s="2">
        <v>7.8</v>
      </c>
      <c r="P336" s="2">
        <v>0.54300000000000004</v>
      </c>
      <c r="Q336" s="2">
        <v>0.53300000000000003</v>
      </c>
      <c r="R336" s="2">
        <v>3</v>
      </c>
      <c r="S336" s="2">
        <v>3.6</v>
      </c>
      <c r="T336" s="2">
        <v>0.84399999999999997</v>
      </c>
      <c r="U336" s="2">
        <v>1</v>
      </c>
      <c r="V336" s="2">
        <v>3.3</v>
      </c>
      <c r="W336" s="2">
        <v>4.3</v>
      </c>
      <c r="X336" s="2">
        <v>2.6</v>
      </c>
      <c r="Y336" s="2">
        <v>0.4</v>
      </c>
      <c r="Z336" s="2">
        <v>0.3</v>
      </c>
      <c r="AA336" s="2">
        <v>1.6</v>
      </c>
      <c r="AB336" s="2">
        <v>2.1</v>
      </c>
      <c r="AC336" s="2">
        <v>13.8</v>
      </c>
      <c r="AD336" s="2"/>
    </row>
    <row r="337" spans="1:30" x14ac:dyDescent="0.2">
      <c r="A337" t="s">
        <v>547</v>
      </c>
      <c r="B337" s="2">
        <v>25</v>
      </c>
      <c r="C337" t="s">
        <v>32</v>
      </c>
      <c r="D337" s="2" t="s">
        <v>49</v>
      </c>
      <c r="E337" s="2">
        <v>6</v>
      </c>
      <c r="F337" s="2">
        <v>0</v>
      </c>
      <c r="G337" s="2">
        <v>3.5</v>
      </c>
      <c r="H337" s="2">
        <v>0</v>
      </c>
      <c r="I337" s="2">
        <v>0.3</v>
      </c>
      <c r="J337" s="2">
        <v>0</v>
      </c>
      <c r="K337" s="2">
        <v>0</v>
      </c>
      <c r="L337" s="2">
        <v>0.2</v>
      </c>
      <c r="M337" s="2">
        <v>0</v>
      </c>
      <c r="N337" s="2">
        <v>0</v>
      </c>
      <c r="O337" s="2">
        <v>0.2</v>
      </c>
      <c r="P337" s="2">
        <v>0</v>
      </c>
      <c r="Q337" s="2">
        <v>0</v>
      </c>
      <c r="R337" s="2">
        <v>0.3</v>
      </c>
      <c r="S337" s="2">
        <v>0.7</v>
      </c>
      <c r="T337" s="2">
        <v>0.5</v>
      </c>
      <c r="U337" s="2">
        <v>0.2</v>
      </c>
      <c r="V337" s="2">
        <v>0.3</v>
      </c>
      <c r="W337" s="2">
        <v>0.5</v>
      </c>
      <c r="X337" s="2">
        <v>0.2</v>
      </c>
      <c r="Y337" s="2">
        <v>0</v>
      </c>
      <c r="Z337" s="2">
        <v>0</v>
      </c>
      <c r="AA337" s="2">
        <v>0.2</v>
      </c>
      <c r="AB337" s="2">
        <v>0.7</v>
      </c>
      <c r="AC337" s="2">
        <v>0.3</v>
      </c>
      <c r="AD337" s="2"/>
    </row>
    <row r="338" spans="1:30" x14ac:dyDescent="0.2">
      <c r="A338" t="s">
        <v>115</v>
      </c>
      <c r="B338" s="2">
        <v>28</v>
      </c>
      <c r="C338" t="s">
        <v>75</v>
      </c>
      <c r="D338" s="2" t="s">
        <v>52</v>
      </c>
      <c r="E338" s="2">
        <v>26</v>
      </c>
      <c r="F338" s="2">
        <v>7</v>
      </c>
      <c r="G338" s="2">
        <v>28</v>
      </c>
      <c r="H338" s="2">
        <v>5.5</v>
      </c>
      <c r="I338" s="2">
        <v>12.7</v>
      </c>
      <c r="J338" s="2">
        <v>0.433</v>
      </c>
      <c r="K338" s="2">
        <v>3.5</v>
      </c>
      <c r="L338" s="2">
        <v>8.6999999999999993</v>
      </c>
      <c r="M338" s="2">
        <v>0.40699999999999997</v>
      </c>
      <c r="N338" s="2">
        <v>2</v>
      </c>
      <c r="O338" s="2">
        <v>4</v>
      </c>
      <c r="P338" s="2">
        <v>0.49</v>
      </c>
      <c r="Q338" s="2">
        <v>0.57299999999999995</v>
      </c>
      <c r="R338" s="2">
        <v>1</v>
      </c>
      <c r="S338" s="2">
        <v>1.4</v>
      </c>
      <c r="T338" s="2">
        <v>0.72199999999999998</v>
      </c>
      <c r="U338" s="2">
        <v>0.6</v>
      </c>
      <c r="V338" s="2">
        <v>2.5</v>
      </c>
      <c r="W338" s="2">
        <v>3.1</v>
      </c>
      <c r="X338" s="2">
        <v>1.9</v>
      </c>
      <c r="Y338" s="2">
        <v>0.7</v>
      </c>
      <c r="Z338" s="2">
        <v>0</v>
      </c>
      <c r="AA338" s="2">
        <v>1.1000000000000001</v>
      </c>
      <c r="AB338" s="2">
        <v>1.3</v>
      </c>
      <c r="AC338" s="2">
        <v>15.5</v>
      </c>
      <c r="AD338" s="2"/>
    </row>
    <row r="339" spans="1:30" x14ac:dyDescent="0.2">
      <c r="A339" t="s">
        <v>156</v>
      </c>
      <c r="B339" s="2">
        <v>26</v>
      </c>
      <c r="C339" t="s">
        <v>37</v>
      </c>
      <c r="D339" s="2" t="s">
        <v>52</v>
      </c>
      <c r="E339" s="2">
        <v>19</v>
      </c>
      <c r="F339" s="2">
        <v>6</v>
      </c>
      <c r="G339" s="2">
        <v>28.7</v>
      </c>
      <c r="H339" s="2">
        <v>5.6</v>
      </c>
      <c r="I339" s="2">
        <v>12.3</v>
      </c>
      <c r="J339" s="2">
        <v>0.45300000000000001</v>
      </c>
      <c r="K339" s="2">
        <v>2.2999999999999998</v>
      </c>
      <c r="L339" s="2">
        <v>6.2</v>
      </c>
      <c r="M339" s="2">
        <v>0.376</v>
      </c>
      <c r="N339" s="2">
        <v>3.3</v>
      </c>
      <c r="O339" s="2">
        <v>6.2</v>
      </c>
      <c r="P339" s="2">
        <v>0.53</v>
      </c>
      <c r="Q339" s="2">
        <v>0.54700000000000004</v>
      </c>
      <c r="R339" s="2">
        <v>2.2000000000000002</v>
      </c>
      <c r="S339" s="2">
        <v>2.6</v>
      </c>
      <c r="T339" s="2">
        <v>0.84</v>
      </c>
      <c r="U339" s="2">
        <v>0.2</v>
      </c>
      <c r="V339" s="2">
        <v>3.3</v>
      </c>
      <c r="W339" s="2">
        <v>3.5</v>
      </c>
      <c r="X339" s="2">
        <v>4.7</v>
      </c>
      <c r="Y339" s="2">
        <v>0.8</v>
      </c>
      <c r="Z339" s="2">
        <v>0.5</v>
      </c>
      <c r="AA339" s="2">
        <v>1.3</v>
      </c>
      <c r="AB339" s="2">
        <v>2.2000000000000002</v>
      </c>
      <c r="AC339" s="2">
        <v>15.7</v>
      </c>
      <c r="AD339" s="2"/>
    </row>
    <row r="340" spans="1:30" x14ac:dyDescent="0.2">
      <c r="A340" t="s">
        <v>326</v>
      </c>
      <c r="B340" s="2">
        <v>24</v>
      </c>
      <c r="C340" t="s">
        <v>75</v>
      </c>
      <c r="D340" s="2" t="s">
        <v>33</v>
      </c>
      <c r="E340" s="2">
        <v>17</v>
      </c>
      <c r="F340" s="2">
        <v>0</v>
      </c>
      <c r="G340" s="2">
        <v>13.4</v>
      </c>
      <c r="H340" s="2">
        <v>2.6</v>
      </c>
      <c r="I340" s="2">
        <v>4.9000000000000004</v>
      </c>
      <c r="J340" s="2">
        <v>0.54200000000000004</v>
      </c>
      <c r="K340" s="2">
        <v>0.8</v>
      </c>
      <c r="L340" s="2">
        <v>2.1</v>
      </c>
      <c r="M340" s="2">
        <v>0.38900000000000001</v>
      </c>
      <c r="N340" s="2">
        <v>1.8</v>
      </c>
      <c r="O340" s="2">
        <v>2.8</v>
      </c>
      <c r="P340" s="2">
        <v>0.66</v>
      </c>
      <c r="Q340" s="2">
        <v>0.627</v>
      </c>
      <c r="R340" s="2">
        <v>0.4</v>
      </c>
      <c r="S340" s="2">
        <v>0.4</v>
      </c>
      <c r="T340" s="2">
        <v>1</v>
      </c>
      <c r="U340" s="2">
        <v>0.4</v>
      </c>
      <c r="V340" s="2">
        <v>0.6</v>
      </c>
      <c r="W340" s="2">
        <v>1.1000000000000001</v>
      </c>
      <c r="X340" s="2">
        <v>1.6</v>
      </c>
      <c r="Y340" s="2">
        <v>0.9</v>
      </c>
      <c r="Z340" s="2">
        <v>0.2</v>
      </c>
      <c r="AA340" s="2">
        <v>0.8</v>
      </c>
      <c r="AB340" s="2">
        <v>0.8</v>
      </c>
      <c r="AC340" s="2">
        <v>6.5</v>
      </c>
      <c r="AD340" s="2"/>
    </row>
    <row r="341" spans="1:30" x14ac:dyDescent="0.2">
      <c r="A341" t="s">
        <v>291</v>
      </c>
      <c r="B341" s="2">
        <v>30</v>
      </c>
      <c r="C341" t="s">
        <v>80</v>
      </c>
      <c r="D341" s="2" t="s">
        <v>33</v>
      </c>
      <c r="E341" s="2">
        <v>15</v>
      </c>
      <c r="F341" s="2">
        <v>6</v>
      </c>
      <c r="G341" s="2">
        <v>21.3</v>
      </c>
      <c r="H341" s="2">
        <v>3</v>
      </c>
      <c r="I341" s="2">
        <v>8.1</v>
      </c>
      <c r="J341" s="2">
        <v>0.36899999999999999</v>
      </c>
      <c r="K341" s="2">
        <v>1.7</v>
      </c>
      <c r="L341" s="2">
        <v>5.0999999999999996</v>
      </c>
      <c r="M341" s="2">
        <v>0.32500000000000001</v>
      </c>
      <c r="N341" s="2">
        <v>1.3</v>
      </c>
      <c r="O341" s="2">
        <v>3</v>
      </c>
      <c r="P341" s="2">
        <v>0.44400000000000001</v>
      </c>
      <c r="Q341" s="2">
        <v>0.47099999999999997</v>
      </c>
      <c r="R341" s="2">
        <v>1.9</v>
      </c>
      <c r="S341" s="2">
        <v>2.2999999999999998</v>
      </c>
      <c r="T341" s="2">
        <v>0.82899999999999996</v>
      </c>
      <c r="U341" s="2">
        <v>0.9</v>
      </c>
      <c r="V341" s="2">
        <v>1.7</v>
      </c>
      <c r="W341" s="2">
        <v>2.5</v>
      </c>
      <c r="X341" s="2">
        <v>4.0999999999999996</v>
      </c>
      <c r="Y341" s="2">
        <v>1.5</v>
      </c>
      <c r="Z341" s="2">
        <v>0.4</v>
      </c>
      <c r="AA341" s="2">
        <v>2.1</v>
      </c>
      <c r="AB341" s="2">
        <v>1.7</v>
      </c>
      <c r="AC341" s="2">
        <v>9.6</v>
      </c>
      <c r="AD341" s="2"/>
    </row>
    <row r="342" spans="1:30" x14ac:dyDescent="0.2">
      <c r="A342" t="s">
        <v>474</v>
      </c>
      <c r="B342" s="2">
        <v>24</v>
      </c>
      <c r="C342" t="s">
        <v>35</v>
      </c>
      <c r="D342" s="2" t="s">
        <v>49</v>
      </c>
      <c r="E342" s="2">
        <v>11</v>
      </c>
      <c r="F342" s="2">
        <v>0</v>
      </c>
      <c r="G342" s="2">
        <v>3.2</v>
      </c>
      <c r="H342" s="2">
        <v>0.5</v>
      </c>
      <c r="I342" s="2">
        <v>1.5</v>
      </c>
      <c r="J342" s="2">
        <v>0.375</v>
      </c>
      <c r="K342" s="2">
        <v>0.2</v>
      </c>
      <c r="L342" s="2">
        <v>0.7</v>
      </c>
      <c r="M342" s="2">
        <v>0.25</v>
      </c>
      <c r="N342" s="2">
        <v>0.4</v>
      </c>
      <c r="O342" s="2">
        <v>0.7</v>
      </c>
      <c r="P342" s="2">
        <v>0.5</v>
      </c>
      <c r="Q342" s="2">
        <v>0.438</v>
      </c>
      <c r="R342" s="2">
        <v>0.4</v>
      </c>
      <c r="S342" s="2">
        <v>0.4</v>
      </c>
      <c r="T342" s="2">
        <v>1</v>
      </c>
      <c r="U342" s="2">
        <v>0.2</v>
      </c>
      <c r="V342" s="2">
        <v>0.6</v>
      </c>
      <c r="W342" s="2">
        <v>0.8</v>
      </c>
      <c r="X342" s="2">
        <v>0.1</v>
      </c>
      <c r="Y342" s="2">
        <v>0.1</v>
      </c>
      <c r="Z342" s="2">
        <v>0</v>
      </c>
      <c r="AA342" s="2">
        <v>0.6</v>
      </c>
      <c r="AB342" s="2">
        <v>0.3</v>
      </c>
      <c r="AC342" s="2">
        <v>1.6</v>
      </c>
      <c r="AD342" s="2"/>
    </row>
    <row r="343" spans="1:30" x14ac:dyDescent="0.2">
      <c r="A343" t="s">
        <v>460</v>
      </c>
      <c r="B343" s="2">
        <v>23</v>
      </c>
      <c r="C343" t="s">
        <v>59</v>
      </c>
      <c r="D343" s="2" t="s">
        <v>42</v>
      </c>
      <c r="E343" s="2">
        <v>3</v>
      </c>
      <c r="F343" s="2">
        <v>0</v>
      </c>
      <c r="G343" s="2">
        <v>10</v>
      </c>
      <c r="H343" s="2">
        <v>3</v>
      </c>
      <c r="I343" s="2">
        <v>5</v>
      </c>
      <c r="J343" s="2">
        <v>0.6</v>
      </c>
      <c r="K343" s="2">
        <v>0</v>
      </c>
      <c r="L343" s="2">
        <v>0</v>
      </c>
      <c r="M343" s="2"/>
      <c r="N343" s="2">
        <v>3</v>
      </c>
      <c r="O343" s="2">
        <v>5</v>
      </c>
      <c r="P343" s="2">
        <v>0.6</v>
      </c>
      <c r="Q343" s="2">
        <v>0.6</v>
      </c>
      <c r="R343" s="2">
        <v>1.3</v>
      </c>
      <c r="S343" s="2">
        <v>1.7</v>
      </c>
      <c r="T343" s="2">
        <v>0.8</v>
      </c>
      <c r="U343" s="2">
        <v>2</v>
      </c>
      <c r="V343" s="2">
        <v>2.2999999999999998</v>
      </c>
      <c r="W343" s="2">
        <v>4.3</v>
      </c>
      <c r="X343" s="2">
        <v>1</v>
      </c>
      <c r="Y343" s="2">
        <v>0.3</v>
      </c>
      <c r="Z343" s="2">
        <v>0.3</v>
      </c>
      <c r="AA343" s="2">
        <v>0.7</v>
      </c>
      <c r="AB343" s="2">
        <v>0.7</v>
      </c>
      <c r="AC343" s="2">
        <v>7.3</v>
      </c>
      <c r="AD343" s="2"/>
    </row>
    <row r="344" spans="1:30" x14ac:dyDescent="0.2">
      <c r="A344" t="s">
        <v>518</v>
      </c>
      <c r="B344" s="2">
        <v>35</v>
      </c>
      <c r="C344" t="s">
        <v>63</v>
      </c>
      <c r="D344" s="2" t="s">
        <v>27</v>
      </c>
      <c r="E344" s="2">
        <v>3</v>
      </c>
      <c r="F344" s="2">
        <v>0</v>
      </c>
      <c r="G344" s="2">
        <v>6</v>
      </c>
      <c r="H344" s="2">
        <v>0.7</v>
      </c>
      <c r="I344" s="2">
        <v>3</v>
      </c>
      <c r="J344" s="2">
        <v>0.222</v>
      </c>
      <c r="K344" s="2">
        <v>0.3</v>
      </c>
      <c r="L344" s="2">
        <v>1</v>
      </c>
      <c r="M344" s="2">
        <v>0.33300000000000002</v>
      </c>
      <c r="N344" s="2">
        <v>0.3</v>
      </c>
      <c r="O344" s="2">
        <v>2</v>
      </c>
      <c r="P344" s="2">
        <v>0.16700000000000001</v>
      </c>
      <c r="Q344" s="2">
        <v>0.27800000000000002</v>
      </c>
      <c r="R344" s="2">
        <v>0</v>
      </c>
      <c r="S344" s="2">
        <v>0</v>
      </c>
      <c r="T344" s="2"/>
      <c r="U344" s="2">
        <v>0</v>
      </c>
      <c r="V344" s="2">
        <v>1.7</v>
      </c>
      <c r="W344" s="2">
        <v>1.7</v>
      </c>
      <c r="X344" s="2">
        <v>0.7</v>
      </c>
      <c r="Y344" s="2">
        <v>0</v>
      </c>
      <c r="Z344" s="2">
        <v>0.3</v>
      </c>
      <c r="AA344" s="2">
        <v>0.7</v>
      </c>
      <c r="AB344" s="2">
        <v>0</v>
      </c>
      <c r="AC344" s="2">
        <v>1.7</v>
      </c>
      <c r="AD344" s="2"/>
    </row>
    <row r="345" spans="1:30" x14ac:dyDescent="0.2">
      <c r="A345" t="s">
        <v>366</v>
      </c>
      <c r="B345" s="2">
        <v>25</v>
      </c>
      <c r="C345" t="s">
        <v>114</v>
      </c>
      <c r="D345" s="2" t="s">
        <v>42</v>
      </c>
      <c r="E345" s="2">
        <v>16</v>
      </c>
      <c r="F345" s="2">
        <v>1</v>
      </c>
      <c r="G345" s="2">
        <v>8.4</v>
      </c>
      <c r="H345" s="2">
        <v>2.1</v>
      </c>
      <c r="I345" s="2">
        <v>3.8</v>
      </c>
      <c r="J345" s="2">
        <v>0.54100000000000004</v>
      </c>
      <c r="K345" s="2">
        <v>0.1</v>
      </c>
      <c r="L345" s="2">
        <v>0.6</v>
      </c>
      <c r="M345" s="2">
        <v>0.2</v>
      </c>
      <c r="N345" s="2">
        <v>1.9</v>
      </c>
      <c r="O345" s="2">
        <v>3.2</v>
      </c>
      <c r="P345" s="2">
        <v>0.60799999999999998</v>
      </c>
      <c r="Q345" s="2">
        <v>0.55700000000000005</v>
      </c>
      <c r="R345" s="2">
        <v>0.6</v>
      </c>
      <c r="S345" s="2">
        <v>0.9</v>
      </c>
      <c r="T345" s="2">
        <v>0.66700000000000004</v>
      </c>
      <c r="U345" s="2">
        <v>1.3</v>
      </c>
      <c r="V345" s="2">
        <v>1.4</v>
      </c>
      <c r="W345" s="2">
        <v>2.8</v>
      </c>
      <c r="X345" s="2">
        <v>0.4</v>
      </c>
      <c r="Y345" s="2">
        <v>0.3</v>
      </c>
      <c r="Z345" s="2">
        <v>0.3</v>
      </c>
      <c r="AA345" s="2">
        <v>0.6</v>
      </c>
      <c r="AB345" s="2">
        <v>0.6</v>
      </c>
      <c r="AC345" s="2">
        <v>4.9000000000000004</v>
      </c>
      <c r="AD345" s="2"/>
    </row>
    <row r="346" spans="1:30" x14ac:dyDescent="0.2">
      <c r="A346" t="s">
        <v>561</v>
      </c>
      <c r="B346" s="2">
        <v>26</v>
      </c>
      <c r="C346" t="s">
        <v>37</v>
      </c>
      <c r="D346" s="2" t="s">
        <v>52</v>
      </c>
      <c r="E346" s="2">
        <v>3</v>
      </c>
      <c r="F346" s="2">
        <v>0</v>
      </c>
      <c r="G346" s="2">
        <v>4.3</v>
      </c>
      <c r="H346" s="2">
        <v>0</v>
      </c>
      <c r="I346" s="2">
        <v>0.7</v>
      </c>
      <c r="J346" s="2">
        <v>0</v>
      </c>
      <c r="K346" s="2">
        <v>0</v>
      </c>
      <c r="L346" s="2">
        <v>0.7</v>
      </c>
      <c r="M346" s="2">
        <v>0</v>
      </c>
      <c r="N346" s="2">
        <v>0</v>
      </c>
      <c r="O346" s="2">
        <v>0</v>
      </c>
      <c r="P346" s="2"/>
      <c r="Q346" s="2">
        <v>0</v>
      </c>
      <c r="R346" s="2">
        <v>0</v>
      </c>
      <c r="S346" s="2">
        <v>0</v>
      </c>
      <c r="T346" s="2"/>
      <c r="U346" s="2">
        <v>0.3</v>
      </c>
      <c r="V346" s="2">
        <v>1</v>
      </c>
      <c r="W346" s="2">
        <v>1.3</v>
      </c>
      <c r="X346" s="2">
        <v>2.2999999999999998</v>
      </c>
      <c r="Y346" s="2">
        <v>0</v>
      </c>
      <c r="Z346" s="2">
        <v>0</v>
      </c>
      <c r="AA346" s="2">
        <v>0</v>
      </c>
      <c r="AB346" s="2">
        <v>0.3</v>
      </c>
      <c r="AC346" s="2">
        <v>0</v>
      </c>
      <c r="AD346" s="2"/>
    </row>
    <row r="347" spans="1:30" x14ac:dyDescent="0.2">
      <c r="A347" t="s">
        <v>335</v>
      </c>
      <c r="B347" s="2">
        <v>34</v>
      </c>
      <c r="C347" t="s">
        <v>54</v>
      </c>
      <c r="D347" s="2" t="s">
        <v>42</v>
      </c>
      <c r="E347" s="2">
        <v>22</v>
      </c>
      <c r="F347" s="2">
        <v>7</v>
      </c>
      <c r="G347" s="2">
        <v>18</v>
      </c>
      <c r="H347" s="2">
        <v>1.8</v>
      </c>
      <c r="I347" s="2">
        <v>3.2</v>
      </c>
      <c r="J347" s="2">
        <v>0.55700000000000005</v>
      </c>
      <c r="K347" s="2">
        <v>0</v>
      </c>
      <c r="L347" s="2">
        <v>0</v>
      </c>
      <c r="M347" s="2"/>
      <c r="N347" s="2">
        <v>1.8</v>
      </c>
      <c r="O347" s="2">
        <v>3.2</v>
      </c>
      <c r="P347" s="2">
        <v>0.55700000000000005</v>
      </c>
      <c r="Q347" s="2">
        <v>0.55700000000000005</v>
      </c>
      <c r="R347" s="2">
        <v>1</v>
      </c>
      <c r="S347" s="2">
        <v>1.9</v>
      </c>
      <c r="T347" s="2">
        <v>0.54800000000000004</v>
      </c>
      <c r="U347" s="2">
        <v>1.5</v>
      </c>
      <c r="V347" s="2">
        <v>4.5</v>
      </c>
      <c r="W347" s="2">
        <v>6.1</v>
      </c>
      <c r="X347" s="2">
        <v>1.7</v>
      </c>
      <c r="Y347" s="2">
        <v>0.4</v>
      </c>
      <c r="Z347" s="2">
        <v>0.8</v>
      </c>
      <c r="AA347" s="2">
        <v>0.9</v>
      </c>
      <c r="AB347" s="2">
        <v>2</v>
      </c>
      <c r="AC347" s="2">
        <v>4.5999999999999996</v>
      </c>
      <c r="AD347" s="2"/>
    </row>
    <row r="348" spans="1:30" x14ac:dyDescent="0.2">
      <c r="A348" t="s">
        <v>304</v>
      </c>
      <c r="B348" s="2">
        <v>20</v>
      </c>
      <c r="C348" t="s">
        <v>70</v>
      </c>
      <c r="D348" s="2" t="s">
        <v>49</v>
      </c>
      <c r="E348" s="2">
        <v>24</v>
      </c>
      <c r="F348" s="2">
        <v>0</v>
      </c>
      <c r="G348" s="2">
        <v>12.7</v>
      </c>
      <c r="H348" s="2">
        <v>1.8</v>
      </c>
      <c r="I348" s="2">
        <v>4.5999999999999996</v>
      </c>
      <c r="J348" s="2">
        <v>0.4</v>
      </c>
      <c r="K348" s="2">
        <v>0.9</v>
      </c>
      <c r="L348" s="2">
        <v>2.4</v>
      </c>
      <c r="M348" s="2">
        <v>0.36199999999999999</v>
      </c>
      <c r="N348" s="2">
        <v>1</v>
      </c>
      <c r="O348" s="2">
        <v>2.2000000000000002</v>
      </c>
      <c r="P348" s="2">
        <v>0.442</v>
      </c>
      <c r="Q348" s="2">
        <v>0.495</v>
      </c>
      <c r="R348" s="2">
        <v>0.8</v>
      </c>
      <c r="S348" s="2">
        <v>1</v>
      </c>
      <c r="T348" s="2">
        <v>0.79200000000000004</v>
      </c>
      <c r="U348" s="2">
        <v>0.5</v>
      </c>
      <c r="V348" s="2">
        <v>2.1</v>
      </c>
      <c r="W348" s="2">
        <v>2.5</v>
      </c>
      <c r="X348" s="2">
        <v>0.4</v>
      </c>
      <c r="Y348" s="2">
        <v>0.3</v>
      </c>
      <c r="Z348" s="2">
        <v>0.7</v>
      </c>
      <c r="AA348" s="2">
        <v>0.7</v>
      </c>
      <c r="AB348" s="2">
        <v>1.5</v>
      </c>
      <c r="AC348" s="2">
        <v>5.3</v>
      </c>
      <c r="AD348" s="2"/>
    </row>
    <row r="349" spans="1:30" x14ac:dyDescent="0.2">
      <c r="A349" t="s">
        <v>495</v>
      </c>
      <c r="B349" s="2">
        <v>27</v>
      </c>
      <c r="C349" t="s">
        <v>44</v>
      </c>
      <c r="D349" s="2" t="s">
        <v>49</v>
      </c>
      <c r="E349" s="2">
        <v>8</v>
      </c>
      <c r="F349" s="2">
        <v>0</v>
      </c>
      <c r="G349" s="2">
        <v>5.0999999999999996</v>
      </c>
      <c r="H349" s="2">
        <v>0.5</v>
      </c>
      <c r="I349" s="2">
        <v>2</v>
      </c>
      <c r="J349" s="2">
        <v>0.25</v>
      </c>
      <c r="K349" s="2">
        <v>0.4</v>
      </c>
      <c r="L349" s="2">
        <v>1.5</v>
      </c>
      <c r="M349" s="2">
        <v>0.25</v>
      </c>
      <c r="N349" s="2">
        <v>0.1</v>
      </c>
      <c r="O349" s="2">
        <v>0.5</v>
      </c>
      <c r="P349" s="2">
        <v>0.25</v>
      </c>
      <c r="Q349" s="2">
        <v>0.34399999999999997</v>
      </c>
      <c r="R349" s="2">
        <v>0</v>
      </c>
      <c r="S349" s="2">
        <v>0</v>
      </c>
      <c r="T349" s="2"/>
      <c r="U349" s="2">
        <v>0</v>
      </c>
      <c r="V349" s="2">
        <v>0.1</v>
      </c>
      <c r="W349" s="2">
        <v>0.1</v>
      </c>
      <c r="X349" s="2">
        <v>0</v>
      </c>
      <c r="Y349" s="2">
        <v>0</v>
      </c>
      <c r="Z349" s="2">
        <v>0</v>
      </c>
      <c r="AA349" s="2">
        <v>0.4</v>
      </c>
      <c r="AB349" s="2">
        <v>0</v>
      </c>
      <c r="AC349" s="2">
        <v>1.4</v>
      </c>
      <c r="AD349" s="2"/>
    </row>
    <row r="350" spans="1:30" x14ac:dyDescent="0.2">
      <c r="A350" t="s">
        <v>302</v>
      </c>
      <c r="B350" s="2">
        <v>21</v>
      </c>
      <c r="C350" t="s">
        <v>41</v>
      </c>
      <c r="D350" s="2" t="s">
        <v>52</v>
      </c>
      <c r="E350" s="2">
        <v>23</v>
      </c>
      <c r="F350" s="2">
        <v>2</v>
      </c>
      <c r="G350" s="2">
        <v>19.2</v>
      </c>
      <c r="H350" s="2">
        <v>1.8</v>
      </c>
      <c r="I350" s="2">
        <v>4.5</v>
      </c>
      <c r="J350" s="2">
        <v>0.40799999999999997</v>
      </c>
      <c r="K350" s="2">
        <v>0.6</v>
      </c>
      <c r="L350" s="2">
        <v>2.1</v>
      </c>
      <c r="M350" s="2">
        <v>0.29199999999999998</v>
      </c>
      <c r="N350" s="2">
        <v>1.2</v>
      </c>
      <c r="O350" s="2">
        <v>2.4</v>
      </c>
      <c r="P350" s="2">
        <v>0.50900000000000001</v>
      </c>
      <c r="Q350" s="2">
        <v>0.47599999999999998</v>
      </c>
      <c r="R350" s="2">
        <v>1.5</v>
      </c>
      <c r="S350" s="2">
        <v>1.8</v>
      </c>
      <c r="T350" s="2">
        <v>0.82899999999999996</v>
      </c>
      <c r="U350" s="2">
        <v>0.6</v>
      </c>
      <c r="V350" s="2">
        <v>1.6</v>
      </c>
      <c r="W350" s="2">
        <v>2.2000000000000002</v>
      </c>
      <c r="X350" s="2">
        <v>1.3</v>
      </c>
      <c r="Y350" s="2">
        <v>0.8</v>
      </c>
      <c r="Z350" s="2">
        <v>0.4</v>
      </c>
      <c r="AA350" s="2">
        <v>0.7</v>
      </c>
      <c r="AB350" s="2">
        <v>1.3</v>
      </c>
      <c r="AC350" s="2">
        <v>5.7</v>
      </c>
      <c r="AD350" s="2"/>
    </row>
    <row r="351" spans="1:30" x14ac:dyDescent="0.2">
      <c r="A351" t="s">
        <v>453</v>
      </c>
      <c r="B351" s="2">
        <v>33</v>
      </c>
      <c r="C351" t="s">
        <v>63</v>
      </c>
      <c r="D351" s="2" t="s">
        <v>27</v>
      </c>
      <c r="E351" s="2">
        <v>14</v>
      </c>
      <c r="F351" s="2">
        <v>2</v>
      </c>
      <c r="G351" s="2">
        <v>17</v>
      </c>
      <c r="H351" s="2">
        <v>0.6</v>
      </c>
      <c r="I351" s="2">
        <v>1.9</v>
      </c>
      <c r="J351" s="2">
        <v>0.34599999999999997</v>
      </c>
      <c r="K351" s="2">
        <v>0.1</v>
      </c>
      <c r="L351" s="2">
        <v>0.6</v>
      </c>
      <c r="M351" s="2">
        <v>0.222</v>
      </c>
      <c r="N351" s="2">
        <v>0.5</v>
      </c>
      <c r="O351" s="2">
        <v>1.2</v>
      </c>
      <c r="P351" s="2">
        <v>0.41199999999999998</v>
      </c>
      <c r="Q351" s="2">
        <v>0.38500000000000001</v>
      </c>
      <c r="R351" s="2">
        <v>0.3</v>
      </c>
      <c r="S351" s="2">
        <v>0.4</v>
      </c>
      <c r="T351" s="2">
        <v>0.66700000000000004</v>
      </c>
      <c r="U351" s="2">
        <v>0.4</v>
      </c>
      <c r="V351" s="2">
        <v>2.6</v>
      </c>
      <c r="W351" s="2">
        <v>3</v>
      </c>
      <c r="X351" s="2">
        <v>0.6</v>
      </c>
      <c r="Y351" s="2">
        <v>0.1</v>
      </c>
      <c r="Z351" s="2">
        <v>0.5</v>
      </c>
      <c r="AA351" s="2">
        <v>0.7</v>
      </c>
      <c r="AB351" s="2">
        <v>2.1</v>
      </c>
      <c r="AC351" s="2">
        <v>1.7</v>
      </c>
      <c r="AD351" s="2"/>
    </row>
    <row r="352" spans="1:30" x14ac:dyDescent="0.2">
      <c r="A352" t="s">
        <v>529</v>
      </c>
      <c r="B352" s="2">
        <v>22</v>
      </c>
      <c r="C352" t="s">
        <v>41</v>
      </c>
      <c r="D352" s="2" t="s">
        <v>49</v>
      </c>
      <c r="E352" s="2">
        <v>7</v>
      </c>
      <c r="F352" s="2">
        <v>0</v>
      </c>
      <c r="G352" s="2">
        <v>4.0999999999999996</v>
      </c>
      <c r="H352" s="2">
        <v>0.3</v>
      </c>
      <c r="I352" s="2">
        <v>0.9</v>
      </c>
      <c r="J352" s="2">
        <v>0.33300000000000002</v>
      </c>
      <c r="K352" s="2">
        <v>0</v>
      </c>
      <c r="L352" s="2">
        <v>0</v>
      </c>
      <c r="M352" s="2"/>
      <c r="N352" s="2">
        <v>0.3</v>
      </c>
      <c r="O352" s="2">
        <v>0.9</v>
      </c>
      <c r="P352" s="2">
        <v>0.33300000000000002</v>
      </c>
      <c r="Q352" s="2">
        <v>0.33300000000000002</v>
      </c>
      <c r="R352" s="2">
        <v>0</v>
      </c>
      <c r="S352" s="2">
        <v>0</v>
      </c>
      <c r="T352" s="2"/>
      <c r="U352" s="2">
        <v>0.3</v>
      </c>
      <c r="V352" s="2">
        <v>0</v>
      </c>
      <c r="W352" s="2">
        <v>0.3</v>
      </c>
      <c r="X352" s="2">
        <v>0.3</v>
      </c>
      <c r="Y352" s="2">
        <v>0.1</v>
      </c>
      <c r="Z352" s="2">
        <v>0</v>
      </c>
      <c r="AA352" s="2">
        <v>0.3</v>
      </c>
      <c r="AB352" s="2">
        <v>0.1</v>
      </c>
      <c r="AC352" s="2">
        <v>0.6</v>
      </c>
      <c r="AD352" s="2"/>
    </row>
    <row r="353" spans="1:30" x14ac:dyDescent="0.2">
      <c r="A353" t="s">
        <v>468</v>
      </c>
      <c r="B353" s="2">
        <v>26</v>
      </c>
      <c r="C353" t="s">
        <v>120</v>
      </c>
      <c r="D353" s="2" t="s">
        <v>42</v>
      </c>
      <c r="E353" s="2">
        <v>5</v>
      </c>
      <c r="F353" s="2">
        <v>1</v>
      </c>
      <c r="G353" s="2">
        <v>20.2</v>
      </c>
      <c r="H353" s="2">
        <v>1.4</v>
      </c>
      <c r="I353" s="2">
        <v>3.8</v>
      </c>
      <c r="J353" s="2">
        <v>0.36799999999999999</v>
      </c>
      <c r="K353" s="2">
        <v>1.2</v>
      </c>
      <c r="L353" s="2">
        <v>3.2</v>
      </c>
      <c r="M353" s="2">
        <v>0.375</v>
      </c>
      <c r="N353" s="2">
        <v>0.2</v>
      </c>
      <c r="O353" s="2">
        <v>0.6</v>
      </c>
      <c r="P353" s="2">
        <v>0.33300000000000002</v>
      </c>
      <c r="Q353" s="2">
        <v>0.52600000000000002</v>
      </c>
      <c r="R353" s="2">
        <v>0</v>
      </c>
      <c r="S353" s="2">
        <v>0</v>
      </c>
      <c r="T353" s="2"/>
      <c r="U353" s="2">
        <v>2</v>
      </c>
      <c r="V353" s="2">
        <v>4.5999999999999996</v>
      </c>
      <c r="W353" s="2">
        <v>6.6</v>
      </c>
      <c r="X353" s="2">
        <v>1</v>
      </c>
      <c r="Y353" s="2">
        <v>0.2</v>
      </c>
      <c r="Z353" s="2">
        <v>0.6</v>
      </c>
      <c r="AA353" s="2">
        <v>1</v>
      </c>
      <c r="AB353" s="2">
        <v>1.2</v>
      </c>
      <c r="AC353" s="2">
        <v>4</v>
      </c>
      <c r="AD353" s="2"/>
    </row>
    <row r="354" spans="1:30" x14ac:dyDescent="0.2">
      <c r="A354" t="s">
        <v>109</v>
      </c>
      <c r="B354" s="2">
        <v>26</v>
      </c>
      <c r="C354" t="s">
        <v>46</v>
      </c>
      <c r="D354" s="2" t="s">
        <v>49</v>
      </c>
      <c r="E354" s="2">
        <v>22</v>
      </c>
      <c r="F354" s="2">
        <v>22</v>
      </c>
      <c r="G354" s="2">
        <v>35.6</v>
      </c>
      <c r="H354" s="2">
        <v>7.5</v>
      </c>
      <c r="I354" s="2">
        <v>14.6</v>
      </c>
      <c r="J354" s="2">
        <v>0.51200000000000001</v>
      </c>
      <c r="K354" s="2">
        <v>2.4</v>
      </c>
      <c r="L354" s="2">
        <v>6.1</v>
      </c>
      <c r="M354" s="2">
        <v>0.38800000000000001</v>
      </c>
      <c r="N354" s="2">
        <v>5.0999999999999996</v>
      </c>
      <c r="O354" s="2">
        <v>8.5</v>
      </c>
      <c r="P354" s="2">
        <v>0.60099999999999998</v>
      </c>
      <c r="Q354" s="2">
        <v>0.59299999999999997</v>
      </c>
      <c r="R354" s="2">
        <v>1.6</v>
      </c>
      <c r="S354" s="2">
        <v>2.4</v>
      </c>
      <c r="T354" s="2">
        <v>0.67300000000000004</v>
      </c>
      <c r="U354" s="2">
        <v>1.6</v>
      </c>
      <c r="V354" s="2">
        <v>5.5</v>
      </c>
      <c r="W354" s="2">
        <v>7.1</v>
      </c>
      <c r="X354" s="2">
        <v>2.9</v>
      </c>
      <c r="Y354" s="2">
        <v>0.9</v>
      </c>
      <c r="Z354" s="2">
        <v>0.4</v>
      </c>
      <c r="AA354" s="2">
        <v>1.3</v>
      </c>
      <c r="AB354" s="2">
        <v>2.2000000000000002</v>
      </c>
      <c r="AC354" s="2">
        <v>19</v>
      </c>
      <c r="AD354" s="2"/>
    </row>
    <row r="355" spans="1:30" x14ac:dyDescent="0.2">
      <c r="A355" t="s">
        <v>105</v>
      </c>
      <c r="B355" s="2">
        <v>28</v>
      </c>
      <c r="C355" t="s">
        <v>44</v>
      </c>
      <c r="D355" s="2" t="s">
        <v>49</v>
      </c>
      <c r="E355" s="2">
        <v>25</v>
      </c>
      <c r="F355" s="2">
        <v>25</v>
      </c>
      <c r="G355" s="4">
        <v>38.299999999999997</v>
      </c>
      <c r="H355" s="2">
        <v>7.1</v>
      </c>
      <c r="I355" s="2">
        <v>14.7</v>
      </c>
      <c r="J355" s="2">
        <v>0.48099999999999998</v>
      </c>
      <c r="K355" s="2">
        <v>2.2999999999999998</v>
      </c>
      <c r="L355" s="2">
        <v>6.8</v>
      </c>
      <c r="M355" s="2">
        <v>0.33900000000000002</v>
      </c>
      <c r="N355" s="2">
        <v>4.8</v>
      </c>
      <c r="O355" s="2">
        <v>7.9</v>
      </c>
      <c r="P355" s="2">
        <v>0.60399999999999998</v>
      </c>
      <c r="Q355" s="2">
        <v>0.56000000000000005</v>
      </c>
      <c r="R355" s="2">
        <v>0.5</v>
      </c>
      <c r="S355" s="2">
        <v>0.8</v>
      </c>
      <c r="T355" s="2">
        <v>0.61899999999999999</v>
      </c>
      <c r="U355" s="2">
        <v>1</v>
      </c>
      <c r="V355" s="2">
        <v>2.6</v>
      </c>
      <c r="W355" s="2">
        <v>3.6</v>
      </c>
      <c r="X355" s="2">
        <v>3.3</v>
      </c>
      <c r="Y355" s="2">
        <v>1</v>
      </c>
      <c r="Z355" s="2">
        <v>0.5</v>
      </c>
      <c r="AA355" s="2">
        <v>1.5</v>
      </c>
      <c r="AB355" s="2">
        <v>1.3</v>
      </c>
      <c r="AC355" s="2">
        <v>17</v>
      </c>
      <c r="AD355" s="2"/>
    </row>
    <row r="356" spans="1:30" x14ac:dyDescent="0.2">
      <c r="A356" t="s">
        <v>258</v>
      </c>
      <c r="B356" s="2">
        <v>37</v>
      </c>
      <c r="C356" t="s">
        <v>51</v>
      </c>
      <c r="D356" s="2" t="s">
        <v>33</v>
      </c>
      <c r="E356" s="2">
        <v>19</v>
      </c>
      <c r="F356" s="2">
        <v>19</v>
      </c>
      <c r="G356" s="2">
        <v>25.5</v>
      </c>
      <c r="H356" s="2">
        <v>2.8</v>
      </c>
      <c r="I356" s="2">
        <v>7.7</v>
      </c>
      <c r="J356" s="2">
        <v>0.36299999999999999</v>
      </c>
      <c r="K356" s="2">
        <v>2</v>
      </c>
      <c r="L356" s="2">
        <v>5.4</v>
      </c>
      <c r="M356" s="2">
        <v>0.36899999999999999</v>
      </c>
      <c r="N356" s="2">
        <v>0.8</v>
      </c>
      <c r="O356" s="2">
        <v>2.2999999999999998</v>
      </c>
      <c r="P356" s="2">
        <v>0.34899999999999998</v>
      </c>
      <c r="Q356" s="2">
        <v>0.49299999999999999</v>
      </c>
      <c r="R356" s="2">
        <v>1.5</v>
      </c>
      <c r="S356" s="2">
        <v>1.6</v>
      </c>
      <c r="T356" s="2">
        <v>0.90300000000000002</v>
      </c>
      <c r="U356" s="2">
        <v>0.5</v>
      </c>
      <c r="V356" s="2">
        <v>2.5</v>
      </c>
      <c r="W356" s="2">
        <v>2.9</v>
      </c>
      <c r="X356" s="2">
        <v>4.4000000000000004</v>
      </c>
      <c r="Y356" s="2">
        <v>1.6</v>
      </c>
      <c r="Z356" s="2">
        <v>0.2</v>
      </c>
      <c r="AA356" s="2">
        <v>1.4</v>
      </c>
      <c r="AB356" s="2">
        <v>1.7</v>
      </c>
      <c r="AC356" s="2">
        <v>9.1</v>
      </c>
      <c r="AD356" s="2"/>
    </row>
    <row r="357" spans="1:30" x14ac:dyDescent="0.2">
      <c r="A357" t="s">
        <v>252</v>
      </c>
      <c r="B357" s="2">
        <v>26</v>
      </c>
      <c r="C357" t="s">
        <v>59</v>
      </c>
      <c r="D357" s="2" t="s">
        <v>27</v>
      </c>
      <c r="E357" s="2">
        <v>11</v>
      </c>
      <c r="F357" s="2">
        <v>11</v>
      </c>
      <c r="G357" s="2">
        <v>30.1</v>
      </c>
      <c r="H357" s="2">
        <v>5.6</v>
      </c>
      <c r="I357" s="2">
        <v>13.3</v>
      </c>
      <c r="J357" s="2">
        <v>0.42499999999999999</v>
      </c>
      <c r="K357" s="2">
        <v>2.2000000000000002</v>
      </c>
      <c r="L357" s="2">
        <v>6.3</v>
      </c>
      <c r="M357" s="2">
        <v>0.34799999999999998</v>
      </c>
      <c r="N357" s="2">
        <v>3.5</v>
      </c>
      <c r="O357" s="2">
        <v>7</v>
      </c>
      <c r="P357" s="2">
        <v>0.49399999999999999</v>
      </c>
      <c r="Q357" s="2">
        <v>0.50700000000000001</v>
      </c>
      <c r="R357" s="2">
        <v>2.5</v>
      </c>
      <c r="S357" s="2">
        <v>3</v>
      </c>
      <c r="T357" s="2">
        <v>0.84799999999999998</v>
      </c>
      <c r="U357" s="2">
        <v>0.7</v>
      </c>
      <c r="V357" s="2">
        <v>5.8</v>
      </c>
      <c r="W357" s="2">
        <v>6.5</v>
      </c>
      <c r="X357" s="2">
        <v>3</v>
      </c>
      <c r="Y357" s="2">
        <v>0.6</v>
      </c>
      <c r="Z357" s="2">
        <v>0.5</v>
      </c>
      <c r="AA357" s="2">
        <v>1.4</v>
      </c>
      <c r="AB357" s="2">
        <v>1.4</v>
      </c>
      <c r="AC357" s="2">
        <v>16</v>
      </c>
      <c r="AD357" s="2"/>
    </row>
    <row r="358" spans="1:30" x14ac:dyDescent="0.2">
      <c r="A358" t="s">
        <v>220</v>
      </c>
      <c r="B358" s="2">
        <v>24</v>
      </c>
      <c r="C358" t="s">
        <v>44</v>
      </c>
      <c r="D358" s="2" t="s">
        <v>33</v>
      </c>
      <c r="E358" s="2">
        <v>20</v>
      </c>
      <c r="F358" s="2">
        <v>0</v>
      </c>
      <c r="G358" s="2">
        <v>25.4</v>
      </c>
      <c r="H358" s="2">
        <v>3.8</v>
      </c>
      <c r="I358" s="2">
        <v>8.3000000000000007</v>
      </c>
      <c r="J358" s="2">
        <v>0.45200000000000001</v>
      </c>
      <c r="K358" s="2">
        <v>2.1</v>
      </c>
      <c r="L358" s="2">
        <v>5</v>
      </c>
      <c r="M358" s="2">
        <v>0.41</v>
      </c>
      <c r="N358" s="2">
        <v>1.7</v>
      </c>
      <c r="O358" s="2">
        <v>3.3</v>
      </c>
      <c r="P358" s="2">
        <v>0.51500000000000001</v>
      </c>
      <c r="Q358" s="2">
        <v>0.57499999999999996</v>
      </c>
      <c r="R358" s="2">
        <v>1.1000000000000001</v>
      </c>
      <c r="S358" s="2">
        <v>1.2</v>
      </c>
      <c r="T358" s="2">
        <v>0.875</v>
      </c>
      <c r="U358" s="2">
        <v>0.6</v>
      </c>
      <c r="V358" s="2">
        <v>2</v>
      </c>
      <c r="W358" s="2">
        <v>2.6</v>
      </c>
      <c r="X358" s="2">
        <v>2.9</v>
      </c>
      <c r="Y358" s="2">
        <v>0.9</v>
      </c>
      <c r="Z358" s="2">
        <v>0.3</v>
      </c>
      <c r="AA358" s="2">
        <v>1.1000000000000001</v>
      </c>
      <c r="AB358" s="2">
        <v>1.7</v>
      </c>
      <c r="AC358" s="2">
        <v>10.6</v>
      </c>
      <c r="AD358" s="2"/>
    </row>
    <row r="359" spans="1:30" x14ac:dyDescent="0.2">
      <c r="A359" t="s">
        <v>405</v>
      </c>
      <c r="B359" s="2">
        <v>26</v>
      </c>
      <c r="C359" t="s">
        <v>77</v>
      </c>
      <c r="D359" s="2" t="s">
        <v>42</v>
      </c>
      <c r="E359" s="2">
        <v>10</v>
      </c>
      <c r="F359" s="2">
        <v>0</v>
      </c>
      <c r="G359" s="2">
        <v>13.6</v>
      </c>
      <c r="H359" s="2">
        <v>1.9</v>
      </c>
      <c r="I359" s="2">
        <v>4.3</v>
      </c>
      <c r="J359" s="2">
        <v>0.442</v>
      </c>
      <c r="K359" s="2">
        <v>0.5</v>
      </c>
      <c r="L359" s="2">
        <v>2</v>
      </c>
      <c r="M359" s="2">
        <v>0.25</v>
      </c>
      <c r="N359" s="2">
        <v>1.4</v>
      </c>
      <c r="O359" s="2">
        <v>2.2999999999999998</v>
      </c>
      <c r="P359" s="2">
        <v>0.60899999999999999</v>
      </c>
      <c r="Q359" s="2">
        <v>0.5</v>
      </c>
      <c r="R359" s="2">
        <v>0.6</v>
      </c>
      <c r="S359" s="2">
        <v>0.9</v>
      </c>
      <c r="T359" s="2">
        <v>0.66700000000000004</v>
      </c>
      <c r="U359" s="2">
        <v>0.7</v>
      </c>
      <c r="V359" s="2">
        <v>3.2</v>
      </c>
      <c r="W359" s="2">
        <v>3.9</v>
      </c>
      <c r="X359" s="2">
        <v>0.8</v>
      </c>
      <c r="Y359" s="2">
        <v>0.7</v>
      </c>
      <c r="Z359" s="2">
        <v>1.2</v>
      </c>
      <c r="AA359" s="2">
        <v>0.7</v>
      </c>
      <c r="AB359" s="2">
        <v>2.2000000000000002</v>
      </c>
      <c r="AC359" s="2">
        <v>4.9000000000000004</v>
      </c>
      <c r="AD359" s="2"/>
    </row>
    <row r="360" spans="1:30" x14ac:dyDescent="0.2">
      <c r="A360" t="s">
        <v>341</v>
      </c>
      <c r="B360" s="2">
        <v>29</v>
      </c>
      <c r="C360" t="s">
        <v>54</v>
      </c>
      <c r="D360" s="2" t="s">
        <v>33</v>
      </c>
      <c r="E360" s="2">
        <v>18</v>
      </c>
      <c r="F360" s="2">
        <v>0</v>
      </c>
      <c r="G360" s="2">
        <v>11.9</v>
      </c>
      <c r="H360" s="2">
        <v>1.9</v>
      </c>
      <c r="I360" s="2">
        <v>4.2</v>
      </c>
      <c r="J360" s="2">
        <v>0.46700000000000003</v>
      </c>
      <c r="K360" s="2">
        <v>0.8</v>
      </c>
      <c r="L360" s="2">
        <v>2.1</v>
      </c>
      <c r="M360" s="2">
        <v>0.36799999999999999</v>
      </c>
      <c r="N360" s="2">
        <v>1.2</v>
      </c>
      <c r="O360" s="2">
        <v>2.1</v>
      </c>
      <c r="P360" s="2">
        <v>0.56799999999999995</v>
      </c>
      <c r="Q360" s="2">
        <v>0.56000000000000005</v>
      </c>
      <c r="R360" s="2">
        <v>0.8</v>
      </c>
      <c r="S360" s="2">
        <v>0.9</v>
      </c>
      <c r="T360" s="2">
        <v>0.875</v>
      </c>
      <c r="U360" s="2">
        <v>0.2</v>
      </c>
      <c r="V360" s="2">
        <v>1.2</v>
      </c>
      <c r="W360" s="2">
        <v>1.4</v>
      </c>
      <c r="X360" s="2">
        <v>1.7</v>
      </c>
      <c r="Y360" s="2">
        <v>0.4</v>
      </c>
      <c r="Z360" s="2">
        <v>0.2</v>
      </c>
      <c r="AA360" s="2">
        <v>0.4</v>
      </c>
      <c r="AB360" s="2">
        <v>0.6</v>
      </c>
      <c r="AC360" s="2">
        <v>5.4</v>
      </c>
      <c r="AD360" s="2"/>
    </row>
    <row r="361" spans="1:30" x14ac:dyDescent="0.2">
      <c r="A361" t="s">
        <v>136</v>
      </c>
      <c r="B361" s="2">
        <v>27</v>
      </c>
      <c r="C361" t="s">
        <v>48</v>
      </c>
      <c r="D361" s="2" t="s">
        <v>42</v>
      </c>
      <c r="E361" s="4">
        <v>27</v>
      </c>
      <c r="F361" s="2">
        <v>1</v>
      </c>
      <c r="G361" s="2">
        <v>19.2</v>
      </c>
      <c r="H361" s="2">
        <v>4.7</v>
      </c>
      <c r="I361" s="2">
        <v>8.4</v>
      </c>
      <c r="J361" s="2">
        <v>0.55500000000000005</v>
      </c>
      <c r="K361" s="2">
        <v>0.9</v>
      </c>
      <c r="L361" s="2">
        <v>2.5</v>
      </c>
      <c r="M361" s="2">
        <v>0.34300000000000003</v>
      </c>
      <c r="N361" s="2">
        <v>3.8</v>
      </c>
      <c r="O361" s="2">
        <v>5.9</v>
      </c>
      <c r="P361" s="2">
        <v>0.64400000000000002</v>
      </c>
      <c r="Q361" s="2">
        <v>0.60599999999999998</v>
      </c>
      <c r="R361" s="2">
        <v>2.6</v>
      </c>
      <c r="S361" s="2">
        <v>3.5</v>
      </c>
      <c r="T361" s="2">
        <v>0.72599999999999998</v>
      </c>
      <c r="U361" s="2">
        <v>1.5</v>
      </c>
      <c r="V361" s="2">
        <v>3.8</v>
      </c>
      <c r="W361" s="2">
        <v>5.3</v>
      </c>
      <c r="X361" s="2">
        <v>1.4</v>
      </c>
      <c r="Y361" s="2">
        <v>0.8</v>
      </c>
      <c r="Z361" s="2">
        <v>0.4</v>
      </c>
      <c r="AA361" s="2">
        <v>1.6</v>
      </c>
      <c r="AB361" s="2">
        <v>1.9</v>
      </c>
      <c r="AC361" s="2">
        <v>12.7</v>
      </c>
      <c r="AD361" s="2"/>
    </row>
    <row r="362" spans="1:30" x14ac:dyDescent="0.2">
      <c r="A362" t="s">
        <v>444</v>
      </c>
      <c r="B362" s="2">
        <v>25</v>
      </c>
      <c r="C362" t="s">
        <v>82</v>
      </c>
      <c r="D362" s="2" t="s">
        <v>42</v>
      </c>
      <c r="E362" s="2">
        <v>9</v>
      </c>
      <c r="F362" s="2">
        <v>0</v>
      </c>
      <c r="G362" s="2">
        <v>5.0999999999999996</v>
      </c>
      <c r="H362" s="2">
        <v>1.4</v>
      </c>
      <c r="I362" s="2">
        <v>2.2000000000000002</v>
      </c>
      <c r="J362" s="2">
        <v>0.65</v>
      </c>
      <c r="K362" s="2">
        <v>0</v>
      </c>
      <c r="L362" s="2">
        <v>0</v>
      </c>
      <c r="M362" s="2"/>
      <c r="N362" s="2">
        <v>1.4</v>
      </c>
      <c r="O362" s="2">
        <v>2.2000000000000002</v>
      </c>
      <c r="P362" s="2">
        <v>0.65</v>
      </c>
      <c r="Q362" s="2">
        <v>0.65</v>
      </c>
      <c r="R362" s="2">
        <v>0.3</v>
      </c>
      <c r="S362" s="2">
        <v>0.6</v>
      </c>
      <c r="T362" s="2">
        <v>0.6</v>
      </c>
      <c r="U362" s="2">
        <v>0.4</v>
      </c>
      <c r="V362" s="2">
        <v>1</v>
      </c>
      <c r="W362" s="2">
        <v>1.4</v>
      </c>
      <c r="X362" s="2">
        <v>0</v>
      </c>
      <c r="Y362" s="2">
        <v>0.2</v>
      </c>
      <c r="Z362" s="2">
        <v>0.1</v>
      </c>
      <c r="AA362" s="2">
        <v>0.7</v>
      </c>
      <c r="AB362" s="2">
        <v>0.7</v>
      </c>
      <c r="AC362" s="2">
        <v>3.2</v>
      </c>
      <c r="AD362" s="2"/>
    </row>
    <row r="363" spans="1:30" x14ac:dyDescent="0.2">
      <c r="A363" t="s">
        <v>260</v>
      </c>
      <c r="B363" s="2">
        <v>22</v>
      </c>
      <c r="C363" t="s">
        <v>100</v>
      </c>
      <c r="D363" s="2" t="s">
        <v>52</v>
      </c>
      <c r="E363" s="2">
        <v>23</v>
      </c>
      <c r="F363" s="2">
        <v>4</v>
      </c>
      <c r="G363" s="2">
        <v>15.6</v>
      </c>
      <c r="H363" s="2">
        <v>2.5</v>
      </c>
      <c r="I363" s="2">
        <v>6</v>
      </c>
      <c r="J363" s="2">
        <v>0.42</v>
      </c>
      <c r="K363" s="2">
        <v>1.3</v>
      </c>
      <c r="L363" s="2">
        <v>3.6</v>
      </c>
      <c r="M363" s="2">
        <v>0.36599999999999999</v>
      </c>
      <c r="N363" s="2">
        <v>1.2</v>
      </c>
      <c r="O363" s="2">
        <v>2.4</v>
      </c>
      <c r="P363" s="2">
        <v>0.5</v>
      </c>
      <c r="Q363" s="2">
        <v>0.52900000000000003</v>
      </c>
      <c r="R363" s="2">
        <v>1.1000000000000001</v>
      </c>
      <c r="S363" s="2">
        <v>1.5</v>
      </c>
      <c r="T363" s="2">
        <v>0.71399999999999997</v>
      </c>
      <c r="U363" s="2">
        <v>0.4</v>
      </c>
      <c r="V363" s="2">
        <v>1.4</v>
      </c>
      <c r="W363" s="2">
        <v>1.9</v>
      </c>
      <c r="X363" s="2">
        <v>0.9</v>
      </c>
      <c r="Y363" s="2">
        <v>0.3</v>
      </c>
      <c r="Z363" s="2">
        <v>0.3</v>
      </c>
      <c r="AA363" s="2">
        <v>0.8</v>
      </c>
      <c r="AB363" s="2">
        <v>1.1000000000000001</v>
      </c>
      <c r="AC363" s="2">
        <v>7.4</v>
      </c>
      <c r="AD363" s="2"/>
    </row>
    <row r="364" spans="1:30" x14ac:dyDescent="0.2">
      <c r="A364" t="s">
        <v>545</v>
      </c>
      <c r="B364" s="2">
        <v>22</v>
      </c>
      <c r="C364" t="s">
        <v>72</v>
      </c>
      <c r="D364" s="2" t="s">
        <v>27</v>
      </c>
      <c r="E364" s="2">
        <v>2</v>
      </c>
      <c r="F364" s="2">
        <v>0</v>
      </c>
      <c r="G364" s="2">
        <v>5.5</v>
      </c>
      <c r="H364" s="2">
        <v>0.5</v>
      </c>
      <c r="I364" s="2">
        <v>2</v>
      </c>
      <c r="J364" s="2">
        <v>0.25</v>
      </c>
      <c r="K364" s="2">
        <v>0</v>
      </c>
      <c r="L364" s="2">
        <v>1</v>
      </c>
      <c r="M364" s="2">
        <v>0</v>
      </c>
      <c r="N364" s="2">
        <v>0.5</v>
      </c>
      <c r="O364" s="2">
        <v>1</v>
      </c>
      <c r="P364" s="2">
        <v>0.5</v>
      </c>
      <c r="Q364" s="2">
        <v>0.25</v>
      </c>
      <c r="R364" s="2">
        <v>0</v>
      </c>
      <c r="S364" s="2">
        <v>0</v>
      </c>
      <c r="T364" s="2"/>
      <c r="U364" s="2">
        <v>0</v>
      </c>
      <c r="V364" s="2">
        <v>1</v>
      </c>
      <c r="W364" s="2">
        <v>1</v>
      </c>
      <c r="X364" s="2">
        <v>0</v>
      </c>
      <c r="Y364" s="2">
        <v>0</v>
      </c>
      <c r="Z364" s="2">
        <v>0</v>
      </c>
      <c r="AA364" s="2">
        <v>0.5</v>
      </c>
      <c r="AB364" s="2">
        <v>0</v>
      </c>
      <c r="AC364" s="2">
        <v>1</v>
      </c>
      <c r="AD364" s="2"/>
    </row>
    <row r="365" spans="1:30" x14ac:dyDescent="0.2">
      <c r="A365" t="s">
        <v>377</v>
      </c>
      <c r="B365" s="2">
        <v>23</v>
      </c>
      <c r="C365" t="s">
        <v>59</v>
      </c>
      <c r="D365" s="2" t="s">
        <v>42</v>
      </c>
      <c r="E365" s="2">
        <v>22</v>
      </c>
      <c r="F365" s="2">
        <v>4</v>
      </c>
      <c r="G365" s="2">
        <v>20</v>
      </c>
      <c r="H365" s="2">
        <v>1.5</v>
      </c>
      <c r="I365" s="2">
        <v>2.6</v>
      </c>
      <c r="J365" s="2">
        <v>0.55200000000000005</v>
      </c>
      <c r="K365" s="2">
        <v>0</v>
      </c>
      <c r="L365" s="2">
        <v>0</v>
      </c>
      <c r="M365" s="2"/>
      <c r="N365" s="2">
        <v>1.5</v>
      </c>
      <c r="O365" s="2">
        <v>2.6</v>
      </c>
      <c r="P365" s="2">
        <v>0.55200000000000005</v>
      </c>
      <c r="Q365" s="2">
        <v>0.55200000000000005</v>
      </c>
      <c r="R365" s="2">
        <v>0.2</v>
      </c>
      <c r="S365" s="2">
        <v>0.7</v>
      </c>
      <c r="T365" s="2">
        <v>0.33300000000000002</v>
      </c>
      <c r="U365" s="2">
        <v>3.6</v>
      </c>
      <c r="V365" s="2">
        <v>4.2</v>
      </c>
      <c r="W365" s="2">
        <v>7.8</v>
      </c>
      <c r="X365" s="2">
        <v>0.7</v>
      </c>
      <c r="Y365" s="2">
        <v>0.7</v>
      </c>
      <c r="Z365" s="2">
        <v>1</v>
      </c>
      <c r="AA365" s="2">
        <v>1</v>
      </c>
      <c r="AB365" s="2">
        <v>1.8</v>
      </c>
      <c r="AC365" s="2">
        <v>3.1</v>
      </c>
      <c r="AD365" s="2"/>
    </row>
    <row r="366" spans="1:30" x14ac:dyDescent="0.2">
      <c r="A366" t="s">
        <v>129</v>
      </c>
      <c r="B366" s="2">
        <v>28</v>
      </c>
      <c r="C366" t="s">
        <v>82</v>
      </c>
      <c r="D366" s="2" t="s">
        <v>42</v>
      </c>
      <c r="E366" s="2">
        <v>23</v>
      </c>
      <c r="F366" s="2">
        <v>23</v>
      </c>
      <c r="G366" s="2">
        <v>31.9</v>
      </c>
      <c r="H366" s="2">
        <v>5.5</v>
      </c>
      <c r="I366" s="2">
        <v>11.7</v>
      </c>
      <c r="J366" s="2">
        <v>0.47399999999999998</v>
      </c>
      <c r="K366" s="2">
        <v>2.1</v>
      </c>
      <c r="L366" s="2">
        <v>5.0999999999999996</v>
      </c>
      <c r="M366" s="2">
        <v>0.41899999999999998</v>
      </c>
      <c r="N366" s="2">
        <v>3.4</v>
      </c>
      <c r="O366" s="2">
        <v>6.6</v>
      </c>
      <c r="P366" s="2">
        <v>0.51700000000000002</v>
      </c>
      <c r="Q366" s="2">
        <v>0.56499999999999995</v>
      </c>
      <c r="R366" s="2">
        <v>2.1</v>
      </c>
      <c r="S366" s="2">
        <v>2.9</v>
      </c>
      <c r="T366" s="2">
        <v>0.71599999999999997</v>
      </c>
      <c r="U366" s="2">
        <v>1.2</v>
      </c>
      <c r="V366" s="2">
        <v>5.9</v>
      </c>
      <c r="W366" s="2">
        <v>7.1</v>
      </c>
      <c r="X366" s="2">
        <v>1.6</v>
      </c>
      <c r="Y366" s="2">
        <v>0.8</v>
      </c>
      <c r="Z366" s="2">
        <v>2</v>
      </c>
      <c r="AA366" s="2">
        <v>2.6</v>
      </c>
      <c r="AB366" s="2">
        <v>3</v>
      </c>
      <c r="AC366" s="2">
        <v>15.3</v>
      </c>
      <c r="AD366" s="2"/>
    </row>
    <row r="367" spans="1:30" x14ac:dyDescent="0.2">
      <c r="A367" t="s">
        <v>189</v>
      </c>
      <c r="B367" s="2">
        <v>27</v>
      </c>
      <c r="C367" t="s">
        <v>63</v>
      </c>
      <c r="D367" s="2" t="s">
        <v>49</v>
      </c>
      <c r="E367" s="2">
        <v>21</v>
      </c>
      <c r="F367" s="2">
        <v>7</v>
      </c>
      <c r="G367" s="2">
        <v>24.3</v>
      </c>
      <c r="H367" s="2">
        <v>4.8</v>
      </c>
      <c r="I367" s="2">
        <v>8.6999999999999993</v>
      </c>
      <c r="J367" s="2">
        <v>0.54900000000000004</v>
      </c>
      <c r="K367" s="2">
        <v>0.8</v>
      </c>
      <c r="L367" s="2">
        <v>2.6</v>
      </c>
      <c r="M367" s="2">
        <v>0.309</v>
      </c>
      <c r="N367" s="2">
        <v>4</v>
      </c>
      <c r="O367" s="2">
        <v>6</v>
      </c>
      <c r="P367" s="2">
        <v>0.65400000000000003</v>
      </c>
      <c r="Q367" s="2">
        <v>0.59599999999999997</v>
      </c>
      <c r="R367" s="2">
        <v>1.6</v>
      </c>
      <c r="S367" s="2">
        <v>1.8</v>
      </c>
      <c r="T367" s="2">
        <v>0.86799999999999999</v>
      </c>
      <c r="U367" s="2">
        <v>1.1000000000000001</v>
      </c>
      <c r="V367" s="2">
        <v>2.2999999999999998</v>
      </c>
      <c r="W367" s="2">
        <v>3.4</v>
      </c>
      <c r="X367" s="2">
        <v>2.4</v>
      </c>
      <c r="Y367" s="2">
        <v>1</v>
      </c>
      <c r="Z367" s="2">
        <v>0.1</v>
      </c>
      <c r="AA367" s="2">
        <v>1.5</v>
      </c>
      <c r="AB367" s="2">
        <v>1.5</v>
      </c>
      <c r="AC367" s="2">
        <v>11.9</v>
      </c>
      <c r="AD367" s="2"/>
    </row>
    <row r="368" spans="1:30" x14ac:dyDescent="0.2">
      <c r="A368" t="s">
        <v>162</v>
      </c>
      <c r="B368" s="2">
        <v>25</v>
      </c>
      <c r="C368" t="s">
        <v>51</v>
      </c>
      <c r="D368" s="2" t="s">
        <v>42</v>
      </c>
      <c r="E368" s="2">
        <v>23</v>
      </c>
      <c r="F368" s="2">
        <v>0</v>
      </c>
      <c r="G368" s="2">
        <v>24.7</v>
      </c>
      <c r="H368" s="2">
        <v>4.5999999999999996</v>
      </c>
      <c r="I368" s="2">
        <v>9.6999999999999993</v>
      </c>
      <c r="J368" s="2">
        <v>0.47299999999999998</v>
      </c>
      <c r="K368" s="2">
        <v>1.8</v>
      </c>
      <c r="L368" s="2">
        <v>5.0999999999999996</v>
      </c>
      <c r="M368" s="2">
        <v>0.35</v>
      </c>
      <c r="N368" s="2">
        <v>2.8</v>
      </c>
      <c r="O368" s="2">
        <v>4.7</v>
      </c>
      <c r="P368" s="2">
        <v>0.60699999999999998</v>
      </c>
      <c r="Q368" s="2">
        <v>0.56499999999999995</v>
      </c>
      <c r="R368" s="2">
        <v>1.7</v>
      </c>
      <c r="S368" s="2">
        <v>2</v>
      </c>
      <c r="T368" s="2">
        <v>0.86699999999999999</v>
      </c>
      <c r="U368" s="2">
        <v>0.7</v>
      </c>
      <c r="V368" s="2">
        <v>4.5999999999999996</v>
      </c>
      <c r="W368" s="2">
        <v>5.2</v>
      </c>
      <c r="X368" s="2">
        <v>1.6</v>
      </c>
      <c r="Y368" s="2">
        <v>0.8</v>
      </c>
      <c r="Z368" s="2">
        <v>0.8</v>
      </c>
      <c r="AA368" s="2">
        <v>1.2</v>
      </c>
      <c r="AB368" s="2">
        <v>2.2000000000000002</v>
      </c>
      <c r="AC368" s="2">
        <v>12.7</v>
      </c>
      <c r="AD368" s="2"/>
    </row>
    <row r="369" spans="1:30" x14ac:dyDescent="0.2">
      <c r="A369" t="s">
        <v>311</v>
      </c>
      <c r="B369" s="2">
        <v>25</v>
      </c>
      <c r="C369" t="s">
        <v>39</v>
      </c>
      <c r="D369" s="2" t="s">
        <v>42</v>
      </c>
      <c r="E369" s="2">
        <v>21</v>
      </c>
      <c r="F369" s="2">
        <v>5</v>
      </c>
      <c r="G369" s="2">
        <v>17.899999999999999</v>
      </c>
      <c r="H369" s="2">
        <v>2.5</v>
      </c>
      <c r="I369" s="2">
        <v>3.9</v>
      </c>
      <c r="J369" s="2">
        <v>0.64600000000000002</v>
      </c>
      <c r="K369" s="2">
        <v>0</v>
      </c>
      <c r="L369" s="2">
        <v>0.1</v>
      </c>
      <c r="M369" s="2">
        <v>0</v>
      </c>
      <c r="N369" s="2">
        <v>2.5</v>
      </c>
      <c r="O369" s="2">
        <v>3.8</v>
      </c>
      <c r="P369" s="2">
        <v>0.66300000000000003</v>
      </c>
      <c r="Q369" s="2">
        <v>0.64600000000000002</v>
      </c>
      <c r="R369" s="2">
        <v>0.9</v>
      </c>
      <c r="S369" s="2">
        <v>1.1000000000000001</v>
      </c>
      <c r="T369" s="2">
        <v>0.75</v>
      </c>
      <c r="U369" s="2">
        <v>1.8</v>
      </c>
      <c r="V369" s="2">
        <v>3.3</v>
      </c>
      <c r="W369" s="2">
        <v>5</v>
      </c>
      <c r="X369" s="2">
        <v>0.8</v>
      </c>
      <c r="Y369" s="2">
        <v>0.2</v>
      </c>
      <c r="Z369" s="2">
        <v>1</v>
      </c>
      <c r="AA369" s="2">
        <v>0.7</v>
      </c>
      <c r="AB369" s="2">
        <v>2.1</v>
      </c>
      <c r="AC369" s="2">
        <v>5.9</v>
      </c>
      <c r="AD369" s="2"/>
    </row>
    <row r="370" spans="1:30" x14ac:dyDescent="0.2">
      <c r="A370" t="s">
        <v>253</v>
      </c>
      <c r="B370" s="2">
        <v>25</v>
      </c>
      <c r="C370" t="s">
        <v>103</v>
      </c>
      <c r="D370" s="2" t="s">
        <v>42</v>
      </c>
      <c r="E370" s="2">
        <v>18</v>
      </c>
      <c r="F370" s="2">
        <v>10</v>
      </c>
      <c r="G370" s="2">
        <v>25.3</v>
      </c>
      <c r="H370" s="2">
        <v>4.3</v>
      </c>
      <c r="I370" s="2">
        <v>6.7</v>
      </c>
      <c r="J370" s="2">
        <v>0.65</v>
      </c>
      <c r="K370" s="2">
        <v>0.1</v>
      </c>
      <c r="L370" s="2">
        <v>0.2</v>
      </c>
      <c r="M370" s="2">
        <v>0.33300000000000002</v>
      </c>
      <c r="N370" s="2">
        <v>4.3</v>
      </c>
      <c r="O370" s="2">
        <v>6.5</v>
      </c>
      <c r="P370" s="2">
        <v>0.65800000000000003</v>
      </c>
      <c r="Q370" s="2">
        <v>0.65400000000000003</v>
      </c>
      <c r="R370" s="2">
        <v>1.1000000000000001</v>
      </c>
      <c r="S370" s="2">
        <v>2.2999999999999998</v>
      </c>
      <c r="T370" s="2">
        <v>0.46300000000000002</v>
      </c>
      <c r="U370" s="2">
        <v>1.9</v>
      </c>
      <c r="V370" s="2">
        <v>5.8</v>
      </c>
      <c r="W370" s="2">
        <v>7.8</v>
      </c>
      <c r="X370" s="2">
        <v>2.2999999999999998</v>
      </c>
      <c r="Y370" s="2">
        <v>0.7</v>
      </c>
      <c r="Z370" s="2">
        <v>1.3</v>
      </c>
      <c r="AA370" s="2">
        <v>1.2</v>
      </c>
      <c r="AB370" s="2">
        <v>2.6</v>
      </c>
      <c r="AC370" s="2">
        <v>9.8000000000000007</v>
      </c>
      <c r="AD370" s="2"/>
    </row>
    <row r="371" spans="1:30" x14ac:dyDescent="0.2">
      <c r="A371" t="s">
        <v>334</v>
      </c>
      <c r="B371" s="2">
        <v>27</v>
      </c>
      <c r="C371" t="s">
        <v>59</v>
      </c>
      <c r="D371" s="2" t="s">
        <v>42</v>
      </c>
      <c r="E371" s="2">
        <v>9</v>
      </c>
      <c r="F371" s="2">
        <v>8</v>
      </c>
      <c r="G371" s="2">
        <v>26.8</v>
      </c>
      <c r="H371" s="2">
        <v>4</v>
      </c>
      <c r="I371" s="2">
        <v>6.4</v>
      </c>
      <c r="J371" s="2">
        <v>0.621</v>
      </c>
      <c r="K371" s="2">
        <v>0</v>
      </c>
      <c r="L371" s="2">
        <v>0.1</v>
      </c>
      <c r="M371" s="2">
        <v>0</v>
      </c>
      <c r="N371" s="2">
        <v>4</v>
      </c>
      <c r="O371" s="2">
        <v>6.3</v>
      </c>
      <c r="P371" s="2">
        <v>0.63200000000000001</v>
      </c>
      <c r="Q371" s="2">
        <v>0.621</v>
      </c>
      <c r="R371" s="2">
        <v>3.6</v>
      </c>
      <c r="S371" s="2">
        <v>5.0999999999999996</v>
      </c>
      <c r="T371" s="2">
        <v>0.69599999999999995</v>
      </c>
      <c r="U371" s="2">
        <v>3.1</v>
      </c>
      <c r="V371" s="2">
        <v>7.1</v>
      </c>
      <c r="W371" s="2">
        <v>10.199999999999999</v>
      </c>
      <c r="X371" s="2">
        <v>1.8</v>
      </c>
      <c r="Y371" s="2">
        <v>0.4</v>
      </c>
      <c r="Z371" s="2">
        <v>1.9</v>
      </c>
      <c r="AA371" s="2">
        <v>1.9</v>
      </c>
      <c r="AB371" s="2">
        <v>3.1</v>
      </c>
      <c r="AC371" s="2">
        <v>11.6</v>
      </c>
      <c r="AD371" s="2"/>
    </row>
    <row r="372" spans="1:30" x14ac:dyDescent="0.2">
      <c r="A372" t="s">
        <v>420</v>
      </c>
      <c r="B372" s="2">
        <v>20</v>
      </c>
      <c r="C372" t="s">
        <v>59</v>
      </c>
      <c r="D372" s="2" t="s">
        <v>52</v>
      </c>
      <c r="E372" s="2">
        <v>13</v>
      </c>
      <c r="F372" s="2">
        <v>0</v>
      </c>
      <c r="G372" s="2">
        <v>9.3000000000000007</v>
      </c>
      <c r="H372" s="2">
        <v>1.2</v>
      </c>
      <c r="I372" s="2">
        <v>3.7</v>
      </c>
      <c r="J372" s="2">
        <v>0.33300000000000002</v>
      </c>
      <c r="K372" s="2">
        <v>0.6</v>
      </c>
      <c r="L372" s="2">
        <v>2</v>
      </c>
      <c r="M372" s="2">
        <v>0.308</v>
      </c>
      <c r="N372" s="2">
        <v>0.6</v>
      </c>
      <c r="O372" s="2">
        <v>1.7</v>
      </c>
      <c r="P372" s="2">
        <v>0.36399999999999999</v>
      </c>
      <c r="Q372" s="2">
        <v>0.41699999999999998</v>
      </c>
      <c r="R372" s="2">
        <v>0</v>
      </c>
      <c r="S372" s="2">
        <v>0</v>
      </c>
      <c r="T372" s="2"/>
      <c r="U372" s="2">
        <v>0.1</v>
      </c>
      <c r="V372" s="2">
        <v>0.8</v>
      </c>
      <c r="W372" s="2">
        <v>0.8</v>
      </c>
      <c r="X372" s="2">
        <v>0.8</v>
      </c>
      <c r="Y372" s="2">
        <v>0.3</v>
      </c>
      <c r="Z372" s="2">
        <v>0.1</v>
      </c>
      <c r="AA372" s="2">
        <v>0.2</v>
      </c>
      <c r="AB372" s="2">
        <v>0.6</v>
      </c>
      <c r="AC372" s="2">
        <v>3.1</v>
      </c>
      <c r="AD372" s="2"/>
    </row>
    <row r="373" spans="1:30" x14ac:dyDescent="0.2">
      <c r="A373" t="s">
        <v>213</v>
      </c>
      <c r="B373" s="2">
        <v>26</v>
      </c>
      <c r="C373" t="s">
        <v>51</v>
      </c>
      <c r="D373" s="2" t="s">
        <v>52</v>
      </c>
      <c r="E373" s="2">
        <v>23</v>
      </c>
      <c r="F373" s="2">
        <v>2</v>
      </c>
      <c r="G373" s="2">
        <v>24</v>
      </c>
      <c r="H373" s="2">
        <v>3.5</v>
      </c>
      <c r="I373" s="2">
        <v>6.7</v>
      </c>
      <c r="J373" s="2">
        <v>0.51600000000000001</v>
      </c>
      <c r="K373" s="2">
        <v>1.7</v>
      </c>
      <c r="L373" s="2">
        <v>3.8</v>
      </c>
      <c r="M373" s="2">
        <v>0.46</v>
      </c>
      <c r="N373" s="2">
        <v>1.7</v>
      </c>
      <c r="O373" s="2">
        <v>3</v>
      </c>
      <c r="P373" s="2">
        <v>0.58799999999999997</v>
      </c>
      <c r="Q373" s="2">
        <v>0.64500000000000002</v>
      </c>
      <c r="R373" s="2">
        <v>1</v>
      </c>
      <c r="S373" s="2">
        <v>1.3</v>
      </c>
      <c r="T373" s="2">
        <v>0.73299999999999998</v>
      </c>
      <c r="U373" s="2">
        <v>0.7</v>
      </c>
      <c r="V373" s="2">
        <v>2</v>
      </c>
      <c r="W373" s="2">
        <v>2.7</v>
      </c>
      <c r="X373" s="2">
        <v>2.5</v>
      </c>
      <c r="Y373" s="2">
        <v>0.9</v>
      </c>
      <c r="Z373" s="2">
        <v>0.4</v>
      </c>
      <c r="AA373" s="2">
        <v>1.5</v>
      </c>
      <c r="AB373" s="2">
        <v>1.7</v>
      </c>
      <c r="AC373" s="2">
        <v>9.6999999999999993</v>
      </c>
      <c r="AD373" s="2"/>
    </row>
    <row r="374" spans="1:30" x14ac:dyDescent="0.2">
      <c r="A374" t="s">
        <v>355</v>
      </c>
      <c r="B374" s="2">
        <v>36</v>
      </c>
      <c r="C374" t="s">
        <v>77</v>
      </c>
      <c r="D374" s="2" t="s">
        <v>27</v>
      </c>
      <c r="E374" s="2">
        <v>25</v>
      </c>
      <c r="F374" s="2">
        <v>0</v>
      </c>
      <c r="G374" s="2">
        <v>18</v>
      </c>
      <c r="H374" s="2">
        <v>1.2</v>
      </c>
      <c r="I374" s="2">
        <v>3.3</v>
      </c>
      <c r="J374" s="2">
        <v>0.36599999999999999</v>
      </c>
      <c r="K374" s="2">
        <v>0.9</v>
      </c>
      <c r="L374" s="2">
        <v>2.6</v>
      </c>
      <c r="M374" s="2">
        <v>0.35899999999999999</v>
      </c>
      <c r="N374" s="2">
        <v>0.3</v>
      </c>
      <c r="O374" s="2">
        <v>0.7</v>
      </c>
      <c r="P374" s="2">
        <v>0.38900000000000001</v>
      </c>
      <c r="Q374" s="2">
        <v>0.50600000000000001</v>
      </c>
      <c r="R374" s="2">
        <v>0.2</v>
      </c>
      <c r="S374" s="2">
        <v>0.3</v>
      </c>
      <c r="T374" s="2">
        <v>0.75</v>
      </c>
      <c r="U374" s="2">
        <v>0.8</v>
      </c>
      <c r="V374" s="2">
        <v>2</v>
      </c>
      <c r="W374" s="2">
        <v>2.7</v>
      </c>
      <c r="X374" s="2">
        <v>1.5</v>
      </c>
      <c r="Y374" s="2">
        <v>0.3</v>
      </c>
      <c r="Z374" s="2">
        <v>0.4</v>
      </c>
      <c r="AA374" s="2">
        <v>0.4</v>
      </c>
      <c r="AB374" s="2">
        <v>1.3</v>
      </c>
      <c r="AC374" s="2">
        <v>3.6</v>
      </c>
      <c r="AD374" s="2"/>
    </row>
    <row r="375" spans="1:30" x14ac:dyDescent="0.2">
      <c r="A375" t="s">
        <v>45</v>
      </c>
      <c r="B375" s="2">
        <v>29</v>
      </c>
      <c r="C375" t="s">
        <v>46</v>
      </c>
      <c r="D375" s="2" t="s">
        <v>42</v>
      </c>
      <c r="E375" s="2">
        <v>19</v>
      </c>
      <c r="F375" s="2">
        <v>19</v>
      </c>
      <c r="G375" s="2">
        <v>37.6</v>
      </c>
      <c r="H375" s="2">
        <v>12.3</v>
      </c>
      <c r="I375" s="2">
        <v>21.8</v>
      </c>
      <c r="J375" s="2">
        <v>0.56100000000000005</v>
      </c>
      <c r="K375" s="2">
        <v>2.2000000000000002</v>
      </c>
      <c r="L375" s="2">
        <v>4.4000000000000004</v>
      </c>
      <c r="M375" s="2">
        <v>0.5</v>
      </c>
      <c r="N375" s="2">
        <v>10.1</v>
      </c>
      <c r="O375" s="2">
        <v>17.399999999999999</v>
      </c>
      <c r="P375" s="2">
        <v>0.57699999999999996</v>
      </c>
      <c r="Q375" s="2">
        <v>0.61199999999999999</v>
      </c>
      <c r="R375" s="2">
        <v>5.5</v>
      </c>
      <c r="S375" s="2">
        <v>6.8</v>
      </c>
      <c r="T375" s="2">
        <v>0.80800000000000005</v>
      </c>
      <c r="U375" s="2">
        <v>4.0999999999999996</v>
      </c>
      <c r="V375" s="2">
        <v>9.5</v>
      </c>
      <c r="W375" s="4">
        <v>13.6</v>
      </c>
      <c r="X375" s="2">
        <v>10.199999999999999</v>
      </c>
      <c r="Y375" s="2">
        <v>1.8</v>
      </c>
      <c r="Z375" s="2">
        <v>0.7</v>
      </c>
      <c r="AA375" s="2">
        <v>3.7</v>
      </c>
      <c r="AB375" s="2">
        <v>2.1</v>
      </c>
      <c r="AC375" s="2">
        <v>32.299999999999997</v>
      </c>
      <c r="AD375" s="2"/>
    </row>
    <row r="376" spans="1:30" x14ac:dyDescent="0.2">
      <c r="A376" t="s">
        <v>312</v>
      </c>
      <c r="B376" s="2">
        <v>21</v>
      </c>
      <c r="C376" t="s">
        <v>61</v>
      </c>
      <c r="D376" s="2" t="s">
        <v>27</v>
      </c>
      <c r="E376" s="2">
        <v>15</v>
      </c>
      <c r="F376" s="2">
        <v>8</v>
      </c>
      <c r="G376" s="2">
        <v>18.600000000000001</v>
      </c>
      <c r="H376" s="2">
        <v>2.9</v>
      </c>
      <c r="I376" s="2">
        <v>6.1</v>
      </c>
      <c r="J376" s="2">
        <v>0.46700000000000003</v>
      </c>
      <c r="K376" s="2">
        <v>1.1000000000000001</v>
      </c>
      <c r="L376" s="2">
        <v>3.1</v>
      </c>
      <c r="M376" s="2">
        <v>0.34799999999999998</v>
      </c>
      <c r="N376" s="2">
        <v>1.8</v>
      </c>
      <c r="O376" s="2">
        <v>3.1</v>
      </c>
      <c r="P376" s="2">
        <v>0.58699999999999997</v>
      </c>
      <c r="Q376" s="2">
        <v>0.55400000000000005</v>
      </c>
      <c r="R376" s="2">
        <v>1.3</v>
      </c>
      <c r="S376" s="2">
        <v>1.8</v>
      </c>
      <c r="T376" s="2">
        <v>0.74099999999999999</v>
      </c>
      <c r="U376" s="2">
        <v>0.5</v>
      </c>
      <c r="V376" s="2">
        <v>3.2</v>
      </c>
      <c r="W376" s="2">
        <v>3.7</v>
      </c>
      <c r="X376" s="2">
        <v>1.3</v>
      </c>
      <c r="Y376" s="2">
        <v>0.9</v>
      </c>
      <c r="Z376" s="2">
        <v>0.1</v>
      </c>
      <c r="AA376" s="2">
        <v>0.5</v>
      </c>
      <c r="AB376" s="2">
        <v>1.4</v>
      </c>
      <c r="AC376" s="2">
        <v>8.1</v>
      </c>
      <c r="AD376" s="2"/>
    </row>
    <row r="377" spans="1:30" x14ac:dyDescent="0.2">
      <c r="A377" t="s">
        <v>69</v>
      </c>
      <c r="B377" s="2">
        <v>34</v>
      </c>
      <c r="C377" t="s">
        <v>70</v>
      </c>
      <c r="D377" s="2" t="s">
        <v>42</v>
      </c>
      <c r="E377" s="2">
        <v>25</v>
      </c>
      <c r="F377" s="2">
        <v>25</v>
      </c>
      <c r="G377" s="2">
        <v>31.7</v>
      </c>
      <c r="H377" s="2">
        <v>8.4</v>
      </c>
      <c r="I377" s="2">
        <v>14.2</v>
      </c>
      <c r="J377" s="2">
        <v>0.58699999999999997</v>
      </c>
      <c r="K377" s="2">
        <v>2.2000000000000002</v>
      </c>
      <c r="L377" s="2">
        <v>4.5999999999999996</v>
      </c>
      <c r="M377" s="2">
        <v>0.47399999999999998</v>
      </c>
      <c r="N377" s="2">
        <v>6.2</v>
      </c>
      <c r="O377" s="2">
        <v>9.6</v>
      </c>
      <c r="P377" s="2">
        <v>0.64200000000000002</v>
      </c>
      <c r="Q377" s="2">
        <v>0.66400000000000003</v>
      </c>
      <c r="R377" s="2">
        <v>2.1</v>
      </c>
      <c r="S377" s="2">
        <v>2.4</v>
      </c>
      <c r="T377" s="2">
        <v>0.85199999999999998</v>
      </c>
      <c r="U377" s="2">
        <v>2</v>
      </c>
      <c r="V377" s="2">
        <v>7.8</v>
      </c>
      <c r="W377" s="2">
        <v>9.8000000000000007</v>
      </c>
      <c r="X377" s="2">
        <v>3.2</v>
      </c>
      <c r="Y377" s="2">
        <v>0.8</v>
      </c>
      <c r="Z377" s="2">
        <v>0.8</v>
      </c>
      <c r="AA377" s="2">
        <v>1.8</v>
      </c>
      <c r="AB377" s="2">
        <v>2.4</v>
      </c>
      <c r="AC377" s="2">
        <v>21</v>
      </c>
      <c r="AD377" s="2"/>
    </row>
    <row r="378" spans="1:30" x14ac:dyDescent="0.2">
      <c r="A378" t="s">
        <v>320</v>
      </c>
      <c r="B378" s="2">
        <v>20</v>
      </c>
      <c r="C378" t="s">
        <v>103</v>
      </c>
      <c r="D378" s="2" t="s">
        <v>27</v>
      </c>
      <c r="E378" s="2">
        <v>15</v>
      </c>
      <c r="F378" s="2">
        <v>1</v>
      </c>
      <c r="G378" s="2">
        <v>16.5</v>
      </c>
      <c r="H378" s="2">
        <v>2.5</v>
      </c>
      <c r="I378" s="2">
        <v>6.3</v>
      </c>
      <c r="J378" s="2">
        <v>0.39400000000000002</v>
      </c>
      <c r="K378" s="2">
        <v>1.5</v>
      </c>
      <c r="L378" s="2">
        <v>4.0999999999999996</v>
      </c>
      <c r="M378" s="2">
        <v>0.377</v>
      </c>
      <c r="N378" s="2">
        <v>0.9</v>
      </c>
      <c r="O378" s="2">
        <v>2.2000000000000002</v>
      </c>
      <c r="P378" s="2">
        <v>0.42399999999999999</v>
      </c>
      <c r="Q378" s="2">
        <v>0.51600000000000001</v>
      </c>
      <c r="R378" s="2">
        <v>1</v>
      </c>
      <c r="S378" s="2">
        <v>1.4</v>
      </c>
      <c r="T378" s="2">
        <v>0.71399999999999997</v>
      </c>
      <c r="U378" s="2">
        <v>0.9</v>
      </c>
      <c r="V378" s="2">
        <v>2.2000000000000002</v>
      </c>
      <c r="W378" s="2">
        <v>3.1</v>
      </c>
      <c r="X378" s="2">
        <v>0.7</v>
      </c>
      <c r="Y378" s="2">
        <v>0.3</v>
      </c>
      <c r="Z378" s="2">
        <v>0.6</v>
      </c>
      <c r="AA378" s="2">
        <v>0.7</v>
      </c>
      <c r="AB378" s="2">
        <v>2.4</v>
      </c>
      <c r="AC378" s="2">
        <v>7.5</v>
      </c>
      <c r="AD378" s="2"/>
    </row>
    <row r="379" spans="1:30" x14ac:dyDescent="0.2">
      <c r="A379" t="s">
        <v>106</v>
      </c>
      <c r="B379" s="2">
        <v>31</v>
      </c>
      <c r="C379" t="s">
        <v>77</v>
      </c>
      <c r="D379" s="2" t="s">
        <v>52</v>
      </c>
      <c r="E379" s="2">
        <v>18</v>
      </c>
      <c r="F379" s="2">
        <v>18</v>
      </c>
      <c r="G379" s="2">
        <v>32.6</v>
      </c>
      <c r="H379" s="2">
        <v>8.1</v>
      </c>
      <c r="I379" s="2">
        <v>16.5</v>
      </c>
      <c r="J379" s="2">
        <v>0.49199999999999999</v>
      </c>
      <c r="K379" s="2">
        <v>3.8</v>
      </c>
      <c r="L379" s="2">
        <v>7.9</v>
      </c>
      <c r="M379" s="2">
        <v>0.48599999999999999</v>
      </c>
      <c r="N379" s="2">
        <v>4.3</v>
      </c>
      <c r="O379" s="2">
        <v>8.6</v>
      </c>
      <c r="P379" s="2">
        <v>0.497</v>
      </c>
      <c r="Q379" s="2">
        <v>0.60799999999999998</v>
      </c>
      <c r="R379" s="2">
        <v>3.5</v>
      </c>
      <c r="S379" s="2">
        <v>4.2</v>
      </c>
      <c r="T379" s="2">
        <v>0.84</v>
      </c>
      <c r="U379" s="2">
        <v>0.3</v>
      </c>
      <c r="V379" s="2">
        <v>2.7</v>
      </c>
      <c r="W379" s="2">
        <v>3</v>
      </c>
      <c r="X379" s="2">
        <v>2.5</v>
      </c>
      <c r="Y379" s="2">
        <v>1.1000000000000001</v>
      </c>
      <c r="Z379" s="2">
        <v>0.2</v>
      </c>
      <c r="AA379" s="2">
        <v>2.1</v>
      </c>
      <c r="AB379" s="2">
        <v>1.8</v>
      </c>
      <c r="AC379" s="2">
        <v>23.6</v>
      </c>
      <c r="AD379" s="2"/>
    </row>
    <row r="380" spans="1:30" x14ac:dyDescent="0.2">
      <c r="A380" t="s">
        <v>200</v>
      </c>
      <c r="B380" s="2">
        <v>26</v>
      </c>
      <c r="C380" t="s">
        <v>82</v>
      </c>
      <c r="D380" s="2" t="s">
        <v>27</v>
      </c>
      <c r="E380" s="2">
        <v>24</v>
      </c>
      <c r="F380" s="2">
        <v>0</v>
      </c>
      <c r="G380" s="2">
        <v>20.100000000000001</v>
      </c>
      <c r="H380" s="2">
        <v>4</v>
      </c>
      <c r="I380" s="2">
        <v>7.5</v>
      </c>
      <c r="J380" s="2">
        <v>0.53300000000000003</v>
      </c>
      <c r="K380" s="2">
        <v>1.2</v>
      </c>
      <c r="L380" s="2">
        <v>3.5</v>
      </c>
      <c r="M380" s="2">
        <v>0.32900000000000001</v>
      </c>
      <c r="N380" s="2">
        <v>2.8</v>
      </c>
      <c r="O380" s="2">
        <v>4</v>
      </c>
      <c r="P380" s="2">
        <v>0.71599999999999997</v>
      </c>
      <c r="Q380" s="2">
        <v>0.61099999999999999</v>
      </c>
      <c r="R380" s="2">
        <v>0.9</v>
      </c>
      <c r="S380" s="2">
        <v>1</v>
      </c>
      <c r="T380" s="2">
        <v>0.88</v>
      </c>
      <c r="U380" s="2">
        <v>0.7</v>
      </c>
      <c r="V380" s="2">
        <v>3.1</v>
      </c>
      <c r="W380" s="2">
        <v>3.8</v>
      </c>
      <c r="X380" s="2">
        <v>1.8</v>
      </c>
      <c r="Y380" s="2">
        <v>0.6</v>
      </c>
      <c r="Z380" s="2">
        <v>0.4</v>
      </c>
      <c r="AA380" s="2">
        <v>0.7</v>
      </c>
      <c r="AB380" s="2">
        <v>1.4</v>
      </c>
      <c r="AC380" s="2">
        <v>10.1</v>
      </c>
      <c r="AD380" s="2"/>
    </row>
    <row r="381" spans="1:30" x14ac:dyDescent="0.2">
      <c r="A381" t="s">
        <v>159</v>
      </c>
      <c r="B381" s="2">
        <v>24</v>
      </c>
      <c r="C381" t="s">
        <v>66</v>
      </c>
      <c r="D381" s="2" t="s">
        <v>52</v>
      </c>
      <c r="E381" s="2">
        <v>26</v>
      </c>
      <c r="F381" s="2">
        <v>24</v>
      </c>
      <c r="G381" s="2">
        <v>30.8</v>
      </c>
      <c r="H381" s="2">
        <v>4.5</v>
      </c>
      <c r="I381" s="2">
        <v>8.5</v>
      </c>
      <c r="J381" s="2">
        <v>0.52700000000000002</v>
      </c>
      <c r="K381" s="2">
        <v>1.8</v>
      </c>
      <c r="L381" s="2">
        <v>3.9</v>
      </c>
      <c r="M381" s="2">
        <v>0.45500000000000002</v>
      </c>
      <c r="N381" s="2">
        <v>2.7</v>
      </c>
      <c r="O381" s="2">
        <v>4.7</v>
      </c>
      <c r="P381" s="2">
        <v>0.58699999999999997</v>
      </c>
      <c r="Q381" s="2">
        <v>0.63100000000000001</v>
      </c>
      <c r="R381" s="2">
        <v>0.5</v>
      </c>
      <c r="S381" s="2">
        <v>0.8</v>
      </c>
      <c r="T381" s="2">
        <v>0.7</v>
      </c>
      <c r="U381" s="2">
        <v>1</v>
      </c>
      <c r="V381" s="2">
        <v>3.2</v>
      </c>
      <c r="W381" s="2">
        <v>4.2</v>
      </c>
      <c r="X381" s="2">
        <v>2</v>
      </c>
      <c r="Y381" s="2">
        <v>1</v>
      </c>
      <c r="Z381" s="2">
        <v>0.5</v>
      </c>
      <c r="AA381" s="2">
        <v>0.9</v>
      </c>
      <c r="AB381" s="2">
        <v>2.5</v>
      </c>
      <c r="AC381" s="2">
        <v>11.3</v>
      </c>
      <c r="AD381" s="2"/>
    </row>
    <row r="382" spans="1:30" x14ac:dyDescent="0.2">
      <c r="A382" t="s">
        <v>98</v>
      </c>
      <c r="B382" s="2">
        <v>27</v>
      </c>
      <c r="C382" t="s">
        <v>44</v>
      </c>
      <c r="D382" s="2" t="s">
        <v>27</v>
      </c>
      <c r="E382" s="2">
        <v>25</v>
      </c>
      <c r="F382" s="2">
        <v>25</v>
      </c>
      <c r="G382" s="2">
        <v>36.799999999999997</v>
      </c>
      <c r="H382" s="2">
        <v>6.5</v>
      </c>
      <c r="I382" s="2">
        <v>13.6</v>
      </c>
      <c r="J382" s="2">
        <v>0.47799999999999998</v>
      </c>
      <c r="K382" s="2">
        <v>2.2000000000000002</v>
      </c>
      <c r="L382" s="2">
        <v>6.2</v>
      </c>
      <c r="M382" s="2">
        <v>0.35699999999999998</v>
      </c>
      <c r="N382" s="2">
        <v>4.3</v>
      </c>
      <c r="O382" s="2">
        <v>7.5</v>
      </c>
      <c r="P382" s="2">
        <v>0.57799999999999996</v>
      </c>
      <c r="Q382" s="2">
        <v>0.55900000000000005</v>
      </c>
      <c r="R382" s="2">
        <v>2.1</v>
      </c>
      <c r="S382" s="2">
        <v>2.6</v>
      </c>
      <c r="T382" s="2">
        <v>0.80300000000000005</v>
      </c>
      <c r="U382" s="2">
        <v>1.1000000000000001</v>
      </c>
      <c r="V382" s="2">
        <v>4</v>
      </c>
      <c r="W382" s="2">
        <v>5</v>
      </c>
      <c r="X382" s="2">
        <v>2</v>
      </c>
      <c r="Y382" s="2">
        <v>1.6</v>
      </c>
      <c r="Z382" s="2">
        <v>1.2</v>
      </c>
      <c r="AA382" s="2">
        <v>1.3</v>
      </c>
      <c r="AB382" s="2">
        <v>2.6</v>
      </c>
      <c r="AC382" s="2">
        <v>17.399999999999999</v>
      </c>
      <c r="AD382" s="2"/>
    </row>
    <row r="383" spans="1:30" x14ac:dyDescent="0.2">
      <c r="A383" t="s">
        <v>442</v>
      </c>
      <c r="B383" s="2">
        <v>22</v>
      </c>
      <c r="C383" t="s">
        <v>63</v>
      </c>
      <c r="D383" s="2" t="s">
        <v>27</v>
      </c>
      <c r="E383" s="2">
        <v>15</v>
      </c>
      <c r="F383" s="2">
        <v>0</v>
      </c>
      <c r="G383" s="2">
        <v>6.5</v>
      </c>
      <c r="H383" s="2">
        <v>0.7</v>
      </c>
      <c r="I383" s="2">
        <v>1.9</v>
      </c>
      <c r="J383" s="2">
        <v>0.379</v>
      </c>
      <c r="K383" s="2">
        <v>0.2</v>
      </c>
      <c r="L383" s="2">
        <v>0.6</v>
      </c>
      <c r="M383" s="2">
        <v>0.33300000000000002</v>
      </c>
      <c r="N383" s="2">
        <v>0.5</v>
      </c>
      <c r="O383" s="2">
        <v>1.3</v>
      </c>
      <c r="P383" s="2">
        <v>0.4</v>
      </c>
      <c r="Q383" s="2">
        <v>0.43099999999999999</v>
      </c>
      <c r="R383" s="2">
        <v>0.3</v>
      </c>
      <c r="S383" s="2">
        <v>0.6</v>
      </c>
      <c r="T383" s="2">
        <v>0.55600000000000005</v>
      </c>
      <c r="U383" s="2">
        <v>0.7</v>
      </c>
      <c r="V383" s="2">
        <v>1</v>
      </c>
      <c r="W383" s="2">
        <v>1.7</v>
      </c>
      <c r="X383" s="2">
        <v>0.3</v>
      </c>
      <c r="Y383" s="2">
        <v>0.2</v>
      </c>
      <c r="Z383" s="2">
        <v>0.1</v>
      </c>
      <c r="AA383" s="2">
        <v>0.1</v>
      </c>
      <c r="AB383" s="2">
        <v>0.5</v>
      </c>
      <c r="AC383" s="2">
        <v>2</v>
      </c>
      <c r="AD383" s="2"/>
    </row>
    <row r="384" spans="1:30" x14ac:dyDescent="0.2">
      <c r="A384" t="s">
        <v>179</v>
      </c>
      <c r="B384" s="2">
        <v>24</v>
      </c>
      <c r="C384" t="s">
        <v>72</v>
      </c>
      <c r="D384" s="2" t="s">
        <v>42</v>
      </c>
      <c r="E384" s="2">
        <v>24</v>
      </c>
      <c r="F384" s="2">
        <v>0</v>
      </c>
      <c r="G384" s="2">
        <v>23.9</v>
      </c>
      <c r="H384" s="2">
        <v>4.5</v>
      </c>
      <c r="I384" s="2">
        <v>8.3000000000000007</v>
      </c>
      <c r="J384" s="2">
        <v>0.54500000000000004</v>
      </c>
      <c r="K384" s="2">
        <v>0.3</v>
      </c>
      <c r="L384" s="2">
        <v>1.6</v>
      </c>
      <c r="M384" s="2">
        <v>0.20499999999999999</v>
      </c>
      <c r="N384" s="2">
        <v>4.2</v>
      </c>
      <c r="O384" s="2">
        <v>6.6</v>
      </c>
      <c r="P384" s="2">
        <v>0.629</v>
      </c>
      <c r="Q384" s="2">
        <v>0.56599999999999995</v>
      </c>
      <c r="R384" s="2">
        <v>2.1</v>
      </c>
      <c r="S384" s="2">
        <v>2.8</v>
      </c>
      <c r="T384" s="2">
        <v>0.77300000000000002</v>
      </c>
      <c r="U384" s="2">
        <v>2.6</v>
      </c>
      <c r="V384" s="2">
        <v>4.2</v>
      </c>
      <c r="W384" s="2">
        <v>6.8</v>
      </c>
      <c r="X384" s="2">
        <v>1.5</v>
      </c>
      <c r="Y384" s="2">
        <v>0.7</v>
      </c>
      <c r="Z384" s="2">
        <v>0.7</v>
      </c>
      <c r="AA384" s="2">
        <v>0.9</v>
      </c>
      <c r="AB384" s="2">
        <v>2.2999999999999998</v>
      </c>
      <c r="AC384" s="2">
        <v>11.5</v>
      </c>
      <c r="AD384" s="2"/>
    </row>
    <row r="385" spans="1:30" x14ac:dyDescent="0.2">
      <c r="A385" t="s">
        <v>491</v>
      </c>
      <c r="B385" s="2">
        <v>24</v>
      </c>
      <c r="C385" t="s">
        <v>37</v>
      </c>
      <c r="D385" s="2" t="s">
        <v>42</v>
      </c>
      <c r="E385" s="2">
        <v>6</v>
      </c>
      <c r="F385" s="2">
        <v>0</v>
      </c>
      <c r="G385" s="2">
        <v>7.5</v>
      </c>
      <c r="H385" s="2">
        <v>0.8</v>
      </c>
      <c r="I385" s="2">
        <v>1.8</v>
      </c>
      <c r="J385" s="2">
        <v>0.45500000000000002</v>
      </c>
      <c r="K385" s="2">
        <v>0.2</v>
      </c>
      <c r="L385" s="2">
        <v>0.7</v>
      </c>
      <c r="M385" s="2">
        <v>0.25</v>
      </c>
      <c r="N385" s="2">
        <v>0.7</v>
      </c>
      <c r="O385" s="2">
        <v>1.2</v>
      </c>
      <c r="P385" s="2">
        <v>0.57099999999999995</v>
      </c>
      <c r="Q385" s="2">
        <v>0.5</v>
      </c>
      <c r="R385" s="2">
        <v>0.5</v>
      </c>
      <c r="S385" s="2">
        <v>1</v>
      </c>
      <c r="T385" s="2">
        <v>0.5</v>
      </c>
      <c r="U385" s="2">
        <v>0.3</v>
      </c>
      <c r="V385" s="2">
        <v>1.5</v>
      </c>
      <c r="W385" s="2">
        <v>1.8</v>
      </c>
      <c r="X385" s="2">
        <v>1.2</v>
      </c>
      <c r="Y385" s="2">
        <v>0.3</v>
      </c>
      <c r="Z385" s="2">
        <v>0.2</v>
      </c>
      <c r="AA385" s="2">
        <v>0.5</v>
      </c>
      <c r="AB385" s="2">
        <v>1</v>
      </c>
      <c r="AC385" s="2">
        <v>2.2999999999999998</v>
      </c>
      <c r="AD385" s="2"/>
    </row>
    <row r="386" spans="1:30" x14ac:dyDescent="0.2">
      <c r="A386" t="s">
        <v>541</v>
      </c>
      <c r="B386" s="2">
        <v>25</v>
      </c>
      <c r="C386" t="s">
        <v>120</v>
      </c>
      <c r="D386" s="2" t="s">
        <v>27</v>
      </c>
      <c r="E386" s="2">
        <v>1</v>
      </c>
      <c r="F386" s="2">
        <v>0</v>
      </c>
      <c r="G386" s="2">
        <v>16</v>
      </c>
      <c r="H386" s="2">
        <v>0</v>
      </c>
      <c r="I386" s="2">
        <v>0</v>
      </c>
      <c r="J386" s="2"/>
      <c r="K386" s="2">
        <v>0</v>
      </c>
      <c r="L386" s="2">
        <v>0</v>
      </c>
      <c r="M386" s="2"/>
      <c r="N386" s="2">
        <v>0</v>
      </c>
      <c r="O386" s="2">
        <v>0</v>
      </c>
      <c r="P386" s="2"/>
      <c r="Q386" s="2"/>
      <c r="R386" s="2">
        <v>3</v>
      </c>
      <c r="S386" s="2">
        <v>4</v>
      </c>
      <c r="T386" s="2">
        <v>0.75</v>
      </c>
      <c r="U386" s="2">
        <v>3</v>
      </c>
      <c r="V386" s="2">
        <v>6</v>
      </c>
      <c r="W386" s="2">
        <v>9</v>
      </c>
      <c r="X386" s="2">
        <v>0</v>
      </c>
      <c r="Y386" s="2">
        <v>2</v>
      </c>
      <c r="Z386" s="2">
        <v>0</v>
      </c>
      <c r="AA386" s="2">
        <v>1</v>
      </c>
      <c r="AB386" s="2">
        <v>3</v>
      </c>
      <c r="AC386" s="2">
        <v>3</v>
      </c>
      <c r="AD386" s="2"/>
    </row>
    <row r="387" spans="1:30" x14ac:dyDescent="0.2">
      <c r="A387" t="s">
        <v>365</v>
      </c>
      <c r="B387" s="2">
        <v>22</v>
      </c>
      <c r="C387" t="s">
        <v>54</v>
      </c>
      <c r="D387" s="2" t="s">
        <v>27</v>
      </c>
      <c r="E387" s="2">
        <v>18</v>
      </c>
      <c r="F387" s="2">
        <v>2</v>
      </c>
      <c r="G387" s="2">
        <v>17.7</v>
      </c>
      <c r="H387" s="2">
        <v>1.9</v>
      </c>
      <c r="I387" s="2">
        <v>3.2</v>
      </c>
      <c r="J387" s="2">
        <v>0.61399999999999999</v>
      </c>
      <c r="K387" s="2">
        <v>0</v>
      </c>
      <c r="L387" s="2">
        <v>0</v>
      </c>
      <c r="M387" s="2"/>
      <c r="N387" s="2">
        <v>1.9</v>
      </c>
      <c r="O387" s="2">
        <v>3.2</v>
      </c>
      <c r="P387" s="2">
        <v>0.61399999999999999</v>
      </c>
      <c r="Q387" s="2">
        <v>0.61399999999999999</v>
      </c>
      <c r="R387" s="2">
        <v>0.6</v>
      </c>
      <c r="S387" s="2">
        <v>0.7</v>
      </c>
      <c r="T387" s="2">
        <v>0.76900000000000002</v>
      </c>
      <c r="U387" s="2">
        <v>1.2</v>
      </c>
      <c r="V387" s="2">
        <v>2.9</v>
      </c>
      <c r="W387" s="2">
        <v>4.0999999999999996</v>
      </c>
      <c r="X387" s="2">
        <v>1.1000000000000001</v>
      </c>
      <c r="Y387" s="2">
        <v>0.4</v>
      </c>
      <c r="Z387" s="2">
        <v>0.3</v>
      </c>
      <c r="AA387" s="2">
        <v>0.7</v>
      </c>
      <c r="AB387" s="2">
        <v>1.9</v>
      </c>
      <c r="AC387" s="2">
        <v>4.4000000000000004</v>
      </c>
      <c r="AD387" s="2"/>
    </row>
    <row r="388" spans="1:30" x14ac:dyDescent="0.2">
      <c r="A388" t="s">
        <v>395</v>
      </c>
      <c r="B388" s="2">
        <v>21</v>
      </c>
      <c r="C388" t="s">
        <v>32</v>
      </c>
      <c r="D388" s="2" t="s">
        <v>27</v>
      </c>
      <c r="E388" s="2">
        <v>16</v>
      </c>
      <c r="F388" s="2">
        <v>0</v>
      </c>
      <c r="G388" s="2">
        <v>11.6</v>
      </c>
      <c r="H388" s="2">
        <v>1.3</v>
      </c>
      <c r="I388" s="2">
        <v>3.7</v>
      </c>
      <c r="J388" s="2">
        <v>0.33900000000000002</v>
      </c>
      <c r="K388" s="2">
        <v>0.6</v>
      </c>
      <c r="L388" s="2">
        <v>2.2999999999999998</v>
      </c>
      <c r="M388" s="2">
        <v>0.25</v>
      </c>
      <c r="N388" s="2">
        <v>0.7</v>
      </c>
      <c r="O388" s="2">
        <v>1.4</v>
      </c>
      <c r="P388" s="2">
        <v>0.47799999999999998</v>
      </c>
      <c r="Q388" s="2">
        <v>0.41499999999999998</v>
      </c>
      <c r="R388" s="2">
        <v>0.4</v>
      </c>
      <c r="S388" s="2">
        <v>0.7</v>
      </c>
      <c r="T388" s="2">
        <v>0.63600000000000001</v>
      </c>
      <c r="U388" s="2">
        <v>0.6</v>
      </c>
      <c r="V388" s="2">
        <v>2.1</v>
      </c>
      <c r="W388" s="2">
        <v>2.6</v>
      </c>
      <c r="X388" s="2">
        <v>0.8</v>
      </c>
      <c r="Y388" s="2">
        <v>0.7</v>
      </c>
      <c r="Z388" s="2">
        <v>0.3</v>
      </c>
      <c r="AA388" s="2">
        <v>0.3</v>
      </c>
      <c r="AB388" s="2">
        <v>1.1000000000000001</v>
      </c>
      <c r="AC388" s="2">
        <v>3.5</v>
      </c>
      <c r="AD388" s="2"/>
    </row>
    <row r="389" spans="1:30" x14ac:dyDescent="0.2">
      <c r="A389" t="s">
        <v>201</v>
      </c>
      <c r="B389" s="2">
        <v>26</v>
      </c>
      <c r="C389" t="s">
        <v>63</v>
      </c>
      <c r="D389" s="2" t="s">
        <v>27</v>
      </c>
      <c r="E389" s="2">
        <v>19</v>
      </c>
      <c r="F389" s="2">
        <v>18</v>
      </c>
      <c r="G389" s="2">
        <v>32.6</v>
      </c>
      <c r="H389" s="2">
        <v>4.5999999999999996</v>
      </c>
      <c r="I389" s="2">
        <v>10.3</v>
      </c>
      <c r="J389" s="2">
        <v>0.45100000000000001</v>
      </c>
      <c r="K389" s="2">
        <v>1.4</v>
      </c>
      <c r="L389" s="2">
        <v>3.9</v>
      </c>
      <c r="M389" s="2">
        <v>0.36</v>
      </c>
      <c r="N389" s="2">
        <v>3.2</v>
      </c>
      <c r="O389" s="2">
        <v>6.3</v>
      </c>
      <c r="P389" s="2">
        <v>0.50800000000000001</v>
      </c>
      <c r="Q389" s="2">
        <v>0.52100000000000002</v>
      </c>
      <c r="R389" s="2">
        <v>2</v>
      </c>
      <c r="S389" s="2">
        <v>2.6</v>
      </c>
      <c r="T389" s="2">
        <v>0.76</v>
      </c>
      <c r="U389" s="2">
        <v>1.6</v>
      </c>
      <c r="V389" s="2">
        <v>6.7</v>
      </c>
      <c r="W389" s="2">
        <v>8.3000000000000007</v>
      </c>
      <c r="X389" s="2">
        <v>2.5</v>
      </c>
      <c r="Y389" s="2">
        <v>1.3</v>
      </c>
      <c r="Z389" s="2">
        <v>1.2</v>
      </c>
      <c r="AA389" s="2">
        <v>1.6</v>
      </c>
      <c r="AB389" s="2">
        <v>2</v>
      </c>
      <c r="AC389" s="2">
        <v>12.7</v>
      </c>
      <c r="AD389" s="2"/>
    </row>
    <row r="390" spans="1:30" x14ac:dyDescent="0.2">
      <c r="A390" t="s">
        <v>470</v>
      </c>
      <c r="B390" s="2">
        <v>19</v>
      </c>
      <c r="C390" t="s">
        <v>44</v>
      </c>
      <c r="D390" s="2" t="s">
        <v>52</v>
      </c>
      <c r="E390" s="2">
        <v>11</v>
      </c>
      <c r="F390" s="2">
        <v>0</v>
      </c>
      <c r="G390" s="2">
        <v>7</v>
      </c>
      <c r="H390" s="2">
        <v>0.5</v>
      </c>
      <c r="I390" s="2">
        <v>1.6</v>
      </c>
      <c r="J390" s="2">
        <v>0.33300000000000002</v>
      </c>
      <c r="K390" s="2">
        <v>0.5</v>
      </c>
      <c r="L390" s="2">
        <v>1.1000000000000001</v>
      </c>
      <c r="M390" s="2">
        <v>0.41699999999999998</v>
      </c>
      <c r="N390" s="2">
        <v>0.1</v>
      </c>
      <c r="O390" s="2">
        <v>0.5</v>
      </c>
      <c r="P390" s="2">
        <v>0.16700000000000001</v>
      </c>
      <c r="Q390" s="2">
        <v>0.47199999999999998</v>
      </c>
      <c r="R390" s="2">
        <v>0.2</v>
      </c>
      <c r="S390" s="2">
        <v>0.2</v>
      </c>
      <c r="T390" s="2">
        <v>1</v>
      </c>
      <c r="U390" s="2">
        <v>0</v>
      </c>
      <c r="V390" s="2">
        <v>1.2</v>
      </c>
      <c r="W390" s="2">
        <v>1.2</v>
      </c>
      <c r="X390" s="2">
        <v>0.5</v>
      </c>
      <c r="Y390" s="2">
        <v>0.1</v>
      </c>
      <c r="Z390" s="2">
        <v>0.2</v>
      </c>
      <c r="AA390" s="2">
        <v>0.1</v>
      </c>
      <c r="AB390" s="2">
        <v>0.5</v>
      </c>
      <c r="AC390" s="2">
        <v>1.7</v>
      </c>
      <c r="AD390" s="2"/>
    </row>
    <row r="391" spans="1:30" x14ac:dyDescent="0.2">
      <c r="A391" t="s">
        <v>286</v>
      </c>
      <c r="B391" s="2">
        <v>22</v>
      </c>
      <c r="C391" t="s">
        <v>48</v>
      </c>
      <c r="D391" s="2" t="s">
        <v>27</v>
      </c>
      <c r="E391" s="2">
        <v>5</v>
      </c>
      <c r="F391" s="2">
        <v>5</v>
      </c>
      <c r="G391" s="2">
        <v>36.4</v>
      </c>
      <c r="H391" s="2">
        <v>9.6</v>
      </c>
      <c r="I391" s="2">
        <v>19.399999999999999</v>
      </c>
      <c r="J391" s="2">
        <v>0.495</v>
      </c>
      <c r="K391" s="2">
        <v>2.2000000000000002</v>
      </c>
      <c r="L391" s="2">
        <v>6.4</v>
      </c>
      <c r="M391" s="2">
        <v>0.34399999999999997</v>
      </c>
      <c r="N391" s="2">
        <v>7.4</v>
      </c>
      <c r="O391" s="2">
        <v>13</v>
      </c>
      <c r="P391" s="2">
        <v>0.56899999999999995</v>
      </c>
      <c r="Q391" s="2">
        <v>0.55200000000000005</v>
      </c>
      <c r="R391" s="2">
        <v>7.6</v>
      </c>
      <c r="S391" s="2">
        <v>11.8</v>
      </c>
      <c r="T391" s="2">
        <v>0.64400000000000002</v>
      </c>
      <c r="U391" s="2">
        <v>2.4</v>
      </c>
      <c r="V391" s="2">
        <v>6.4</v>
      </c>
      <c r="W391" s="2">
        <v>8.8000000000000007</v>
      </c>
      <c r="X391" s="2">
        <v>5.6</v>
      </c>
      <c r="Y391" s="2">
        <v>0.6</v>
      </c>
      <c r="Z391" s="2">
        <v>0.8</v>
      </c>
      <c r="AA391" s="2">
        <v>2.2000000000000002</v>
      </c>
      <c r="AB391" s="2">
        <v>2.6</v>
      </c>
      <c r="AC391" s="2">
        <v>29</v>
      </c>
      <c r="AD391" s="2"/>
    </row>
    <row r="392" spans="1:30" x14ac:dyDescent="0.2">
      <c r="A392" t="s">
        <v>81</v>
      </c>
      <c r="B392" s="2">
        <v>30</v>
      </c>
      <c r="C392" t="s">
        <v>82</v>
      </c>
      <c r="D392" s="2" t="s">
        <v>27</v>
      </c>
      <c r="E392" s="2">
        <v>25</v>
      </c>
      <c r="F392" s="2">
        <v>25</v>
      </c>
      <c r="G392" s="2">
        <v>34.4</v>
      </c>
      <c r="H392" s="2">
        <v>7.6</v>
      </c>
      <c r="I392" s="2">
        <v>14.4</v>
      </c>
      <c r="J392" s="2">
        <v>0.52500000000000002</v>
      </c>
      <c r="K392" s="2">
        <v>1.8</v>
      </c>
      <c r="L392" s="2">
        <v>4.3</v>
      </c>
      <c r="M392" s="2">
        <v>0.41099999999999998</v>
      </c>
      <c r="N392" s="2">
        <v>5.8</v>
      </c>
      <c r="O392" s="2">
        <v>10.1</v>
      </c>
      <c r="P392" s="2">
        <v>0.57299999999999995</v>
      </c>
      <c r="Q392" s="2">
        <v>0.58599999999999997</v>
      </c>
      <c r="R392" s="2">
        <v>2.8</v>
      </c>
      <c r="S392" s="2">
        <v>3.6</v>
      </c>
      <c r="T392" s="2">
        <v>0.79800000000000004</v>
      </c>
      <c r="U392" s="2">
        <v>1.8</v>
      </c>
      <c r="V392" s="2">
        <v>4.8</v>
      </c>
      <c r="W392" s="2">
        <v>6.6</v>
      </c>
      <c r="X392" s="2">
        <v>3.6</v>
      </c>
      <c r="Y392" s="2">
        <v>0.9</v>
      </c>
      <c r="Z392" s="2">
        <v>0.2</v>
      </c>
      <c r="AA392" s="2">
        <v>1.5</v>
      </c>
      <c r="AB392" s="2">
        <v>3</v>
      </c>
      <c r="AC392" s="2">
        <v>19.7</v>
      </c>
      <c r="AD392" s="2"/>
    </row>
    <row r="393" spans="1:30" x14ac:dyDescent="0.2">
      <c r="A393" t="s">
        <v>373</v>
      </c>
      <c r="B393" s="2">
        <v>32</v>
      </c>
      <c r="C393" t="s">
        <v>35</v>
      </c>
      <c r="D393" s="2" t="s">
        <v>52</v>
      </c>
      <c r="E393" s="2">
        <v>15</v>
      </c>
      <c r="F393" s="2">
        <v>0</v>
      </c>
      <c r="G393" s="2">
        <v>17</v>
      </c>
      <c r="H393" s="2">
        <v>1.7</v>
      </c>
      <c r="I393" s="2">
        <v>4.7</v>
      </c>
      <c r="J393" s="2">
        <v>0.371</v>
      </c>
      <c r="K393" s="2">
        <v>0.9</v>
      </c>
      <c r="L393" s="2">
        <v>2.9</v>
      </c>
      <c r="M393" s="2">
        <v>0.29499999999999998</v>
      </c>
      <c r="N393" s="2">
        <v>0.9</v>
      </c>
      <c r="O393" s="2">
        <v>1.7</v>
      </c>
      <c r="P393" s="2">
        <v>0.5</v>
      </c>
      <c r="Q393" s="2">
        <v>0.46400000000000002</v>
      </c>
      <c r="R393" s="2">
        <v>0.6</v>
      </c>
      <c r="S393" s="2">
        <v>0.8</v>
      </c>
      <c r="T393" s="2">
        <v>0.75</v>
      </c>
      <c r="U393" s="2">
        <v>0.5</v>
      </c>
      <c r="V393" s="2">
        <v>2.5</v>
      </c>
      <c r="W393" s="2">
        <v>3</v>
      </c>
      <c r="X393" s="2">
        <v>1.7</v>
      </c>
      <c r="Y393" s="2">
        <v>0.2</v>
      </c>
      <c r="Z393" s="2">
        <v>0.3</v>
      </c>
      <c r="AA393" s="2">
        <v>0.7</v>
      </c>
      <c r="AB393" s="2">
        <v>1.3</v>
      </c>
      <c r="AC393" s="2">
        <v>4.9000000000000004</v>
      </c>
      <c r="AD393" s="2"/>
    </row>
    <row r="394" spans="1:30" x14ac:dyDescent="0.2">
      <c r="A394" t="s">
        <v>492</v>
      </c>
      <c r="B394" s="2">
        <v>28</v>
      </c>
      <c r="C394" t="s">
        <v>100</v>
      </c>
      <c r="D394" s="2" t="s">
        <v>33</v>
      </c>
      <c r="E394" s="2">
        <v>8</v>
      </c>
      <c r="F394" s="2">
        <v>0</v>
      </c>
      <c r="G394" s="2">
        <v>5.5</v>
      </c>
      <c r="H394" s="2">
        <v>0.8</v>
      </c>
      <c r="I394" s="2">
        <v>2</v>
      </c>
      <c r="J394" s="2">
        <v>0.375</v>
      </c>
      <c r="K394" s="2">
        <v>0</v>
      </c>
      <c r="L394" s="2">
        <v>0.4</v>
      </c>
      <c r="M394" s="2">
        <v>0</v>
      </c>
      <c r="N394" s="2">
        <v>0.8</v>
      </c>
      <c r="O394" s="2">
        <v>1.6</v>
      </c>
      <c r="P394" s="2">
        <v>0.46200000000000002</v>
      </c>
      <c r="Q394" s="2">
        <v>0.375</v>
      </c>
      <c r="R394" s="2">
        <v>0.3</v>
      </c>
      <c r="S394" s="2">
        <v>0.3</v>
      </c>
      <c r="T394" s="2">
        <v>1</v>
      </c>
      <c r="U394" s="2">
        <v>0.5</v>
      </c>
      <c r="V394" s="2">
        <v>0.4</v>
      </c>
      <c r="W394" s="2">
        <v>0.9</v>
      </c>
      <c r="X394" s="2">
        <v>1.5</v>
      </c>
      <c r="Y394" s="2">
        <v>0.6</v>
      </c>
      <c r="Z394" s="2">
        <v>0</v>
      </c>
      <c r="AA394" s="2">
        <v>0.5</v>
      </c>
      <c r="AB394" s="2">
        <v>0.5</v>
      </c>
      <c r="AC394" s="2">
        <v>1.8</v>
      </c>
      <c r="AD394" s="2"/>
    </row>
    <row r="395" spans="1:30" x14ac:dyDescent="0.2">
      <c r="A395" t="s">
        <v>452</v>
      </c>
      <c r="B395" s="2">
        <v>22</v>
      </c>
      <c r="C395" t="s">
        <v>114</v>
      </c>
      <c r="D395" s="2" t="s">
        <v>49</v>
      </c>
      <c r="E395" s="2">
        <v>11</v>
      </c>
      <c r="F395" s="2">
        <v>0</v>
      </c>
      <c r="G395" s="2">
        <v>5.0999999999999996</v>
      </c>
      <c r="H395" s="2">
        <v>0.8</v>
      </c>
      <c r="I395" s="2">
        <v>1.7</v>
      </c>
      <c r="J395" s="2">
        <v>0.47399999999999998</v>
      </c>
      <c r="K395" s="2">
        <v>0.5</v>
      </c>
      <c r="L395" s="2">
        <v>1</v>
      </c>
      <c r="M395" s="2">
        <v>0.45500000000000002</v>
      </c>
      <c r="N395" s="2">
        <v>0.4</v>
      </c>
      <c r="O395" s="2">
        <v>0.7</v>
      </c>
      <c r="P395" s="2">
        <v>0.5</v>
      </c>
      <c r="Q395" s="2">
        <v>0.60499999999999998</v>
      </c>
      <c r="R395" s="2">
        <v>0.2</v>
      </c>
      <c r="S395" s="2">
        <v>0.4</v>
      </c>
      <c r="T395" s="2">
        <v>0.5</v>
      </c>
      <c r="U395" s="2">
        <v>0.3</v>
      </c>
      <c r="V395" s="2">
        <v>0.8</v>
      </c>
      <c r="W395" s="2">
        <v>1.1000000000000001</v>
      </c>
      <c r="X395" s="2">
        <v>0.1</v>
      </c>
      <c r="Y395" s="2">
        <v>0.2</v>
      </c>
      <c r="Z395" s="2">
        <v>0.2</v>
      </c>
      <c r="AA395" s="2">
        <v>0.2</v>
      </c>
      <c r="AB395" s="2">
        <v>0.4</v>
      </c>
      <c r="AC395" s="2">
        <v>2.2999999999999998</v>
      </c>
      <c r="AD395" s="2"/>
    </row>
    <row r="396" spans="1:30" x14ac:dyDescent="0.2">
      <c r="A396" t="s">
        <v>283</v>
      </c>
      <c r="B396" s="2">
        <v>23</v>
      </c>
      <c r="C396" t="s">
        <v>70</v>
      </c>
      <c r="D396" s="2" t="s">
        <v>27</v>
      </c>
      <c r="E396" s="2">
        <v>15</v>
      </c>
      <c r="F396" s="2">
        <v>15</v>
      </c>
      <c r="G396" s="2">
        <v>28.9</v>
      </c>
      <c r="H396" s="2">
        <v>3.3</v>
      </c>
      <c r="I396" s="2">
        <v>8.9</v>
      </c>
      <c r="J396" s="2">
        <v>0.376</v>
      </c>
      <c r="K396" s="2">
        <v>1.9</v>
      </c>
      <c r="L396" s="2">
        <v>4.7</v>
      </c>
      <c r="M396" s="2">
        <v>0.39400000000000002</v>
      </c>
      <c r="N396" s="2">
        <v>1.5</v>
      </c>
      <c r="O396" s="2">
        <v>4.0999999999999996</v>
      </c>
      <c r="P396" s="2">
        <v>0.35499999999999998</v>
      </c>
      <c r="Q396" s="2">
        <v>0.48099999999999998</v>
      </c>
      <c r="R396" s="2">
        <v>1.4</v>
      </c>
      <c r="S396" s="2">
        <v>1.7</v>
      </c>
      <c r="T396" s="2">
        <v>0.84</v>
      </c>
      <c r="U396" s="2">
        <v>1.1000000000000001</v>
      </c>
      <c r="V396" s="2">
        <v>3.9</v>
      </c>
      <c r="W396" s="2">
        <v>5</v>
      </c>
      <c r="X396" s="2">
        <v>2.2999999999999998</v>
      </c>
      <c r="Y396" s="2">
        <v>1</v>
      </c>
      <c r="Z396" s="2">
        <v>0.5</v>
      </c>
      <c r="AA396" s="2">
        <v>1.9</v>
      </c>
      <c r="AB396" s="2">
        <v>1.4</v>
      </c>
      <c r="AC396" s="2">
        <v>9.9</v>
      </c>
      <c r="AD396" s="2"/>
    </row>
    <row r="397" spans="1:30" x14ac:dyDescent="0.2">
      <c r="A397" t="s">
        <v>436</v>
      </c>
      <c r="B397" s="2">
        <v>36</v>
      </c>
      <c r="C397" t="s">
        <v>120</v>
      </c>
      <c r="D397" s="2" t="s">
        <v>33</v>
      </c>
      <c r="E397" s="2">
        <v>9</v>
      </c>
      <c r="F397" s="2">
        <v>0</v>
      </c>
      <c r="G397" s="2">
        <v>15.3</v>
      </c>
      <c r="H397" s="2">
        <v>1.2</v>
      </c>
      <c r="I397" s="2">
        <v>3.4</v>
      </c>
      <c r="J397" s="2">
        <v>0.35499999999999998</v>
      </c>
      <c r="K397" s="2">
        <v>0.8</v>
      </c>
      <c r="L397" s="2">
        <v>2.7</v>
      </c>
      <c r="M397" s="2">
        <v>0.29199999999999998</v>
      </c>
      <c r="N397" s="2">
        <v>0.4</v>
      </c>
      <c r="O397" s="2">
        <v>0.8</v>
      </c>
      <c r="P397" s="2">
        <v>0.57099999999999995</v>
      </c>
      <c r="Q397" s="2">
        <v>0.46800000000000003</v>
      </c>
      <c r="R397" s="2">
        <v>0.3</v>
      </c>
      <c r="S397" s="2">
        <v>0.3</v>
      </c>
      <c r="T397" s="2">
        <v>1</v>
      </c>
      <c r="U397" s="2">
        <v>0.1</v>
      </c>
      <c r="V397" s="2">
        <v>0.8</v>
      </c>
      <c r="W397" s="2">
        <v>0.9</v>
      </c>
      <c r="X397" s="2">
        <v>1.4</v>
      </c>
      <c r="Y397" s="2">
        <v>0.7</v>
      </c>
      <c r="Z397" s="2">
        <v>0.2</v>
      </c>
      <c r="AA397" s="2">
        <v>0.9</v>
      </c>
      <c r="AB397" s="2">
        <v>0.9</v>
      </c>
      <c r="AC397" s="2">
        <v>3.6</v>
      </c>
      <c r="AD397" s="2"/>
    </row>
    <row r="398" spans="1:30" x14ac:dyDescent="0.2">
      <c r="A398" t="s">
        <v>239</v>
      </c>
      <c r="B398" s="2">
        <v>34</v>
      </c>
      <c r="C398" t="s">
        <v>122</v>
      </c>
      <c r="D398" s="2" t="s">
        <v>27</v>
      </c>
      <c r="E398" s="2">
        <v>12</v>
      </c>
      <c r="F398" s="2">
        <v>12</v>
      </c>
      <c r="G398" s="2">
        <v>30.6</v>
      </c>
      <c r="H398" s="2">
        <v>5.8</v>
      </c>
      <c r="I398" s="2">
        <v>13.9</v>
      </c>
      <c r="J398" s="2">
        <v>0.41299999999999998</v>
      </c>
      <c r="K398" s="2">
        <v>2</v>
      </c>
      <c r="L398" s="2">
        <v>6.4</v>
      </c>
      <c r="M398" s="2">
        <v>0.312</v>
      </c>
      <c r="N398" s="2">
        <v>3.8</v>
      </c>
      <c r="O398" s="2">
        <v>7.5</v>
      </c>
      <c r="P398" s="2">
        <v>0.5</v>
      </c>
      <c r="Q398" s="2">
        <v>0.48499999999999999</v>
      </c>
      <c r="R398" s="2">
        <v>2.5</v>
      </c>
      <c r="S398" s="2">
        <v>3.1</v>
      </c>
      <c r="T398" s="2">
        <v>0.81100000000000005</v>
      </c>
      <c r="U398" s="2">
        <v>0.8</v>
      </c>
      <c r="V398" s="2">
        <v>4.5999999999999996</v>
      </c>
      <c r="W398" s="2">
        <v>5.3</v>
      </c>
      <c r="X398" s="2">
        <v>5.2</v>
      </c>
      <c r="Y398" s="2">
        <v>1.8</v>
      </c>
      <c r="Z398" s="2">
        <v>0.3</v>
      </c>
      <c r="AA398" s="2">
        <v>2.8</v>
      </c>
      <c r="AB398" s="2">
        <v>2.4</v>
      </c>
      <c r="AC398" s="2">
        <v>16</v>
      </c>
      <c r="AD398" s="2"/>
    </row>
    <row r="399" spans="1:30" x14ac:dyDescent="0.2">
      <c r="A399" t="s">
        <v>392</v>
      </c>
      <c r="B399" s="2">
        <v>25</v>
      </c>
      <c r="C399" t="s">
        <v>75</v>
      </c>
      <c r="D399" s="2" t="s">
        <v>42</v>
      </c>
      <c r="E399" s="2">
        <v>12</v>
      </c>
      <c r="F399" s="2">
        <v>0</v>
      </c>
      <c r="G399" s="2">
        <v>10.4</v>
      </c>
      <c r="H399" s="2">
        <v>1.8</v>
      </c>
      <c r="I399" s="2">
        <v>3.3</v>
      </c>
      <c r="J399" s="2">
        <v>0.53800000000000003</v>
      </c>
      <c r="K399" s="2">
        <v>0.3</v>
      </c>
      <c r="L399" s="2">
        <v>0.9</v>
      </c>
      <c r="M399" s="2">
        <v>0.36399999999999999</v>
      </c>
      <c r="N399" s="2">
        <v>1.4</v>
      </c>
      <c r="O399" s="2">
        <v>2.2999999999999998</v>
      </c>
      <c r="P399" s="2">
        <v>0.60699999999999998</v>
      </c>
      <c r="Q399" s="2">
        <v>0.59</v>
      </c>
      <c r="R399" s="2">
        <v>1</v>
      </c>
      <c r="S399" s="2">
        <v>1.3</v>
      </c>
      <c r="T399" s="2">
        <v>0.8</v>
      </c>
      <c r="U399" s="2">
        <v>0.6</v>
      </c>
      <c r="V399" s="2">
        <v>1.3</v>
      </c>
      <c r="W399" s="2">
        <v>1.9</v>
      </c>
      <c r="X399" s="2">
        <v>0.7</v>
      </c>
      <c r="Y399" s="2">
        <v>0.8</v>
      </c>
      <c r="Z399" s="2">
        <v>0.5</v>
      </c>
      <c r="AA399" s="2">
        <v>0.8</v>
      </c>
      <c r="AB399" s="2">
        <v>1.8</v>
      </c>
      <c r="AC399" s="2">
        <v>4.8</v>
      </c>
      <c r="AD399" s="2"/>
    </row>
    <row r="400" spans="1:30" x14ac:dyDescent="0.2">
      <c r="A400" t="s">
        <v>111</v>
      </c>
      <c r="B400" s="2">
        <v>27</v>
      </c>
      <c r="C400" t="s">
        <v>39</v>
      </c>
      <c r="D400" s="2" t="s">
        <v>33</v>
      </c>
      <c r="E400" s="2">
        <v>25</v>
      </c>
      <c r="F400" s="2">
        <v>0</v>
      </c>
      <c r="G400" s="2">
        <v>28.4</v>
      </c>
      <c r="H400" s="2">
        <v>5.6</v>
      </c>
      <c r="I400" s="2">
        <v>11.5</v>
      </c>
      <c r="J400" s="2">
        <v>0.48799999999999999</v>
      </c>
      <c r="K400" s="2">
        <v>3.8</v>
      </c>
      <c r="L400" s="2">
        <v>8.9</v>
      </c>
      <c r="M400" s="2">
        <v>0.432</v>
      </c>
      <c r="N400" s="2">
        <v>1.8</v>
      </c>
      <c r="O400" s="2">
        <v>2.6</v>
      </c>
      <c r="P400" s="2">
        <v>0.67700000000000005</v>
      </c>
      <c r="Q400" s="2">
        <v>0.65500000000000003</v>
      </c>
      <c r="R400" s="2">
        <v>1.5</v>
      </c>
      <c r="S400" s="2">
        <v>1.8</v>
      </c>
      <c r="T400" s="2">
        <v>0.84099999999999997</v>
      </c>
      <c r="U400" s="2">
        <v>1.1000000000000001</v>
      </c>
      <c r="V400" s="2">
        <v>2.2000000000000002</v>
      </c>
      <c r="W400" s="2">
        <v>3.3</v>
      </c>
      <c r="X400" s="2">
        <v>3.2</v>
      </c>
      <c r="Y400" s="2">
        <v>1</v>
      </c>
      <c r="Z400" s="2">
        <v>0.1</v>
      </c>
      <c r="AA400" s="2">
        <v>1</v>
      </c>
      <c r="AB400" s="2">
        <v>1.6</v>
      </c>
      <c r="AC400" s="2">
        <v>16.5</v>
      </c>
      <c r="AD400" s="2"/>
    </row>
    <row r="401" spans="1:30" x14ac:dyDescent="0.2">
      <c r="A401" t="s">
        <v>354</v>
      </c>
      <c r="B401" s="2">
        <v>23</v>
      </c>
      <c r="C401" t="s">
        <v>61</v>
      </c>
      <c r="D401" s="2" t="s">
        <v>52</v>
      </c>
      <c r="E401" s="2">
        <v>15</v>
      </c>
      <c r="F401" s="2">
        <v>0</v>
      </c>
      <c r="G401" s="2">
        <v>16.3</v>
      </c>
      <c r="H401" s="2">
        <v>2.2999999999999998</v>
      </c>
      <c r="I401" s="2">
        <v>4.2</v>
      </c>
      <c r="J401" s="2">
        <v>0.54</v>
      </c>
      <c r="K401" s="2">
        <v>0.7</v>
      </c>
      <c r="L401" s="2">
        <v>1.9</v>
      </c>
      <c r="M401" s="2">
        <v>0.379</v>
      </c>
      <c r="N401" s="2">
        <v>1.5</v>
      </c>
      <c r="O401" s="2">
        <v>2.2999999999999998</v>
      </c>
      <c r="P401" s="2">
        <v>0.67600000000000005</v>
      </c>
      <c r="Q401" s="2">
        <v>0.627</v>
      </c>
      <c r="R401" s="2">
        <v>0.7</v>
      </c>
      <c r="S401" s="2">
        <v>1.3</v>
      </c>
      <c r="T401" s="2">
        <v>0.55000000000000004</v>
      </c>
      <c r="U401" s="2">
        <v>0.7</v>
      </c>
      <c r="V401" s="2">
        <v>1.3</v>
      </c>
      <c r="W401" s="2">
        <v>2</v>
      </c>
      <c r="X401" s="2">
        <v>1.5</v>
      </c>
      <c r="Y401" s="2">
        <v>0.6</v>
      </c>
      <c r="Z401" s="2">
        <v>0</v>
      </c>
      <c r="AA401" s="2">
        <v>0.5</v>
      </c>
      <c r="AB401" s="2">
        <v>2.1</v>
      </c>
      <c r="AC401" s="2">
        <v>6</v>
      </c>
      <c r="AD401" s="2"/>
    </row>
    <row r="402" spans="1:30" x14ac:dyDescent="0.2">
      <c r="A402" t="s">
        <v>238</v>
      </c>
      <c r="B402" s="2">
        <v>22</v>
      </c>
      <c r="C402" t="s">
        <v>46</v>
      </c>
      <c r="D402" s="2" t="s">
        <v>49</v>
      </c>
      <c r="E402" s="2">
        <v>22</v>
      </c>
      <c r="F402" s="2">
        <v>12</v>
      </c>
      <c r="G402" s="2">
        <v>24.9</v>
      </c>
      <c r="H402" s="2">
        <v>3.3</v>
      </c>
      <c r="I402" s="2">
        <v>6.8</v>
      </c>
      <c r="J402" s="2">
        <v>0.48299999999999998</v>
      </c>
      <c r="K402" s="2">
        <v>0.8</v>
      </c>
      <c r="L402" s="2">
        <v>2.2999999999999998</v>
      </c>
      <c r="M402" s="2">
        <v>0.36</v>
      </c>
      <c r="N402" s="2">
        <v>2.5</v>
      </c>
      <c r="O402" s="2">
        <v>4.5</v>
      </c>
      <c r="P402" s="2">
        <v>0.54500000000000004</v>
      </c>
      <c r="Q402" s="2">
        <v>0.54400000000000004</v>
      </c>
      <c r="R402" s="2">
        <v>1.5</v>
      </c>
      <c r="S402" s="2">
        <v>2</v>
      </c>
      <c r="T402" s="2">
        <v>0.76700000000000002</v>
      </c>
      <c r="U402" s="2">
        <v>0.9</v>
      </c>
      <c r="V402" s="2">
        <v>2.4</v>
      </c>
      <c r="W402" s="2">
        <v>3.3</v>
      </c>
      <c r="X402" s="2">
        <v>1.3</v>
      </c>
      <c r="Y402" s="2">
        <v>0.8</v>
      </c>
      <c r="Z402" s="2">
        <v>1</v>
      </c>
      <c r="AA402" s="2">
        <v>0.8</v>
      </c>
      <c r="AB402" s="2">
        <v>2.2000000000000002</v>
      </c>
      <c r="AC402" s="2">
        <v>8.9</v>
      </c>
      <c r="AD402" s="2"/>
    </row>
    <row r="403" spans="1:30" x14ac:dyDescent="0.2">
      <c r="A403" t="s">
        <v>506</v>
      </c>
      <c r="B403" s="2">
        <v>28</v>
      </c>
      <c r="C403" t="s">
        <v>51</v>
      </c>
      <c r="D403" s="2" t="s">
        <v>52</v>
      </c>
      <c r="E403" s="2">
        <v>7</v>
      </c>
      <c r="F403" s="2">
        <v>0</v>
      </c>
      <c r="G403" s="2">
        <v>4.3</v>
      </c>
      <c r="H403" s="2">
        <v>0.3</v>
      </c>
      <c r="I403" s="2">
        <v>0.4</v>
      </c>
      <c r="J403" s="2">
        <v>0.66700000000000004</v>
      </c>
      <c r="K403" s="2">
        <v>0.3</v>
      </c>
      <c r="L403" s="2">
        <v>0.4</v>
      </c>
      <c r="M403" s="2">
        <v>0.66700000000000004</v>
      </c>
      <c r="N403" s="2">
        <v>0</v>
      </c>
      <c r="O403" s="2">
        <v>0</v>
      </c>
      <c r="P403" s="2"/>
      <c r="Q403" s="2">
        <v>1</v>
      </c>
      <c r="R403" s="2">
        <v>0.1</v>
      </c>
      <c r="S403" s="2">
        <v>0.9</v>
      </c>
      <c r="T403" s="2">
        <v>0.16700000000000001</v>
      </c>
      <c r="U403" s="2">
        <v>0.1</v>
      </c>
      <c r="V403" s="2">
        <v>0.6</v>
      </c>
      <c r="W403" s="2">
        <v>0.7</v>
      </c>
      <c r="X403" s="2">
        <v>0.7</v>
      </c>
      <c r="Y403" s="2">
        <v>0.1</v>
      </c>
      <c r="Z403" s="2">
        <v>0</v>
      </c>
      <c r="AA403" s="2">
        <v>0.1</v>
      </c>
      <c r="AB403" s="2">
        <v>0.4</v>
      </c>
      <c r="AC403" s="2">
        <v>1</v>
      </c>
      <c r="AD403" s="2"/>
    </row>
    <row r="404" spans="1:30" x14ac:dyDescent="0.2">
      <c r="A404" t="s">
        <v>525</v>
      </c>
      <c r="B404" s="2">
        <v>22</v>
      </c>
      <c r="C404" t="s">
        <v>46</v>
      </c>
      <c r="D404" s="2" t="s">
        <v>42</v>
      </c>
      <c r="E404" s="2">
        <v>5</v>
      </c>
      <c r="F404" s="2">
        <v>0</v>
      </c>
      <c r="G404" s="2">
        <v>2.2000000000000002</v>
      </c>
      <c r="H404" s="2">
        <v>0.4</v>
      </c>
      <c r="I404" s="2">
        <v>1</v>
      </c>
      <c r="J404" s="2">
        <v>0.4</v>
      </c>
      <c r="K404" s="2">
        <v>0</v>
      </c>
      <c r="L404" s="2">
        <v>0.4</v>
      </c>
      <c r="M404" s="2">
        <v>0</v>
      </c>
      <c r="N404" s="2">
        <v>0.4</v>
      </c>
      <c r="O404" s="2">
        <v>0.6</v>
      </c>
      <c r="P404" s="2">
        <v>0.66700000000000004</v>
      </c>
      <c r="Q404" s="2">
        <v>0.4</v>
      </c>
      <c r="R404" s="2">
        <v>0</v>
      </c>
      <c r="S404" s="2">
        <v>0</v>
      </c>
      <c r="T404" s="2"/>
      <c r="U404" s="2">
        <v>0</v>
      </c>
      <c r="V404" s="2">
        <v>0.2</v>
      </c>
      <c r="W404" s="2">
        <v>0.2</v>
      </c>
      <c r="X404" s="2">
        <v>0</v>
      </c>
      <c r="Y404" s="2">
        <v>0</v>
      </c>
      <c r="Z404" s="2">
        <v>0</v>
      </c>
      <c r="AA404" s="2">
        <v>0</v>
      </c>
      <c r="AB404" s="2">
        <v>0.2</v>
      </c>
      <c r="AC404" s="2">
        <v>0.8</v>
      </c>
      <c r="AD404" s="2"/>
    </row>
    <row r="405" spans="1:30" x14ac:dyDescent="0.2">
      <c r="A405" t="s">
        <v>479</v>
      </c>
      <c r="B405" s="2">
        <v>25</v>
      </c>
      <c r="C405" t="s">
        <v>44</v>
      </c>
      <c r="D405" s="2" t="s">
        <v>27</v>
      </c>
      <c r="E405" s="2">
        <v>4</v>
      </c>
      <c r="F405" s="2">
        <v>0</v>
      </c>
      <c r="G405" s="2">
        <v>18.8</v>
      </c>
      <c r="H405" s="2">
        <v>1.8</v>
      </c>
      <c r="I405" s="2">
        <v>4</v>
      </c>
      <c r="J405" s="2">
        <v>0.438</v>
      </c>
      <c r="K405" s="2">
        <v>0</v>
      </c>
      <c r="L405" s="2">
        <v>0.5</v>
      </c>
      <c r="M405" s="2">
        <v>0</v>
      </c>
      <c r="N405" s="2">
        <v>1.8</v>
      </c>
      <c r="O405" s="2">
        <v>3.5</v>
      </c>
      <c r="P405" s="2">
        <v>0.5</v>
      </c>
      <c r="Q405" s="2">
        <v>0.438</v>
      </c>
      <c r="R405" s="2">
        <v>0.8</v>
      </c>
      <c r="S405" s="2">
        <v>2</v>
      </c>
      <c r="T405" s="2">
        <v>0.375</v>
      </c>
      <c r="U405" s="2">
        <v>1.5</v>
      </c>
      <c r="V405" s="2">
        <v>4.8</v>
      </c>
      <c r="W405" s="2">
        <v>6.3</v>
      </c>
      <c r="X405" s="2">
        <v>1.5</v>
      </c>
      <c r="Y405" s="2">
        <v>0.8</v>
      </c>
      <c r="Z405" s="2">
        <v>1.3</v>
      </c>
      <c r="AA405" s="2">
        <v>1</v>
      </c>
      <c r="AB405" s="2">
        <v>1</v>
      </c>
      <c r="AC405" s="2">
        <v>4.3</v>
      </c>
      <c r="AD405" s="2"/>
    </row>
    <row r="406" spans="1:30" x14ac:dyDescent="0.2">
      <c r="A406" t="s">
        <v>237</v>
      </c>
      <c r="B406" s="2">
        <v>24</v>
      </c>
      <c r="C406" t="s">
        <v>63</v>
      </c>
      <c r="D406" s="2" t="s">
        <v>52</v>
      </c>
      <c r="E406" s="2">
        <v>23</v>
      </c>
      <c r="F406" s="2">
        <v>8</v>
      </c>
      <c r="G406" s="2">
        <v>20.3</v>
      </c>
      <c r="H406" s="2">
        <v>2.9</v>
      </c>
      <c r="I406" s="2">
        <v>6.1</v>
      </c>
      <c r="J406" s="2">
        <v>0.47899999999999998</v>
      </c>
      <c r="K406" s="2">
        <v>1.4</v>
      </c>
      <c r="L406" s="2">
        <v>3.5</v>
      </c>
      <c r="M406" s="2">
        <v>0.40699999999999997</v>
      </c>
      <c r="N406" s="2">
        <v>1.5</v>
      </c>
      <c r="O406" s="2">
        <v>2.6</v>
      </c>
      <c r="P406" s="2">
        <v>0.57599999999999996</v>
      </c>
      <c r="Q406" s="2">
        <v>0.59599999999999997</v>
      </c>
      <c r="R406" s="2">
        <v>1.2</v>
      </c>
      <c r="S406" s="2">
        <v>1.7</v>
      </c>
      <c r="T406" s="2">
        <v>0.7</v>
      </c>
      <c r="U406" s="2">
        <v>0.6</v>
      </c>
      <c r="V406" s="2">
        <v>3</v>
      </c>
      <c r="W406" s="2">
        <v>3.6</v>
      </c>
      <c r="X406" s="2">
        <v>1.5</v>
      </c>
      <c r="Y406" s="2">
        <v>0.7</v>
      </c>
      <c r="Z406" s="2">
        <v>0.2</v>
      </c>
      <c r="AA406" s="2">
        <v>1.3</v>
      </c>
      <c r="AB406" s="2">
        <v>1.8</v>
      </c>
      <c r="AC406" s="2">
        <v>8.5</v>
      </c>
      <c r="AD406" s="2"/>
    </row>
    <row r="407" spans="1:30" x14ac:dyDescent="0.2">
      <c r="A407" t="s">
        <v>344</v>
      </c>
      <c r="B407" s="2">
        <v>26</v>
      </c>
      <c r="C407" t="s">
        <v>82</v>
      </c>
      <c r="D407" s="2" t="s">
        <v>33</v>
      </c>
      <c r="E407" s="2">
        <v>14</v>
      </c>
      <c r="F407" s="2">
        <v>7</v>
      </c>
      <c r="G407" s="2">
        <v>17.100000000000001</v>
      </c>
      <c r="H407" s="2">
        <v>2.7</v>
      </c>
      <c r="I407" s="2">
        <v>5.2</v>
      </c>
      <c r="J407" s="2">
        <v>0.52100000000000002</v>
      </c>
      <c r="K407" s="2">
        <v>0.6</v>
      </c>
      <c r="L407" s="2">
        <v>1.6</v>
      </c>
      <c r="M407" s="2">
        <v>0.39100000000000001</v>
      </c>
      <c r="N407" s="2">
        <v>2.1</v>
      </c>
      <c r="O407" s="2">
        <v>3.6</v>
      </c>
      <c r="P407" s="2">
        <v>0.57999999999999996</v>
      </c>
      <c r="Q407" s="2">
        <v>0.58199999999999996</v>
      </c>
      <c r="R407" s="2">
        <v>0.9</v>
      </c>
      <c r="S407" s="2">
        <v>1.2</v>
      </c>
      <c r="T407" s="2">
        <v>0.70599999999999996</v>
      </c>
      <c r="U407" s="2">
        <v>0.7</v>
      </c>
      <c r="V407" s="2">
        <v>1.2</v>
      </c>
      <c r="W407" s="2">
        <v>1.9</v>
      </c>
      <c r="X407" s="2">
        <v>2</v>
      </c>
      <c r="Y407" s="2">
        <v>0.6</v>
      </c>
      <c r="Z407" s="2">
        <v>0.4</v>
      </c>
      <c r="AA407" s="2">
        <v>0.8</v>
      </c>
      <c r="AB407" s="2">
        <v>2</v>
      </c>
      <c r="AC407" s="2">
        <v>6.9</v>
      </c>
      <c r="AD407" s="2"/>
    </row>
    <row r="408" spans="1:30" x14ac:dyDescent="0.2">
      <c r="A408" t="s">
        <v>539</v>
      </c>
      <c r="B408" s="2">
        <v>23</v>
      </c>
      <c r="C408" t="s">
        <v>41</v>
      </c>
      <c r="D408" s="2" t="s">
        <v>33</v>
      </c>
      <c r="E408" s="2">
        <v>1</v>
      </c>
      <c r="F408" s="2">
        <v>0</v>
      </c>
      <c r="G408" s="2">
        <v>8</v>
      </c>
      <c r="H408" s="2">
        <v>1</v>
      </c>
      <c r="I408" s="2">
        <v>3</v>
      </c>
      <c r="J408" s="2">
        <v>0.33300000000000002</v>
      </c>
      <c r="K408" s="2">
        <v>1</v>
      </c>
      <c r="L408" s="2">
        <v>3</v>
      </c>
      <c r="M408" s="2">
        <v>0.33300000000000002</v>
      </c>
      <c r="N408" s="2">
        <v>0</v>
      </c>
      <c r="O408" s="2">
        <v>0</v>
      </c>
      <c r="P408" s="2"/>
      <c r="Q408" s="2">
        <v>0.5</v>
      </c>
      <c r="R408" s="2">
        <v>0</v>
      </c>
      <c r="S408" s="2">
        <v>0</v>
      </c>
      <c r="T408" s="2"/>
      <c r="U408" s="2">
        <v>0</v>
      </c>
      <c r="V408" s="2">
        <v>0</v>
      </c>
      <c r="W408" s="2">
        <v>0</v>
      </c>
      <c r="X408" s="2">
        <v>0</v>
      </c>
      <c r="Y408" s="2">
        <v>0</v>
      </c>
      <c r="Z408" s="2">
        <v>0</v>
      </c>
      <c r="AA408" s="2">
        <v>1</v>
      </c>
      <c r="AB408" s="2">
        <v>0</v>
      </c>
      <c r="AC408" s="2">
        <v>3</v>
      </c>
      <c r="AD408" s="2"/>
    </row>
    <row r="409" spans="1:30" x14ac:dyDescent="0.2">
      <c r="A409" t="s">
        <v>374</v>
      </c>
      <c r="B409" s="2">
        <v>20</v>
      </c>
      <c r="C409" t="s">
        <v>135</v>
      </c>
      <c r="D409" s="2" t="s">
        <v>52</v>
      </c>
      <c r="E409" s="2">
        <v>21</v>
      </c>
      <c r="F409" s="2">
        <v>0</v>
      </c>
      <c r="G409" s="2">
        <v>10.6</v>
      </c>
      <c r="H409" s="2">
        <v>1.3</v>
      </c>
      <c r="I409" s="2">
        <v>3</v>
      </c>
      <c r="J409" s="2">
        <v>0.438</v>
      </c>
      <c r="K409" s="2">
        <v>0.4</v>
      </c>
      <c r="L409" s="2">
        <v>1.4</v>
      </c>
      <c r="M409" s="2">
        <v>0.31</v>
      </c>
      <c r="N409" s="2">
        <v>0.9</v>
      </c>
      <c r="O409" s="2">
        <v>1.7</v>
      </c>
      <c r="P409" s="2">
        <v>0.54300000000000004</v>
      </c>
      <c r="Q409" s="2">
        <v>0.50800000000000001</v>
      </c>
      <c r="R409" s="2">
        <v>0.4</v>
      </c>
      <c r="S409" s="2">
        <v>0.6</v>
      </c>
      <c r="T409" s="2">
        <v>0.66700000000000004</v>
      </c>
      <c r="U409" s="2">
        <v>0.8</v>
      </c>
      <c r="V409" s="2">
        <v>0.8</v>
      </c>
      <c r="W409" s="2">
        <v>1.6</v>
      </c>
      <c r="X409" s="2">
        <v>0.5</v>
      </c>
      <c r="Y409" s="2">
        <v>0.3</v>
      </c>
      <c r="Z409" s="2">
        <v>0.1</v>
      </c>
      <c r="AA409" s="2">
        <v>0.6</v>
      </c>
      <c r="AB409" s="2">
        <v>0.8</v>
      </c>
      <c r="AC409" s="2">
        <v>3.5</v>
      </c>
      <c r="AD409" s="2"/>
    </row>
    <row r="410" spans="1:30" x14ac:dyDescent="0.2">
      <c r="A410" t="s">
        <v>543</v>
      </c>
      <c r="B410" s="2">
        <v>23</v>
      </c>
      <c r="C410" t="s">
        <v>100</v>
      </c>
      <c r="D410" s="2" t="s">
        <v>33</v>
      </c>
      <c r="E410" s="2">
        <v>2</v>
      </c>
      <c r="F410" s="2">
        <v>0</v>
      </c>
      <c r="G410" s="2">
        <v>2</v>
      </c>
      <c r="H410" s="2">
        <v>0.5</v>
      </c>
      <c r="I410" s="2">
        <v>0.5</v>
      </c>
      <c r="J410" s="2">
        <v>1</v>
      </c>
      <c r="K410" s="2">
        <v>0</v>
      </c>
      <c r="L410" s="2">
        <v>0</v>
      </c>
      <c r="M410" s="2"/>
      <c r="N410" s="2">
        <v>0.5</v>
      </c>
      <c r="O410" s="2">
        <v>0.5</v>
      </c>
      <c r="P410" s="2">
        <v>1</v>
      </c>
      <c r="Q410" s="2">
        <v>1</v>
      </c>
      <c r="R410" s="2">
        <v>0</v>
      </c>
      <c r="S410" s="2">
        <v>0</v>
      </c>
      <c r="T410" s="2"/>
      <c r="U410" s="2">
        <v>0.5</v>
      </c>
      <c r="V410" s="2">
        <v>0</v>
      </c>
      <c r="W410" s="2">
        <v>0.5</v>
      </c>
      <c r="X410" s="2">
        <v>0.5</v>
      </c>
      <c r="Y410" s="2">
        <v>0.5</v>
      </c>
      <c r="Z410" s="2">
        <v>0</v>
      </c>
      <c r="AA410" s="2">
        <v>0</v>
      </c>
      <c r="AB410" s="2">
        <v>0.5</v>
      </c>
      <c r="AC410" s="2">
        <v>1</v>
      </c>
      <c r="AD410" s="2"/>
    </row>
    <row r="411" spans="1:30" x14ac:dyDescent="0.2">
      <c r="A411" t="s">
        <v>352</v>
      </c>
      <c r="B411" s="2">
        <v>20</v>
      </c>
      <c r="C411" t="s">
        <v>87</v>
      </c>
      <c r="D411" s="2" t="s">
        <v>33</v>
      </c>
      <c r="E411" s="2">
        <v>24</v>
      </c>
      <c r="F411" s="2">
        <v>0</v>
      </c>
      <c r="G411" s="2">
        <v>11.8</v>
      </c>
      <c r="H411" s="2">
        <v>1.5</v>
      </c>
      <c r="I411" s="2">
        <v>4.0999999999999996</v>
      </c>
      <c r="J411" s="2">
        <v>0.35699999999999998</v>
      </c>
      <c r="K411" s="2">
        <v>0.7</v>
      </c>
      <c r="L411" s="2">
        <v>2.2999999999999998</v>
      </c>
      <c r="M411" s="2">
        <v>0.30399999999999999</v>
      </c>
      <c r="N411" s="2">
        <v>0.8</v>
      </c>
      <c r="O411" s="2">
        <v>1.8</v>
      </c>
      <c r="P411" s="2">
        <v>0.42899999999999999</v>
      </c>
      <c r="Q411" s="2">
        <v>0.44400000000000001</v>
      </c>
      <c r="R411" s="2">
        <v>0.2</v>
      </c>
      <c r="S411" s="2">
        <v>0.2</v>
      </c>
      <c r="T411" s="2">
        <v>1</v>
      </c>
      <c r="U411" s="2">
        <v>0.3</v>
      </c>
      <c r="V411" s="2">
        <v>0.8</v>
      </c>
      <c r="W411" s="2">
        <v>1</v>
      </c>
      <c r="X411" s="2">
        <v>1.3</v>
      </c>
      <c r="Y411" s="2">
        <v>0.5</v>
      </c>
      <c r="Z411" s="2">
        <v>0.3</v>
      </c>
      <c r="AA411" s="2">
        <v>0.6</v>
      </c>
      <c r="AB411" s="2">
        <v>1</v>
      </c>
      <c r="AC411" s="2">
        <v>3.8</v>
      </c>
      <c r="AD411" s="2"/>
    </row>
    <row r="412" spans="1:30" x14ac:dyDescent="0.2">
      <c r="A412" t="s">
        <v>416</v>
      </c>
      <c r="B412" s="2">
        <v>34</v>
      </c>
      <c r="C412" t="s">
        <v>122</v>
      </c>
      <c r="D412" s="2" t="s">
        <v>33</v>
      </c>
      <c r="E412" s="2">
        <v>10</v>
      </c>
      <c r="F412" s="2">
        <v>0</v>
      </c>
      <c r="G412" s="2">
        <v>11.9</v>
      </c>
      <c r="H412" s="2">
        <v>1.6</v>
      </c>
      <c r="I412" s="2">
        <v>3.9</v>
      </c>
      <c r="J412" s="2">
        <v>0.41</v>
      </c>
      <c r="K412" s="2">
        <v>1.1000000000000001</v>
      </c>
      <c r="L412" s="2">
        <v>2.5</v>
      </c>
      <c r="M412" s="2">
        <v>0.44</v>
      </c>
      <c r="N412" s="2">
        <v>0.5</v>
      </c>
      <c r="O412" s="2">
        <v>1.4</v>
      </c>
      <c r="P412" s="2">
        <v>0.35699999999999998</v>
      </c>
      <c r="Q412" s="2">
        <v>0.55100000000000005</v>
      </c>
      <c r="R412" s="2">
        <v>0</v>
      </c>
      <c r="S412" s="2">
        <v>0</v>
      </c>
      <c r="T412" s="2"/>
      <c r="U412" s="2">
        <v>0.1</v>
      </c>
      <c r="V412" s="2">
        <v>0.8</v>
      </c>
      <c r="W412" s="2">
        <v>0.9</v>
      </c>
      <c r="X412" s="2">
        <v>2.1</v>
      </c>
      <c r="Y412" s="2">
        <v>0.6</v>
      </c>
      <c r="Z412" s="2">
        <v>0.3</v>
      </c>
      <c r="AA412" s="2">
        <v>0.7</v>
      </c>
      <c r="AB412" s="2">
        <v>0.8</v>
      </c>
      <c r="AC412" s="2">
        <v>4.3</v>
      </c>
      <c r="AD412" s="2"/>
    </row>
    <row r="413" spans="1:30" x14ac:dyDescent="0.2">
      <c r="A413" t="s">
        <v>493</v>
      </c>
      <c r="B413" s="2">
        <v>31</v>
      </c>
      <c r="C413" t="s">
        <v>114</v>
      </c>
      <c r="D413" s="2" t="s">
        <v>27</v>
      </c>
      <c r="E413" s="2">
        <v>3</v>
      </c>
      <c r="F413" s="2">
        <v>0</v>
      </c>
      <c r="G413" s="2">
        <v>6.7</v>
      </c>
      <c r="H413" s="2">
        <v>1.7</v>
      </c>
      <c r="I413" s="2">
        <v>3.3</v>
      </c>
      <c r="J413" s="2">
        <v>0.5</v>
      </c>
      <c r="K413" s="2">
        <v>0</v>
      </c>
      <c r="L413" s="2">
        <v>0.3</v>
      </c>
      <c r="M413" s="2">
        <v>0</v>
      </c>
      <c r="N413" s="2">
        <v>1.7</v>
      </c>
      <c r="O413" s="2">
        <v>3</v>
      </c>
      <c r="P413" s="2">
        <v>0.55600000000000005</v>
      </c>
      <c r="Q413" s="2">
        <v>0.5</v>
      </c>
      <c r="R413" s="2">
        <v>0.7</v>
      </c>
      <c r="S413" s="2">
        <v>0.7</v>
      </c>
      <c r="T413" s="2">
        <v>1</v>
      </c>
      <c r="U413" s="2">
        <v>0.7</v>
      </c>
      <c r="V413" s="2">
        <v>1</v>
      </c>
      <c r="W413" s="2">
        <v>1.7</v>
      </c>
      <c r="X413" s="2">
        <v>0</v>
      </c>
      <c r="Y413" s="2">
        <v>0</v>
      </c>
      <c r="Z413" s="2">
        <v>0.7</v>
      </c>
      <c r="AA413" s="2">
        <v>0.7</v>
      </c>
      <c r="AB413" s="2">
        <v>0.3</v>
      </c>
      <c r="AC413" s="2">
        <v>4</v>
      </c>
      <c r="AD413" s="2"/>
    </row>
    <row r="414" spans="1:30" x14ac:dyDescent="0.2">
      <c r="A414" t="s">
        <v>369</v>
      </c>
      <c r="B414" s="2">
        <v>23</v>
      </c>
      <c r="C414" t="s">
        <v>122</v>
      </c>
      <c r="D414" s="2" t="s">
        <v>49</v>
      </c>
      <c r="E414" s="2">
        <v>17</v>
      </c>
      <c r="F414" s="2">
        <v>0</v>
      </c>
      <c r="G414" s="2">
        <v>11.8</v>
      </c>
      <c r="H414" s="2">
        <v>1.5</v>
      </c>
      <c r="I414" s="2">
        <v>3.6</v>
      </c>
      <c r="J414" s="2">
        <v>0.41</v>
      </c>
      <c r="K414" s="2">
        <v>0.4</v>
      </c>
      <c r="L414" s="2">
        <v>1.6</v>
      </c>
      <c r="M414" s="2">
        <v>0.25900000000000001</v>
      </c>
      <c r="N414" s="2">
        <v>1.1000000000000001</v>
      </c>
      <c r="O414" s="2">
        <v>2</v>
      </c>
      <c r="P414" s="2">
        <v>0.52900000000000003</v>
      </c>
      <c r="Q414" s="2">
        <v>0.46700000000000003</v>
      </c>
      <c r="R414" s="2">
        <v>1.1000000000000001</v>
      </c>
      <c r="S414" s="2">
        <v>1.2</v>
      </c>
      <c r="T414" s="2">
        <v>0.85699999999999998</v>
      </c>
      <c r="U414" s="2">
        <v>0.3</v>
      </c>
      <c r="V414" s="2">
        <v>1.2</v>
      </c>
      <c r="W414" s="2">
        <v>1.5</v>
      </c>
      <c r="X414" s="2">
        <v>0.8</v>
      </c>
      <c r="Y414" s="2">
        <v>0.2</v>
      </c>
      <c r="Z414" s="2">
        <v>0.2</v>
      </c>
      <c r="AA414" s="2">
        <v>0.2</v>
      </c>
      <c r="AB414" s="2">
        <v>0.7</v>
      </c>
      <c r="AC414" s="2">
        <v>4.4000000000000004</v>
      </c>
      <c r="AD414" s="2"/>
    </row>
    <row r="415" spans="1:30" x14ac:dyDescent="0.2">
      <c r="A415" t="s">
        <v>565</v>
      </c>
      <c r="B415" s="2">
        <v>24</v>
      </c>
      <c r="C415" t="s">
        <v>93</v>
      </c>
      <c r="D415" s="2" t="s">
        <v>49</v>
      </c>
      <c r="E415" s="2">
        <v>1</v>
      </c>
      <c r="F415" s="2">
        <v>0</v>
      </c>
      <c r="G415" s="2">
        <v>7</v>
      </c>
      <c r="H415" s="2">
        <v>0</v>
      </c>
      <c r="I415" s="2">
        <v>1</v>
      </c>
      <c r="J415" s="2">
        <v>0</v>
      </c>
      <c r="K415" s="2">
        <v>0</v>
      </c>
      <c r="L415" s="2">
        <v>1</v>
      </c>
      <c r="M415" s="2">
        <v>0</v>
      </c>
      <c r="N415" s="2">
        <v>0</v>
      </c>
      <c r="O415" s="2">
        <v>0</v>
      </c>
      <c r="P415" s="2"/>
      <c r="Q415" s="2">
        <v>0</v>
      </c>
      <c r="R415" s="2">
        <v>0</v>
      </c>
      <c r="S415" s="2">
        <v>0</v>
      </c>
      <c r="T415" s="2"/>
      <c r="U415" s="2">
        <v>0</v>
      </c>
      <c r="V415" s="2">
        <v>2</v>
      </c>
      <c r="W415" s="2">
        <v>2</v>
      </c>
      <c r="X415" s="2">
        <v>0</v>
      </c>
      <c r="Y415" s="2">
        <v>0</v>
      </c>
      <c r="Z415" s="2">
        <v>0</v>
      </c>
      <c r="AA415" s="2">
        <v>0</v>
      </c>
      <c r="AB415" s="2">
        <v>0</v>
      </c>
      <c r="AC415" s="2">
        <v>0</v>
      </c>
      <c r="AD415" s="2"/>
    </row>
    <row r="416" spans="1:30" x14ac:dyDescent="0.2">
      <c r="A416" t="s">
        <v>65</v>
      </c>
      <c r="B416" s="2">
        <v>24</v>
      </c>
      <c r="C416" t="s">
        <v>66</v>
      </c>
      <c r="D416" s="2" t="s">
        <v>52</v>
      </c>
      <c r="E416" s="2">
        <v>23</v>
      </c>
      <c r="F416" s="2">
        <v>23</v>
      </c>
      <c r="G416" s="2">
        <v>34.200000000000003</v>
      </c>
      <c r="H416" s="2">
        <v>8.5</v>
      </c>
      <c r="I416" s="2">
        <v>18.7</v>
      </c>
      <c r="J416" s="2">
        <v>0.45500000000000002</v>
      </c>
      <c r="K416" s="2">
        <v>2</v>
      </c>
      <c r="L416" s="2">
        <v>5.8</v>
      </c>
      <c r="M416" s="2">
        <v>0.34599999999999997</v>
      </c>
      <c r="N416" s="2">
        <v>6.5</v>
      </c>
      <c r="O416" s="2">
        <v>13</v>
      </c>
      <c r="P416" s="2">
        <v>0.503</v>
      </c>
      <c r="Q416" s="2">
        <v>0.50800000000000001</v>
      </c>
      <c r="R416" s="2">
        <v>4.0999999999999996</v>
      </c>
      <c r="S416" s="2">
        <v>5.8</v>
      </c>
      <c r="T416" s="2">
        <v>0.71399999999999997</v>
      </c>
      <c r="U416" s="2">
        <v>0.9</v>
      </c>
      <c r="V416" s="2">
        <v>5.9</v>
      </c>
      <c r="W416" s="2">
        <v>6.8</v>
      </c>
      <c r="X416" s="2">
        <v>6</v>
      </c>
      <c r="Y416" s="2">
        <v>0.7</v>
      </c>
      <c r="Z416" s="2">
        <v>0.4</v>
      </c>
      <c r="AA416" s="2">
        <v>3.3</v>
      </c>
      <c r="AB416" s="2">
        <v>2.7</v>
      </c>
      <c r="AC416" s="2">
        <v>23.2</v>
      </c>
      <c r="AD416" s="2"/>
    </row>
    <row r="417" spans="1:30" x14ac:dyDescent="0.2">
      <c r="A417" t="s">
        <v>417</v>
      </c>
      <c r="B417" s="2">
        <v>20</v>
      </c>
      <c r="C417" t="s">
        <v>51</v>
      </c>
      <c r="D417" s="2" t="s">
        <v>33</v>
      </c>
      <c r="E417" s="2">
        <v>11</v>
      </c>
      <c r="F417" s="2">
        <v>0</v>
      </c>
      <c r="G417" s="2">
        <v>8.4</v>
      </c>
      <c r="H417" s="2">
        <v>1.6</v>
      </c>
      <c r="I417" s="2">
        <v>3.3</v>
      </c>
      <c r="J417" s="2">
        <v>0.5</v>
      </c>
      <c r="K417" s="2">
        <v>0.5</v>
      </c>
      <c r="L417" s="2">
        <v>1.1000000000000001</v>
      </c>
      <c r="M417" s="2">
        <v>0.5</v>
      </c>
      <c r="N417" s="2">
        <v>1.1000000000000001</v>
      </c>
      <c r="O417" s="2">
        <v>2.2000000000000002</v>
      </c>
      <c r="P417" s="2">
        <v>0.5</v>
      </c>
      <c r="Q417" s="2">
        <v>0.58299999999999996</v>
      </c>
      <c r="R417" s="2">
        <v>0</v>
      </c>
      <c r="S417" s="2">
        <v>0</v>
      </c>
      <c r="T417" s="2"/>
      <c r="U417" s="2">
        <v>0.1</v>
      </c>
      <c r="V417" s="2">
        <v>0.7</v>
      </c>
      <c r="W417" s="2">
        <v>0.8</v>
      </c>
      <c r="X417" s="2">
        <v>1.5</v>
      </c>
      <c r="Y417" s="2">
        <v>0</v>
      </c>
      <c r="Z417" s="2">
        <v>0</v>
      </c>
      <c r="AA417" s="2">
        <v>1.1000000000000001</v>
      </c>
      <c r="AB417" s="2">
        <v>0.4</v>
      </c>
      <c r="AC417" s="2">
        <v>3.8</v>
      </c>
      <c r="AD417" s="2"/>
    </row>
    <row r="418" spans="1:30" x14ac:dyDescent="0.2">
      <c r="A418" t="s">
        <v>381</v>
      </c>
      <c r="B418" s="2">
        <v>27</v>
      </c>
      <c r="C418" t="s">
        <v>135</v>
      </c>
      <c r="D418" s="2" t="s">
        <v>42</v>
      </c>
      <c r="E418" s="2">
        <v>7</v>
      </c>
      <c r="F418" s="2">
        <v>1</v>
      </c>
      <c r="G418" s="2">
        <v>18.7</v>
      </c>
      <c r="H418" s="2">
        <v>3.9</v>
      </c>
      <c r="I418" s="2">
        <v>5.4</v>
      </c>
      <c r="J418" s="2">
        <v>0.71099999999999997</v>
      </c>
      <c r="K418" s="2">
        <v>0.1</v>
      </c>
      <c r="L418" s="2">
        <v>0.3</v>
      </c>
      <c r="M418" s="2">
        <v>0.5</v>
      </c>
      <c r="N418" s="2">
        <v>3.7</v>
      </c>
      <c r="O418" s="2">
        <v>5.0999999999999996</v>
      </c>
      <c r="P418" s="2">
        <v>0.72199999999999998</v>
      </c>
      <c r="Q418" s="2">
        <v>0.72399999999999998</v>
      </c>
      <c r="R418" s="2">
        <v>1.7</v>
      </c>
      <c r="S418" s="2">
        <v>1.9</v>
      </c>
      <c r="T418" s="2">
        <v>0.92300000000000004</v>
      </c>
      <c r="U418" s="2">
        <v>2.1</v>
      </c>
      <c r="V418" s="2">
        <v>3.9</v>
      </c>
      <c r="W418" s="2">
        <v>6</v>
      </c>
      <c r="X418" s="2">
        <v>1.4</v>
      </c>
      <c r="Y418" s="2">
        <v>1.1000000000000001</v>
      </c>
      <c r="Z418" s="2">
        <v>1.9</v>
      </c>
      <c r="AA418" s="2">
        <v>1</v>
      </c>
      <c r="AB418" s="2">
        <v>1</v>
      </c>
      <c r="AC418" s="2">
        <v>9.6</v>
      </c>
      <c r="AD418" s="2"/>
    </row>
    <row r="419" spans="1:30" x14ac:dyDescent="0.2">
      <c r="A419" t="s">
        <v>267</v>
      </c>
      <c r="B419" s="2">
        <v>19</v>
      </c>
      <c r="C419" t="s">
        <v>75</v>
      </c>
      <c r="D419" s="2" t="s">
        <v>49</v>
      </c>
      <c r="E419" s="2">
        <v>26</v>
      </c>
      <c r="F419" s="2">
        <v>1</v>
      </c>
      <c r="G419" s="2">
        <v>16.100000000000001</v>
      </c>
      <c r="H419" s="2">
        <v>2.5</v>
      </c>
      <c r="I419" s="2">
        <v>5.4</v>
      </c>
      <c r="J419" s="2">
        <v>0.46100000000000002</v>
      </c>
      <c r="K419" s="2">
        <v>0.4</v>
      </c>
      <c r="L419" s="2">
        <v>2.1</v>
      </c>
      <c r="M419" s="2">
        <v>0.2</v>
      </c>
      <c r="N419" s="2">
        <v>2.1</v>
      </c>
      <c r="O419" s="2">
        <v>3.3</v>
      </c>
      <c r="P419" s="2">
        <v>0.628</v>
      </c>
      <c r="Q419" s="2">
        <v>0.5</v>
      </c>
      <c r="R419" s="2">
        <v>0.9</v>
      </c>
      <c r="S419" s="2">
        <v>1.2</v>
      </c>
      <c r="T419" s="2">
        <v>0.8</v>
      </c>
      <c r="U419" s="2">
        <v>0.6</v>
      </c>
      <c r="V419" s="2">
        <v>2.5</v>
      </c>
      <c r="W419" s="2">
        <v>3</v>
      </c>
      <c r="X419" s="2">
        <v>0.7</v>
      </c>
      <c r="Y419" s="2">
        <v>0.5</v>
      </c>
      <c r="Z419" s="2">
        <v>0.2</v>
      </c>
      <c r="AA419" s="2">
        <v>1</v>
      </c>
      <c r="AB419" s="2">
        <v>1.6</v>
      </c>
      <c r="AC419" s="2">
        <v>6.3</v>
      </c>
      <c r="AD419" s="2"/>
    </row>
    <row r="420" spans="1:30" x14ac:dyDescent="0.2">
      <c r="A420" t="s">
        <v>190</v>
      </c>
      <c r="B420" s="2">
        <v>31</v>
      </c>
      <c r="C420" t="s">
        <v>54</v>
      </c>
      <c r="D420" s="2" t="s">
        <v>49</v>
      </c>
      <c r="E420" s="2">
        <v>23</v>
      </c>
      <c r="F420" s="2">
        <v>5</v>
      </c>
      <c r="G420" s="2">
        <v>25.9</v>
      </c>
      <c r="H420" s="2">
        <v>3.8</v>
      </c>
      <c r="I420" s="2">
        <v>8.5</v>
      </c>
      <c r="J420" s="2">
        <v>0.44900000000000001</v>
      </c>
      <c r="K420" s="2">
        <v>2.5</v>
      </c>
      <c r="L420" s="2">
        <v>5.5</v>
      </c>
      <c r="M420" s="2">
        <v>0.44900000000000001</v>
      </c>
      <c r="N420" s="2">
        <v>1.3</v>
      </c>
      <c r="O420" s="2">
        <v>3</v>
      </c>
      <c r="P420" s="2">
        <v>0.44900000000000001</v>
      </c>
      <c r="Q420" s="2">
        <v>0.59399999999999997</v>
      </c>
      <c r="R420" s="2">
        <v>0.7</v>
      </c>
      <c r="S420" s="2">
        <v>0.9</v>
      </c>
      <c r="T420" s="2">
        <v>0.76200000000000001</v>
      </c>
      <c r="U420" s="2">
        <v>1.3</v>
      </c>
      <c r="V420" s="2">
        <v>4.8</v>
      </c>
      <c r="W420" s="2">
        <v>6.1</v>
      </c>
      <c r="X420" s="2">
        <v>2</v>
      </c>
      <c r="Y420" s="2">
        <v>1</v>
      </c>
      <c r="Z420" s="2">
        <v>0.6</v>
      </c>
      <c r="AA420" s="2">
        <v>1</v>
      </c>
      <c r="AB420" s="2">
        <v>2.2999999999999998</v>
      </c>
      <c r="AC420" s="2">
        <v>10.8</v>
      </c>
      <c r="AD420" s="2"/>
    </row>
    <row r="421" spans="1:30" x14ac:dyDescent="0.2">
      <c r="A421" t="s">
        <v>197</v>
      </c>
      <c r="B421" s="2">
        <v>32</v>
      </c>
      <c r="C421" t="s">
        <v>51</v>
      </c>
      <c r="D421" s="2" t="s">
        <v>42</v>
      </c>
      <c r="E421" s="2">
        <v>23</v>
      </c>
      <c r="F421" s="2">
        <v>23</v>
      </c>
      <c r="G421" s="2">
        <v>34.299999999999997</v>
      </c>
      <c r="H421" s="2">
        <v>3.9</v>
      </c>
      <c r="I421" s="2">
        <v>6</v>
      </c>
      <c r="J421" s="2">
        <v>0.64700000000000002</v>
      </c>
      <c r="K421" s="2">
        <v>0</v>
      </c>
      <c r="L421" s="2">
        <v>0</v>
      </c>
      <c r="M421" s="2"/>
      <c r="N421" s="2">
        <v>3.9</v>
      </c>
      <c r="O421" s="2">
        <v>6</v>
      </c>
      <c r="P421" s="2">
        <v>0.64700000000000002</v>
      </c>
      <c r="Q421" s="2">
        <v>0.64700000000000002</v>
      </c>
      <c r="R421" s="2">
        <v>2.7</v>
      </c>
      <c r="S421" s="2">
        <v>3.5</v>
      </c>
      <c r="T421" s="2">
        <v>0.78800000000000003</v>
      </c>
      <c r="U421" s="2">
        <v>3.3</v>
      </c>
      <c r="V421" s="2">
        <v>7.7</v>
      </c>
      <c r="W421" s="2">
        <v>11</v>
      </c>
      <c r="X421" s="2">
        <v>2</v>
      </c>
      <c r="Y421" s="2">
        <v>0.7</v>
      </c>
      <c r="Z421" s="2">
        <v>1.5</v>
      </c>
      <c r="AA421" s="2">
        <v>1.7</v>
      </c>
      <c r="AB421" s="2">
        <v>2.9</v>
      </c>
      <c r="AC421" s="2">
        <v>10.6</v>
      </c>
      <c r="AD421" s="2"/>
    </row>
    <row r="422" spans="1:30" x14ac:dyDescent="0.2">
      <c r="A422" t="s">
        <v>202</v>
      </c>
      <c r="B422" s="2">
        <v>26</v>
      </c>
      <c r="C422" t="s">
        <v>41</v>
      </c>
      <c r="D422" s="2" t="s">
        <v>27</v>
      </c>
      <c r="E422" s="2">
        <v>19</v>
      </c>
      <c r="F422" s="2">
        <v>19</v>
      </c>
      <c r="G422" s="2">
        <v>32.4</v>
      </c>
      <c r="H422" s="2">
        <v>4.7</v>
      </c>
      <c r="I422" s="2">
        <v>9.5</v>
      </c>
      <c r="J422" s="2">
        <v>0.5</v>
      </c>
      <c r="K422" s="2">
        <v>1.6</v>
      </c>
      <c r="L422" s="2">
        <v>3.5</v>
      </c>
      <c r="M422" s="2">
        <v>0.46300000000000002</v>
      </c>
      <c r="N422" s="2">
        <v>3.1</v>
      </c>
      <c r="O422" s="2">
        <v>5.9</v>
      </c>
      <c r="P422" s="2">
        <v>0.52200000000000002</v>
      </c>
      <c r="Q422" s="2">
        <v>0.58599999999999997</v>
      </c>
      <c r="R422" s="2">
        <v>1.5</v>
      </c>
      <c r="S422" s="2">
        <v>1.8</v>
      </c>
      <c r="T422" s="2">
        <v>0.85299999999999998</v>
      </c>
      <c r="U422" s="2">
        <v>1.8</v>
      </c>
      <c r="V422" s="2">
        <v>3.5</v>
      </c>
      <c r="W422" s="2">
        <v>5.4</v>
      </c>
      <c r="X422" s="2">
        <v>1.7</v>
      </c>
      <c r="Y422" s="2">
        <v>1</v>
      </c>
      <c r="Z422" s="2">
        <v>0.6</v>
      </c>
      <c r="AA422" s="2">
        <v>0.6</v>
      </c>
      <c r="AB422" s="2">
        <v>1.9</v>
      </c>
      <c r="AC422" s="2">
        <v>12.6</v>
      </c>
      <c r="AD422" s="2"/>
    </row>
    <row r="423" spans="1:30" x14ac:dyDescent="0.2">
      <c r="A423" t="s">
        <v>191</v>
      </c>
      <c r="B423" s="2">
        <v>36</v>
      </c>
      <c r="C423" t="s">
        <v>46</v>
      </c>
      <c r="D423" s="2" t="s">
        <v>33</v>
      </c>
      <c r="E423" s="2">
        <v>22</v>
      </c>
      <c r="F423" s="2">
        <v>5</v>
      </c>
      <c r="G423" s="2">
        <v>24.8</v>
      </c>
      <c r="H423" s="2">
        <v>3.9</v>
      </c>
      <c r="I423" s="2">
        <v>9.6999999999999993</v>
      </c>
      <c r="J423" s="2">
        <v>0.39900000000000002</v>
      </c>
      <c r="K423" s="2">
        <v>1.3</v>
      </c>
      <c r="L423" s="2">
        <v>3.6</v>
      </c>
      <c r="M423" s="2">
        <v>0.35</v>
      </c>
      <c r="N423" s="2">
        <v>2.6</v>
      </c>
      <c r="O423" s="2">
        <v>6</v>
      </c>
      <c r="P423" s="2">
        <v>0.42899999999999999</v>
      </c>
      <c r="Q423" s="2">
        <v>0.46500000000000002</v>
      </c>
      <c r="R423" s="2">
        <v>2.2999999999999998</v>
      </c>
      <c r="S423" s="2">
        <v>3.6</v>
      </c>
      <c r="T423" s="2">
        <v>0.63800000000000001</v>
      </c>
      <c r="U423" s="2">
        <v>0.8</v>
      </c>
      <c r="V423" s="2">
        <v>3.2</v>
      </c>
      <c r="W423" s="2">
        <v>4</v>
      </c>
      <c r="X423" s="2">
        <v>6.4</v>
      </c>
      <c r="Y423" s="2">
        <v>1.5</v>
      </c>
      <c r="Z423" s="2">
        <v>0.6</v>
      </c>
      <c r="AA423" s="2">
        <v>2.4</v>
      </c>
      <c r="AB423" s="2">
        <v>2.5</v>
      </c>
      <c r="AC423" s="2">
        <v>11.3</v>
      </c>
      <c r="AD423" s="2"/>
    </row>
    <row r="424" spans="1:30" x14ac:dyDescent="0.2">
      <c r="A424" t="s">
        <v>318</v>
      </c>
      <c r="B424" s="2">
        <v>22</v>
      </c>
      <c r="C424" t="s">
        <v>54</v>
      </c>
      <c r="D424" s="2" t="s">
        <v>49</v>
      </c>
      <c r="E424" s="2">
        <v>19</v>
      </c>
      <c r="F424" s="2">
        <v>9</v>
      </c>
      <c r="G424" s="2">
        <v>17.8</v>
      </c>
      <c r="H424" s="2">
        <v>2.4</v>
      </c>
      <c r="I424" s="2">
        <v>5.8</v>
      </c>
      <c r="J424" s="2">
        <v>0.40899999999999997</v>
      </c>
      <c r="K424" s="2">
        <v>1.2</v>
      </c>
      <c r="L424" s="2">
        <v>3.7</v>
      </c>
      <c r="M424" s="2">
        <v>0.31</v>
      </c>
      <c r="N424" s="2">
        <v>1.2</v>
      </c>
      <c r="O424" s="2">
        <v>2.1</v>
      </c>
      <c r="P424" s="2">
        <v>0.59</v>
      </c>
      <c r="Q424" s="2">
        <v>0.50900000000000001</v>
      </c>
      <c r="R424" s="2">
        <v>0.1</v>
      </c>
      <c r="S424" s="2">
        <v>0.4</v>
      </c>
      <c r="T424" s="2">
        <v>0.25</v>
      </c>
      <c r="U424" s="2">
        <v>0.6</v>
      </c>
      <c r="V424" s="2">
        <v>2.1</v>
      </c>
      <c r="W424" s="2">
        <v>2.7</v>
      </c>
      <c r="X424" s="2">
        <v>0.8</v>
      </c>
      <c r="Y424" s="2">
        <v>0.5</v>
      </c>
      <c r="Z424" s="2">
        <v>0.5</v>
      </c>
      <c r="AA424" s="2">
        <v>0.5</v>
      </c>
      <c r="AB424" s="2">
        <v>2.5</v>
      </c>
      <c r="AC424" s="2">
        <v>6</v>
      </c>
      <c r="AD424" s="2"/>
    </row>
    <row r="425" spans="1:30" x14ac:dyDescent="0.2">
      <c r="A425" t="s">
        <v>439</v>
      </c>
      <c r="B425" s="2">
        <v>22</v>
      </c>
      <c r="C425" t="s">
        <v>35</v>
      </c>
      <c r="D425" s="2" t="s">
        <v>33</v>
      </c>
      <c r="E425" s="2">
        <v>11</v>
      </c>
      <c r="F425" s="2">
        <v>1</v>
      </c>
      <c r="G425" s="2">
        <v>6.5</v>
      </c>
      <c r="H425" s="2">
        <v>0.9</v>
      </c>
      <c r="I425" s="2">
        <v>2.2999999999999998</v>
      </c>
      <c r="J425" s="2">
        <v>0.4</v>
      </c>
      <c r="K425" s="2">
        <v>0.5</v>
      </c>
      <c r="L425" s="2">
        <v>1.1000000000000001</v>
      </c>
      <c r="M425" s="2">
        <v>0.5</v>
      </c>
      <c r="N425" s="2">
        <v>0.4</v>
      </c>
      <c r="O425" s="2">
        <v>1.2</v>
      </c>
      <c r="P425" s="2">
        <v>0.308</v>
      </c>
      <c r="Q425" s="2">
        <v>0.52</v>
      </c>
      <c r="R425" s="2">
        <v>0.5</v>
      </c>
      <c r="S425" s="2">
        <v>0.5</v>
      </c>
      <c r="T425" s="2">
        <v>0.83299999999999996</v>
      </c>
      <c r="U425" s="2">
        <v>0.3</v>
      </c>
      <c r="V425" s="2">
        <v>0.7</v>
      </c>
      <c r="W425" s="2">
        <v>1</v>
      </c>
      <c r="X425" s="2">
        <v>0.8</v>
      </c>
      <c r="Y425" s="2">
        <v>0.6</v>
      </c>
      <c r="Z425" s="2">
        <v>0.4</v>
      </c>
      <c r="AA425" s="2">
        <v>0.6</v>
      </c>
      <c r="AB425" s="2">
        <v>0.9</v>
      </c>
      <c r="AC425" s="2">
        <v>2.8</v>
      </c>
      <c r="AD425" s="2"/>
    </row>
    <row r="426" spans="1:30" x14ac:dyDescent="0.2">
      <c r="A426" t="s">
        <v>262</v>
      </c>
      <c r="B426" s="2">
        <v>27</v>
      </c>
      <c r="C426" t="s">
        <v>39</v>
      </c>
      <c r="D426" s="2" t="s">
        <v>27</v>
      </c>
      <c r="E426" s="2">
        <v>20</v>
      </c>
      <c r="F426" s="2">
        <v>2</v>
      </c>
      <c r="G426" s="2">
        <v>22.2</v>
      </c>
      <c r="H426" s="2">
        <v>3.1</v>
      </c>
      <c r="I426" s="2">
        <v>7.1</v>
      </c>
      <c r="J426" s="2">
        <v>0.44</v>
      </c>
      <c r="K426" s="2">
        <v>2.2000000000000002</v>
      </c>
      <c r="L426" s="2">
        <v>5.9</v>
      </c>
      <c r="M426" s="2">
        <v>0.36799999999999999</v>
      </c>
      <c r="N426" s="2">
        <v>1</v>
      </c>
      <c r="O426" s="2">
        <v>1.2</v>
      </c>
      <c r="P426" s="2">
        <v>0.79200000000000004</v>
      </c>
      <c r="Q426" s="2">
        <v>0.59199999999999997</v>
      </c>
      <c r="R426" s="2">
        <v>0.1</v>
      </c>
      <c r="S426" s="2">
        <v>0.1</v>
      </c>
      <c r="T426" s="2">
        <v>1</v>
      </c>
      <c r="U426" s="2">
        <v>0.8</v>
      </c>
      <c r="V426" s="2">
        <v>2.6</v>
      </c>
      <c r="W426" s="2">
        <v>3.4</v>
      </c>
      <c r="X426" s="2">
        <v>1.1000000000000001</v>
      </c>
      <c r="Y426" s="2">
        <v>0.8</v>
      </c>
      <c r="Z426" s="2">
        <v>0.3</v>
      </c>
      <c r="AA426" s="2">
        <v>0.4</v>
      </c>
      <c r="AB426" s="2">
        <v>1.3</v>
      </c>
      <c r="AC426" s="2">
        <v>8.5</v>
      </c>
      <c r="AD426" s="2"/>
    </row>
    <row r="427" spans="1:30" x14ac:dyDescent="0.2">
      <c r="A427" t="s">
        <v>281</v>
      </c>
      <c r="B427" s="2">
        <v>28</v>
      </c>
      <c r="C427" t="s">
        <v>57</v>
      </c>
      <c r="D427" s="2" t="s">
        <v>52</v>
      </c>
      <c r="E427" s="2">
        <v>21</v>
      </c>
      <c r="F427" s="2">
        <v>1</v>
      </c>
      <c r="G427" s="2">
        <v>19.899999999999999</v>
      </c>
      <c r="H427" s="2">
        <v>2.4</v>
      </c>
      <c r="I427" s="2">
        <v>6</v>
      </c>
      <c r="J427" s="2">
        <v>0.39700000000000002</v>
      </c>
      <c r="K427" s="2">
        <v>1.8</v>
      </c>
      <c r="L427" s="2">
        <v>5.2</v>
      </c>
      <c r="M427" s="2">
        <v>0.34899999999999998</v>
      </c>
      <c r="N427" s="2">
        <v>0.6</v>
      </c>
      <c r="O427" s="2">
        <v>0.8</v>
      </c>
      <c r="P427" s="2">
        <v>0.70599999999999996</v>
      </c>
      <c r="Q427" s="2">
        <v>0.54800000000000004</v>
      </c>
      <c r="R427" s="2">
        <v>0.5</v>
      </c>
      <c r="S427" s="2">
        <v>0.6</v>
      </c>
      <c r="T427" s="2">
        <v>0.91700000000000004</v>
      </c>
      <c r="U427" s="2">
        <v>0.3</v>
      </c>
      <c r="V427" s="2">
        <v>1.5</v>
      </c>
      <c r="W427" s="2">
        <v>1.8</v>
      </c>
      <c r="X427" s="2">
        <v>1.7</v>
      </c>
      <c r="Y427" s="2">
        <v>0.6</v>
      </c>
      <c r="Z427" s="2">
        <v>0.2</v>
      </c>
      <c r="AA427" s="2">
        <v>0.5</v>
      </c>
      <c r="AB427" s="2">
        <v>2</v>
      </c>
      <c r="AC427" s="2">
        <v>7.1</v>
      </c>
      <c r="AD427" s="2"/>
    </row>
    <row r="428" spans="1:30" x14ac:dyDescent="0.2">
      <c r="A428" t="s">
        <v>360</v>
      </c>
      <c r="B428" s="2">
        <v>25</v>
      </c>
      <c r="C428" t="s">
        <v>93</v>
      </c>
      <c r="D428" s="2" t="s">
        <v>27</v>
      </c>
      <c r="E428" s="2">
        <v>17</v>
      </c>
      <c r="F428" s="2">
        <v>0</v>
      </c>
      <c r="G428" s="2">
        <v>9.4</v>
      </c>
      <c r="H428" s="2">
        <v>1.7</v>
      </c>
      <c r="I428" s="2">
        <v>3</v>
      </c>
      <c r="J428" s="2">
        <v>0.56899999999999995</v>
      </c>
      <c r="K428" s="2">
        <v>0.9</v>
      </c>
      <c r="L428" s="2">
        <v>2.1</v>
      </c>
      <c r="M428" s="2">
        <v>0.45700000000000002</v>
      </c>
      <c r="N428" s="2">
        <v>0.8</v>
      </c>
      <c r="O428" s="2">
        <v>0.9</v>
      </c>
      <c r="P428" s="2">
        <v>0.81299999999999994</v>
      </c>
      <c r="Q428" s="2">
        <v>0.72499999999999998</v>
      </c>
      <c r="R428" s="2">
        <v>0.6</v>
      </c>
      <c r="S428" s="2">
        <v>0.9</v>
      </c>
      <c r="T428" s="2">
        <v>0.73299999999999998</v>
      </c>
      <c r="U428" s="2">
        <v>0.6</v>
      </c>
      <c r="V428" s="2">
        <v>2.2999999999999998</v>
      </c>
      <c r="W428" s="2">
        <v>2.9</v>
      </c>
      <c r="X428" s="2">
        <v>0.4</v>
      </c>
      <c r="Y428" s="2">
        <v>0.2</v>
      </c>
      <c r="Z428" s="2">
        <v>0.3</v>
      </c>
      <c r="AA428" s="2">
        <v>0.5</v>
      </c>
      <c r="AB428" s="2">
        <v>0.6</v>
      </c>
      <c r="AC428" s="2">
        <v>5</v>
      </c>
      <c r="AD428" s="2"/>
    </row>
    <row r="429" spans="1:30" x14ac:dyDescent="0.2">
      <c r="A429" t="s">
        <v>145</v>
      </c>
      <c r="B429" s="2">
        <v>24</v>
      </c>
      <c r="C429" t="s">
        <v>80</v>
      </c>
      <c r="D429" s="2" t="s">
        <v>27</v>
      </c>
      <c r="E429" s="2">
        <v>25</v>
      </c>
      <c r="F429" s="2">
        <v>11</v>
      </c>
      <c r="G429" s="2">
        <v>26.9</v>
      </c>
      <c r="H429" s="2">
        <v>5.4</v>
      </c>
      <c r="I429" s="2">
        <v>10.199999999999999</v>
      </c>
      <c r="J429" s="2">
        <v>0.52500000000000002</v>
      </c>
      <c r="K429" s="2">
        <v>1.6</v>
      </c>
      <c r="L429" s="2">
        <v>4.2</v>
      </c>
      <c r="M429" s="2">
        <v>0.375</v>
      </c>
      <c r="N429" s="2">
        <v>3.8</v>
      </c>
      <c r="O429" s="2">
        <v>6</v>
      </c>
      <c r="P429" s="2">
        <v>0.629</v>
      </c>
      <c r="Q429" s="2">
        <v>0.60199999999999998</v>
      </c>
      <c r="R429" s="2">
        <v>1</v>
      </c>
      <c r="S429" s="2">
        <v>1.2</v>
      </c>
      <c r="T429" s="2">
        <v>0.77400000000000002</v>
      </c>
      <c r="U429" s="2">
        <v>1.7</v>
      </c>
      <c r="V429" s="2">
        <v>5.8</v>
      </c>
      <c r="W429" s="2">
        <v>7.5</v>
      </c>
      <c r="X429" s="2">
        <v>3.2</v>
      </c>
      <c r="Y429" s="2">
        <v>0.9</v>
      </c>
      <c r="Z429" s="2">
        <v>0.5</v>
      </c>
      <c r="AA429" s="2">
        <v>1.3</v>
      </c>
      <c r="AB429" s="2">
        <v>1.2</v>
      </c>
      <c r="AC429" s="2">
        <v>13.2</v>
      </c>
      <c r="AD429" s="2"/>
    </row>
    <row r="430" spans="1:30" x14ac:dyDescent="0.2">
      <c r="A430" t="s">
        <v>231</v>
      </c>
      <c r="B430" s="2">
        <v>20</v>
      </c>
      <c r="C430" t="s">
        <v>135</v>
      </c>
      <c r="D430" s="2" t="s">
        <v>33</v>
      </c>
      <c r="E430" s="2">
        <v>17</v>
      </c>
      <c r="F430" s="2">
        <v>3</v>
      </c>
      <c r="G430" s="2">
        <v>26.2</v>
      </c>
      <c r="H430" s="2">
        <v>4.2</v>
      </c>
      <c r="I430" s="2">
        <v>10.1</v>
      </c>
      <c r="J430" s="2">
        <v>0.41899999999999998</v>
      </c>
      <c r="K430" s="2">
        <v>1</v>
      </c>
      <c r="L430" s="2">
        <v>3.1</v>
      </c>
      <c r="M430" s="2">
        <v>0.32100000000000001</v>
      </c>
      <c r="N430" s="2">
        <v>3.2</v>
      </c>
      <c r="O430" s="2">
        <v>7</v>
      </c>
      <c r="P430" s="2">
        <v>0.46200000000000002</v>
      </c>
      <c r="Q430" s="2">
        <v>0.46800000000000003</v>
      </c>
      <c r="R430" s="2">
        <v>2.2999999999999998</v>
      </c>
      <c r="S430" s="2">
        <v>2.9</v>
      </c>
      <c r="T430" s="2">
        <v>0.78</v>
      </c>
      <c r="U430" s="2">
        <v>0.7</v>
      </c>
      <c r="V430" s="2">
        <v>2.1</v>
      </c>
      <c r="W430" s="2">
        <v>2.8</v>
      </c>
      <c r="X430" s="2">
        <v>5.0999999999999996</v>
      </c>
      <c r="Y430" s="2">
        <v>0.9</v>
      </c>
      <c r="Z430" s="2">
        <v>0.1</v>
      </c>
      <c r="AA430" s="2">
        <v>3.1</v>
      </c>
      <c r="AB430" s="2">
        <v>2.5</v>
      </c>
      <c r="AC430" s="2">
        <v>11.8</v>
      </c>
      <c r="AD430" s="2"/>
    </row>
    <row r="431" spans="1:30" x14ac:dyDescent="0.2">
      <c r="A431" t="s">
        <v>167</v>
      </c>
      <c r="B431" s="2">
        <v>23</v>
      </c>
      <c r="C431" t="s">
        <v>66</v>
      </c>
      <c r="D431" s="2" t="s">
        <v>27</v>
      </c>
      <c r="E431" s="2">
        <v>14</v>
      </c>
      <c r="F431" s="2">
        <v>14</v>
      </c>
      <c r="G431" s="2">
        <v>33.200000000000003</v>
      </c>
      <c r="H431" s="2">
        <v>7.6</v>
      </c>
      <c r="I431" s="2">
        <v>16.399999999999999</v>
      </c>
      <c r="J431" s="2">
        <v>0.46100000000000002</v>
      </c>
      <c r="K431" s="2">
        <v>1.9</v>
      </c>
      <c r="L431" s="2">
        <v>6</v>
      </c>
      <c r="M431" s="2">
        <v>0.31</v>
      </c>
      <c r="N431" s="2">
        <v>5.7</v>
      </c>
      <c r="O431" s="2">
        <v>10.4</v>
      </c>
      <c r="P431" s="2">
        <v>0.54800000000000004</v>
      </c>
      <c r="Q431" s="2">
        <v>0.51700000000000002</v>
      </c>
      <c r="R431" s="2">
        <v>3.6</v>
      </c>
      <c r="S431" s="2">
        <v>4.9000000000000004</v>
      </c>
      <c r="T431" s="2">
        <v>0.72499999999999998</v>
      </c>
      <c r="U431" s="2">
        <v>2.1</v>
      </c>
      <c r="V431" s="2">
        <v>6.4</v>
      </c>
      <c r="W431" s="2">
        <v>8.4</v>
      </c>
      <c r="X431" s="2">
        <v>7.4</v>
      </c>
      <c r="Y431" s="2">
        <v>1.3</v>
      </c>
      <c r="Z431" s="2">
        <v>0.7</v>
      </c>
      <c r="AA431" s="2">
        <v>3.6</v>
      </c>
      <c r="AB431" s="2">
        <v>1.9</v>
      </c>
      <c r="AC431" s="2">
        <v>20.6</v>
      </c>
      <c r="AD431" s="2"/>
    </row>
    <row r="432" spans="1:30" x14ac:dyDescent="0.2">
      <c r="A432" t="s">
        <v>181</v>
      </c>
      <c r="B432" s="2">
        <v>24</v>
      </c>
      <c r="C432" t="s">
        <v>80</v>
      </c>
      <c r="D432" s="2" t="s">
        <v>33</v>
      </c>
      <c r="E432" s="2">
        <v>25</v>
      </c>
      <c r="F432" s="2">
        <v>10</v>
      </c>
      <c r="G432" s="2">
        <v>23.3</v>
      </c>
      <c r="H432" s="2">
        <v>4.0999999999999996</v>
      </c>
      <c r="I432" s="2">
        <v>8.6999999999999993</v>
      </c>
      <c r="J432" s="2">
        <v>0.47199999999999998</v>
      </c>
      <c r="K432" s="2">
        <v>1</v>
      </c>
      <c r="L432" s="2">
        <v>2.9</v>
      </c>
      <c r="M432" s="2">
        <v>0.33300000000000002</v>
      </c>
      <c r="N432" s="2">
        <v>3.2</v>
      </c>
      <c r="O432" s="2">
        <v>5.8</v>
      </c>
      <c r="P432" s="2">
        <v>0.54100000000000004</v>
      </c>
      <c r="Q432" s="2">
        <v>0.52800000000000002</v>
      </c>
      <c r="R432" s="2">
        <v>1.5</v>
      </c>
      <c r="S432" s="2">
        <v>2.1</v>
      </c>
      <c r="T432" s="2">
        <v>0.71699999999999997</v>
      </c>
      <c r="U432" s="2">
        <v>0.6</v>
      </c>
      <c r="V432" s="2">
        <v>3</v>
      </c>
      <c r="W432" s="2">
        <v>3.6</v>
      </c>
      <c r="X432" s="2">
        <v>5.4</v>
      </c>
      <c r="Y432" s="2">
        <v>1.1000000000000001</v>
      </c>
      <c r="Z432" s="2">
        <v>0.3</v>
      </c>
      <c r="AA432" s="2">
        <v>2</v>
      </c>
      <c r="AB432" s="2">
        <v>2.5</v>
      </c>
      <c r="AC432" s="2">
        <v>10.7</v>
      </c>
      <c r="AD432" s="2"/>
    </row>
    <row r="433" spans="1:30" x14ac:dyDescent="0.2">
      <c r="A433" t="s">
        <v>323</v>
      </c>
      <c r="B433" s="2">
        <v>34</v>
      </c>
      <c r="C433" t="s">
        <v>59</v>
      </c>
      <c r="D433" s="2" t="s">
        <v>52</v>
      </c>
      <c r="E433" s="2">
        <v>23</v>
      </c>
      <c r="F433" s="2">
        <v>4</v>
      </c>
      <c r="G433" s="2">
        <v>12.4</v>
      </c>
      <c r="H433" s="2">
        <v>1.8</v>
      </c>
      <c r="I433" s="2">
        <v>3.7</v>
      </c>
      <c r="J433" s="2">
        <v>0.47699999999999998</v>
      </c>
      <c r="K433" s="2">
        <v>0.9</v>
      </c>
      <c r="L433" s="2">
        <v>2</v>
      </c>
      <c r="M433" s="2">
        <v>0.44400000000000001</v>
      </c>
      <c r="N433" s="2">
        <v>0.9</v>
      </c>
      <c r="O433" s="2">
        <v>1.8</v>
      </c>
      <c r="P433" s="2">
        <v>0.51200000000000001</v>
      </c>
      <c r="Q433" s="2">
        <v>0.59299999999999997</v>
      </c>
      <c r="R433" s="2">
        <v>0.4</v>
      </c>
      <c r="S433" s="2">
        <v>0.5</v>
      </c>
      <c r="T433" s="2">
        <v>0.81799999999999995</v>
      </c>
      <c r="U433" s="2">
        <v>0.4</v>
      </c>
      <c r="V433" s="2">
        <v>1</v>
      </c>
      <c r="W433" s="2">
        <v>1.3</v>
      </c>
      <c r="X433" s="2">
        <v>0.3</v>
      </c>
      <c r="Y433" s="2">
        <v>0.4</v>
      </c>
      <c r="Z433" s="2">
        <v>0.2</v>
      </c>
      <c r="AA433" s="2">
        <v>0.3</v>
      </c>
      <c r="AB433" s="2">
        <v>1</v>
      </c>
      <c r="AC433" s="2">
        <v>4.8</v>
      </c>
      <c r="AD433" s="2"/>
    </row>
    <row r="434" spans="1:30" x14ac:dyDescent="0.2">
      <c r="A434" t="s">
        <v>174</v>
      </c>
      <c r="B434" s="2">
        <v>21</v>
      </c>
      <c r="C434" t="s">
        <v>135</v>
      </c>
      <c r="D434" s="2" t="s">
        <v>52</v>
      </c>
      <c r="E434" s="2">
        <v>16</v>
      </c>
      <c r="F434" s="2">
        <v>14</v>
      </c>
      <c r="G434" s="2">
        <v>30.6</v>
      </c>
      <c r="H434" s="2">
        <v>6.2</v>
      </c>
      <c r="I434" s="2">
        <v>14.3</v>
      </c>
      <c r="J434" s="2">
        <v>0.432</v>
      </c>
      <c r="K434" s="2">
        <v>1.8</v>
      </c>
      <c r="L434" s="2">
        <v>6.2</v>
      </c>
      <c r="M434" s="2">
        <v>0.28299999999999997</v>
      </c>
      <c r="N434" s="2">
        <v>4.4000000000000004</v>
      </c>
      <c r="O434" s="2">
        <v>8.1</v>
      </c>
      <c r="P434" s="2">
        <v>0.54600000000000004</v>
      </c>
      <c r="Q434" s="2">
        <v>0.49299999999999999</v>
      </c>
      <c r="R434" s="2">
        <v>3.3</v>
      </c>
      <c r="S434" s="2">
        <v>4.0999999999999996</v>
      </c>
      <c r="T434" s="2">
        <v>0.8</v>
      </c>
      <c r="U434" s="2">
        <v>0.8</v>
      </c>
      <c r="V434" s="2">
        <v>2.6</v>
      </c>
      <c r="W434" s="2">
        <v>3.3</v>
      </c>
      <c r="X434" s="2">
        <v>2.4</v>
      </c>
      <c r="Y434" s="2">
        <v>0.8</v>
      </c>
      <c r="Z434" s="2">
        <v>0.2</v>
      </c>
      <c r="AA434" s="2">
        <v>2</v>
      </c>
      <c r="AB434" s="2">
        <v>1.8</v>
      </c>
      <c r="AC434" s="2">
        <v>17.399999999999999</v>
      </c>
      <c r="AD434" s="2"/>
    </row>
    <row r="435" spans="1:30" x14ac:dyDescent="0.2">
      <c r="A435" t="s">
        <v>31</v>
      </c>
      <c r="B435" s="2">
        <v>26</v>
      </c>
      <c r="C435" t="s">
        <v>32</v>
      </c>
      <c r="D435" s="2" t="s">
        <v>33</v>
      </c>
      <c r="E435" s="2">
        <v>24</v>
      </c>
      <c r="F435" s="2">
        <v>24</v>
      </c>
      <c r="G435" s="2">
        <v>34.299999999999997</v>
      </c>
      <c r="H435" s="2">
        <v>10.6</v>
      </c>
      <c r="I435" s="2">
        <v>20.6</v>
      </c>
      <c r="J435" s="2">
        <v>0.51500000000000001</v>
      </c>
      <c r="K435" s="2">
        <v>2.1</v>
      </c>
      <c r="L435" s="2">
        <v>6.3</v>
      </c>
      <c r="M435" s="2">
        <v>0.34</v>
      </c>
      <c r="N435" s="2">
        <v>8.5</v>
      </c>
      <c r="O435" s="2">
        <v>14.4</v>
      </c>
      <c r="P435" s="2">
        <v>0.59099999999999997</v>
      </c>
      <c r="Q435" s="2">
        <v>0.56699999999999995</v>
      </c>
      <c r="R435" s="2">
        <v>6.8</v>
      </c>
      <c r="S435" s="2">
        <v>8</v>
      </c>
      <c r="T435" s="2">
        <v>0.85899999999999999</v>
      </c>
      <c r="U435" s="2">
        <v>0.8</v>
      </c>
      <c r="V435" s="2">
        <v>4.5</v>
      </c>
      <c r="W435" s="2">
        <v>5.4</v>
      </c>
      <c r="X435" s="2">
        <v>6.3</v>
      </c>
      <c r="Y435" s="2">
        <v>1.8</v>
      </c>
      <c r="Z435" s="2">
        <v>1</v>
      </c>
      <c r="AA435" s="2">
        <v>2.7</v>
      </c>
      <c r="AB435" s="2">
        <v>2.2000000000000002</v>
      </c>
      <c r="AC435" s="2">
        <v>30.2</v>
      </c>
      <c r="AD435" s="2"/>
    </row>
    <row r="436" spans="1:30" x14ac:dyDescent="0.2">
      <c r="A436" t="s">
        <v>316</v>
      </c>
      <c r="B436" s="2">
        <v>28</v>
      </c>
      <c r="C436" t="s">
        <v>103</v>
      </c>
      <c r="D436" s="2" t="s">
        <v>52</v>
      </c>
      <c r="E436" s="2">
        <v>20</v>
      </c>
      <c r="F436" s="2">
        <v>0</v>
      </c>
      <c r="G436" s="2">
        <v>16.399999999999999</v>
      </c>
      <c r="H436" s="2">
        <v>2.2000000000000002</v>
      </c>
      <c r="I436" s="2">
        <v>4.7</v>
      </c>
      <c r="J436" s="2">
        <v>0.47299999999999998</v>
      </c>
      <c r="K436" s="2">
        <v>1</v>
      </c>
      <c r="L436" s="2">
        <v>2.2999999999999998</v>
      </c>
      <c r="M436" s="2">
        <v>0.42199999999999999</v>
      </c>
      <c r="N436" s="2">
        <v>1.3</v>
      </c>
      <c r="O436" s="2">
        <v>2.4</v>
      </c>
      <c r="P436" s="2">
        <v>0.52100000000000002</v>
      </c>
      <c r="Q436" s="2">
        <v>0.57499999999999996</v>
      </c>
      <c r="R436" s="2">
        <v>0.6</v>
      </c>
      <c r="S436" s="2">
        <v>0.9</v>
      </c>
      <c r="T436" s="2">
        <v>0.70599999999999996</v>
      </c>
      <c r="U436" s="2">
        <v>0.5</v>
      </c>
      <c r="V436" s="2">
        <v>1.1000000000000001</v>
      </c>
      <c r="W436" s="2">
        <v>1.5</v>
      </c>
      <c r="X436" s="2">
        <v>2.1</v>
      </c>
      <c r="Y436" s="2">
        <v>0.4</v>
      </c>
      <c r="Z436" s="2">
        <v>0.1</v>
      </c>
      <c r="AA436" s="2">
        <v>0.7</v>
      </c>
      <c r="AB436" s="2">
        <v>1.2</v>
      </c>
      <c r="AC436" s="2">
        <v>6</v>
      </c>
      <c r="AD436" s="2"/>
    </row>
    <row r="437" spans="1:30" x14ac:dyDescent="0.2">
      <c r="A437" t="s">
        <v>517</v>
      </c>
      <c r="B437" s="2">
        <v>20</v>
      </c>
      <c r="C437" t="s">
        <v>93</v>
      </c>
      <c r="D437" s="2" t="s">
        <v>49</v>
      </c>
      <c r="E437" s="2">
        <v>10</v>
      </c>
      <c r="F437" s="2">
        <v>0</v>
      </c>
      <c r="G437" s="2">
        <v>3</v>
      </c>
      <c r="H437" s="2">
        <v>0.2</v>
      </c>
      <c r="I437" s="2">
        <v>0.7</v>
      </c>
      <c r="J437" s="2">
        <v>0.28599999999999998</v>
      </c>
      <c r="K437" s="2">
        <v>0.1</v>
      </c>
      <c r="L437" s="2">
        <v>0.2</v>
      </c>
      <c r="M437" s="2">
        <v>0.5</v>
      </c>
      <c r="N437" s="2">
        <v>0.1</v>
      </c>
      <c r="O437" s="2">
        <v>0.5</v>
      </c>
      <c r="P437" s="2">
        <v>0.2</v>
      </c>
      <c r="Q437" s="2">
        <v>0.35699999999999998</v>
      </c>
      <c r="R437" s="2">
        <v>0</v>
      </c>
      <c r="S437" s="2">
        <v>0.4</v>
      </c>
      <c r="T437" s="2">
        <v>0</v>
      </c>
      <c r="U437" s="2">
        <v>0.2</v>
      </c>
      <c r="V437" s="2">
        <v>0.6</v>
      </c>
      <c r="W437" s="2">
        <v>0.8</v>
      </c>
      <c r="X437" s="2">
        <v>0.5</v>
      </c>
      <c r="Y437" s="2">
        <v>0</v>
      </c>
      <c r="Z437" s="2">
        <v>0</v>
      </c>
      <c r="AA437" s="2">
        <v>0.1</v>
      </c>
      <c r="AB437" s="2">
        <v>0.4</v>
      </c>
      <c r="AC437" s="2">
        <v>0.5</v>
      </c>
      <c r="AD437" s="2"/>
    </row>
    <row r="438" spans="1:30" x14ac:dyDescent="0.2">
      <c r="A438" t="s">
        <v>278</v>
      </c>
      <c r="B438" s="2">
        <v>29</v>
      </c>
      <c r="C438" t="s">
        <v>75</v>
      </c>
      <c r="D438" s="2" t="s">
        <v>49</v>
      </c>
      <c r="E438" s="2">
        <v>24</v>
      </c>
      <c r="F438" s="2">
        <v>0</v>
      </c>
      <c r="G438" s="2">
        <v>18</v>
      </c>
      <c r="H438" s="2">
        <v>2</v>
      </c>
      <c r="I438" s="2">
        <v>5.2</v>
      </c>
      <c r="J438" s="2">
        <v>0.39500000000000002</v>
      </c>
      <c r="K438" s="2">
        <v>1.2</v>
      </c>
      <c r="L438" s="2">
        <v>3.5</v>
      </c>
      <c r="M438" s="2">
        <v>0.34499999999999997</v>
      </c>
      <c r="N438" s="2">
        <v>0.8</v>
      </c>
      <c r="O438" s="2">
        <v>1.7</v>
      </c>
      <c r="P438" s="2">
        <v>0.5</v>
      </c>
      <c r="Q438" s="2">
        <v>0.51200000000000001</v>
      </c>
      <c r="R438" s="2">
        <v>1</v>
      </c>
      <c r="S438" s="2">
        <v>1.3</v>
      </c>
      <c r="T438" s="2">
        <v>0.78100000000000003</v>
      </c>
      <c r="U438" s="2">
        <v>0.5</v>
      </c>
      <c r="V438" s="2">
        <v>2.5</v>
      </c>
      <c r="W438" s="2">
        <v>3</v>
      </c>
      <c r="X438" s="2">
        <v>0.9</v>
      </c>
      <c r="Y438" s="2">
        <v>0.3</v>
      </c>
      <c r="Z438" s="2">
        <v>0.2</v>
      </c>
      <c r="AA438" s="2">
        <v>0.7</v>
      </c>
      <c r="AB438" s="2">
        <v>1.4</v>
      </c>
      <c r="AC438" s="2">
        <v>6.3</v>
      </c>
      <c r="AD438" s="2"/>
    </row>
    <row r="439" spans="1:30" x14ac:dyDescent="0.2">
      <c r="A439" t="s">
        <v>243</v>
      </c>
      <c r="B439" s="2">
        <v>31</v>
      </c>
      <c r="C439" t="s">
        <v>63</v>
      </c>
      <c r="D439" s="2" t="s">
        <v>33</v>
      </c>
      <c r="E439" s="2">
        <v>23</v>
      </c>
      <c r="F439" s="2">
        <v>0</v>
      </c>
      <c r="G439" s="2">
        <v>21.4</v>
      </c>
      <c r="H439" s="2">
        <v>2.4</v>
      </c>
      <c r="I439" s="2">
        <v>6</v>
      </c>
      <c r="J439" s="2">
        <v>0.40100000000000002</v>
      </c>
      <c r="K439" s="2">
        <v>1.4</v>
      </c>
      <c r="L439" s="2">
        <v>3.7</v>
      </c>
      <c r="M439" s="2">
        <v>0.38100000000000001</v>
      </c>
      <c r="N439" s="2">
        <v>1</v>
      </c>
      <c r="O439" s="2">
        <v>2.2999999999999998</v>
      </c>
      <c r="P439" s="2">
        <v>0.434</v>
      </c>
      <c r="Q439" s="2">
        <v>0.51800000000000002</v>
      </c>
      <c r="R439" s="2">
        <v>2</v>
      </c>
      <c r="S439" s="2">
        <v>2.2999999999999998</v>
      </c>
      <c r="T439" s="2">
        <v>0.86799999999999999</v>
      </c>
      <c r="U439" s="2">
        <v>0.2</v>
      </c>
      <c r="V439" s="2">
        <v>1.6</v>
      </c>
      <c r="W439" s="2">
        <v>1.8</v>
      </c>
      <c r="X439" s="2">
        <v>3</v>
      </c>
      <c r="Y439" s="2">
        <v>0.7</v>
      </c>
      <c r="Z439" s="2">
        <v>0.3</v>
      </c>
      <c r="AA439" s="2">
        <v>0.8</v>
      </c>
      <c r="AB439" s="2">
        <v>1.6</v>
      </c>
      <c r="AC439" s="2">
        <v>8.1999999999999993</v>
      </c>
      <c r="AD439" s="2"/>
    </row>
    <row r="440" spans="1:30" x14ac:dyDescent="0.2">
      <c r="A440" t="s">
        <v>562</v>
      </c>
      <c r="B440" s="2">
        <v>23</v>
      </c>
      <c r="C440" t="s">
        <v>46</v>
      </c>
      <c r="D440" s="2" t="s">
        <v>49</v>
      </c>
      <c r="E440" s="2">
        <v>2</v>
      </c>
      <c r="F440" s="2">
        <v>0</v>
      </c>
      <c r="G440" s="2">
        <v>2</v>
      </c>
      <c r="H440" s="2">
        <v>0</v>
      </c>
      <c r="I440" s="2">
        <v>0.5</v>
      </c>
      <c r="J440" s="2">
        <v>0</v>
      </c>
      <c r="K440" s="2">
        <v>0</v>
      </c>
      <c r="L440" s="2">
        <v>0.5</v>
      </c>
      <c r="M440" s="2">
        <v>0</v>
      </c>
      <c r="N440" s="2">
        <v>0</v>
      </c>
      <c r="O440" s="2">
        <v>0</v>
      </c>
      <c r="P440" s="2"/>
      <c r="Q440" s="2">
        <v>0</v>
      </c>
      <c r="R440" s="2">
        <v>0</v>
      </c>
      <c r="S440" s="2">
        <v>0</v>
      </c>
      <c r="T440" s="2"/>
      <c r="U440" s="2">
        <v>0</v>
      </c>
      <c r="V440" s="2">
        <v>0.5</v>
      </c>
      <c r="W440" s="2">
        <v>0.5</v>
      </c>
      <c r="X440" s="2">
        <v>0</v>
      </c>
      <c r="Y440" s="2">
        <v>1</v>
      </c>
      <c r="Z440" s="2">
        <v>0</v>
      </c>
      <c r="AA440" s="2">
        <v>0</v>
      </c>
      <c r="AB440" s="2">
        <v>0</v>
      </c>
      <c r="AC440" s="2">
        <v>0</v>
      </c>
      <c r="AD440" s="2"/>
    </row>
    <row r="441" spans="1:30" x14ac:dyDescent="0.2">
      <c r="A441" t="s">
        <v>542</v>
      </c>
      <c r="B441" s="2">
        <v>25</v>
      </c>
      <c r="C441" t="s">
        <v>35</v>
      </c>
      <c r="D441" s="2" t="s">
        <v>52</v>
      </c>
      <c r="E441" s="2">
        <v>6</v>
      </c>
      <c r="F441" s="2">
        <v>0</v>
      </c>
      <c r="G441" s="2">
        <v>2.8</v>
      </c>
      <c r="H441" s="2">
        <v>0.2</v>
      </c>
      <c r="I441" s="2">
        <v>0.5</v>
      </c>
      <c r="J441" s="2">
        <v>0.33300000000000002</v>
      </c>
      <c r="K441" s="2">
        <v>0.2</v>
      </c>
      <c r="L441" s="2">
        <v>0.5</v>
      </c>
      <c r="M441" s="2">
        <v>0.33300000000000002</v>
      </c>
      <c r="N441" s="2">
        <v>0</v>
      </c>
      <c r="O441" s="2">
        <v>0</v>
      </c>
      <c r="P441" s="2"/>
      <c r="Q441" s="2">
        <v>0.5</v>
      </c>
      <c r="R441" s="2">
        <v>0</v>
      </c>
      <c r="S441" s="2">
        <v>0.3</v>
      </c>
      <c r="T441" s="2">
        <v>0</v>
      </c>
      <c r="U441" s="2">
        <v>0</v>
      </c>
      <c r="V441" s="2">
        <v>0.5</v>
      </c>
      <c r="W441" s="2">
        <v>0.5</v>
      </c>
      <c r="X441" s="2">
        <v>0.2</v>
      </c>
      <c r="Y441" s="2">
        <v>0</v>
      </c>
      <c r="Z441" s="2">
        <v>0.2</v>
      </c>
      <c r="AA441" s="2">
        <v>0</v>
      </c>
      <c r="AB441" s="2">
        <v>0</v>
      </c>
      <c r="AC441" s="2">
        <v>0.5</v>
      </c>
      <c r="AD441" s="2"/>
    </row>
    <row r="442" spans="1:30" x14ac:dyDescent="0.2">
      <c r="A442" t="s">
        <v>99</v>
      </c>
      <c r="B442" s="2">
        <v>36</v>
      </c>
      <c r="C442" t="s">
        <v>100</v>
      </c>
      <c r="D442" s="2" t="s">
        <v>33</v>
      </c>
      <c r="E442" s="2">
        <v>19</v>
      </c>
      <c r="F442" s="2">
        <v>19</v>
      </c>
      <c r="G442" s="2">
        <v>30.7</v>
      </c>
      <c r="H442" s="2">
        <v>7.5</v>
      </c>
      <c r="I442" s="2">
        <v>16.600000000000001</v>
      </c>
      <c r="J442" s="2">
        <v>0.45100000000000001</v>
      </c>
      <c r="K442" s="2">
        <v>4.0999999999999996</v>
      </c>
      <c r="L442" s="2">
        <v>9.9</v>
      </c>
      <c r="M442" s="2">
        <v>0.41299999999999998</v>
      </c>
      <c r="N442" s="2">
        <v>3.4</v>
      </c>
      <c r="O442" s="2">
        <v>6.6</v>
      </c>
      <c r="P442" s="2">
        <v>0.50800000000000001</v>
      </c>
      <c r="Q442" s="2">
        <v>0.57499999999999996</v>
      </c>
      <c r="R442" s="2">
        <v>3.7</v>
      </c>
      <c r="S442" s="2">
        <v>4.0999999999999996</v>
      </c>
      <c r="T442" s="2">
        <v>0.92200000000000004</v>
      </c>
      <c r="U442" s="2">
        <v>0.5</v>
      </c>
      <c r="V442" s="2">
        <v>4.5999999999999996</v>
      </c>
      <c r="W442" s="2">
        <v>5.2</v>
      </c>
      <c r="X442" s="2">
        <v>6.5</v>
      </c>
      <c r="Y442" s="2">
        <v>1.3</v>
      </c>
      <c r="Z442" s="2">
        <v>0.5</v>
      </c>
      <c r="AA442" s="2">
        <v>3.3</v>
      </c>
      <c r="AB442" s="2">
        <v>1</v>
      </c>
      <c r="AC442" s="2">
        <v>22.8</v>
      </c>
      <c r="AD442" s="2"/>
    </row>
    <row r="443" spans="1:30" x14ac:dyDescent="0.2">
      <c r="A443" t="s">
        <v>163</v>
      </c>
      <c r="B443" s="2">
        <v>20</v>
      </c>
      <c r="C443" t="s">
        <v>93</v>
      </c>
      <c r="D443" s="2" t="s">
        <v>33</v>
      </c>
      <c r="E443" s="2">
        <v>24</v>
      </c>
      <c r="F443" s="2">
        <v>17</v>
      </c>
      <c r="G443" s="2">
        <v>27.4</v>
      </c>
      <c r="H443" s="2">
        <v>4.2</v>
      </c>
      <c r="I443" s="2">
        <v>10.8</v>
      </c>
      <c r="J443" s="2">
        <v>0.38600000000000001</v>
      </c>
      <c r="K443" s="2">
        <v>1.2</v>
      </c>
      <c r="L443" s="2">
        <v>4.3</v>
      </c>
      <c r="M443" s="2">
        <v>0.28199999999999997</v>
      </c>
      <c r="N443" s="2">
        <v>3</v>
      </c>
      <c r="O443" s="2">
        <v>6.5</v>
      </c>
      <c r="P443" s="2">
        <v>0.45500000000000002</v>
      </c>
      <c r="Q443" s="2">
        <v>0.442</v>
      </c>
      <c r="R443" s="2">
        <v>2.6</v>
      </c>
      <c r="S443" s="2">
        <v>3.5</v>
      </c>
      <c r="T443" s="2">
        <v>0.73799999999999999</v>
      </c>
      <c r="U443" s="2">
        <v>0.8</v>
      </c>
      <c r="V443" s="2">
        <v>1.8</v>
      </c>
      <c r="W443" s="2">
        <v>2.6</v>
      </c>
      <c r="X443" s="2">
        <v>3.8</v>
      </c>
      <c r="Y443" s="2">
        <v>0.9</v>
      </c>
      <c r="Z443" s="2">
        <v>0.4</v>
      </c>
      <c r="AA443" s="2">
        <v>1.9</v>
      </c>
      <c r="AB443" s="2">
        <v>1.7</v>
      </c>
      <c r="AC443" s="2">
        <v>12.1</v>
      </c>
      <c r="AD443" s="2"/>
    </row>
    <row r="444" spans="1:30" x14ac:dyDescent="0.2">
      <c r="A444" t="s">
        <v>428</v>
      </c>
      <c r="B444" s="2">
        <v>31</v>
      </c>
      <c r="C444" t="s">
        <v>87</v>
      </c>
      <c r="D444" s="2" t="s">
        <v>42</v>
      </c>
      <c r="E444" s="2">
        <v>13</v>
      </c>
      <c r="F444" s="2">
        <v>0</v>
      </c>
      <c r="G444" s="2">
        <v>11.1</v>
      </c>
      <c r="H444" s="2">
        <v>1</v>
      </c>
      <c r="I444" s="2">
        <v>1.7</v>
      </c>
      <c r="J444" s="2">
        <v>0.59099999999999997</v>
      </c>
      <c r="K444" s="2">
        <v>0</v>
      </c>
      <c r="L444" s="2">
        <v>0</v>
      </c>
      <c r="M444" s="2"/>
      <c r="N444" s="2">
        <v>1</v>
      </c>
      <c r="O444" s="2">
        <v>1.7</v>
      </c>
      <c r="P444" s="2">
        <v>0.59099999999999997</v>
      </c>
      <c r="Q444" s="2">
        <v>0.59099999999999997</v>
      </c>
      <c r="R444" s="2">
        <v>0.6</v>
      </c>
      <c r="S444" s="2">
        <v>1.5</v>
      </c>
      <c r="T444" s="2">
        <v>0.4</v>
      </c>
      <c r="U444" s="2">
        <v>1.5</v>
      </c>
      <c r="V444" s="2">
        <v>1.8</v>
      </c>
      <c r="W444" s="2">
        <v>3.2</v>
      </c>
      <c r="X444" s="2">
        <v>1.1000000000000001</v>
      </c>
      <c r="Y444" s="2">
        <v>0.2</v>
      </c>
      <c r="Z444" s="2">
        <v>0.2</v>
      </c>
      <c r="AA444" s="2">
        <v>1.3</v>
      </c>
      <c r="AB444" s="2">
        <v>1.2</v>
      </c>
      <c r="AC444" s="2">
        <v>2.6</v>
      </c>
      <c r="AD444" s="2"/>
    </row>
    <row r="445" spans="1:30" x14ac:dyDescent="0.2">
      <c r="A445" t="s">
        <v>441</v>
      </c>
      <c r="B445" s="2">
        <v>27</v>
      </c>
      <c r="C445" t="s">
        <v>120</v>
      </c>
      <c r="D445" s="2" t="s">
        <v>49</v>
      </c>
      <c r="E445" s="2">
        <v>6</v>
      </c>
      <c r="F445" s="2">
        <v>2</v>
      </c>
      <c r="G445" s="2">
        <v>13.5</v>
      </c>
      <c r="H445" s="2">
        <v>1.7</v>
      </c>
      <c r="I445" s="2">
        <v>4.5</v>
      </c>
      <c r="J445" s="2">
        <v>0.37</v>
      </c>
      <c r="K445" s="2">
        <v>1.2</v>
      </c>
      <c r="L445" s="2">
        <v>3.7</v>
      </c>
      <c r="M445" s="2">
        <v>0.318</v>
      </c>
      <c r="N445" s="2">
        <v>0.5</v>
      </c>
      <c r="O445" s="2">
        <v>0.8</v>
      </c>
      <c r="P445" s="2">
        <v>0.6</v>
      </c>
      <c r="Q445" s="2">
        <v>0.5</v>
      </c>
      <c r="R445" s="2">
        <v>0.5</v>
      </c>
      <c r="S445" s="2">
        <v>0.7</v>
      </c>
      <c r="T445" s="2">
        <v>0.75</v>
      </c>
      <c r="U445" s="2">
        <v>0.2</v>
      </c>
      <c r="V445" s="2">
        <v>1.5</v>
      </c>
      <c r="W445" s="2">
        <v>1.7</v>
      </c>
      <c r="X445" s="2">
        <v>1.3</v>
      </c>
      <c r="Y445" s="2">
        <v>0.8</v>
      </c>
      <c r="Z445" s="2">
        <v>0.2</v>
      </c>
      <c r="AA445" s="2">
        <v>1.7</v>
      </c>
      <c r="AB445" s="2">
        <v>1.3</v>
      </c>
      <c r="AC445" s="2">
        <v>5</v>
      </c>
      <c r="AD445" s="2"/>
    </row>
    <row r="446" spans="1:30" x14ac:dyDescent="0.2">
      <c r="A446" t="s">
        <v>178</v>
      </c>
      <c r="B446" s="2">
        <v>32</v>
      </c>
      <c r="C446" t="s">
        <v>82</v>
      </c>
      <c r="D446" s="2" t="s">
        <v>33</v>
      </c>
      <c r="E446" s="2">
        <v>24</v>
      </c>
      <c r="F446" s="2">
        <v>0</v>
      </c>
      <c r="G446" s="2">
        <v>20</v>
      </c>
      <c r="H446" s="2">
        <v>5.3</v>
      </c>
      <c r="I446" s="2">
        <v>9.1999999999999993</v>
      </c>
      <c r="J446" s="2">
        <v>0.57699999999999996</v>
      </c>
      <c r="K446" s="2">
        <v>0.1</v>
      </c>
      <c r="L446" s="2">
        <v>0.5</v>
      </c>
      <c r="M446" s="2">
        <v>0.25</v>
      </c>
      <c r="N446" s="2">
        <v>5.2</v>
      </c>
      <c r="O446" s="2">
        <v>8.6999999999999993</v>
      </c>
      <c r="P446" s="2">
        <v>0.59599999999999997</v>
      </c>
      <c r="Q446" s="2">
        <v>0.58399999999999996</v>
      </c>
      <c r="R446" s="2">
        <v>0.8</v>
      </c>
      <c r="S446" s="2">
        <v>1.1000000000000001</v>
      </c>
      <c r="T446" s="2">
        <v>0.73099999999999998</v>
      </c>
      <c r="U446" s="2">
        <v>0.5</v>
      </c>
      <c r="V446" s="2">
        <v>2</v>
      </c>
      <c r="W446" s="2">
        <v>2.5</v>
      </c>
      <c r="X446" s="2">
        <v>4</v>
      </c>
      <c r="Y446" s="2">
        <v>1.4</v>
      </c>
      <c r="Z446" s="2">
        <v>0.3</v>
      </c>
      <c r="AA446" s="2">
        <v>1.6</v>
      </c>
      <c r="AB446" s="2">
        <v>1</v>
      </c>
      <c r="AC446" s="2">
        <v>11.5</v>
      </c>
      <c r="AD446" s="2"/>
    </row>
    <row r="447" spans="1:30" x14ac:dyDescent="0.2">
      <c r="A447" t="s">
        <v>422</v>
      </c>
      <c r="B447" s="2">
        <v>39</v>
      </c>
      <c r="C447" t="s">
        <v>59</v>
      </c>
      <c r="D447" s="2" t="s">
        <v>42</v>
      </c>
      <c r="E447" s="2">
        <v>13</v>
      </c>
      <c r="F447" s="2">
        <v>8</v>
      </c>
      <c r="G447" s="2">
        <v>11.5</v>
      </c>
      <c r="H447" s="2">
        <v>1.2</v>
      </c>
      <c r="I447" s="2">
        <v>2.6</v>
      </c>
      <c r="J447" s="2">
        <v>0.47099999999999997</v>
      </c>
      <c r="K447" s="2">
        <v>0.1</v>
      </c>
      <c r="L447" s="2">
        <v>0.2</v>
      </c>
      <c r="M447" s="2">
        <v>0.5</v>
      </c>
      <c r="N447" s="2">
        <v>1.2</v>
      </c>
      <c r="O447" s="2">
        <v>2.5</v>
      </c>
      <c r="P447" s="2">
        <v>0.46899999999999997</v>
      </c>
      <c r="Q447" s="2">
        <v>0.48499999999999999</v>
      </c>
      <c r="R447" s="2">
        <v>0.3</v>
      </c>
      <c r="S447" s="2">
        <v>0.5</v>
      </c>
      <c r="T447" s="2">
        <v>0.66700000000000004</v>
      </c>
      <c r="U447" s="2">
        <v>1.6</v>
      </c>
      <c r="V447" s="2">
        <v>1.8</v>
      </c>
      <c r="W447" s="2">
        <v>3.5</v>
      </c>
      <c r="X447" s="2">
        <v>0.5</v>
      </c>
      <c r="Y447" s="2">
        <v>0.4</v>
      </c>
      <c r="Z447" s="2">
        <v>0.2</v>
      </c>
      <c r="AA447" s="2">
        <v>0.7</v>
      </c>
      <c r="AB447" s="2">
        <v>1.4</v>
      </c>
      <c r="AC447" s="2">
        <v>2.8</v>
      </c>
      <c r="AD447" s="2"/>
    </row>
    <row r="448" spans="1:30" x14ac:dyDescent="0.2">
      <c r="A448" t="s">
        <v>298</v>
      </c>
      <c r="B448" s="2">
        <v>24</v>
      </c>
      <c r="C448" t="s">
        <v>70</v>
      </c>
      <c r="D448" s="2" t="s">
        <v>52</v>
      </c>
      <c r="E448" s="2">
        <v>19</v>
      </c>
      <c r="F448" s="2">
        <v>0</v>
      </c>
      <c r="G448" s="2">
        <v>10.9</v>
      </c>
      <c r="H448" s="2">
        <v>2.5</v>
      </c>
      <c r="I448" s="2">
        <v>4.5999999999999996</v>
      </c>
      <c r="J448" s="2">
        <v>0.55200000000000005</v>
      </c>
      <c r="K448" s="2">
        <v>1</v>
      </c>
      <c r="L448" s="2">
        <v>1.9</v>
      </c>
      <c r="M448" s="2">
        <v>0.51400000000000001</v>
      </c>
      <c r="N448" s="2">
        <v>1.5</v>
      </c>
      <c r="O448" s="2">
        <v>2.6</v>
      </c>
      <c r="P448" s="2">
        <v>0.57999999999999996</v>
      </c>
      <c r="Q448" s="2">
        <v>0.66100000000000003</v>
      </c>
      <c r="R448" s="2">
        <v>1.1000000000000001</v>
      </c>
      <c r="S448" s="2">
        <v>1.5</v>
      </c>
      <c r="T448" s="2">
        <v>0.72399999999999998</v>
      </c>
      <c r="U448" s="2">
        <v>0.4</v>
      </c>
      <c r="V448" s="2">
        <v>1.4</v>
      </c>
      <c r="W448" s="2">
        <v>1.8</v>
      </c>
      <c r="X448" s="2">
        <v>1.5</v>
      </c>
      <c r="Y448" s="2">
        <v>0.2</v>
      </c>
      <c r="Z448" s="2">
        <v>0.2</v>
      </c>
      <c r="AA448" s="2">
        <v>0.6</v>
      </c>
      <c r="AB448" s="2">
        <v>0.8</v>
      </c>
      <c r="AC448" s="2">
        <v>7.2</v>
      </c>
      <c r="AD448" s="2"/>
    </row>
    <row r="449" spans="1:30" x14ac:dyDescent="0.2">
      <c r="A449" t="s">
        <v>187</v>
      </c>
      <c r="B449" s="2">
        <v>23</v>
      </c>
      <c r="C449" t="s">
        <v>87</v>
      </c>
      <c r="D449" s="2" t="s">
        <v>27</v>
      </c>
      <c r="E449" s="2">
        <v>23</v>
      </c>
      <c r="F449" s="2">
        <v>0</v>
      </c>
      <c r="G449" s="2">
        <v>23</v>
      </c>
      <c r="H449" s="2">
        <v>4.4000000000000004</v>
      </c>
      <c r="I449" s="2">
        <v>9.3000000000000007</v>
      </c>
      <c r="J449" s="2">
        <v>0.47899999999999998</v>
      </c>
      <c r="K449" s="2">
        <v>0.9</v>
      </c>
      <c r="L449" s="2">
        <v>2.9</v>
      </c>
      <c r="M449" s="2">
        <v>0.313</v>
      </c>
      <c r="N449" s="2">
        <v>3.5</v>
      </c>
      <c r="O449" s="2">
        <v>6.3</v>
      </c>
      <c r="P449" s="2">
        <v>0.55500000000000005</v>
      </c>
      <c r="Q449" s="2">
        <v>0.52800000000000002</v>
      </c>
      <c r="R449" s="2">
        <v>1.4</v>
      </c>
      <c r="S449" s="2">
        <v>1.9</v>
      </c>
      <c r="T449" s="2">
        <v>0.76700000000000002</v>
      </c>
      <c r="U449" s="2">
        <v>2.2000000000000002</v>
      </c>
      <c r="V449" s="2">
        <v>4.3</v>
      </c>
      <c r="W449" s="2">
        <v>6.5</v>
      </c>
      <c r="X449" s="2">
        <v>1.1000000000000001</v>
      </c>
      <c r="Y449" s="2">
        <v>2</v>
      </c>
      <c r="Z449" s="2">
        <v>1</v>
      </c>
      <c r="AA449" s="2">
        <v>0.9</v>
      </c>
      <c r="AB449" s="2">
        <v>2.4</v>
      </c>
      <c r="AC449" s="2">
        <v>11.2</v>
      </c>
      <c r="AD449" s="2"/>
    </row>
    <row r="450" spans="1:30" x14ac:dyDescent="0.2">
      <c r="A450" t="s">
        <v>242</v>
      </c>
      <c r="B450" s="2">
        <v>30</v>
      </c>
      <c r="C450" t="s">
        <v>35</v>
      </c>
      <c r="D450" s="2" t="s">
        <v>49</v>
      </c>
      <c r="E450" s="2">
        <v>24</v>
      </c>
      <c r="F450" s="2">
        <v>24</v>
      </c>
      <c r="G450" s="2">
        <v>26.8</v>
      </c>
      <c r="H450" s="2">
        <v>2.8</v>
      </c>
      <c r="I450" s="2">
        <v>5.7</v>
      </c>
      <c r="J450" s="2">
        <v>0.49299999999999999</v>
      </c>
      <c r="K450" s="2">
        <v>1.9</v>
      </c>
      <c r="L450" s="2">
        <v>3.5</v>
      </c>
      <c r="M450" s="4">
        <v>0.53600000000000003</v>
      </c>
      <c r="N450" s="2">
        <v>0.9</v>
      </c>
      <c r="O450" s="2">
        <v>2.2000000000000002</v>
      </c>
      <c r="P450" s="2">
        <v>0.42299999999999999</v>
      </c>
      <c r="Q450" s="2">
        <v>0.65800000000000003</v>
      </c>
      <c r="R450" s="2">
        <v>0.5</v>
      </c>
      <c r="S450" s="2">
        <v>0.5</v>
      </c>
      <c r="T450" s="2">
        <v>0.84599999999999997</v>
      </c>
      <c r="U450" s="2">
        <v>0.6</v>
      </c>
      <c r="V450" s="2">
        <v>3.6</v>
      </c>
      <c r="W450" s="2">
        <v>4.2</v>
      </c>
      <c r="X450" s="2">
        <v>1.8</v>
      </c>
      <c r="Y450" s="2">
        <v>0.8</v>
      </c>
      <c r="Z450" s="2">
        <v>0.2</v>
      </c>
      <c r="AA450" s="2">
        <v>1.1000000000000001</v>
      </c>
      <c r="AB450" s="2">
        <v>2</v>
      </c>
      <c r="AC450" s="2">
        <v>7.9</v>
      </c>
      <c r="AD450" s="2"/>
    </row>
    <row r="451" spans="1:30" x14ac:dyDescent="0.2">
      <c r="A451" t="s">
        <v>489</v>
      </c>
      <c r="B451" s="2">
        <v>21</v>
      </c>
      <c r="C451" t="s">
        <v>120</v>
      </c>
      <c r="D451" s="2" t="s">
        <v>27</v>
      </c>
      <c r="E451" s="2">
        <v>3</v>
      </c>
      <c r="F451" s="2">
        <v>3</v>
      </c>
      <c r="G451" s="2">
        <v>25</v>
      </c>
      <c r="H451" s="2">
        <v>1.3</v>
      </c>
      <c r="I451" s="2">
        <v>6</v>
      </c>
      <c r="J451" s="2">
        <v>0.222</v>
      </c>
      <c r="K451" s="2">
        <v>1</v>
      </c>
      <c r="L451" s="2">
        <v>4</v>
      </c>
      <c r="M451" s="2">
        <v>0.25</v>
      </c>
      <c r="N451" s="2">
        <v>0.3</v>
      </c>
      <c r="O451" s="2">
        <v>2</v>
      </c>
      <c r="P451" s="2">
        <v>0.16700000000000001</v>
      </c>
      <c r="Q451" s="2">
        <v>0.30599999999999999</v>
      </c>
      <c r="R451" s="2">
        <v>1</v>
      </c>
      <c r="S451" s="2">
        <v>1.3</v>
      </c>
      <c r="T451" s="2">
        <v>0.75</v>
      </c>
      <c r="U451" s="2">
        <v>1.7</v>
      </c>
      <c r="V451" s="2">
        <v>3.3</v>
      </c>
      <c r="W451" s="2">
        <v>5</v>
      </c>
      <c r="X451" s="2">
        <v>0.7</v>
      </c>
      <c r="Y451" s="2">
        <v>1.7</v>
      </c>
      <c r="Z451" s="2">
        <v>1.3</v>
      </c>
      <c r="AA451" s="2">
        <v>0.7</v>
      </c>
      <c r="AB451" s="2">
        <v>2.7</v>
      </c>
      <c r="AC451" s="2">
        <v>4.7</v>
      </c>
      <c r="AD451" s="2"/>
    </row>
    <row r="452" spans="1:30" x14ac:dyDescent="0.2">
      <c r="A452" t="s">
        <v>510</v>
      </c>
      <c r="B452" s="2">
        <v>26</v>
      </c>
      <c r="C452" t="s">
        <v>135</v>
      </c>
      <c r="D452" s="2" t="s">
        <v>52</v>
      </c>
      <c r="E452" s="2">
        <v>2</v>
      </c>
      <c r="F452" s="2">
        <v>0</v>
      </c>
      <c r="G452" s="2">
        <v>10</v>
      </c>
      <c r="H452" s="2">
        <v>1</v>
      </c>
      <c r="I452" s="2">
        <v>5</v>
      </c>
      <c r="J452" s="2">
        <v>0.2</v>
      </c>
      <c r="K452" s="2">
        <v>0.5</v>
      </c>
      <c r="L452" s="2">
        <v>2</v>
      </c>
      <c r="M452" s="2">
        <v>0.25</v>
      </c>
      <c r="N452" s="2">
        <v>0.5</v>
      </c>
      <c r="O452" s="2">
        <v>3</v>
      </c>
      <c r="P452" s="2">
        <v>0.16700000000000001</v>
      </c>
      <c r="Q452" s="2">
        <v>0.25</v>
      </c>
      <c r="R452" s="2">
        <v>0.5</v>
      </c>
      <c r="S452" s="2">
        <v>1</v>
      </c>
      <c r="T452" s="2">
        <v>0.5</v>
      </c>
      <c r="U452" s="2">
        <v>2</v>
      </c>
      <c r="V452" s="2">
        <v>2</v>
      </c>
      <c r="W452" s="2">
        <v>4</v>
      </c>
      <c r="X452" s="2">
        <v>0.5</v>
      </c>
      <c r="Y452" s="2">
        <v>1</v>
      </c>
      <c r="Z452" s="2">
        <v>0</v>
      </c>
      <c r="AA452" s="2">
        <v>1</v>
      </c>
      <c r="AB452" s="2">
        <v>0</v>
      </c>
      <c r="AC452" s="2">
        <v>3</v>
      </c>
      <c r="AD452" s="2"/>
    </row>
    <row r="453" spans="1:30" x14ac:dyDescent="0.2">
      <c r="A453" t="s">
        <v>290</v>
      </c>
      <c r="B453" s="2">
        <v>28</v>
      </c>
      <c r="C453" t="s">
        <v>77</v>
      </c>
      <c r="D453" s="2" t="s">
        <v>52</v>
      </c>
      <c r="E453" s="2">
        <v>23</v>
      </c>
      <c r="F453" s="2">
        <v>11</v>
      </c>
      <c r="G453" s="2">
        <v>21</v>
      </c>
      <c r="H453" s="2">
        <v>2.4</v>
      </c>
      <c r="I453" s="2">
        <v>5.6</v>
      </c>
      <c r="J453" s="2">
        <v>0.438</v>
      </c>
      <c r="K453" s="2">
        <v>0.7</v>
      </c>
      <c r="L453" s="2">
        <v>2</v>
      </c>
      <c r="M453" s="2">
        <v>0.34</v>
      </c>
      <c r="N453" s="2">
        <v>1.7</v>
      </c>
      <c r="O453" s="2">
        <v>3.5</v>
      </c>
      <c r="P453" s="2">
        <v>0.49399999999999999</v>
      </c>
      <c r="Q453" s="2">
        <v>0.5</v>
      </c>
      <c r="R453" s="2">
        <v>0.7</v>
      </c>
      <c r="S453" s="2">
        <v>1</v>
      </c>
      <c r="T453" s="2">
        <v>0.66700000000000004</v>
      </c>
      <c r="U453" s="2">
        <v>1</v>
      </c>
      <c r="V453" s="2">
        <v>2</v>
      </c>
      <c r="W453" s="2">
        <v>3.1</v>
      </c>
      <c r="X453" s="2">
        <v>1.7</v>
      </c>
      <c r="Y453" s="2">
        <v>1</v>
      </c>
      <c r="Z453" s="2">
        <v>0.2</v>
      </c>
      <c r="AA453" s="2">
        <v>0.6</v>
      </c>
      <c r="AB453" s="2">
        <v>2</v>
      </c>
      <c r="AC453" s="2">
        <v>6.3</v>
      </c>
      <c r="AD453" s="2"/>
    </row>
    <row r="454" spans="1:30" x14ac:dyDescent="0.2">
      <c r="A454" t="s">
        <v>501</v>
      </c>
      <c r="B454" s="2">
        <v>24</v>
      </c>
      <c r="C454" t="s">
        <v>51</v>
      </c>
      <c r="D454" s="2" t="s">
        <v>52</v>
      </c>
      <c r="E454" s="2">
        <v>7</v>
      </c>
      <c r="F454" s="2">
        <v>0</v>
      </c>
      <c r="G454" s="2">
        <v>4.3</v>
      </c>
      <c r="H454" s="2">
        <v>0.6</v>
      </c>
      <c r="I454" s="2">
        <v>1.3</v>
      </c>
      <c r="J454" s="2">
        <v>0.44400000000000001</v>
      </c>
      <c r="K454" s="2">
        <v>0.1</v>
      </c>
      <c r="L454" s="2">
        <v>0.4</v>
      </c>
      <c r="M454" s="2">
        <v>0.33300000000000002</v>
      </c>
      <c r="N454" s="2">
        <v>0.4</v>
      </c>
      <c r="O454" s="2">
        <v>0.9</v>
      </c>
      <c r="P454" s="2">
        <v>0.5</v>
      </c>
      <c r="Q454" s="2">
        <v>0.5</v>
      </c>
      <c r="R454" s="2">
        <v>0</v>
      </c>
      <c r="S454" s="2">
        <v>0</v>
      </c>
      <c r="T454" s="2"/>
      <c r="U454" s="2">
        <v>0</v>
      </c>
      <c r="V454" s="2">
        <v>0.1</v>
      </c>
      <c r="W454" s="2">
        <v>0.1</v>
      </c>
      <c r="X454" s="2">
        <v>0.6</v>
      </c>
      <c r="Y454" s="2">
        <v>0.3</v>
      </c>
      <c r="Z454" s="2">
        <v>0.1</v>
      </c>
      <c r="AA454" s="2">
        <v>0.4</v>
      </c>
      <c r="AB454" s="2">
        <v>0</v>
      </c>
      <c r="AC454" s="2">
        <v>1.3</v>
      </c>
      <c r="AD454" s="2"/>
    </row>
    <row r="455" spans="1:30" x14ac:dyDescent="0.2">
      <c r="A455" t="s">
        <v>193</v>
      </c>
      <c r="B455" s="2">
        <v>30</v>
      </c>
      <c r="C455" t="s">
        <v>61</v>
      </c>
      <c r="D455" s="2" t="s">
        <v>33</v>
      </c>
      <c r="E455" s="2">
        <v>21</v>
      </c>
      <c r="F455" s="2">
        <v>12</v>
      </c>
      <c r="G455" s="2">
        <v>28.4</v>
      </c>
      <c r="H455" s="2">
        <v>4.0999999999999996</v>
      </c>
      <c r="I455" s="2">
        <v>10.4</v>
      </c>
      <c r="J455" s="2">
        <v>0.39900000000000002</v>
      </c>
      <c r="K455" s="2">
        <v>1.9</v>
      </c>
      <c r="L455" s="2">
        <v>5.4</v>
      </c>
      <c r="M455" s="2">
        <v>0.35399999999999998</v>
      </c>
      <c r="N455" s="2">
        <v>2.2000000000000002</v>
      </c>
      <c r="O455" s="2">
        <v>5</v>
      </c>
      <c r="P455" s="2">
        <v>0.44800000000000001</v>
      </c>
      <c r="Q455" s="2">
        <v>0.49099999999999999</v>
      </c>
      <c r="R455" s="2">
        <v>1.6</v>
      </c>
      <c r="S455" s="2">
        <v>1.8</v>
      </c>
      <c r="T455" s="2">
        <v>0.89200000000000002</v>
      </c>
      <c r="U455" s="2">
        <v>0.7</v>
      </c>
      <c r="V455" s="2">
        <v>3.1</v>
      </c>
      <c r="W455" s="2">
        <v>3.9</v>
      </c>
      <c r="X455" s="2">
        <v>3</v>
      </c>
      <c r="Y455" s="2">
        <v>0.6</v>
      </c>
      <c r="Z455" s="2">
        <v>0.4</v>
      </c>
      <c r="AA455" s="2">
        <v>1.5</v>
      </c>
      <c r="AB455" s="2">
        <v>1.4</v>
      </c>
      <c r="AC455" s="2">
        <v>11.8</v>
      </c>
      <c r="AD455" s="2"/>
    </row>
    <row r="456" spans="1:30" x14ac:dyDescent="0.2">
      <c r="A456" t="s">
        <v>419</v>
      </c>
      <c r="B456" s="2">
        <v>27</v>
      </c>
      <c r="C456" t="s">
        <v>61</v>
      </c>
      <c r="D456" s="2" t="s">
        <v>42</v>
      </c>
      <c r="E456" s="2">
        <v>10</v>
      </c>
      <c r="F456" s="2">
        <v>0</v>
      </c>
      <c r="G456" s="2">
        <v>11.5</v>
      </c>
      <c r="H456" s="2">
        <v>1.2</v>
      </c>
      <c r="I456" s="2">
        <v>2.8</v>
      </c>
      <c r="J456" s="2">
        <v>0.42899999999999999</v>
      </c>
      <c r="K456" s="2">
        <v>0.6</v>
      </c>
      <c r="L456" s="2">
        <v>1.7</v>
      </c>
      <c r="M456" s="2">
        <v>0.35299999999999998</v>
      </c>
      <c r="N456" s="2">
        <v>0.6</v>
      </c>
      <c r="O456" s="2">
        <v>1.1000000000000001</v>
      </c>
      <c r="P456" s="2">
        <v>0.54500000000000004</v>
      </c>
      <c r="Q456" s="2">
        <v>0.53600000000000003</v>
      </c>
      <c r="R456" s="2">
        <v>1.1000000000000001</v>
      </c>
      <c r="S456" s="2">
        <v>1.1000000000000001</v>
      </c>
      <c r="T456" s="2">
        <v>1</v>
      </c>
      <c r="U456" s="2">
        <v>0.6</v>
      </c>
      <c r="V456" s="2">
        <v>2.6</v>
      </c>
      <c r="W456" s="2">
        <v>3.2</v>
      </c>
      <c r="X456" s="2">
        <v>0.4</v>
      </c>
      <c r="Y456" s="2">
        <v>0.1</v>
      </c>
      <c r="Z456" s="2">
        <v>0.9</v>
      </c>
      <c r="AA456" s="2">
        <v>0.2</v>
      </c>
      <c r="AB456" s="2">
        <v>0.9</v>
      </c>
      <c r="AC456" s="2">
        <v>4.0999999999999996</v>
      </c>
      <c r="AD456" s="2"/>
    </row>
    <row r="457" spans="1:30" x14ac:dyDescent="0.2">
      <c r="A457" t="s">
        <v>337</v>
      </c>
      <c r="B457" s="2">
        <v>19</v>
      </c>
      <c r="C457" t="s">
        <v>59</v>
      </c>
      <c r="D457" s="2" t="s">
        <v>27</v>
      </c>
      <c r="E457" s="2">
        <v>20</v>
      </c>
      <c r="F457" s="2">
        <v>8</v>
      </c>
      <c r="G457" s="2">
        <v>18.8</v>
      </c>
      <c r="H457" s="2">
        <v>1.7</v>
      </c>
      <c r="I457" s="2">
        <v>5.0999999999999996</v>
      </c>
      <c r="J457" s="2">
        <v>0.32700000000000001</v>
      </c>
      <c r="K457" s="2">
        <v>1</v>
      </c>
      <c r="L457" s="2">
        <v>3.4</v>
      </c>
      <c r="M457" s="2">
        <v>0.29399999999999998</v>
      </c>
      <c r="N457" s="2">
        <v>0.7</v>
      </c>
      <c r="O457" s="2">
        <v>1.7</v>
      </c>
      <c r="P457" s="2">
        <v>0.39400000000000002</v>
      </c>
      <c r="Q457" s="2">
        <v>0.42599999999999999</v>
      </c>
      <c r="R457" s="2">
        <v>0.7</v>
      </c>
      <c r="S457" s="2">
        <v>1</v>
      </c>
      <c r="T457" s="2">
        <v>0.73699999999999999</v>
      </c>
      <c r="U457" s="2">
        <v>0.9</v>
      </c>
      <c r="V457" s="2">
        <v>3.2</v>
      </c>
      <c r="W457" s="2">
        <v>4.0999999999999996</v>
      </c>
      <c r="X457" s="2">
        <v>1</v>
      </c>
      <c r="Y457" s="2">
        <v>0.6</v>
      </c>
      <c r="Z457" s="2">
        <v>0.2</v>
      </c>
      <c r="AA457" s="2">
        <v>0.8</v>
      </c>
      <c r="AB457" s="2">
        <v>1.4</v>
      </c>
      <c r="AC457" s="2">
        <v>5</v>
      </c>
      <c r="AD457" s="2"/>
    </row>
    <row r="458" spans="1:30" x14ac:dyDescent="0.2">
      <c r="A458" t="s">
        <v>214</v>
      </c>
      <c r="B458" s="2">
        <v>32</v>
      </c>
      <c r="C458" t="s">
        <v>75</v>
      </c>
      <c r="D458" s="2" t="s">
        <v>52</v>
      </c>
      <c r="E458" s="2">
        <v>23</v>
      </c>
      <c r="F458" s="2">
        <v>23</v>
      </c>
      <c r="G458" s="2">
        <v>27.3</v>
      </c>
      <c r="H458" s="2">
        <v>3.2</v>
      </c>
      <c r="I458" s="2">
        <v>7.7</v>
      </c>
      <c r="J458" s="2">
        <v>0.41</v>
      </c>
      <c r="K458" s="2">
        <v>1.7</v>
      </c>
      <c r="L458" s="2">
        <v>5.0999999999999996</v>
      </c>
      <c r="M458" s="2">
        <v>0.34200000000000003</v>
      </c>
      <c r="N458" s="2">
        <v>1.4</v>
      </c>
      <c r="O458" s="2">
        <v>2.7</v>
      </c>
      <c r="P458" s="2">
        <v>0.54100000000000004</v>
      </c>
      <c r="Q458" s="2">
        <v>0.52200000000000002</v>
      </c>
      <c r="R458" s="2">
        <v>1.5</v>
      </c>
      <c r="S458" s="2">
        <v>1.7</v>
      </c>
      <c r="T458" s="2">
        <v>0.89700000000000002</v>
      </c>
      <c r="U458" s="2">
        <v>0.2</v>
      </c>
      <c r="V458" s="2">
        <v>1.9</v>
      </c>
      <c r="W458" s="2">
        <v>2.1</v>
      </c>
      <c r="X458" s="2">
        <v>1.5</v>
      </c>
      <c r="Y458" s="2">
        <v>0.3</v>
      </c>
      <c r="Z458" s="2">
        <v>0</v>
      </c>
      <c r="AA458" s="2">
        <v>0.7</v>
      </c>
      <c r="AB458" s="2">
        <v>1.3</v>
      </c>
      <c r="AC458" s="2">
        <v>9.6</v>
      </c>
      <c r="AD458" s="2"/>
    </row>
    <row r="459" spans="1:30" x14ac:dyDescent="0.2">
      <c r="A459" t="s">
        <v>132</v>
      </c>
      <c r="B459" s="2">
        <v>32</v>
      </c>
      <c r="C459" t="s">
        <v>75</v>
      </c>
      <c r="D459" s="2" t="s">
        <v>27</v>
      </c>
      <c r="E459" s="2">
        <v>25</v>
      </c>
      <c r="F459" s="2">
        <v>25</v>
      </c>
      <c r="G459" s="2">
        <v>32.299999999999997</v>
      </c>
      <c r="H459" s="2">
        <v>5.2</v>
      </c>
      <c r="I459" s="2">
        <v>11.7</v>
      </c>
      <c r="J459" s="2">
        <v>0.44900000000000001</v>
      </c>
      <c r="K459" s="2">
        <v>1.5</v>
      </c>
      <c r="L459" s="2">
        <v>4.4000000000000004</v>
      </c>
      <c r="M459" s="2">
        <v>0.34200000000000003</v>
      </c>
      <c r="N459" s="2">
        <v>3.7</v>
      </c>
      <c r="O459" s="2">
        <v>7.2</v>
      </c>
      <c r="P459" s="2">
        <v>0.51400000000000001</v>
      </c>
      <c r="Q459" s="2">
        <v>0.51400000000000001</v>
      </c>
      <c r="R459" s="2">
        <v>1.9</v>
      </c>
      <c r="S459" s="2">
        <v>2.2000000000000002</v>
      </c>
      <c r="T459" s="2">
        <v>0.83899999999999997</v>
      </c>
      <c r="U459" s="2">
        <v>1</v>
      </c>
      <c r="V459" s="2">
        <v>5.9</v>
      </c>
      <c r="W459" s="2">
        <v>6.9</v>
      </c>
      <c r="X459" s="2">
        <v>2.4</v>
      </c>
      <c r="Y459" s="2">
        <v>0.8</v>
      </c>
      <c r="Z459" s="2">
        <v>0.8</v>
      </c>
      <c r="AA459" s="2">
        <v>1.2</v>
      </c>
      <c r="AB459" s="2">
        <v>1.9</v>
      </c>
      <c r="AC459" s="2">
        <v>13.9</v>
      </c>
      <c r="AD459" s="2"/>
    </row>
    <row r="460" spans="1:30" x14ac:dyDescent="0.2">
      <c r="A460" t="s">
        <v>438</v>
      </c>
      <c r="B460" s="2">
        <v>34</v>
      </c>
      <c r="C460" t="s">
        <v>70</v>
      </c>
      <c r="D460" s="2" t="s">
        <v>49</v>
      </c>
      <c r="E460" s="2">
        <v>6</v>
      </c>
      <c r="F460" s="2">
        <v>1</v>
      </c>
      <c r="G460" s="2">
        <v>11.2</v>
      </c>
      <c r="H460" s="2">
        <v>1.8</v>
      </c>
      <c r="I460" s="2">
        <v>3.7</v>
      </c>
      <c r="J460" s="2">
        <v>0.5</v>
      </c>
      <c r="K460" s="2">
        <v>1.2</v>
      </c>
      <c r="L460" s="2">
        <v>3</v>
      </c>
      <c r="M460" s="2">
        <v>0.38900000000000001</v>
      </c>
      <c r="N460" s="2">
        <v>0.7</v>
      </c>
      <c r="O460" s="2">
        <v>0.7</v>
      </c>
      <c r="P460" s="2">
        <v>1</v>
      </c>
      <c r="Q460" s="2">
        <v>0.65900000000000003</v>
      </c>
      <c r="R460" s="2">
        <v>0.3</v>
      </c>
      <c r="S460" s="2">
        <v>0.3</v>
      </c>
      <c r="T460" s="2">
        <v>1</v>
      </c>
      <c r="U460" s="2">
        <v>0.5</v>
      </c>
      <c r="V460" s="2">
        <v>1.7</v>
      </c>
      <c r="W460" s="2">
        <v>2.2000000000000002</v>
      </c>
      <c r="X460" s="2">
        <v>0.5</v>
      </c>
      <c r="Y460" s="2">
        <v>0.2</v>
      </c>
      <c r="Z460" s="2">
        <v>0.2</v>
      </c>
      <c r="AA460" s="2">
        <v>0</v>
      </c>
      <c r="AB460" s="2">
        <v>1.7</v>
      </c>
      <c r="AC460" s="2">
        <v>5.2</v>
      </c>
      <c r="AD460" s="2"/>
    </row>
    <row r="461" spans="1:30" x14ac:dyDescent="0.2">
      <c r="A461" t="s">
        <v>217</v>
      </c>
      <c r="B461" s="2">
        <v>24</v>
      </c>
      <c r="C461" t="s">
        <v>135</v>
      </c>
      <c r="D461" s="2" t="s">
        <v>27</v>
      </c>
      <c r="E461" s="2">
        <v>24</v>
      </c>
      <c r="F461" s="2">
        <v>24</v>
      </c>
      <c r="G461" s="2">
        <v>30</v>
      </c>
      <c r="H461" s="2">
        <v>3.3</v>
      </c>
      <c r="I461" s="2">
        <v>8</v>
      </c>
      <c r="J461" s="2">
        <v>0.41899999999999998</v>
      </c>
      <c r="K461" s="2">
        <v>1.5</v>
      </c>
      <c r="L461" s="2">
        <v>4.2</v>
      </c>
      <c r="M461" s="2">
        <v>0.37</v>
      </c>
      <c r="N461" s="2">
        <v>1.8</v>
      </c>
      <c r="O461" s="2">
        <v>3.8</v>
      </c>
      <c r="P461" s="2">
        <v>0.47299999999999998</v>
      </c>
      <c r="Q461" s="2">
        <v>0.51600000000000001</v>
      </c>
      <c r="R461" s="2">
        <v>0.8</v>
      </c>
      <c r="S461" s="2">
        <v>1.1000000000000001</v>
      </c>
      <c r="T461" s="2">
        <v>0.69199999999999995</v>
      </c>
      <c r="U461" s="2">
        <v>2.1</v>
      </c>
      <c r="V461" s="2">
        <v>2.9</v>
      </c>
      <c r="W461" s="2">
        <v>5</v>
      </c>
      <c r="X461" s="2">
        <v>2.1</v>
      </c>
      <c r="Y461" s="2">
        <v>1.4</v>
      </c>
      <c r="Z461" s="2">
        <v>0.3</v>
      </c>
      <c r="AA461" s="2">
        <v>1.6</v>
      </c>
      <c r="AB461" s="2">
        <v>2.9</v>
      </c>
      <c r="AC461" s="2">
        <v>9</v>
      </c>
      <c r="AD461" s="2"/>
    </row>
    <row r="462" spans="1:30" x14ac:dyDescent="0.2">
      <c r="A462" t="s">
        <v>71</v>
      </c>
      <c r="B462" s="2">
        <v>26</v>
      </c>
      <c r="C462" t="s">
        <v>72</v>
      </c>
      <c r="D462" s="2" t="s">
        <v>33</v>
      </c>
      <c r="E462" s="2">
        <v>25</v>
      </c>
      <c r="F462" s="2">
        <v>25</v>
      </c>
      <c r="G462" s="2">
        <v>36</v>
      </c>
      <c r="H462" s="2">
        <v>6.5</v>
      </c>
      <c r="I462" s="2">
        <v>16.899999999999999</v>
      </c>
      <c r="J462" s="2">
        <v>0.38400000000000001</v>
      </c>
      <c r="K462" s="2">
        <v>2.6</v>
      </c>
      <c r="L462" s="2">
        <v>8.4</v>
      </c>
      <c r="M462" s="2">
        <v>0.308</v>
      </c>
      <c r="N462" s="2">
        <v>3.9</v>
      </c>
      <c r="O462" s="2">
        <v>8.4</v>
      </c>
      <c r="P462" s="2">
        <v>0.46</v>
      </c>
      <c r="Q462" s="2">
        <v>0.46100000000000002</v>
      </c>
      <c r="R462" s="2">
        <v>5.4</v>
      </c>
      <c r="S462" s="2">
        <v>6</v>
      </c>
      <c r="T462" s="2">
        <v>0.89400000000000002</v>
      </c>
      <c r="U462" s="2">
        <v>0.6</v>
      </c>
      <c r="V462" s="2">
        <v>3.3</v>
      </c>
      <c r="W462" s="2">
        <v>3.9</v>
      </c>
      <c r="X462" s="4">
        <v>12.2</v>
      </c>
      <c r="Y462" s="2">
        <v>1.3</v>
      </c>
      <c r="Z462" s="2">
        <v>0.1</v>
      </c>
      <c r="AA462" s="2">
        <v>4.5999999999999996</v>
      </c>
      <c r="AB462" s="2">
        <v>2</v>
      </c>
      <c r="AC462" s="2">
        <v>21</v>
      </c>
      <c r="AD462" s="2"/>
    </row>
    <row r="463" spans="1:30" x14ac:dyDescent="0.2">
      <c r="A463" t="s">
        <v>259</v>
      </c>
      <c r="B463" s="2">
        <v>24</v>
      </c>
      <c r="C463" t="s">
        <v>100</v>
      </c>
      <c r="D463" s="2" t="s">
        <v>42</v>
      </c>
      <c r="E463" s="2">
        <v>23</v>
      </c>
      <c r="F463" s="2">
        <v>18</v>
      </c>
      <c r="G463" s="2">
        <v>16.899999999999999</v>
      </c>
      <c r="H463" s="2">
        <v>3.3</v>
      </c>
      <c r="I463" s="2">
        <v>5.5</v>
      </c>
      <c r="J463" s="2">
        <v>0.59799999999999998</v>
      </c>
      <c r="K463" s="2">
        <v>0</v>
      </c>
      <c r="L463" s="2">
        <v>0</v>
      </c>
      <c r="M463" s="2">
        <v>0</v>
      </c>
      <c r="N463" s="2">
        <v>3.3</v>
      </c>
      <c r="O463" s="2">
        <v>5.5</v>
      </c>
      <c r="P463" s="2">
        <v>0.60299999999999998</v>
      </c>
      <c r="Q463" s="2">
        <v>0.59799999999999998</v>
      </c>
      <c r="R463" s="2">
        <v>0.8</v>
      </c>
      <c r="S463" s="2">
        <v>1.4</v>
      </c>
      <c r="T463" s="2">
        <v>0.59399999999999997</v>
      </c>
      <c r="U463" s="2">
        <v>1.7</v>
      </c>
      <c r="V463" s="2">
        <v>3</v>
      </c>
      <c r="W463" s="2">
        <v>4.7</v>
      </c>
      <c r="X463" s="2">
        <v>2</v>
      </c>
      <c r="Y463" s="2">
        <v>0.3</v>
      </c>
      <c r="Z463" s="2">
        <v>0.7</v>
      </c>
      <c r="AA463" s="2">
        <v>0.8</v>
      </c>
      <c r="AB463" s="2">
        <v>1.1000000000000001</v>
      </c>
      <c r="AC463" s="2">
        <v>7.4</v>
      </c>
      <c r="AD463" s="2"/>
    </row>
    <row r="464" spans="1:30" x14ac:dyDescent="0.2">
      <c r="A464" t="s">
        <v>432</v>
      </c>
      <c r="B464" s="2">
        <v>25</v>
      </c>
      <c r="C464" t="s">
        <v>93</v>
      </c>
      <c r="D464" s="2" t="s">
        <v>33</v>
      </c>
      <c r="E464" s="2">
        <v>8</v>
      </c>
      <c r="F464" s="2">
        <v>0</v>
      </c>
      <c r="G464" s="2">
        <v>17.5</v>
      </c>
      <c r="H464" s="2">
        <v>1.3</v>
      </c>
      <c r="I464" s="2">
        <v>3.8</v>
      </c>
      <c r="J464" s="2">
        <v>0.33300000000000002</v>
      </c>
      <c r="K464" s="2">
        <v>0.4</v>
      </c>
      <c r="L464" s="2">
        <v>1.5</v>
      </c>
      <c r="M464" s="2">
        <v>0.25</v>
      </c>
      <c r="N464" s="2">
        <v>0.9</v>
      </c>
      <c r="O464" s="2">
        <v>2.2999999999999998</v>
      </c>
      <c r="P464" s="2">
        <v>0.38900000000000001</v>
      </c>
      <c r="Q464" s="2">
        <v>0.38300000000000001</v>
      </c>
      <c r="R464" s="2">
        <v>1.3</v>
      </c>
      <c r="S464" s="2">
        <v>1.8</v>
      </c>
      <c r="T464" s="2">
        <v>0.71399999999999997</v>
      </c>
      <c r="U464" s="2">
        <v>0.6</v>
      </c>
      <c r="V464" s="2">
        <v>1.8</v>
      </c>
      <c r="W464" s="2">
        <v>2.4</v>
      </c>
      <c r="X464" s="2">
        <v>3.3</v>
      </c>
      <c r="Y464" s="2">
        <v>0.6</v>
      </c>
      <c r="Z464" s="2">
        <v>0.3</v>
      </c>
      <c r="AA464" s="2">
        <v>0.6</v>
      </c>
      <c r="AB464" s="2">
        <v>1.5</v>
      </c>
      <c r="AC464" s="2">
        <v>4.0999999999999996</v>
      </c>
      <c r="AD464" s="2"/>
    </row>
    <row r="465" spans="1:30" x14ac:dyDescent="0.2">
      <c r="A465" t="s">
        <v>246</v>
      </c>
      <c r="B465" s="2">
        <v>23</v>
      </c>
      <c r="C465" t="s">
        <v>59</v>
      </c>
      <c r="D465" s="2" t="s">
        <v>33</v>
      </c>
      <c r="E465" s="2">
        <v>13</v>
      </c>
      <c r="F465" s="2">
        <v>0</v>
      </c>
      <c r="G465" s="2">
        <v>24.5</v>
      </c>
      <c r="H465" s="2">
        <v>5.4</v>
      </c>
      <c r="I465" s="2">
        <v>12.4</v>
      </c>
      <c r="J465" s="2">
        <v>0.435</v>
      </c>
      <c r="K465" s="2">
        <v>1.8</v>
      </c>
      <c r="L465" s="2">
        <v>4.5999999999999996</v>
      </c>
      <c r="M465" s="2">
        <v>0.4</v>
      </c>
      <c r="N465" s="2">
        <v>3.5</v>
      </c>
      <c r="O465" s="2">
        <v>7.8</v>
      </c>
      <c r="P465" s="2">
        <v>0.45500000000000002</v>
      </c>
      <c r="Q465" s="2">
        <v>0.50900000000000001</v>
      </c>
      <c r="R465" s="2">
        <v>1.5</v>
      </c>
      <c r="S465" s="2">
        <v>1.6</v>
      </c>
      <c r="T465" s="2">
        <v>0.90500000000000003</v>
      </c>
      <c r="U465" s="2">
        <v>0.9</v>
      </c>
      <c r="V465" s="2">
        <v>2</v>
      </c>
      <c r="W465" s="2">
        <v>2.9</v>
      </c>
      <c r="X465" s="2">
        <v>3</v>
      </c>
      <c r="Y465" s="2">
        <v>0.5</v>
      </c>
      <c r="Z465" s="2">
        <v>0.3</v>
      </c>
      <c r="AA465" s="2">
        <v>1.9</v>
      </c>
      <c r="AB465" s="2">
        <v>1.8</v>
      </c>
      <c r="AC465" s="2">
        <v>14.1</v>
      </c>
      <c r="AD465" s="2"/>
    </row>
    <row r="466" spans="1:30" x14ac:dyDescent="0.2">
      <c r="A466" t="s">
        <v>338</v>
      </c>
      <c r="B466" s="2">
        <v>24</v>
      </c>
      <c r="C466" t="s">
        <v>103</v>
      </c>
      <c r="D466" s="2" t="s">
        <v>27</v>
      </c>
      <c r="E466" s="2">
        <v>11</v>
      </c>
      <c r="F466" s="2">
        <v>0</v>
      </c>
      <c r="G466" s="2">
        <v>18.100000000000001</v>
      </c>
      <c r="H466" s="2">
        <v>3</v>
      </c>
      <c r="I466" s="2">
        <v>6.9</v>
      </c>
      <c r="J466" s="2">
        <v>0.434</v>
      </c>
      <c r="K466" s="2">
        <v>0.6</v>
      </c>
      <c r="L466" s="2">
        <v>2.2999999999999998</v>
      </c>
      <c r="M466" s="2">
        <v>0.28000000000000003</v>
      </c>
      <c r="N466" s="2">
        <v>2.4</v>
      </c>
      <c r="O466" s="2">
        <v>4.5999999999999996</v>
      </c>
      <c r="P466" s="2">
        <v>0.51</v>
      </c>
      <c r="Q466" s="2">
        <v>0.48</v>
      </c>
      <c r="R466" s="2">
        <v>2.5</v>
      </c>
      <c r="S466" s="2">
        <v>2.9</v>
      </c>
      <c r="T466" s="2">
        <v>0.84399999999999997</v>
      </c>
      <c r="U466" s="2">
        <v>0.4</v>
      </c>
      <c r="V466" s="2">
        <v>2.9</v>
      </c>
      <c r="W466" s="2">
        <v>3.3</v>
      </c>
      <c r="X466" s="2">
        <v>1.4</v>
      </c>
      <c r="Y466" s="2">
        <v>0.5</v>
      </c>
      <c r="Z466" s="2">
        <v>0.4</v>
      </c>
      <c r="AA466" s="2">
        <v>1.5</v>
      </c>
      <c r="AB466" s="2">
        <v>2.7</v>
      </c>
      <c r="AC466" s="2">
        <v>9.1</v>
      </c>
      <c r="AD466" s="2"/>
    </row>
    <row r="467" spans="1:30" x14ac:dyDescent="0.2">
      <c r="A467" t="s">
        <v>499</v>
      </c>
      <c r="B467" s="2">
        <v>19</v>
      </c>
      <c r="C467" t="s">
        <v>77</v>
      </c>
      <c r="D467" s="2" t="s">
        <v>49</v>
      </c>
      <c r="E467" s="2">
        <v>1</v>
      </c>
      <c r="F467" s="2">
        <v>0</v>
      </c>
      <c r="G467" s="2">
        <v>14</v>
      </c>
      <c r="H467" s="2">
        <v>4</v>
      </c>
      <c r="I467" s="2">
        <v>9</v>
      </c>
      <c r="J467" s="2">
        <v>0.44400000000000001</v>
      </c>
      <c r="K467" s="2">
        <v>0</v>
      </c>
      <c r="L467" s="2">
        <v>2</v>
      </c>
      <c r="M467" s="2">
        <v>0</v>
      </c>
      <c r="N467" s="2">
        <v>4</v>
      </c>
      <c r="O467" s="2">
        <v>7</v>
      </c>
      <c r="P467" s="2">
        <v>0.57099999999999995</v>
      </c>
      <c r="Q467" s="2">
        <v>0.44400000000000001</v>
      </c>
      <c r="R467" s="2">
        <v>1</v>
      </c>
      <c r="S467" s="2">
        <v>1</v>
      </c>
      <c r="T467" s="2">
        <v>1</v>
      </c>
      <c r="U467" s="2">
        <v>1</v>
      </c>
      <c r="V467" s="2">
        <v>3</v>
      </c>
      <c r="W467" s="2">
        <v>4</v>
      </c>
      <c r="X467" s="2">
        <v>0</v>
      </c>
      <c r="Y467" s="2">
        <v>0</v>
      </c>
      <c r="Z467" s="2">
        <v>0</v>
      </c>
      <c r="AA467" s="2">
        <v>1</v>
      </c>
      <c r="AB467" s="2">
        <v>3</v>
      </c>
      <c r="AC467" s="2">
        <v>9</v>
      </c>
      <c r="AD467" s="2"/>
    </row>
    <row r="468" spans="1:30" x14ac:dyDescent="0.2">
      <c r="A468" t="s">
        <v>540</v>
      </c>
      <c r="B468" s="2">
        <v>27</v>
      </c>
      <c r="C468" t="s">
        <v>48</v>
      </c>
      <c r="D468" s="2" t="s">
        <v>52</v>
      </c>
      <c r="E468" s="2">
        <v>2</v>
      </c>
      <c r="F468" s="2">
        <v>0</v>
      </c>
      <c r="G468" s="2">
        <v>2.5</v>
      </c>
      <c r="H468" s="2">
        <v>0.5</v>
      </c>
      <c r="I468" s="2">
        <v>1.5</v>
      </c>
      <c r="J468" s="2">
        <v>0.33300000000000002</v>
      </c>
      <c r="K468" s="2">
        <v>0.5</v>
      </c>
      <c r="L468" s="2">
        <v>0.5</v>
      </c>
      <c r="M468" s="2">
        <v>1</v>
      </c>
      <c r="N468" s="2">
        <v>0</v>
      </c>
      <c r="O468" s="2">
        <v>1</v>
      </c>
      <c r="P468" s="2">
        <v>0</v>
      </c>
      <c r="Q468" s="2">
        <v>0.5</v>
      </c>
      <c r="R468" s="2">
        <v>0</v>
      </c>
      <c r="S468" s="2">
        <v>0</v>
      </c>
      <c r="T468" s="2"/>
      <c r="U468" s="2">
        <v>0</v>
      </c>
      <c r="V468" s="2">
        <v>0</v>
      </c>
      <c r="W468" s="2">
        <v>0</v>
      </c>
      <c r="X468" s="2">
        <v>0</v>
      </c>
      <c r="Y468" s="2">
        <v>0</v>
      </c>
      <c r="Z468" s="2">
        <v>0</v>
      </c>
      <c r="AA468" s="2">
        <v>0.5</v>
      </c>
      <c r="AB468" s="2">
        <v>0.5</v>
      </c>
      <c r="AC468" s="2">
        <v>1.5</v>
      </c>
      <c r="AD468" s="2"/>
    </row>
    <row r="469" spans="1:30" x14ac:dyDescent="0.2">
      <c r="A469" t="s">
        <v>497</v>
      </c>
      <c r="B469" s="2">
        <v>21</v>
      </c>
      <c r="C469" t="s">
        <v>46</v>
      </c>
      <c r="D469" s="2" t="s">
        <v>52</v>
      </c>
      <c r="E469" s="2">
        <v>9</v>
      </c>
      <c r="F469" s="2">
        <v>0</v>
      </c>
      <c r="G469" s="2">
        <v>4.9000000000000004</v>
      </c>
      <c r="H469" s="2">
        <v>0.3</v>
      </c>
      <c r="I469" s="2">
        <v>1.3</v>
      </c>
      <c r="J469" s="2">
        <v>0.25</v>
      </c>
      <c r="K469" s="2">
        <v>0.1</v>
      </c>
      <c r="L469" s="2">
        <v>0.7</v>
      </c>
      <c r="M469" s="2">
        <v>0.16700000000000001</v>
      </c>
      <c r="N469" s="2">
        <v>0.2</v>
      </c>
      <c r="O469" s="2">
        <v>0.7</v>
      </c>
      <c r="P469" s="2">
        <v>0.33300000000000002</v>
      </c>
      <c r="Q469" s="2">
        <v>0.29199999999999998</v>
      </c>
      <c r="R469" s="2">
        <v>0.2</v>
      </c>
      <c r="S469" s="2">
        <v>0.2</v>
      </c>
      <c r="T469" s="2">
        <v>1</v>
      </c>
      <c r="U469" s="2">
        <v>0</v>
      </c>
      <c r="V469" s="2">
        <v>0.1</v>
      </c>
      <c r="W469" s="2">
        <v>0.1</v>
      </c>
      <c r="X469" s="2">
        <v>0.2</v>
      </c>
      <c r="Y469" s="2">
        <v>0</v>
      </c>
      <c r="Z469" s="2">
        <v>0.1</v>
      </c>
      <c r="AA469" s="2">
        <v>0.1</v>
      </c>
      <c r="AB469" s="2">
        <v>0.3</v>
      </c>
      <c r="AC469" s="2">
        <v>1</v>
      </c>
      <c r="AD469" s="2"/>
    </row>
    <row r="470" spans="1:30" x14ac:dyDescent="0.2">
      <c r="A470" t="s">
        <v>426</v>
      </c>
      <c r="B470" s="2">
        <v>25</v>
      </c>
      <c r="C470" t="s">
        <v>117</v>
      </c>
      <c r="D470" s="2" t="s">
        <v>42</v>
      </c>
      <c r="E470" s="2">
        <v>15</v>
      </c>
      <c r="F470" s="2">
        <v>0</v>
      </c>
      <c r="G470" s="2">
        <v>10.1</v>
      </c>
      <c r="H470" s="2">
        <v>0.9</v>
      </c>
      <c r="I470" s="2">
        <v>1.9</v>
      </c>
      <c r="J470" s="2">
        <v>0.48299999999999998</v>
      </c>
      <c r="K470" s="2">
        <v>0</v>
      </c>
      <c r="L470" s="2">
        <v>0</v>
      </c>
      <c r="M470" s="2"/>
      <c r="N470" s="2">
        <v>0.9</v>
      </c>
      <c r="O470" s="2">
        <v>1.9</v>
      </c>
      <c r="P470" s="2">
        <v>0.48299999999999998</v>
      </c>
      <c r="Q470" s="2">
        <v>0.48299999999999998</v>
      </c>
      <c r="R470" s="2">
        <v>0.5</v>
      </c>
      <c r="S470" s="2">
        <v>1.1000000000000001</v>
      </c>
      <c r="T470" s="2">
        <v>0.41199999999999998</v>
      </c>
      <c r="U470" s="2">
        <v>1.1000000000000001</v>
      </c>
      <c r="V470" s="2">
        <v>1.4</v>
      </c>
      <c r="W470" s="2">
        <v>2.5</v>
      </c>
      <c r="X470" s="2">
        <v>0.5</v>
      </c>
      <c r="Y470" s="2">
        <v>0.5</v>
      </c>
      <c r="Z470" s="2">
        <v>0.4</v>
      </c>
      <c r="AA470" s="2">
        <v>0.7</v>
      </c>
      <c r="AB470" s="2">
        <v>1.6</v>
      </c>
      <c r="AC470" s="2">
        <v>2.2999999999999998</v>
      </c>
      <c r="AD470" s="2"/>
    </row>
    <row r="471" spans="1:30" x14ac:dyDescent="0.2">
      <c r="A471" t="s">
        <v>340</v>
      </c>
      <c r="B471" s="2">
        <v>29</v>
      </c>
      <c r="C471" t="s">
        <v>37</v>
      </c>
      <c r="D471" s="2" t="s">
        <v>27</v>
      </c>
      <c r="E471" s="2">
        <v>18</v>
      </c>
      <c r="F471" s="2">
        <v>2</v>
      </c>
      <c r="G471" s="2">
        <v>19.600000000000001</v>
      </c>
      <c r="H471" s="2">
        <v>1.8</v>
      </c>
      <c r="I471" s="2">
        <v>5.0999999999999996</v>
      </c>
      <c r="J471" s="2">
        <v>0.36299999999999999</v>
      </c>
      <c r="K471" s="2">
        <v>1.2</v>
      </c>
      <c r="L471" s="2">
        <v>3.7</v>
      </c>
      <c r="M471" s="2">
        <v>0.33300000000000002</v>
      </c>
      <c r="N471" s="2">
        <v>0.6</v>
      </c>
      <c r="O471" s="2">
        <v>1.4</v>
      </c>
      <c r="P471" s="2">
        <v>0.44</v>
      </c>
      <c r="Q471" s="2">
        <v>0.48399999999999999</v>
      </c>
      <c r="R471" s="2">
        <v>0.6</v>
      </c>
      <c r="S471" s="2">
        <v>0.8</v>
      </c>
      <c r="T471" s="2">
        <v>0.71399999999999997</v>
      </c>
      <c r="U471" s="2">
        <v>0.8</v>
      </c>
      <c r="V471" s="2">
        <v>3.1</v>
      </c>
      <c r="W471" s="2">
        <v>3.9</v>
      </c>
      <c r="X471" s="2">
        <v>0.9</v>
      </c>
      <c r="Y471" s="2">
        <v>0.6</v>
      </c>
      <c r="Z471" s="2">
        <v>0.6</v>
      </c>
      <c r="AA471" s="2">
        <v>0.6</v>
      </c>
      <c r="AB471" s="2">
        <v>1.4</v>
      </c>
      <c r="AC471" s="2">
        <v>5.4</v>
      </c>
      <c r="AD471" s="2"/>
    </row>
    <row r="472" spans="1:30" x14ac:dyDescent="0.2">
      <c r="A472" t="s">
        <v>205</v>
      </c>
      <c r="B472" s="2">
        <v>24</v>
      </c>
      <c r="C472" t="s">
        <v>117</v>
      </c>
      <c r="D472" s="2" t="s">
        <v>49</v>
      </c>
      <c r="E472" s="2">
        <v>13</v>
      </c>
      <c r="F472" s="2">
        <v>11</v>
      </c>
      <c r="G472" s="2">
        <v>33.700000000000003</v>
      </c>
      <c r="H472" s="2">
        <v>6.2</v>
      </c>
      <c r="I472" s="2">
        <v>14.5</v>
      </c>
      <c r="J472" s="2">
        <v>0.42599999999999999</v>
      </c>
      <c r="K472" s="2">
        <v>2.8</v>
      </c>
      <c r="L472" s="2">
        <v>8.1999999999999993</v>
      </c>
      <c r="M472" s="2">
        <v>0.34</v>
      </c>
      <c r="N472" s="2">
        <v>3.4</v>
      </c>
      <c r="O472" s="2">
        <v>6.3</v>
      </c>
      <c r="P472" s="2">
        <v>0.53700000000000003</v>
      </c>
      <c r="Q472" s="2">
        <v>0.52100000000000002</v>
      </c>
      <c r="R472" s="2">
        <v>3.2</v>
      </c>
      <c r="S472" s="2">
        <v>3.6</v>
      </c>
      <c r="T472" s="2">
        <v>0.872</v>
      </c>
      <c r="U472" s="2">
        <v>0.8</v>
      </c>
      <c r="V472" s="2">
        <v>3.8</v>
      </c>
      <c r="W472" s="2">
        <v>4.5</v>
      </c>
      <c r="X472" s="2">
        <v>2.2999999999999998</v>
      </c>
      <c r="Y472" s="2">
        <v>1.2</v>
      </c>
      <c r="Z472" s="2">
        <v>0.6</v>
      </c>
      <c r="AA472" s="2">
        <v>1.6</v>
      </c>
      <c r="AB472" s="2">
        <v>2.2999999999999998</v>
      </c>
      <c r="AC472" s="2">
        <v>18.2</v>
      </c>
      <c r="AD472" s="2"/>
    </row>
    <row r="473" spans="1:30" x14ac:dyDescent="0.2">
      <c r="A473" t="s">
        <v>268</v>
      </c>
      <c r="B473" s="2">
        <v>23</v>
      </c>
      <c r="C473" t="s">
        <v>48</v>
      </c>
      <c r="D473" s="2" t="s">
        <v>49</v>
      </c>
      <c r="E473" s="2">
        <v>23</v>
      </c>
      <c r="F473" s="2">
        <v>16</v>
      </c>
      <c r="G473" s="2">
        <v>22.7</v>
      </c>
      <c r="H473" s="2">
        <v>2.7</v>
      </c>
      <c r="I473" s="2">
        <v>6.5</v>
      </c>
      <c r="J473" s="2">
        <v>0.40699999999999997</v>
      </c>
      <c r="K473" s="2">
        <v>1.1000000000000001</v>
      </c>
      <c r="L473" s="2">
        <v>3.3</v>
      </c>
      <c r="M473" s="2">
        <v>0.32900000000000001</v>
      </c>
      <c r="N473" s="2">
        <v>1.6</v>
      </c>
      <c r="O473" s="2">
        <v>3.2</v>
      </c>
      <c r="P473" s="2">
        <v>0.48599999999999999</v>
      </c>
      <c r="Q473" s="2">
        <v>0.49</v>
      </c>
      <c r="R473" s="2">
        <v>0.7</v>
      </c>
      <c r="S473" s="2">
        <v>1</v>
      </c>
      <c r="T473" s="2">
        <v>0.70799999999999996</v>
      </c>
      <c r="U473" s="2">
        <v>0.9</v>
      </c>
      <c r="V473" s="2">
        <v>2.7</v>
      </c>
      <c r="W473" s="2">
        <v>3.6</v>
      </c>
      <c r="X473" s="2">
        <v>1.4</v>
      </c>
      <c r="Y473" s="2">
        <v>0.3</v>
      </c>
      <c r="Z473" s="2">
        <v>0.2</v>
      </c>
      <c r="AA473" s="2">
        <v>0.7</v>
      </c>
      <c r="AB473" s="2">
        <v>1.4</v>
      </c>
      <c r="AC473" s="2">
        <v>7.1</v>
      </c>
      <c r="AD473" s="2"/>
    </row>
    <row r="474" spans="1:30" x14ac:dyDescent="0.2">
      <c r="A474" t="s">
        <v>451</v>
      </c>
      <c r="B474" s="2">
        <v>33</v>
      </c>
      <c r="C474" t="s">
        <v>57</v>
      </c>
      <c r="D474" s="2" t="s">
        <v>27</v>
      </c>
      <c r="E474" s="2">
        <v>8</v>
      </c>
      <c r="F474" s="2">
        <v>0</v>
      </c>
      <c r="G474" s="2">
        <v>7.3</v>
      </c>
      <c r="H474" s="2">
        <v>1.6</v>
      </c>
      <c r="I474" s="2">
        <v>2.4</v>
      </c>
      <c r="J474" s="2">
        <v>0.68400000000000005</v>
      </c>
      <c r="K474" s="2">
        <v>0</v>
      </c>
      <c r="L474" s="2">
        <v>0.1</v>
      </c>
      <c r="M474" s="2">
        <v>0</v>
      </c>
      <c r="N474" s="2">
        <v>1.6</v>
      </c>
      <c r="O474" s="2">
        <v>2.2999999999999998</v>
      </c>
      <c r="P474" s="2">
        <v>0.72199999999999998</v>
      </c>
      <c r="Q474" s="2">
        <v>0.68400000000000005</v>
      </c>
      <c r="R474" s="2">
        <v>0</v>
      </c>
      <c r="S474" s="2">
        <v>0.8</v>
      </c>
      <c r="T474" s="2">
        <v>0</v>
      </c>
      <c r="U474" s="2">
        <v>0.4</v>
      </c>
      <c r="V474" s="2">
        <v>1.8</v>
      </c>
      <c r="W474" s="2">
        <v>2.1</v>
      </c>
      <c r="X474" s="2">
        <v>0.5</v>
      </c>
      <c r="Y474" s="2">
        <v>0</v>
      </c>
      <c r="Z474" s="2">
        <v>0.3</v>
      </c>
      <c r="AA474" s="2">
        <v>0.5</v>
      </c>
      <c r="AB474" s="2">
        <v>0.8</v>
      </c>
      <c r="AC474" s="2">
        <v>3.3</v>
      </c>
      <c r="AD474" s="2"/>
    </row>
    <row r="475" spans="1:30" x14ac:dyDescent="0.2">
      <c r="A475" t="s">
        <v>538</v>
      </c>
      <c r="B475" s="2">
        <v>23</v>
      </c>
      <c r="C475" t="s">
        <v>82</v>
      </c>
      <c r="D475" s="2" t="s">
        <v>52</v>
      </c>
      <c r="E475" s="2">
        <v>5</v>
      </c>
      <c r="F475" s="2">
        <v>0</v>
      </c>
      <c r="G475" s="2">
        <v>1.6</v>
      </c>
      <c r="H475" s="2">
        <v>0.2</v>
      </c>
      <c r="I475" s="2">
        <v>1.2</v>
      </c>
      <c r="J475" s="2">
        <v>0.16700000000000001</v>
      </c>
      <c r="K475" s="2">
        <v>0</v>
      </c>
      <c r="L475" s="2">
        <v>0.6</v>
      </c>
      <c r="M475" s="2">
        <v>0</v>
      </c>
      <c r="N475" s="2">
        <v>0.2</v>
      </c>
      <c r="O475" s="2">
        <v>0.6</v>
      </c>
      <c r="P475" s="2">
        <v>0.33300000000000002</v>
      </c>
      <c r="Q475" s="2">
        <v>0.16700000000000001</v>
      </c>
      <c r="R475" s="2">
        <v>0.2</v>
      </c>
      <c r="S475" s="2">
        <v>0.2</v>
      </c>
      <c r="T475" s="2">
        <v>1</v>
      </c>
      <c r="U475" s="2">
        <v>0</v>
      </c>
      <c r="V475" s="2">
        <v>0</v>
      </c>
      <c r="W475" s="2">
        <v>0</v>
      </c>
      <c r="X475" s="2">
        <v>0.2</v>
      </c>
      <c r="Y475" s="2">
        <v>0</v>
      </c>
      <c r="Z475" s="2">
        <v>0</v>
      </c>
      <c r="AA475" s="2">
        <v>0.2</v>
      </c>
      <c r="AB475" s="2">
        <v>0.4</v>
      </c>
      <c r="AC475" s="2">
        <v>0.6</v>
      </c>
      <c r="AD475" s="2"/>
    </row>
    <row r="476" spans="1:30" x14ac:dyDescent="0.2">
      <c r="A476" t="s">
        <v>180</v>
      </c>
      <c r="B476" s="2">
        <v>27</v>
      </c>
      <c r="C476" t="s">
        <v>57</v>
      </c>
      <c r="D476" s="2" t="s">
        <v>52</v>
      </c>
      <c r="E476" s="2">
        <v>24</v>
      </c>
      <c r="F476" s="2">
        <v>2</v>
      </c>
      <c r="G476" s="2">
        <v>18.399999999999999</v>
      </c>
      <c r="H476" s="2">
        <v>4.0999999999999996</v>
      </c>
      <c r="I476" s="2">
        <v>7.4</v>
      </c>
      <c r="J476" s="2">
        <v>0.55100000000000005</v>
      </c>
      <c r="K476" s="2">
        <v>1.4</v>
      </c>
      <c r="L476" s="2">
        <v>2.9</v>
      </c>
      <c r="M476" s="2">
        <v>0.47099999999999997</v>
      </c>
      <c r="N476" s="2">
        <v>2.7</v>
      </c>
      <c r="O476" s="2">
        <v>4.5</v>
      </c>
      <c r="P476" s="2">
        <v>0.60199999999999998</v>
      </c>
      <c r="Q476" s="2">
        <v>0.64300000000000002</v>
      </c>
      <c r="R476" s="2">
        <v>1.7</v>
      </c>
      <c r="S476" s="2">
        <v>1.9</v>
      </c>
      <c r="T476" s="2">
        <v>0.91100000000000003</v>
      </c>
      <c r="U476" s="2">
        <v>0.6</v>
      </c>
      <c r="V476" s="2">
        <v>1.5</v>
      </c>
      <c r="W476" s="2">
        <v>2.1</v>
      </c>
      <c r="X476" s="2">
        <v>3.5</v>
      </c>
      <c r="Y476" s="2">
        <v>1.2</v>
      </c>
      <c r="Z476" s="2">
        <v>0</v>
      </c>
      <c r="AA476" s="2">
        <v>1.2</v>
      </c>
      <c r="AB476" s="2">
        <v>1.6</v>
      </c>
      <c r="AC476" s="2">
        <v>11.3</v>
      </c>
      <c r="AD476" s="2"/>
    </row>
    <row r="477" spans="1:30" x14ac:dyDescent="0.2">
      <c r="A477" t="s">
        <v>60</v>
      </c>
      <c r="B477" s="2">
        <v>25</v>
      </c>
      <c r="C477" t="s">
        <v>61</v>
      </c>
      <c r="D477" s="2" t="s">
        <v>52</v>
      </c>
      <c r="E477" s="2">
        <v>23</v>
      </c>
      <c r="F477" s="2">
        <v>23</v>
      </c>
      <c r="G477" s="2">
        <v>34.700000000000003</v>
      </c>
      <c r="H477" s="2">
        <v>8.3000000000000007</v>
      </c>
      <c r="I477" s="2">
        <v>17.3</v>
      </c>
      <c r="J477" s="2">
        <v>0.48399999999999999</v>
      </c>
      <c r="K477" s="2">
        <v>4.2</v>
      </c>
      <c r="L477" s="2">
        <v>9.8000000000000007</v>
      </c>
      <c r="M477" s="2">
        <v>0.42699999999999999</v>
      </c>
      <c r="N477" s="2">
        <v>4.2</v>
      </c>
      <c r="O477" s="2">
        <v>7.5</v>
      </c>
      <c r="P477" s="2">
        <v>0.55800000000000005</v>
      </c>
      <c r="Q477" s="2">
        <v>0.60499999999999998</v>
      </c>
      <c r="R477" s="2">
        <v>3.3</v>
      </c>
      <c r="S477" s="2">
        <v>3.8</v>
      </c>
      <c r="T477" s="2">
        <v>0.874</v>
      </c>
      <c r="U477" s="2">
        <v>0.3</v>
      </c>
      <c r="V477" s="2">
        <v>5</v>
      </c>
      <c r="W477" s="2">
        <v>5.3</v>
      </c>
      <c r="X477" s="2">
        <v>5</v>
      </c>
      <c r="Y477" s="2">
        <v>0.7</v>
      </c>
      <c r="Z477" s="2">
        <v>0.1</v>
      </c>
      <c r="AA477" s="2">
        <v>2.5</v>
      </c>
      <c r="AB477" s="2">
        <v>1.7</v>
      </c>
      <c r="AC477" s="2">
        <v>24.2</v>
      </c>
      <c r="AD477" s="2"/>
    </row>
    <row r="478" spans="1:30" x14ac:dyDescent="0.2">
      <c r="A478" t="s">
        <v>411</v>
      </c>
      <c r="B478" s="2">
        <v>23</v>
      </c>
      <c r="C478" t="s">
        <v>44</v>
      </c>
      <c r="D478" s="2" t="s">
        <v>33</v>
      </c>
      <c r="E478" s="2">
        <v>16</v>
      </c>
      <c r="F478" s="2">
        <v>0</v>
      </c>
      <c r="G478" s="2">
        <v>6.9</v>
      </c>
      <c r="H478" s="2">
        <v>1</v>
      </c>
      <c r="I478" s="2">
        <v>2.2999999999999998</v>
      </c>
      <c r="J478" s="2">
        <v>0.432</v>
      </c>
      <c r="K478" s="2">
        <v>0.6</v>
      </c>
      <c r="L478" s="2">
        <v>1.4</v>
      </c>
      <c r="M478" s="2">
        <v>0.45500000000000002</v>
      </c>
      <c r="N478" s="2">
        <v>0.4</v>
      </c>
      <c r="O478" s="2">
        <v>0.9</v>
      </c>
      <c r="P478" s="2">
        <v>0.4</v>
      </c>
      <c r="Q478" s="2">
        <v>0.56799999999999995</v>
      </c>
      <c r="R478" s="2">
        <v>0.3</v>
      </c>
      <c r="S478" s="2">
        <v>0.3</v>
      </c>
      <c r="T478" s="2">
        <v>1</v>
      </c>
      <c r="U478" s="2">
        <v>0.1</v>
      </c>
      <c r="V478" s="2">
        <v>0.6</v>
      </c>
      <c r="W478" s="2">
        <v>0.8</v>
      </c>
      <c r="X478" s="2">
        <v>0.7</v>
      </c>
      <c r="Y478" s="2">
        <v>0.4</v>
      </c>
      <c r="Z478" s="2">
        <v>0.1</v>
      </c>
      <c r="AA478" s="2">
        <v>0.4</v>
      </c>
      <c r="AB478" s="2">
        <v>0.6</v>
      </c>
      <c r="AC478" s="2">
        <v>2.9</v>
      </c>
      <c r="AD478" s="2"/>
    </row>
    <row r="479" spans="1:30" x14ac:dyDescent="0.2">
      <c r="A479" t="s">
        <v>469</v>
      </c>
      <c r="B479" s="2">
        <v>20</v>
      </c>
      <c r="C479" t="s">
        <v>35</v>
      </c>
      <c r="D479" s="2" t="s">
        <v>27</v>
      </c>
      <c r="E479" s="2">
        <v>10</v>
      </c>
      <c r="F479" s="2">
        <v>0</v>
      </c>
      <c r="G479" s="2">
        <v>3.4</v>
      </c>
      <c r="H479" s="2">
        <v>0.8</v>
      </c>
      <c r="I479" s="2">
        <v>1.3</v>
      </c>
      <c r="J479" s="2">
        <v>0.61499999999999999</v>
      </c>
      <c r="K479" s="2">
        <v>0.3</v>
      </c>
      <c r="L479" s="2">
        <v>0.8</v>
      </c>
      <c r="M479" s="2">
        <v>0.375</v>
      </c>
      <c r="N479" s="2">
        <v>0.5</v>
      </c>
      <c r="O479" s="2">
        <v>0.5</v>
      </c>
      <c r="P479" s="2">
        <v>1</v>
      </c>
      <c r="Q479" s="2">
        <v>0.73099999999999998</v>
      </c>
      <c r="R479" s="2">
        <v>0.1</v>
      </c>
      <c r="S479" s="2">
        <v>0.2</v>
      </c>
      <c r="T479" s="2">
        <v>0.5</v>
      </c>
      <c r="U479" s="2">
        <v>0.1</v>
      </c>
      <c r="V479" s="2">
        <v>0.7</v>
      </c>
      <c r="W479" s="2">
        <v>0.8</v>
      </c>
      <c r="X479" s="2">
        <v>0.1</v>
      </c>
      <c r="Y479" s="2">
        <v>0</v>
      </c>
      <c r="Z479" s="2">
        <v>0.3</v>
      </c>
      <c r="AA479" s="2">
        <v>0.3</v>
      </c>
      <c r="AB479" s="2">
        <v>0.4</v>
      </c>
      <c r="AC479" s="2">
        <v>2</v>
      </c>
      <c r="AD479" s="2"/>
    </row>
    <row r="480" spans="1:30" x14ac:dyDescent="0.2">
      <c r="A480" t="s">
        <v>97</v>
      </c>
      <c r="B480" s="2">
        <v>24</v>
      </c>
      <c r="C480" t="s">
        <v>82</v>
      </c>
      <c r="D480" s="2" t="s">
        <v>33</v>
      </c>
      <c r="E480" s="2">
        <v>25</v>
      </c>
      <c r="F480" s="2">
        <v>25</v>
      </c>
      <c r="G480" s="2">
        <v>35.4</v>
      </c>
      <c r="H480" s="2">
        <v>6</v>
      </c>
      <c r="I480" s="2">
        <v>14.3</v>
      </c>
      <c r="J480" s="2">
        <v>0.42</v>
      </c>
      <c r="K480" s="2">
        <v>2.8</v>
      </c>
      <c r="L480" s="2">
        <v>8.4</v>
      </c>
      <c r="M480" s="2">
        <v>0.33600000000000002</v>
      </c>
      <c r="N480" s="2">
        <v>3.2</v>
      </c>
      <c r="O480" s="2">
        <v>5.8</v>
      </c>
      <c r="P480" s="2">
        <v>0.54100000000000004</v>
      </c>
      <c r="Q480" s="2">
        <v>0.52</v>
      </c>
      <c r="R480" s="2">
        <v>2.6</v>
      </c>
      <c r="S480" s="2">
        <v>3.1</v>
      </c>
      <c r="T480" s="2">
        <v>0.84599999999999997</v>
      </c>
      <c r="U480" s="2">
        <v>0.7</v>
      </c>
      <c r="V480" s="2">
        <v>2.6</v>
      </c>
      <c r="W480" s="2">
        <v>3.4</v>
      </c>
      <c r="X480" s="2">
        <v>8.4</v>
      </c>
      <c r="Y480" s="2">
        <v>1.3</v>
      </c>
      <c r="Z480" s="2">
        <v>0.6</v>
      </c>
      <c r="AA480" s="2">
        <v>2</v>
      </c>
      <c r="AB480" s="2">
        <v>1.6</v>
      </c>
      <c r="AC480" s="2">
        <v>17.5</v>
      </c>
      <c r="AD480" s="2"/>
    </row>
    <row r="481" spans="1:30" x14ac:dyDescent="0.2">
      <c r="A481" t="s">
        <v>383</v>
      </c>
      <c r="B481" s="2">
        <v>25</v>
      </c>
      <c r="C481" t="s">
        <v>103</v>
      </c>
      <c r="D481" s="2" t="s">
        <v>52</v>
      </c>
      <c r="E481" s="2">
        <v>9</v>
      </c>
      <c r="F481" s="2">
        <v>2</v>
      </c>
      <c r="G481" s="2">
        <v>14.7</v>
      </c>
      <c r="H481" s="2">
        <v>2.4</v>
      </c>
      <c r="I481" s="2">
        <v>4.9000000000000004</v>
      </c>
      <c r="J481" s="2">
        <v>0.5</v>
      </c>
      <c r="K481" s="2">
        <v>1.9</v>
      </c>
      <c r="L481" s="2">
        <v>3.7</v>
      </c>
      <c r="M481" s="2">
        <v>0.51500000000000001</v>
      </c>
      <c r="N481" s="2">
        <v>0.6</v>
      </c>
      <c r="O481" s="2">
        <v>1.2</v>
      </c>
      <c r="P481" s="2">
        <v>0.45500000000000002</v>
      </c>
      <c r="Q481" s="2">
        <v>0.69299999999999995</v>
      </c>
      <c r="R481" s="2">
        <v>0.4</v>
      </c>
      <c r="S481" s="2">
        <v>0.6</v>
      </c>
      <c r="T481" s="2">
        <v>0.8</v>
      </c>
      <c r="U481" s="2">
        <v>0.4</v>
      </c>
      <c r="V481" s="2">
        <v>1.8</v>
      </c>
      <c r="W481" s="2">
        <v>2.2000000000000002</v>
      </c>
      <c r="X481" s="2">
        <v>1.1000000000000001</v>
      </c>
      <c r="Y481" s="2">
        <v>0.3</v>
      </c>
      <c r="Z481" s="2">
        <v>0.2</v>
      </c>
      <c r="AA481" s="2">
        <v>0.4</v>
      </c>
      <c r="AB481" s="2">
        <v>1.3</v>
      </c>
      <c r="AC481" s="2">
        <v>7.2</v>
      </c>
      <c r="AD481" s="2"/>
    </row>
    <row r="482" spans="1:30" x14ac:dyDescent="0.2">
      <c r="A482" t="s">
        <v>121</v>
      </c>
      <c r="B482" s="2">
        <v>24</v>
      </c>
      <c r="C482" t="s">
        <v>122</v>
      </c>
      <c r="D482" s="2" t="s">
        <v>33</v>
      </c>
      <c r="E482" s="2">
        <v>16</v>
      </c>
      <c r="F482" s="2">
        <v>16</v>
      </c>
      <c r="G482" s="2">
        <v>36.700000000000003</v>
      </c>
      <c r="H482" s="2">
        <v>8.6</v>
      </c>
      <c r="I482" s="2">
        <v>21.3</v>
      </c>
      <c r="J482" s="2">
        <v>0.40600000000000003</v>
      </c>
      <c r="K482" s="2">
        <v>2.8</v>
      </c>
      <c r="L482" s="2">
        <v>9.4</v>
      </c>
      <c r="M482" s="2">
        <v>0.29299999999999998</v>
      </c>
      <c r="N482" s="2">
        <v>5.9</v>
      </c>
      <c r="O482" s="2">
        <v>11.9</v>
      </c>
      <c r="P482" s="2">
        <v>0.495</v>
      </c>
      <c r="Q482" s="2">
        <v>0.47099999999999997</v>
      </c>
      <c r="R482" s="2">
        <v>4.3</v>
      </c>
      <c r="S482" s="2">
        <v>5.0999999999999996</v>
      </c>
      <c r="T482" s="2">
        <v>0.85199999999999998</v>
      </c>
      <c r="U482" s="2">
        <v>0.2</v>
      </c>
      <c r="V482" s="2">
        <v>3.4</v>
      </c>
      <c r="W482" s="2">
        <v>3.6</v>
      </c>
      <c r="X482" s="2">
        <v>5.2</v>
      </c>
      <c r="Y482" s="2">
        <v>2</v>
      </c>
      <c r="Z482" s="2">
        <v>0.3</v>
      </c>
      <c r="AA482" s="2">
        <v>1.9</v>
      </c>
      <c r="AB482" s="2">
        <v>2.6</v>
      </c>
      <c r="AC482" s="2">
        <v>24.3</v>
      </c>
      <c r="AD482" s="2"/>
    </row>
    <row r="483" spans="1:30" x14ac:dyDescent="0.2">
      <c r="A483" t="s">
        <v>505</v>
      </c>
      <c r="B483" s="2">
        <v>23</v>
      </c>
      <c r="C483" t="s">
        <v>54</v>
      </c>
      <c r="D483" s="2" t="s">
        <v>33</v>
      </c>
      <c r="E483" s="2">
        <v>3</v>
      </c>
      <c r="F483" s="2">
        <v>0</v>
      </c>
      <c r="G483" s="2">
        <v>9</v>
      </c>
      <c r="H483" s="2">
        <v>1</v>
      </c>
      <c r="I483" s="2">
        <v>2</v>
      </c>
      <c r="J483" s="2">
        <v>0.5</v>
      </c>
      <c r="K483" s="2">
        <v>0.7</v>
      </c>
      <c r="L483" s="2">
        <v>1</v>
      </c>
      <c r="M483" s="2">
        <v>0.66700000000000004</v>
      </c>
      <c r="N483" s="2">
        <v>0.3</v>
      </c>
      <c r="O483" s="2">
        <v>1</v>
      </c>
      <c r="P483" s="2">
        <v>0.33300000000000002</v>
      </c>
      <c r="Q483" s="2">
        <v>0.66700000000000004</v>
      </c>
      <c r="R483" s="2">
        <v>0</v>
      </c>
      <c r="S483" s="2">
        <v>0</v>
      </c>
      <c r="T483" s="2"/>
      <c r="U483" s="2">
        <v>0</v>
      </c>
      <c r="V483" s="2">
        <v>0.3</v>
      </c>
      <c r="W483" s="2">
        <v>0.3</v>
      </c>
      <c r="X483" s="2">
        <v>1.3</v>
      </c>
      <c r="Y483" s="2">
        <v>0.7</v>
      </c>
      <c r="Z483" s="2">
        <v>0</v>
      </c>
      <c r="AA483" s="2">
        <v>0.3</v>
      </c>
      <c r="AB483" s="2">
        <v>0</v>
      </c>
      <c r="AC483" s="2">
        <v>2.7</v>
      </c>
      <c r="AD483" s="2"/>
    </row>
    <row r="484" spans="1:30" x14ac:dyDescent="0.2">
      <c r="A484" t="s">
        <v>171</v>
      </c>
      <c r="B484" s="2">
        <v>28</v>
      </c>
      <c r="C484" t="s">
        <v>54</v>
      </c>
      <c r="D484" s="2" t="s">
        <v>33</v>
      </c>
      <c r="E484" s="2">
        <v>23</v>
      </c>
      <c r="F484" s="2">
        <v>23</v>
      </c>
      <c r="G484" s="2">
        <v>32.299999999999997</v>
      </c>
      <c r="H484" s="2">
        <v>4.7</v>
      </c>
      <c r="I484" s="2">
        <v>9.9</v>
      </c>
      <c r="J484" s="2">
        <v>0.47099999999999997</v>
      </c>
      <c r="K484" s="2">
        <v>2.2999999999999998</v>
      </c>
      <c r="L484" s="2">
        <v>5.5</v>
      </c>
      <c r="M484" s="2">
        <v>0.41299999999999998</v>
      </c>
      <c r="N484" s="2">
        <v>2.4</v>
      </c>
      <c r="O484" s="2">
        <v>4.4000000000000004</v>
      </c>
      <c r="P484" s="2">
        <v>0.54500000000000004</v>
      </c>
      <c r="Q484" s="2">
        <v>0.58599999999999997</v>
      </c>
      <c r="R484" s="2">
        <v>0.7</v>
      </c>
      <c r="S484" s="2">
        <v>0.8</v>
      </c>
      <c r="T484" s="2">
        <v>0.83299999999999996</v>
      </c>
      <c r="U484" s="2">
        <v>0.6</v>
      </c>
      <c r="V484" s="2">
        <v>2</v>
      </c>
      <c r="W484" s="2">
        <v>2.6</v>
      </c>
      <c r="X484" s="2">
        <v>6.8</v>
      </c>
      <c r="Y484" s="2">
        <v>1.2</v>
      </c>
      <c r="Z484" s="2">
        <v>0.1</v>
      </c>
      <c r="AA484" s="2">
        <v>1</v>
      </c>
      <c r="AB484" s="2">
        <v>1</v>
      </c>
      <c r="AC484" s="2">
        <v>12.2</v>
      </c>
      <c r="AD484" s="2"/>
    </row>
    <row r="485" spans="1:30" x14ac:dyDescent="0.2">
      <c r="A485" t="s">
        <v>544</v>
      </c>
      <c r="B485" s="2">
        <v>19</v>
      </c>
      <c r="C485" t="s">
        <v>66</v>
      </c>
      <c r="D485" s="2" t="s">
        <v>27</v>
      </c>
      <c r="E485" s="2">
        <v>1</v>
      </c>
      <c r="F485" s="2">
        <v>0</v>
      </c>
      <c r="G485" s="2">
        <v>5</v>
      </c>
      <c r="H485" s="2">
        <v>1</v>
      </c>
      <c r="I485" s="2">
        <v>1</v>
      </c>
      <c r="J485" s="2">
        <v>1</v>
      </c>
      <c r="K485" s="2">
        <v>0</v>
      </c>
      <c r="L485" s="2">
        <v>0</v>
      </c>
      <c r="M485" s="2"/>
      <c r="N485" s="2">
        <v>1</v>
      </c>
      <c r="O485" s="2">
        <v>1</v>
      </c>
      <c r="P485" s="2">
        <v>1</v>
      </c>
      <c r="Q485" s="2">
        <v>1</v>
      </c>
      <c r="R485" s="2">
        <v>0</v>
      </c>
      <c r="S485" s="2">
        <v>0</v>
      </c>
      <c r="T485" s="2"/>
      <c r="U485" s="2">
        <v>0</v>
      </c>
      <c r="V485" s="2">
        <v>1</v>
      </c>
      <c r="W485" s="2">
        <v>1</v>
      </c>
      <c r="X485" s="2">
        <v>0</v>
      </c>
      <c r="Y485" s="2">
        <v>0</v>
      </c>
      <c r="Z485" s="2">
        <v>0</v>
      </c>
      <c r="AA485" s="2">
        <v>0</v>
      </c>
      <c r="AB485" s="2">
        <v>0</v>
      </c>
      <c r="AC485" s="2">
        <v>2</v>
      </c>
      <c r="AD485" s="2"/>
    </row>
    <row r="486" spans="1:30" x14ac:dyDescent="0.2">
      <c r="A486" t="s">
        <v>336</v>
      </c>
      <c r="B486" s="2">
        <v>31</v>
      </c>
      <c r="C486" t="s">
        <v>59</v>
      </c>
      <c r="D486" s="2" t="s">
        <v>33</v>
      </c>
      <c r="E486" s="2">
        <v>13</v>
      </c>
      <c r="F486" s="2">
        <v>6</v>
      </c>
      <c r="G486" s="2">
        <v>21.8</v>
      </c>
      <c r="H486" s="2">
        <v>2.9</v>
      </c>
      <c r="I486" s="2">
        <v>7.9</v>
      </c>
      <c r="J486" s="2">
        <v>0.36899999999999999</v>
      </c>
      <c r="K486" s="2">
        <v>1.3</v>
      </c>
      <c r="L486" s="2">
        <v>3.3</v>
      </c>
      <c r="M486" s="2">
        <v>0.39500000000000002</v>
      </c>
      <c r="N486" s="2">
        <v>1.6</v>
      </c>
      <c r="O486" s="2">
        <v>4.5999999999999996</v>
      </c>
      <c r="P486" s="2">
        <v>0.35</v>
      </c>
      <c r="Q486" s="2">
        <v>0.45100000000000001</v>
      </c>
      <c r="R486" s="2">
        <v>0.5</v>
      </c>
      <c r="S486" s="2">
        <v>0.8</v>
      </c>
      <c r="T486" s="2">
        <v>0.7</v>
      </c>
      <c r="U486" s="2">
        <v>0.8</v>
      </c>
      <c r="V486" s="2">
        <v>2.1</v>
      </c>
      <c r="W486" s="2">
        <v>2.8</v>
      </c>
      <c r="X486" s="2">
        <v>3.8</v>
      </c>
      <c r="Y486" s="2">
        <v>0.5</v>
      </c>
      <c r="Z486" s="2">
        <v>0</v>
      </c>
      <c r="AA486" s="2">
        <v>2</v>
      </c>
      <c r="AB486" s="2">
        <v>1.2</v>
      </c>
      <c r="AC486" s="2">
        <v>7.7</v>
      </c>
      <c r="AD486" s="2"/>
    </row>
    <row r="487" spans="1:30" x14ac:dyDescent="0.2">
      <c r="A487" t="s">
        <v>92</v>
      </c>
      <c r="B487" s="2">
        <v>21</v>
      </c>
      <c r="C487" t="s">
        <v>93</v>
      </c>
      <c r="D487" s="2" t="s">
        <v>42</v>
      </c>
      <c r="E487" s="2">
        <v>19</v>
      </c>
      <c r="F487" s="2">
        <v>19</v>
      </c>
      <c r="G487" s="2">
        <v>32.200000000000003</v>
      </c>
      <c r="H487" s="2">
        <v>8.6999999999999993</v>
      </c>
      <c r="I487" s="2">
        <v>18.100000000000001</v>
      </c>
      <c r="J487" s="2">
        <v>0.48</v>
      </c>
      <c r="K487" s="2">
        <v>3.1</v>
      </c>
      <c r="L487" s="2">
        <v>9.1</v>
      </c>
      <c r="M487" s="2">
        <v>0.34100000000000003</v>
      </c>
      <c r="N487" s="2">
        <v>5.6</v>
      </c>
      <c r="O487" s="2">
        <v>9</v>
      </c>
      <c r="P487" s="2">
        <v>0.62</v>
      </c>
      <c r="Q487" s="2">
        <v>0.56499999999999995</v>
      </c>
      <c r="R487" s="2">
        <v>3.1</v>
      </c>
      <c r="S487" s="2">
        <v>3.6</v>
      </c>
      <c r="T487" s="2">
        <v>0.86799999999999999</v>
      </c>
      <c r="U487" s="2">
        <v>2.1</v>
      </c>
      <c r="V487" s="2">
        <v>8.3000000000000007</v>
      </c>
      <c r="W487" s="2">
        <v>10.4</v>
      </c>
      <c r="X487" s="2">
        <v>3.6</v>
      </c>
      <c r="Y487" s="2">
        <v>1.2</v>
      </c>
      <c r="Z487" s="4">
        <v>3.4</v>
      </c>
      <c r="AA487" s="2">
        <v>3.6</v>
      </c>
      <c r="AB487" s="2">
        <v>2.1</v>
      </c>
      <c r="AC487" s="2">
        <v>23.6</v>
      </c>
      <c r="AD487" s="2"/>
    </row>
    <row r="488" spans="1:30" x14ac:dyDescent="0.2">
      <c r="A488" t="s">
        <v>483</v>
      </c>
      <c r="B488" s="2">
        <v>24</v>
      </c>
      <c r="C488" t="s">
        <v>80</v>
      </c>
      <c r="D488" s="2" t="s">
        <v>52</v>
      </c>
      <c r="E488" s="2">
        <v>3</v>
      </c>
      <c r="F488" s="2">
        <v>0</v>
      </c>
      <c r="G488" s="2">
        <v>15</v>
      </c>
      <c r="H488" s="2">
        <v>2.2999999999999998</v>
      </c>
      <c r="I488" s="2">
        <v>6.3</v>
      </c>
      <c r="J488" s="2">
        <v>0.36799999999999999</v>
      </c>
      <c r="K488" s="2">
        <v>0.3</v>
      </c>
      <c r="L488" s="2">
        <v>2.7</v>
      </c>
      <c r="M488" s="2">
        <v>0.125</v>
      </c>
      <c r="N488" s="2">
        <v>2</v>
      </c>
      <c r="O488" s="2">
        <v>3.7</v>
      </c>
      <c r="P488" s="2">
        <v>0.54500000000000004</v>
      </c>
      <c r="Q488" s="2">
        <v>0.39500000000000002</v>
      </c>
      <c r="R488" s="2">
        <v>0.3</v>
      </c>
      <c r="S488" s="2">
        <v>1.3</v>
      </c>
      <c r="T488" s="2">
        <v>0.25</v>
      </c>
      <c r="U488" s="2">
        <v>1.3</v>
      </c>
      <c r="V488" s="2">
        <v>2.2999999999999998</v>
      </c>
      <c r="W488" s="2">
        <v>3.7</v>
      </c>
      <c r="X488" s="2">
        <v>3</v>
      </c>
      <c r="Y488" s="2">
        <v>0</v>
      </c>
      <c r="Z488" s="2">
        <v>0.7</v>
      </c>
      <c r="AA488" s="2">
        <v>2.2999999999999998</v>
      </c>
      <c r="AB488" s="2">
        <v>3</v>
      </c>
      <c r="AC488" s="2">
        <v>5.3</v>
      </c>
      <c r="AD488" s="2"/>
    </row>
    <row r="489" spans="1:30" x14ac:dyDescent="0.2">
      <c r="A489" t="s">
        <v>433</v>
      </c>
      <c r="B489" s="2">
        <v>24</v>
      </c>
      <c r="C489" t="s">
        <v>72</v>
      </c>
      <c r="D489" s="2" t="s">
        <v>33</v>
      </c>
      <c r="E489" s="2">
        <v>12</v>
      </c>
      <c r="F489" s="2">
        <v>0</v>
      </c>
      <c r="G489" s="2">
        <v>11.7</v>
      </c>
      <c r="H489" s="2">
        <v>1</v>
      </c>
      <c r="I489" s="2">
        <v>2.9</v>
      </c>
      <c r="J489" s="2">
        <v>0.34300000000000003</v>
      </c>
      <c r="K489" s="2">
        <v>0.3</v>
      </c>
      <c r="L489" s="2">
        <v>1.4</v>
      </c>
      <c r="M489" s="2">
        <v>0.23499999999999999</v>
      </c>
      <c r="N489" s="2">
        <v>0.7</v>
      </c>
      <c r="O489" s="2">
        <v>1.5</v>
      </c>
      <c r="P489" s="2">
        <v>0.44400000000000001</v>
      </c>
      <c r="Q489" s="2">
        <v>0.4</v>
      </c>
      <c r="R489" s="2">
        <v>0.4</v>
      </c>
      <c r="S489" s="2">
        <v>0.8</v>
      </c>
      <c r="T489" s="2">
        <v>0.55600000000000005</v>
      </c>
      <c r="U489" s="2">
        <v>0.6</v>
      </c>
      <c r="V489" s="2">
        <v>1.3</v>
      </c>
      <c r="W489" s="2">
        <v>1.8</v>
      </c>
      <c r="X489" s="2">
        <v>1.4</v>
      </c>
      <c r="Y489" s="2">
        <v>0.3</v>
      </c>
      <c r="Z489" s="2">
        <v>0.3</v>
      </c>
      <c r="AA489" s="2">
        <v>0.6</v>
      </c>
      <c r="AB489" s="2">
        <v>1.6</v>
      </c>
      <c r="AC489" s="2">
        <v>2.8</v>
      </c>
      <c r="AD489" s="2"/>
    </row>
    <row r="490" spans="1:30" x14ac:dyDescent="0.2">
      <c r="A490" t="s">
        <v>498</v>
      </c>
      <c r="B490" s="2">
        <v>27</v>
      </c>
      <c r="C490" t="s">
        <v>46</v>
      </c>
      <c r="D490" s="2" t="s">
        <v>27</v>
      </c>
      <c r="E490" s="2">
        <v>4</v>
      </c>
      <c r="F490" s="2">
        <v>0</v>
      </c>
      <c r="G490" s="2">
        <v>8.5</v>
      </c>
      <c r="H490" s="2">
        <v>1</v>
      </c>
      <c r="I490" s="2">
        <v>1.8</v>
      </c>
      <c r="J490" s="2">
        <v>0.57099999999999995</v>
      </c>
      <c r="K490" s="2">
        <v>0.3</v>
      </c>
      <c r="L490" s="2">
        <v>0.5</v>
      </c>
      <c r="M490" s="2">
        <v>0.5</v>
      </c>
      <c r="N490" s="2">
        <v>0.8</v>
      </c>
      <c r="O490" s="2">
        <v>1.3</v>
      </c>
      <c r="P490" s="2">
        <v>0.6</v>
      </c>
      <c r="Q490" s="2">
        <v>0.64300000000000002</v>
      </c>
      <c r="R490" s="2">
        <v>0</v>
      </c>
      <c r="S490" s="2">
        <v>0</v>
      </c>
      <c r="T490" s="2"/>
      <c r="U490" s="2">
        <v>0.8</v>
      </c>
      <c r="V490" s="2">
        <v>1.3</v>
      </c>
      <c r="W490" s="2">
        <v>2</v>
      </c>
      <c r="X490" s="2">
        <v>0</v>
      </c>
      <c r="Y490" s="2">
        <v>0</v>
      </c>
      <c r="Z490" s="2">
        <v>0.3</v>
      </c>
      <c r="AA490" s="2">
        <v>0.5</v>
      </c>
      <c r="AB490" s="2">
        <v>1</v>
      </c>
      <c r="AC490" s="2">
        <v>2.2999999999999998</v>
      </c>
      <c r="AD490" s="2"/>
    </row>
    <row r="491" spans="1:30" x14ac:dyDescent="0.2">
      <c r="A491" t="s">
        <v>245</v>
      </c>
      <c r="B491" s="2">
        <v>23</v>
      </c>
      <c r="C491" t="s">
        <v>120</v>
      </c>
      <c r="D491" s="2" t="s">
        <v>42</v>
      </c>
      <c r="E491" s="2">
        <v>17</v>
      </c>
      <c r="F491" s="2">
        <v>17</v>
      </c>
      <c r="G491" s="2">
        <v>29.1</v>
      </c>
      <c r="H491" s="2">
        <v>4.5999999999999996</v>
      </c>
      <c r="I491" s="2">
        <v>6.4</v>
      </c>
      <c r="J491" s="2">
        <v>0.73099999999999998</v>
      </c>
      <c r="K491" s="2">
        <v>0</v>
      </c>
      <c r="L491" s="2">
        <v>0</v>
      </c>
      <c r="M491" s="2"/>
      <c r="N491" s="2">
        <v>4.5999999999999996</v>
      </c>
      <c r="O491" s="2">
        <v>6.4</v>
      </c>
      <c r="P491" s="2">
        <v>0.73099999999999998</v>
      </c>
      <c r="Q491" s="2">
        <v>0.73099999999999998</v>
      </c>
      <c r="R491" s="2">
        <v>1.6</v>
      </c>
      <c r="S491" s="2">
        <v>2.6</v>
      </c>
      <c r="T491" s="2">
        <v>0.6</v>
      </c>
      <c r="U491" s="2">
        <v>4</v>
      </c>
      <c r="V491" s="2">
        <v>7.1</v>
      </c>
      <c r="W491" s="2">
        <v>11.1</v>
      </c>
      <c r="X491" s="2">
        <v>1.4</v>
      </c>
      <c r="Y491" s="2">
        <v>0.5</v>
      </c>
      <c r="Z491" s="2">
        <v>3</v>
      </c>
      <c r="AA491" s="2">
        <v>1.5</v>
      </c>
      <c r="AB491" s="2">
        <v>2.2000000000000002</v>
      </c>
      <c r="AC491" s="2">
        <v>10.9</v>
      </c>
      <c r="AD491" s="2"/>
    </row>
    <row r="492" spans="1:30" x14ac:dyDescent="0.2">
      <c r="A492" t="s">
        <v>329</v>
      </c>
      <c r="B492" s="2">
        <v>25</v>
      </c>
      <c r="C492" t="s">
        <v>48</v>
      </c>
      <c r="D492" s="2" t="s">
        <v>42</v>
      </c>
      <c r="E492" s="2">
        <v>14</v>
      </c>
      <c r="F492" s="2">
        <v>14</v>
      </c>
      <c r="G492" s="2">
        <v>25.9</v>
      </c>
      <c r="H492" s="2">
        <v>2.6</v>
      </c>
      <c r="I492" s="2">
        <v>5.0999999999999996</v>
      </c>
      <c r="J492" s="2">
        <v>0.5</v>
      </c>
      <c r="K492" s="2">
        <v>0.4</v>
      </c>
      <c r="L492" s="2">
        <v>2.1</v>
      </c>
      <c r="M492" s="2">
        <v>0.17199999999999999</v>
      </c>
      <c r="N492" s="2">
        <v>2.2000000000000002</v>
      </c>
      <c r="O492" s="2">
        <v>3.1</v>
      </c>
      <c r="P492" s="2">
        <v>0.72099999999999997</v>
      </c>
      <c r="Q492" s="2">
        <v>0.53500000000000003</v>
      </c>
      <c r="R492" s="2">
        <v>2.1</v>
      </c>
      <c r="S492" s="2">
        <v>2.7</v>
      </c>
      <c r="T492" s="2">
        <v>0.76300000000000001</v>
      </c>
      <c r="U492" s="2">
        <v>1.9</v>
      </c>
      <c r="V492" s="2">
        <v>5.9</v>
      </c>
      <c r="W492" s="2">
        <v>7.8</v>
      </c>
      <c r="X492" s="2">
        <v>2.4</v>
      </c>
      <c r="Y492" s="2">
        <v>0.9</v>
      </c>
      <c r="Z492" s="2">
        <v>0.6</v>
      </c>
      <c r="AA492" s="2">
        <v>0.9</v>
      </c>
      <c r="AB492" s="2">
        <v>2.9</v>
      </c>
      <c r="AC492" s="2">
        <v>7.6</v>
      </c>
      <c r="AD492" s="2"/>
    </row>
    <row r="493" spans="1:30" x14ac:dyDescent="0.2">
      <c r="A493" t="s">
        <v>402</v>
      </c>
      <c r="B493" s="2">
        <v>23</v>
      </c>
      <c r="C493" t="s">
        <v>75</v>
      </c>
      <c r="D493" s="2" t="s">
        <v>52</v>
      </c>
      <c r="E493" s="2">
        <v>12</v>
      </c>
      <c r="F493" s="2">
        <v>0</v>
      </c>
      <c r="G493" s="2">
        <v>14.3</v>
      </c>
      <c r="H493" s="2">
        <v>1.6</v>
      </c>
      <c r="I493" s="2">
        <v>3</v>
      </c>
      <c r="J493" s="2">
        <v>0.52800000000000002</v>
      </c>
      <c r="K493" s="2">
        <v>0.3</v>
      </c>
      <c r="L493" s="2">
        <v>0.8</v>
      </c>
      <c r="M493" s="2">
        <v>0.33300000000000002</v>
      </c>
      <c r="N493" s="2">
        <v>1.3</v>
      </c>
      <c r="O493" s="2">
        <v>2.2999999999999998</v>
      </c>
      <c r="P493" s="2">
        <v>0.59299999999999997</v>
      </c>
      <c r="Q493" s="2">
        <v>0.56899999999999995</v>
      </c>
      <c r="R493" s="2">
        <v>0.9</v>
      </c>
      <c r="S493" s="2">
        <v>1</v>
      </c>
      <c r="T493" s="2">
        <v>0.91700000000000004</v>
      </c>
      <c r="U493" s="2">
        <v>0.8</v>
      </c>
      <c r="V493" s="2">
        <v>2.2999999999999998</v>
      </c>
      <c r="W493" s="2">
        <v>3.1</v>
      </c>
      <c r="X493" s="2">
        <v>1.2</v>
      </c>
      <c r="Y493" s="2">
        <v>0.7</v>
      </c>
      <c r="Z493" s="2">
        <v>0.3</v>
      </c>
      <c r="AA493" s="2">
        <v>0.7</v>
      </c>
      <c r="AB493" s="2">
        <v>1.1000000000000001</v>
      </c>
      <c r="AC493" s="2">
        <v>4.3</v>
      </c>
      <c r="AD493" s="2"/>
    </row>
    <row r="494" spans="1:30" x14ac:dyDescent="0.2">
      <c r="A494" t="s">
        <v>477</v>
      </c>
      <c r="B494" s="2">
        <v>26</v>
      </c>
      <c r="C494" t="s">
        <v>39</v>
      </c>
      <c r="D494" s="2" t="s">
        <v>42</v>
      </c>
      <c r="E494" s="2">
        <v>16</v>
      </c>
      <c r="F494" s="2">
        <v>1</v>
      </c>
      <c r="G494" s="2">
        <v>9</v>
      </c>
      <c r="H494" s="2">
        <v>0.4</v>
      </c>
      <c r="I494" s="2">
        <v>1.8</v>
      </c>
      <c r="J494" s="2">
        <v>0.25</v>
      </c>
      <c r="K494" s="2">
        <v>0.2</v>
      </c>
      <c r="L494" s="2">
        <v>1</v>
      </c>
      <c r="M494" s="2">
        <v>0.188</v>
      </c>
      <c r="N494" s="2">
        <v>0.3</v>
      </c>
      <c r="O494" s="2">
        <v>0.8</v>
      </c>
      <c r="P494" s="2">
        <v>0.33300000000000002</v>
      </c>
      <c r="Q494" s="2">
        <v>0.30399999999999999</v>
      </c>
      <c r="R494" s="2">
        <v>0.1</v>
      </c>
      <c r="S494" s="2">
        <v>0.1</v>
      </c>
      <c r="T494" s="2">
        <v>0.5</v>
      </c>
      <c r="U494" s="2">
        <v>0.4</v>
      </c>
      <c r="V494" s="2">
        <v>1.6</v>
      </c>
      <c r="W494" s="2">
        <v>2</v>
      </c>
      <c r="X494" s="2">
        <v>0.4</v>
      </c>
      <c r="Y494" s="2">
        <v>0.3</v>
      </c>
      <c r="Z494" s="2">
        <v>0.2</v>
      </c>
      <c r="AA494" s="2">
        <v>0.3</v>
      </c>
      <c r="AB494" s="2">
        <v>0.8</v>
      </c>
      <c r="AC494" s="2">
        <v>1.1000000000000001</v>
      </c>
      <c r="AD494" s="2"/>
    </row>
    <row r="495" spans="1:30" x14ac:dyDescent="0.2">
      <c r="A495" t="s">
        <v>490</v>
      </c>
      <c r="B495" s="2">
        <v>23</v>
      </c>
      <c r="C495" t="s">
        <v>80</v>
      </c>
      <c r="D495" s="2" t="s">
        <v>33</v>
      </c>
      <c r="E495" s="2">
        <v>13</v>
      </c>
      <c r="F495" s="2">
        <v>0</v>
      </c>
      <c r="G495" s="2">
        <v>3.1</v>
      </c>
      <c r="H495" s="2">
        <v>0.3</v>
      </c>
      <c r="I495" s="2">
        <v>1.2</v>
      </c>
      <c r="J495" s="2">
        <v>0.26700000000000002</v>
      </c>
      <c r="K495" s="2">
        <v>0.2</v>
      </c>
      <c r="L495" s="2">
        <v>0.8</v>
      </c>
      <c r="M495" s="2">
        <v>0.182</v>
      </c>
      <c r="N495" s="2">
        <v>0.2</v>
      </c>
      <c r="O495" s="2">
        <v>0.3</v>
      </c>
      <c r="P495" s="2">
        <v>0.5</v>
      </c>
      <c r="Q495" s="2">
        <v>0.33300000000000002</v>
      </c>
      <c r="R495" s="2">
        <v>0.3</v>
      </c>
      <c r="S495" s="2">
        <v>0.5</v>
      </c>
      <c r="T495" s="2">
        <v>0.66700000000000004</v>
      </c>
      <c r="U495" s="2">
        <v>0</v>
      </c>
      <c r="V495" s="2">
        <v>0.2</v>
      </c>
      <c r="W495" s="2">
        <v>0.2</v>
      </c>
      <c r="X495" s="2">
        <v>0.5</v>
      </c>
      <c r="Y495" s="2">
        <v>0.1</v>
      </c>
      <c r="Z495" s="2">
        <v>0</v>
      </c>
      <c r="AA495" s="2">
        <v>0.3</v>
      </c>
      <c r="AB495" s="2">
        <v>0.3</v>
      </c>
      <c r="AC495" s="2">
        <v>1.1000000000000001</v>
      </c>
      <c r="AD495" s="2"/>
    </row>
    <row r="496" spans="1:30" x14ac:dyDescent="0.2">
      <c r="A496" t="s">
        <v>206</v>
      </c>
      <c r="B496" s="2">
        <v>20</v>
      </c>
      <c r="C496" t="s">
        <v>117</v>
      </c>
      <c r="D496" s="2" t="s">
        <v>42</v>
      </c>
      <c r="E496" s="2">
        <v>25</v>
      </c>
      <c r="F496" s="2">
        <v>19</v>
      </c>
      <c r="G496" s="2">
        <v>25.4</v>
      </c>
      <c r="H496" s="2">
        <v>3.6</v>
      </c>
      <c r="I496" s="2">
        <v>6.6</v>
      </c>
      <c r="J496" s="2">
        <v>0.54800000000000004</v>
      </c>
      <c r="K496" s="2">
        <v>0</v>
      </c>
      <c r="L496" s="2">
        <v>0</v>
      </c>
      <c r="M496" s="2"/>
      <c r="N496" s="2">
        <v>3.6</v>
      </c>
      <c r="O496" s="2">
        <v>6.6</v>
      </c>
      <c r="P496" s="2">
        <v>0.54800000000000004</v>
      </c>
      <c r="Q496" s="2">
        <v>0.54800000000000004</v>
      </c>
      <c r="R496" s="2">
        <v>2</v>
      </c>
      <c r="S496" s="2">
        <v>3</v>
      </c>
      <c r="T496" s="2">
        <v>0.65300000000000002</v>
      </c>
      <c r="U496" s="2">
        <v>3.8</v>
      </c>
      <c r="V496" s="2">
        <v>4.5</v>
      </c>
      <c r="W496" s="2">
        <v>8.3000000000000007</v>
      </c>
      <c r="X496" s="2">
        <v>1.2</v>
      </c>
      <c r="Y496" s="2">
        <v>0.7</v>
      </c>
      <c r="Z496" s="2">
        <v>1.2</v>
      </c>
      <c r="AA496" s="2">
        <v>1.1000000000000001</v>
      </c>
      <c r="AB496" s="2">
        <v>2</v>
      </c>
      <c r="AC496" s="2">
        <v>9.1999999999999993</v>
      </c>
      <c r="AD496" s="2"/>
    </row>
    <row r="497" spans="1:30" x14ac:dyDescent="0.2">
      <c r="A497" t="s">
        <v>165</v>
      </c>
      <c r="B497" s="2">
        <v>19</v>
      </c>
      <c r="C497" t="s">
        <v>72</v>
      </c>
      <c r="D497" s="2" t="s">
        <v>49</v>
      </c>
      <c r="E497" s="2">
        <v>26</v>
      </c>
      <c r="F497" s="2">
        <v>24</v>
      </c>
      <c r="G497" s="2">
        <v>24</v>
      </c>
      <c r="H497" s="2">
        <v>4.0999999999999996</v>
      </c>
      <c r="I497" s="2">
        <v>10.3</v>
      </c>
      <c r="J497" s="2">
        <v>0.39900000000000002</v>
      </c>
      <c r="K497" s="2">
        <v>1.2</v>
      </c>
      <c r="L497" s="2">
        <v>4.5</v>
      </c>
      <c r="M497" s="2">
        <v>0.27600000000000002</v>
      </c>
      <c r="N497" s="2">
        <v>2.9</v>
      </c>
      <c r="O497" s="2">
        <v>5.8</v>
      </c>
      <c r="P497" s="2">
        <v>0.49299999999999999</v>
      </c>
      <c r="Q497" s="2">
        <v>0.45900000000000002</v>
      </c>
      <c r="R497" s="2">
        <v>1.7</v>
      </c>
      <c r="S497" s="2">
        <v>2.5</v>
      </c>
      <c r="T497" s="2">
        <v>0.68200000000000005</v>
      </c>
      <c r="U497" s="2">
        <v>1.2</v>
      </c>
      <c r="V497" s="2">
        <v>2.2999999999999998</v>
      </c>
      <c r="W497" s="2">
        <v>3.5</v>
      </c>
      <c r="X497" s="2">
        <v>1.2</v>
      </c>
      <c r="Y497" s="2">
        <v>0.8</v>
      </c>
      <c r="Z497" s="2">
        <v>0.7</v>
      </c>
      <c r="AA497" s="2">
        <v>1.1000000000000001</v>
      </c>
      <c r="AB497" s="2">
        <v>2.1</v>
      </c>
      <c r="AC497" s="2">
        <v>11.2</v>
      </c>
      <c r="AD497" s="2"/>
    </row>
    <row r="498" spans="1:30" x14ac:dyDescent="0.2">
      <c r="A498" t="s">
        <v>296</v>
      </c>
      <c r="B498" s="2">
        <v>27</v>
      </c>
      <c r="C498" t="s">
        <v>93</v>
      </c>
      <c r="D498" s="2" t="s">
        <v>42</v>
      </c>
      <c r="E498" s="2">
        <v>24</v>
      </c>
      <c r="F498" s="2">
        <v>4</v>
      </c>
      <c r="G498" s="2">
        <v>14.2</v>
      </c>
      <c r="H498" s="2">
        <v>2.1</v>
      </c>
      <c r="I498" s="2">
        <v>4.4000000000000004</v>
      </c>
      <c r="J498" s="2">
        <v>0.47599999999999998</v>
      </c>
      <c r="K498" s="2">
        <v>0.5</v>
      </c>
      <c r="L498" s="2">
        <v>1.5</v>
      </c>
      <c r="M498" s="2">
        <v>0.33300000000000002</v>
      </c>
      <c r="N498" s="2">
        <v>1.6</v>
      </c>
      <c r="O498" s="2">
        <v>2.9</v>
      </c>
      <c r="P498" s="2">
        <v>0.55100000000000005</v>
      </c>
      <c r="Q498" s="2">
        <v>0.53300000000000003</v>
      </c>
      <c r="R498" s="2">
        <v>1.2</v>
      </c>
      <c r="S498" s="2">
        <v>1.3</v>
      </c>
      <c r="T498" s="2">
        <v>0.875</v>
      </c>
      <c r="U498" s="2">
        <v>1.2</v>
      </c>
      <c r="V498" s="2">
        <v>2.2000000000000002</v>
      </c>
      <c r="W498" s="2">
        <v>3.3</v>
      </c>
      <c r="X498" s="2">
        <v>1.8</v>
      </c>
      <c r="Y498" s="2">
        <v>0.5</v>
      </c>
      <c r="Z498" s="2">
        <v>0.5</v>
      </c>
      <c r="AA498" s="2">
        <v>0.9</v>
      </c>
      <c r="AB498" s="2">
        <v>2.2000000000000002</v>
      </c>
      <c r="AC498" s="2">
        <v>5.8</v>
      </c>
      <c r="AD498" s="2"/>
    </row>
    <row r="499" spans="1:30" x14ac:dyDescent="0.2">
      <c r="A499" t="s">
        <v>274</v>
      </c>
      <c r="B499" s="2">
        <v>22</v>
      </c>
      <c r="C499" t="s">
        <v>80</v>
      </c>
      <c r="D499" s="2" t="s">
        <v>42</v>
      </c>
      <c r="E499" s="2">
        <v>14</v>
      </c>
      <c r="F499" s="2">
        <v>9</v>
      </c>
      <c r="G499" s="2">
        <v>20.100000000000001</v>
      </c>
      <c r="H499" s="2">
        <v>4.5999999999999996</v>
      </c>
      <c r="I499" s="2">
        <v>7.5</v>
      </c>
      <c r="J499" s="2">
        <v>0.61</v>
      </c>
      <c r="K499" s="2">
        <v>0.4</v>
      </c>
      <c r="L499" s="2">
        <v>0.7</v>
      </c>
      <c r="M499" s="2">
        <v>0.6</v>
      </c>
      <c r="N499" s="2">
        <v>4.0999999999999996</v>
      </c>
      <c r="O499" s="2">
        <v>6.8</v>
      </c>
      <c r="P499" s="2">
        <v>0.61099999999999999</v>
      </c>
      <c r="Q499" s="2">
        <v>0.63800000000000001</v>
      </c>
      <c r="R499" s="2">
        <v>1.6</v>
      </c>
      <c r="S499" s="2">
        <v>2.4</v>
      </c>
      <c r="T499" s="2">
        <v>0.66700000000000004</v>
      </c>
      <c r="U499" s="2">
        <v>3.1</v>
      </c>
      <c r="V499" s="2">
        <v>3.9</v>
      </c>
      <c r="W499" s="2">
        <v>6.9</v>
      </c>
      <c r="X499" s="2">
        <v>0.8</v>
      </c>
      <c r="Y499" s="2">
        <v>0.9</v>
      </c>
      <c r="Z499" s="2">
        <v>1</v>
      </c>
      <c r="AA499" s="2">
        <v>1.6</v>
      </c>
      <c r="AB499" s="2">
        <v>3.1</v>
      </c>
      <c r="AC499" s="2">
        <v>11.1</v>
      </c>
      <c r="AD499" s="2"/>
    </row>
    <row r="500" spans="1:30" x14ac:dyDescent="0.2">
      <c r="A500" t="s">
        <v>85</v>
      </c>
      <c r="B500" s="2">
        <v>29</v>
      </c>
      <c r="C500" t="s">
        <v>70</v>
      </c>
      <c r="D500" s="2" t="s">
        <v>49</v>
      </c>
      <c r="E500" s="2">
        <v>22</v>
      </c>
      <c r="F500" s="2">
        <v>22</v>
      </c>
      <c r="G500" s="2">
        <v>33.299999999999997</v>
      </c>
      <c r="H500" s="2">
        <v>8</v>
      </c>
      <c r="I500" s="2">
        <v>15.9</v>
      </c>
      <c r="J500" s="2">
        <v>0.50600000000000001</v>
      </c>
      <c r="K500" s="2">
        <v>3.3</v>
      </c>
      <c r="L500" s="2">
        <v>7.7</v>
      </c>
      <c r="M500" s="2">
        <v>0.432</v>
      </c>
      <c r="N500" s="2">
        <v>4.7</v>
      </c>
      <c r="O500" s="2">
        <v>8.1999999999999993</v>
      </c>
      <c r="P500" s="2">
        <v>0.57499999999999996</v>
      </c>
      <c r="Q500" s="2">
        <v>0.61</v>
      </c>
      <c r="R500" s="2">
        <v>2.7</v>
      </c>
      <c r="S500" s="2">
        <v>3.4</v>
      </c>
      <c r="T500" s="2">
        <v>0.8</v>
      </c>
      <c r="U500" s="2">
        <v>0.2</v>
      </c>
      <c r="V500" s="2">
        <v>4.2</v>
      </c>
      <c r="W500" s="2">
        <v>4.4000000000000004</v>
      </c>
      <c r="X500" s="2">
        <v>4.2</v>
      </c>
      <c r="Y500" s="2">
        <v>0.8</v>
      </c>
      <c r="Z500" s="2">
        <v>0.3</v>
      </c>
      <c r="AA500" s="2">
        <v>2.8</v>
      </c>
      <c r="AB500" s="2">
        <v>1.8</v>
      </c>
      <c r="AC500" s="2">
        <v>22.1</v>
      </c>
      <c r="AD500" s="2"/>
    </row>
    <row r="501" spans="1:30" x14ac:dyDescent="0.2">
      <c r="A501" t="s">
        <v>471</v>
      </c>
      <c r="B501" s="2">
        <v>24</v>
      </c>
      <c r="C501" t="s">
        <v>46</v>
      </c>
      <c r="D501" s="2" t="s">
        <v>27</v>
      </c>
      <c r="E501" s="2">
        <v>15</v>
      </c>
      <c r="F501" s="2">
        <v>0</v>
      </c>
      <c r="G501" s="2">
        <v>5</v>
      </c>
      <c r="H501" s="2">
        <v>0.6</v>
      </c>
      <c r="I501" s="2">
        <v>1.5</v>
      </c>
      <c r="J501" s="2">
        <v>0.40899999999999997</v>
      </c>
      <c r="K501" s="2">
        <v>0</v>
      </c>
      <c r="L501" s="2">
        <v>0.5</v>
      </c>
      <c r="M501" s="2">
        <v>0</v>
      </c>
      <c r="N501" s="2">
        <v>0.6</v>
      </c>
      <c r="O501" s="2">
        <v>0.9</v>
      </c>
      <c r="P501" s="2">
        <v>0.64300000000000002</v>
      </c>
      <c r="Q501" s="2">
        <v>0.40899999999999997</v>
      </c>
      <c r="R501" s="2">
        <v>0.1</v>
      </c>
      <c r="S501" s="2">
        <v>0.3</v>
      </c>
      <c r="T501" s="2">
        <v>0.2</v>
      </c>
      <c r="U501" s="2">
        <v>0.1</v>
      </c>
      <c r="V501" s="2">
        <v>0.3</v>
      </c>
      <c r="W501" s="2">
        <v>0.5</v>
      </c>
      <c r="X501" s="2">
        <v>0.2</v>
      </c>
      <c r="Y501" s="2">
        <v>0.1</v>
      </c>
      <c r="Z501" s="2">
        <v>0.1</v>
      </c>
      <c r="AA501" s="2">
        <v>0.1</v>
      </c>
      <c r="AB501" s="2">
        <v>0.4</v>
      </c>
      <c r="AC501" s="2">
        <v>1.3</v>
      </c>
      <c r="AD501" s="2"/>
    </row>
    <row r="502" spans="1:30" x14ac:dyDescent="0.2">
      <c r="A502" t="s">
        <v>248</v>
      </c>
      <c r="B502" s="2">
        <v>23</v>
      </c>
      <c r="C502" t="s">
        <v>103</v>
      </c>
      <c r="D502" s="2" t="s">
        <v>49</v>
      </c>
      <c r="E502" s="2">
        <v>21</v>
      </c>
      <c r="F502" s="2">
        <v>7</v>
      </c>
      <c r="G502" s="2">
        <v>21.9</v>
      </c>
      <c r="H502" s="2">
        <v>3</v>
      </c>
      <c r="I502" s="2">
        <v>7.6</v>
      </c>
      <c r="J502" s="2">
        <v>0.40300000000000002</v>
      </c>
      <c r="K502" s="2">
        <v>0.9</v>
      </c>
      <c r="L502" s="2">
        <v>3.1</v>
      </c>
      <c r="M502" s="2">
        <v>0.27300000000000002</v>
      </c>
      <c r="N502" s="2">
        <v>2.2000000000000002</v>
      </c>
      <c r="O502" s="2">
        <v>4.4000000000000004</v>
      </c>
      <c r="P502" s="2">
        <v>0.495</v>
      </c>
      <c r="Q502" s="2">
        <v>0.45900000000000002</v>
      </c>
      <c r="R502" s="2">
        <v>1.7</v>
      </c>
      <c r="S502" s="2">
        <v>2.1</v>
      </c>
      <c r="T502" s="2">
        <v>0.79500000000000004</v>
      </c>
      <c r="U502" s="2">
        <v>1</v>
      </c>
      <c r="V502" s="2">
        <v>3.3</v>
      </c>
      <c r="W502" s="2">
        <v>4.4000000000000004</v>
      </c>
      <c r="X502" s="2">
        <v>1.1000000000000001</v>
      </c>
      <c r="Y502" s="2">
        <v>1</v>
      </c>
      <c r="Z502" s="2">
        <v>0.3</v>
      </c>
      <c r="AA502" s="2">
        <v>0.9</v>
      </c>
      <c r="AB502" s="2">
        <v>2.7</v>
      </c>
      <c r="AC502" s="2">
        <v>8.6</v>
      </c>
      <c r="AD502" s="2"/>
    </row>
    <row r="503" spans="1:30" x14ac:dyDescent="0.2">
      <c r="A503" t="s">
        <v>300</v>
      </c>
      <c r="B503" s="2">
        <v>24</v>
      </c>
      <c r="C503" t="s">
        <v>117</v>
      </c>
      <c r="D503" s="2" t="s">
        <v>27</v>
      </c>
      <c r="E503" s="2">
        <v>6</v>
      </c>
      <c r="F503" s="2">
        <v>6</v>
      </c>
      <c r="G503" s="2">
        <v>31</v>
      </c>
      <c r="H503" s="2">
        <v>7.8</v>
      </c>
      <c r="I503" s="2">
        <v>17.3</v>
      </c>
      <c r="J503" s="2">
        <v>0.45200000000000001</v>
      </c>
      <c r="K503" s="2">
        <v>0.3</v>
      </c>
      <c r="L503" s="2">
        <v>1</v>
      </c>
      <c r="M503" s="2">
        <v>0.33300000000000002</v>
      </c>
      <c r="N503" s="2">
        <v>7.5</v>
      </c>
      <c r="O503" s="2">
        <v>16.3</v>
      </c>
      <c r="P503" s="2">
        <v>0.45900000000000002</v>
      </c>
      <c r="Q503" s="2">
        <v>0.46200000000000002</v>
      </c>
      <c r="R503" s="2">
        <v>6.7</v>
      </c>
      <c r="S503" s="2">
        <v>10</v>
      </c>
      <c r="T503" s="2">
        <v>0.66700000000000004</v>
      </c>
      <c r="U503" s="2">
        <v>2.7</v>
      </c>
      <c r="V503" s="2">
        <v>5.3</v>
      </c>
      <c r="W503" s="2">
        <v>8</v>
      </c>
      <c r="X503" s="2">
        <v>5.3</v>
      </c>
      <c r="Y503" s="2">
        <v>0.7</v>
      </c>
      <c r="Z503" s="2">
        <v>1.2</v>
      </c>
      <c r="AA503" s="2">
        <v>3.7</v>
      </c>
      <c r="AB503" s="2">
        <v>3</v>
      </c>
      <c r="AC503" s="2">
        <v>22.7</v>
      </c>
      <c r="AD503" s="2"/>
    </row>
  </sheetData>
  <sortState xmlns:xlrd2="http://schemas.microsoft.com/office/spreadsheetml/2017/richdata2" ref="A2:AD503">
    <sortCondition ref="A1:A503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A3B3E-1588-F645-B766-7B16FB1C8F6E}">
  <dimension ref="A1:AD503"/>
  <sheetViews>
    <sheetView topLeftCell="A455" workbookViewId="0">
      <selection activeCell="A473" sqref="A1:A1048576"/>
    </sheetView>
  </sheetViews>
  <sheetFormatPr baseColWidth="10" defaultRowHeight="16" x14ac:dyDescent="0.2"/>
  <sheetData>
    <row r="1" spans="1:30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30</v>
      </c>
    </row>
    <row r="2" spans="1:30" x14ac:dyDescent="0.2">
      <c r="A2" t="s">
        <v>244</v>
      </c>
      <c r="B2" s="2">
        <v>25</v>
      </c>
      <c r="C2" t="s">
        <v>35</v>
      </c>
      <c r="D2" s="2" t="s">
        <v>52</v>
      </c>
      <c r="E2" s="2">
        <v>23</v>
      </c>
      <c r="F2" s="2">
        <v>3</v>
      </c>
      <c r="G2" s="2">
        <v>488</v>
      </c>
      <c r="H2" s="2">
        <v>4.5999999999999996</v>
      </c>
      <c r="I2" s="2">
        <v>9.6</v>
      </c>
      <c r="J2" s="2">
        <v>0.47699999999999998</v>
      </c>
      <c r="K2" s="2">
        <v>4.0999999999999996</v>
      </c>
      <c r="L2" s="2">
        <v>8.6999999999999993</v>
      </c>
      <c r="M2" s="2">
        <v>0.47499999999999998</v>
      </c>
      <c r="N2" s="2">
        <v>0.4</v>
      </c>
      <c r="O2" s="2">
        <v>0.9</v>
      </c>
      <c r="P2" s="2">
        <v>0.5</v>
      </c>
      <c r="Q2" s="2">
        <v>0.69199999999999995</v>
      </c>
      <c r="R2" s="2">
        <v>0.4</v>
      </c>
      <c r="S2" s="2">
        <v>0.4</v>
      </c>
      <c r="T2" s="2">
        <v>0.83299999999999996</v>
      </c>
      <c r="U2" s="2">
        <v>0.3</v>
      </c>
      <c r="V2" s="2">
        <v>3.4</v>
      </c>
      <c r="W2" s="2">
        <v>3.7</v>
      </c>
      <c r="X2" s="2">
        <v>1.6</v>
      </c>
      <c r="Y2" s="2">
        <v>0.9</v>
      </c>
      <c r="Z2" s="2">
        <v>0.1</v>
      </c>
      <c r="AA2" s="2">
        <v>1.1000000000000001</v>
      </c>
      <c r="AB2" s="2">
        <v>3.3</v>
      </c>
      <c r="AC2" s="2">
        <v>13.6</v>
      </c>
      <c r="AD2" s="2"/>
    </row>
    <row r="3" spans="1:30" x14ac:dyDescent="0.2">
      <c r="A3" t="s">
        <v>273</v>
      </c>
      <c r="B3" s="2">
        <v>29</v>
      </c>
      <c r="C3" t="s">
        <v>46</v>
      </c>
      <c r="D3" s="2" t="s">
        <v>27</v>
      </c>
      <c r="E3" s="2">
        <v>11</v>
      </c>
      <c r="F3" s="2">
        <v>10</v>
      </c>
      <c r="G3" s="2">
        <v>326</v>
      </c>
      <c r="H3" s="2">
        <v>6</v>
      </c>
      <c r="I3" s="2">
        <v>11.3</v>
      </c>
      <c r="J3" s="2">
        <v>0.52900000000000003</v>
      </c>
      <c r="K3" s="2">
        <v>1.8</v>
      </c>
      <c r="L3" s="2">
        <v>3.8</v>
      </c>
      <c r="M3" s="2">
        <v>0.47099999999999997</v>
      </c>
      <c r="N3" s="2">
        <v>4.2</v>
      </c>
      <c r="O3" s="2">
        <v>7.5</v>
      </c>
      <c r="P3" s="2">
        <v>0.55900000000000005</v>
      </c>
      <c r="Q3" s="2">
        <v>0.60799999999999998</v>
      </c>
      <c r="R3" s="2">
        <v>3.6</v>
      </c>
      <c r="S3" s="2">
        <v>4.5999999999999996</v>
      </c>
      <c r="T3" s="2">
        <v>0.78600000000000003</v>
      </c>
      <c r="U3" s="2">
        <v>2.2999999999999998</v>
      </c>
      <c r="V3" s="2">
        <v>5</v>
      </c>
      <c r="W3" s="2">
        <v>7.3</v>
      </c>
      <c r="X3" s="2">
        <v>4.3</v>
      </c>
      <c r="Y3" s="2">
        <v>0.7</v>
      </c>
      <c r="Z3" s="2">
        <v>0.3</v>
      </c>
      <c r="AA3" s="2">
        <v>1.9</v>
      </c>
      <c r="AB3" s="2">
        <v>1.9</v>
      </c>
      <c r="AC3" s="2">
        <v>17.3</v>
      </c>
      <c r="AD3" s="2"/>
    </row>
    <row r="4" spans="1:30" x14ac:dyDescent="0.2">
      <c r="A4" t="s">
        <v>384</v>
      </c>
      <c r="B4" s="2">
        <v>28</v>
      </c>
      <c r="C4" t="s">
        <v>87</v>
      </c>
      <c r="D4" s="2" t="s">
        <v>33</v>
      </c>
      <c r="E4" s="2">
        <v>15</v>
      </c>
      <c r="F4" s="2">
        <v>0</v>
      </c>
      <c r="G4" s="2">
        <v>145</v>
      </c>
      <c r="H4" s="2">
        <v>5.2</v>
      </c>
      <c r="I4" s="2">
        <v>11.2</v>
      </c>
      <c r="J4" s="2">
        <v>0.46700000000000003</v>
      </c>
      <c r="K4" s="2">
        <v>3.7</v>
      </c>
      <c r="L4" s="2">
        <v>8.4</v>
      </c>
      <c r="M4" s="2">
        <v>0.441</v>
      </c>
      <c r="N4" s="2">
        <v>1.5</v>
      </c>
      <c r="O4" s="2">
        <v>2.7</v>
      </c>
      <c r="P4" s="2">
        <v>0.54500000000000004</v>
      </c>
      <c r="Q4" s="2">
        <v>0.63300000000000001</v>
      </c>
      <c r="R4" s="2">
        <v>1.7</v>
      </c>
      <c r="S4" s="2">
        <v>2.2000000000000002</v>
      </c>
      <c r="T4" s="2">
        <v>0.77800000000000002</v>
      </c>
      <c r="U4" s="2">
        <v>0</v>
      </c>
      <c r="V4" s="2">
        <v>3.7</v>
      </c>
      <c r="W4" s="2">
        <v>3.7</v>
      </c>
      <c r="X4" s="2">
        <v>5</v>
      </c>
      <c r="Y4" s="2">
        <v>0.5</v>
      </c>
      <c r="Z4" s="2">
        <v>0.2</v>
      </c>
      <c r="AA4" s="2">
        <v>1.2</v>
      </c>
      <c r="AB4" s="2">
        <v>1.7</v>
      </c>
      <c r="AC4" s="2">
        <v>15.9</v>
      </c>
      <c r="AD4" s="2"/>
    </row>
    <row r="5" spans="1:30" x14ac:dyDescent="0.2">
      <c r="A5" t="s">
        <v>398</v>
      </c>
      <c r="B5" s="2">
        <v>25</v>
      </c>
      <c r="C5" t="s">
        <v>82</v>
      </c>
      <c r="D5" s="2" t="s">
        <v>49</v>
      </c>
      <c r="E5" s="2">
        <v>6</v>
      </c>
      <c r="F5" s="2">
        <v>6</v>
      </c>
      <c r="G5" s="2">
        <v>136</v>
      </c>
      <c r="H5" s="2">
        <v>5</v>
      </c>
      <c r="I5" s="2">
        <v>9.5</v>
      </c>
      <c r="J5" s="2">
        <v>0.52800000000000002</v>
      </c>
      <c r="K5" s="2">
        <v>1.6</v>
      </c>
      <c r="L5" s="2">
        <v>2.9</v>
      </c>
      <c r="M5" s="2">
        <v>0.54500000000000004</v>
      </c>
      <c r="N5" s="2">
        <v>3.4</v>
      </c>
      <c r="O5" s="2">
        <v>6.6</v>
      </c>
      <c r="P5" s="2">
        <v>0.52</v>
      </c>
      <c r="Q5" s="2">
        <v>0.61099999999999999</v>
      </c>
      <c r="R5" s="2">
        <v>2.9</v>
      </c>
      <c r="S5" s="2">
        <v>3.4</v>
      </c>
      <c r="T5" s="2">
        <v>0.84599999999999997</v>
      </c>
      <c r="U5" s="2">
        <v>1.1000000000000001</v>
      </c>
      <c r="V5" s="2">
        <v>5.3</v>
      </c>
      <c r="W5" s="2">
        <v>6.4</v>
      </c>
      <c r="X5" s="2">
        <v>1.6</v>
      </c>
      <c r="Y5" s="2">
        <v>1.1000000000000001</v>
      </c>
      <c r="Z5" s="2">
        <v>0.5</v>
      </c>
      <c r="AA5" s="2">
        <v>1.3</v>
      </c>
      <c r="AB5" s="2">
        <v>6.4</v>
      </c>
      <c r="AC5" s="2">
        <v>14.6</v>
      </c>
      <c r="AD5" s="2"/>
    </row>
    <row r="6" spans="1:30" x14ac:dyDescent="0.2">
      <c r="A6" t="s">
        <v>215</v>
      </c>
      <c r="B6" s="2">
        <v>26</v>
      </c>
      <c r="C6" t="s">
        <v>32</v>
      </c>
      <c r="D6" s="2" t="s">
        <v>52</v>
      </c>
      <c r="E6" s="2">
        <v>24</v>
      </c>
      <c r="F6" s="2">
        <v>8</v>
      </c>
      <c r="G6" s="2">
        <v>489</v>
      </c>
      <c r="H6" s="2">
        <v>6.4</v>
      </c>
      <c r="I6" s="2">
        <v>14.2</v>
      </c>
      <c r="J6" s="2">
        <v>0.45100000000000001</v>
      </c>
      <c r="K6" s="2">
        <v>2.6</v>
      </c>
      <c r="L6" s="2">
        <v>6.6</v>
      </c>
      <c r="M6" s="2">
        <v>0.39300000000000002</v>
      </c>
      <c r="N6" s="2">
        <v>3.8</v>
      </c>
      <c r="O6" s="2">
        <v>7.7</v>
      </c>
      <c r="P6" s="2">
        <v>0.5</v>
      </c>
      <c r="Q6" s="2">
        <v>0.54100000000000004</v>
      </c>
      <c r="R6" s="2">
        <v>0.9</v>
      </c>
      <c r="S6" s="2">
        <v>1.1000000000000001</v>
      </c>
      <c r="T6" s="2">
        <v>0.8</v>
      </c>
      <c r="U6" s="2">
        <v>1.8</v>
      </c>
      <c r="V6" s="2">
        <v>4.5</v>
      </c>
      <c r="W6" s="2">
        <v>6.3</v>
      </c>
      <c r="X6" s="2">
        <v>2.7</v>
      </c>
      <c r="Y6" s="2">
        <v>1.6</v>
      </c>
      <c r="Z6" s="2">
        <v>0.5</v>
      </c>
      <c r="AA6" s="2">
        <v>1.5</v>
      </c>
      <c r="AB6" s="2">
        <v>2.2000000000000002</v>
      </c>
      <c r="AC6" s="2">
        <v>16.3</v>
      </c>
      <c r="AD6" s="2"/>
    </row>
    <row r="7" spans="1:30" x14ac:dyDescent="0.2">
      <c r="A7" t="s">
        <v>484</v>
      </c>
      <c r="B7" s="2">
        <v>25</v>
      </c>
      <c r="C7" t="s">
        <v>32</v>
      </c>
      <c r="D7" s="2" t="s">
        <v>52</v>
      </c>
      <c r="E7" s="2">
        <v>11</v>
      </c>
      <c r="F7" s="2">
        <v>0</v>
      </c>
      <c r="G7" s="2">
        <v>40</v>
      </c>
      <c r="H7" s="2">
        <v>4.5</v>
      </c>
      <c r="I7" s="2">
        <v>18</v>
      </c>
      <c r="J7" s="2">
        <v>0.25</v>
      </c>
      <c r="K7" s="2">
        <v>4.5</v>
      </c>
      <c r="L7" s="2">
        <v>17.100000000000001</v>
      </c>
      <c r="M7" s="2">
        <v>0.26300000000000001</v>
      </c>
      <c r="N7" s="2">
        <v>0</v>
      </c>
      <c r="O7" s="2">
        <v>0.9</v>
      </c>
      <c r="P7" s="2">
        <v>0</v>
      </c>
      <c r="Q7" s="2">
        <v>0.375</v>
      </c>
      <c r="R7" s="2">
        <v>0</v>
      </c>
      <c r="S7" s="2">
        <v>0</v>
      </c>
      <c r="T7" s="2"/>
      <c r="U7" s="2">
        <v>1.8</v>
      </c>
      <c r="V7" s="2">
        <v>3.6</v>
      </c>
      <c r="W7" s="2">
        <v>5.4</v>
      </c>
      <c r="X7" s="2">
        <v>0</v>
      </c>
      <c r="Y7" s="2">
        <v>1.8</v>
      </c>
      <c r="Z7" s="2">
        <v>0</v>
      </c>
      <c r="AA7" s="2">
        <v>0</v>
      </c>
      <c r="AB7" s="2">
        <v>3.6</v>
      </c>
      <c r="AC7" s="2">
        <v>13.5</v>
      </c>
      <c r="AD7" s="2"/>
    </row>
    <row r="8" spans="1:30" x14ac:dyDescent="0.2">
      <c r="A8" t="s">
        <v>511</v>
      </c>
      <c r="B8" s="2">
        <v>22</v>
      </c>
      <c r="C8" t="s">
        <v>70</v>
      </c>
      <c r="D8" s="2" t="s">
        <v>42</v>
      </c>
      <c r="E8" s="2">
        <v>3</v>
      </c>
      <c r="F8" s="2">
        <v>0</v>
      </c>
      <c r="G8" s="2">
        <v>14</v>
      </c>
      <c r="H8" s="2">
        <v>7.7</v>
      </c>
      <c r="I8" s="2">
        <v>12.9</v>
      </c>
      <c r="J8" s="2">
        <v>0.6</v>
      </c>
      <c r="K8" s="2">
        <v>0</v>
      </c>
      <c r="L8" s="2">
        <v>0</v>
      </c>
      <c r="M8" s="2"/>
      <c r="N8" s="2">
        <v>7.7</v>
      </c>
      <c r="O8" s="2">
        <v>12.9</v>
      </c>
      <c r="P8" s="2">
        <v>0.6</v>
      </c>
      <c r="Q8" s="2">
        <v>0.6</v>
      </c>
      <c r="R8" s="2">
        <v>0</v>
      </c>
      <c r="S8" s="2">
        <v>0</v>
      </c>
      <c r="T8" s="2"/>
      <c r="U8" s="2">
        <v>5.0999999999999996</v>
      </c>
      <c r="V8" s="2">
        <v>0</v>
      </c>
      <c r="W8" s="2">
        <v>5.0999999999999996</v>
      </c>
      <c r="X8" s="2">
        <v>2.6</v>
      </c>
      <c r="Y8" s="2">
        <v>0</v>
      </c>
      <c r="Z8" s="2">
        <v>0</v>
      </c>
      <c r="AA8" s="2">
        <v>2.6</v>
      </c>
      <c r="AB8" s="2">
        <v>2.6</v>
      </c>
      <c r="AC8" s="2">
        <v>15.4</v>
      </c>
      <c r="AD8" s="2"/>
    </row>
    <row r="9" spans="1:30" x14ac:dyDescent="0.2">
      <c r="A9" t="s">
        <v>461</v>
      </c>
      <c r="B9" s="2">
        <v>21</v>
      </c>
      <c r="C9" t="s">
        <v>122</v>
      </c>
      <c r="D9" s="2" t="s">
        <v>42</v>
      </c>
      <c r="E9" s="2">
        <v>14</v>
      </c>
      <c r="F9" s="2">
        <v>0</v>
      </c>
      <c r="G9" s="2">
        <v>90</v>
      </c>
      <c r="H9" s="2">
        <v>3.2</v>
      </c>
      <c r="I9" s="2">
        <v>5.2</v>
      </c>
      <c r="J9" s="2">
        <v>0.61499999999999999</v>
      </c>
      <c r="K9" s="2">
        <v>0</v>
      </c>
      <c r="L9" s="2">
        <v>0</v>
      </c>
      <c r="M9" s="2"/>
      <c r="N9" s="2">
        <v>3.2</v>
      </c>
      <c r="O9" s="2">
        <v>5.2</v>
      </c>
      <c r="P9" s="2">
        <v>0.61499999999999999</v>
      </c>
      <c r="Q9" s="2">
        <v>0.61499999999999999</v>
      </c>
      <c r="R9" s="2">
        <v>2</v>
      </c>
      <c r="S9" s="2">
        <v>2.4</v>
      </c>
      <c r="T9" s="2">
        <v>0.83299999999999996</v>
      </c>
      <c r="U9" s="2">
        <v>3.2</v>
      </c>
      <c r="V9" s="2">
        <v>6.4</v>
      </c>
      <c r="W9" s="2">
        <v>9.6</v>
      </c>
      <c r="X9" s="2">
        <v>0</v>
      </c>
      <c r="Y9" s="2">
        <v>0</v>
      </c>
      <c r="Z9" s="2">
        <v>2.4</v>
      </c>
      <c r="AA9" s="2">
        <v>2.4</v>
      </c>
      <c r="AB9" s="2">
        <v>6</v>
      </c>
      <c r="AC9" s="2">
        <v>8.4</v>
      </c>
      <c r="AD9" s="2"/>
    </row>
    <row r="10" spans="1:30" x14ac:dyDescent="0.2">
      <c r="A10" t="s">
        <v>507</v>
      </c>
      <c r="B10" s="2">
        <v>20</v>
      </c>
      <c r="C10" t="s">
        <v>35</v>
      </c>
      <c r="D10" s="2" t="s">
        <v>52</v>
      </c>
      <c r="E10" s="2">
        <v>5</v>
      </c>
      <c r="F10" s="2">
        <v>0</v>
      </c>
      <c r="G10" s="2">
        <v>11</v>
      </c>
      <c r="H10" s="2">
        <v>9.8000000000000007</v>
      </c>
      <c r="I10" s="2">
        <v>19.600000000000001</v>
      </c>
      <c r="J10" s="2">
        <v>0.5</v>
      </c>
      <c r="K10" s="2">
        <v>3.3</v>
      </c>
      <c r="L10" s="2">
        <v>3.3</v>
      </c>
      <c r="M10" s="2">
        <v>1</v>
      </c>
      <c r="N10" s="2">
        <v>6.5</v>
      </c>
      <c r="O10" s="2">
        <v>16.399999999999999</v>
      </c>
      <c r="P10" s="2">
        <v>0.4</v>
      </c>
      <c r="Q10" s="2">
        <v>0.58299999999999996</v>
      </c>
      <c r="R10" s="2">
        <v>0</v>
      </c>
      <c r="S10" s="2">
        <v>0</v>
      </c>
      <c r="T10" s="2"/>
      <c r="U10" s="2">
        <v>0</v>
      </c>
      <c r="V10" s="2">
        <v>6.5</v>
      </c>
      <c r="W10" s="2">
        <v>6.5</v>
      </c>
      <c r="X10" s="2">
        <v>3.3</v>
      </c>
      <c r="Y10" s="2">
        <v>0</v>
      </c>
      <c r="Z10" s="2">
        <v>0</v>
      </c>
      <c r="AA10" s="2">
        <v>6.5</v>
      </c>
      <c r="AB10" s="2">
        <v>0</v>
      </c>
      <c r="AC10" s="2">
        <v>22.9</v>
      </c>
      <c r="AD10" s="2"/>
    </row>
    <row r="11" spans="1:30" x14ac:dyDescent="0.2">
      <c r="A11" t="s">
        <v>301</v>
      </c>
      <c r="B11" s="2">
        <v>22</v>
      </c>
      <c r="C11" t="s">
        <v>32</v>
      </c>
      <c r="D11" s="2" t="s">
        <v>52</v>
      </c>
      <c r="E11" s="2">
        <v>24</v>
      </c>
      <c r="F11" s="2">
        <v>0</v>
      </c>
      <c r="G11" s="2">
        <v>383</v>
      </c>
      <c r="H11" s="2">
        <v>5.2</v>
      </c>
      <c r="I11" s="2">
        <v>10.8</v>
      </c>
      <c r="J11" s="2">
        <v>0.47799999999999998</v>
      </c>
      <c r="K11" s="2">
        <v>1.2</v>
      </c>
      <c r="L11" s="2">
        <v>2.9</v>
      </c>
      <c r="M11" s="2">
        <v>0.41899999999999998</v>
      </c>
      <c r="N11" s="2">
        <v>3.9</v>
      </c>
      <c r="O11" s="2">
        <v>7.9</v>
      </c>
      <c r="P11" s="2">
        <v>0.5</v>
      </c>
      <c r="Q11" s="2">
        <v>0.53500000000000003</v>
      </c>
      <c r="R11" s="2">
        <v>1.1000000000000001</v>
      </c>
      <c r="S11" s="2">
        <v>1.4</v>
      </c>
      <c r="T11" s="2">
        <v>0.8</v>
      </c>
      <c r="U11" s="2">
        <v>0.9</v>
      </c>
      <c r="V11" s="2">
        <v>2.4</v>
      </c>
      <c r="W11" s="2">
        <v>3.4</v>
      </c>
      <c r="X11" s="2">
        <v>3.9</v>
      </c>
      <c r="Y11" s="2">
        <v>2</v>
      </c>
      <c r="Z11" s="2">
        <v>0.2</v>
      </c>
      <c r="AA11" s="2">
        <v>1.8</v>
      </c>
      <c r="AB11" s="2">
        <v>4</v>
      </c>
      <c r="AC11" s="2">
        <v>12.7</v>
      </c>
      <c r="AD11" s="2"/>
    </row>
    <row r="12" spans="1:30" x14ac:dyDescent="0.2">
      <c r="A12" t="s">
        <v>255</v>
      </c>
      <c r="B12" s="2">
        <v>38</v>
      </c>
      <c r="C12" t="s">
        <v>39</v>
      </c>
      <c r="D12" s="2" t="s">
        <v>42</v>
      </c>
      <c r="E12" s="2">
        <v>19</v>
      </c>
      <c r="F12" s="2">
        <v>18</v>
      </c>
      <c r="G12" s="2">
        <v>532</v>
      </c>
      <c r="H12" s="2">
        <v>4.3</v>
      </c>
      <c r="I12" s="2">
        <v>9.3000000000000007</v>
      </c>
      <c r="J12" s="2">
        <v>0.46700000000000003</v>
      </c>
      <c r="K12" s="2">
        <v>2.8</v>
      </c>
      <c r="L12" s="2">
        <v>6.8</v>
      </c>
      <c r="M12" s="2">
        <v>0.40600000000000003</v>
      </c>
      <c r="N12" s="2">
        <v>1.6</v>
      </c>
      <c r="O12" s="2">
        <v>2.4</v>
      </c>
      <c r="P12" s="2">
        <v>0.63900000000000001</v>
      </c>
      <c r="Q12" s="2">
        <v>0.61699999999999999</v>
      </c>
      <c r="R12" s="2">
        <v>0.4</v>
      </c>
      <c r="S12" s="2">
        <v>0.4</v>
      </c>
      <c r="T12" s="2">
        <v>1</v>
      </c>
      <c r="U12" s="2">
        <v>1.1000000000000001</v>
      </c>
      <c r="V12" s="2">
        <v>5.8</v>
      </c>
      <c r="W12" s="2">
        <v>6.8</v>
      </c>
      <c r="X12" s="2">
        <v>3</v>
      </c>
      <c r="Y12" s="2">
        <v>0.9</v>
      </c>
      <c r="Z12" s="2">
        <v>1.2</v>
      </c>
      <c r="AA12" s="2">
        <v>1.3</v>
      </c>
      <c r="AB12" s="2">
        <v>2.1</v>
      </c>
      <c r="AC12" s="2">
        <v>11.8</v>
      </c>
      <c r="AD12" s="2"/>
    </row>
    <row r="13" spans="1:30" x14ac:dyDescent="0.2">
      <c r="A13" t="s">
        <v>388</v>
      </c>
      <c r="B13" s="2">
        <v>33</v>
      </c>
      <c r="C13" t="s">
        <v>61</v>
      </c>
      <c r="D13" s="2" t="s">
        <v>52</v>
      </c>
      <c r="E13" s="2">
        <v>12</v>
      </c>
      <c r="F13" s="2">
        <v>0</v>
      </c>
      <c r="G13" s="2">
        <v>181</v>
      </c>
      <c r="H13" s="2">
        <v>4.2</v>
      </c>
      <c r="I13" s="2">
        <v>9.1</v>
      </c>
      <c r="J13" s="2">
        <v>0.45700000000000002</v>
      </c>
      <c r="K13" s="2">
        <v>3</v>
      </c>
      <c r="L13" s="2">
        <v>6.4</v>
      </c>
      <c r="M13" s="2">
        <v>0.46899999999999997</v>
      </c>
      <c r="N13" s="2">
        <v>1.2</v>
      </c>
      <c r="O13" s="2">
        <v>2.8</v>
      </c>
      <c r="P13" s="2">
        <v>0.42899999999999999</v>
      </c>
      <c r="Q13" s="2">
        <v>0.62</v>
      </c>
      <c r="R13" s="2">
        <v>1.2</v>
      </c>
      <c r="S13" s="2">
        <v>1.6</v>
      </c>
      <c r="T13" s="2">
        <v>0.75</v>
      </c>
      <c r="U13" s="2">
        <v>0.8</v>
      </c>
      <c r="V13" s="2">
        <v>3.8</v>
      </c>
      <c r="W13" s="2">
        <v>4.5999999999999996</v>
      </c>
      <c r="X13" s="2">
        <v>3.2</v>
      </c>
      <c r="Y13" s="2">
        <v>1.2</v>
      </c>
      <c r="Z13" s="2">
        <v>0.6</v>
      </c>
      <c r="AA13" s="2">
        <v>0.4</v>
      </c>
      <c r="AB13" s="2">
        <v>1</v>
      </c>
      <c r="AC13" s="2">
        <v>12.5</v>
      </c>
      <c r="AD13" s="2"/>
    </row>
    <row r="14" spans="1:30" x14ac:dyDescent="0.2">
      <c r="A14" t="s">
        <v>349</v>
      </c>
      <c r="B14" s="2">
        <v>30</v>
      </c>
      <c r="C14" t="s">
        <v>32</v>
      </c>
      <c r="D14" s="2" t="s">
        <v>52</v>
      </c>
      <c r="E14" s="2">
        <v>16</v>
      </c>
      <c r="F14" s="2">
        <v>0</v>
      </c>
      <c r="G14" s="2">
        <v>320</v>
      </c>
      <c r="H14" s="2">
        <v>4.2</v>
      </c>
      <c r="I14" s="2">
        <v>10.6</v>
      </c>
      <c r="J14" s="2">
        <v>0.39400000000000002</v>
      </c>
      <c r="K14" s="2">
        <v>1.6</v>
      </c>
      <c r="L14" s="2">
        <v>5.7</v>
      </c>
      <c r="M14" s="2">
        <v>0.27500000000000002</v>
      </c>
      <c r="N14" s="2">
        <v>2.6</v>
      </c>
      <c r="O14" s="2">
        <v>4.8</v>
      </c>
      <c r="P14" s="2">
        <v>0.53500000000000003</v>
      </c>
      <c r="Q14" s="2">
        <v>0.46800000000000003</v>
      </c>
      <c r="R14" s="2">
        <v>0.6</v>
      </c>
      <c r="S14" s="2">
        <v>0.8</v>
      </c>
      <c r="T14" s="2">
        <v>0.71399999999999997</v>
      </c>
      <c r="U14" s="2">
        <v>1.1000000000000001</v>
      </c>
      <c r="V14" s="2">
        <v>4.3</v>
      </c>
      <c r="W14" s="2">
        <v>5.4</v>
      </c>
      <c r="X14" s="2">
        <v>4.2</v>
      </c>
      <c r="Y14" s="2">
        <v>3.4</v>
      </c>
      <c r="Z14" s="2">
        <v>1.1000000000000001</v>
      </c>
      <c r="AA14" s="2">
        <v>1.5</v>
      </c>
      <c r="AB14" s="2">
        <v>4.0999999999999996</v>
      </c>
      <c r="AC14" s="2">
        <v>10.5</v>
      </c>
      <c r="AD14" s="2"/>
    </row>
    <row r="15" spans="1:30" x14ac:dyDescent="0.2">
      <c r="A15" t="s">
        <v>556</v>
      </c>
      <c r="B15" s="2">
        <v>24</v>
      </c>
      <c r="C15" t="s">
        <v>32</v>
      </c>
      <c r="D15" s="2" t="s">
        <v>52</v>
      </c>
      <c r="E15" s="2">
        <v>4</v>
      </c>
      <c r="F15" s="2">
        <v>0</v>
      </c>
      <c r="G15" s="2">
        <v>7</v>
      </c>
      <c r="H15" s="2">
        <v>0</v>
      </c>
      <c r="I15" s="2">
        <v>15.4</v>
      </c>
      <c r="J15" s="2">
        <v>0</v>
      </c>
      <c r="K15" s="2">
        <v>0</v>
      </c>
      <c r="L15" s="2">
        <v>10.3</v>
      </c>
      <c r="M15" s="2">
        <v>0</v>
      </c>
      <c r="N15" s="2">
        <v>0</v>
      </c>
      <c r="O15" s="2">
        <v>5.0999999999999996</v>
      </c>
      <c r="P15" s="2">
        <v>0</v>
      </c>
      <c r="Q15" s="2">
        <v>0</v>
      </c>
      <c r="R15" s="2">
        <v>0</v>
      </c>
      <c r="S15" s="2">
        <v>0</v>
      </c>
      <c r="T15" s="2"/>
      <c r="U15" s="2">
        <v>0</v>
      </c>
      <c r="V15" s="2">
        <v>0</v>
      </c>
      <c r="W15" s="2">
        <v>0</v>
      </c>
      <c r="X15" s="2">
        <v>0</v>
      </c>
      <c r="Y15" s="2">
        <v>0</v>
      </c>
      <c r="Z15" s="2">
        <v>0</v>
      </c>
      <c r="AA15" s="2">
        <v>0</v>
      </c>
      <c r="AB15" s="2">
        <v>0</v>
      </c>
      <c r="AC15" s="2">
        <v>0</v>
      </c>
      <c r="AD15" s="2"/>
    </row>
    <row r="16" spans="1:30" x14ac:dyDescent="0.2">
      <c r="A16" t="s">
        <v>450</v>
      </c>
      <c r="B16" s="2">
        <v>31</v>
      </c>
      <c r="C16" t="s">
        <v>37</v>
      </c>
      <c r="D16" s="2" t="s">
        <v>42</v>
      </c>
      <c r="E16" s="2">
        <v>19</v>
      </c>
      <c r="F16" s="2">
        <v>2</v>
      </c>
      <c r="G16" s="2">
        <v>135</v>
      </c>
      <c r="H16" s="2">
        <v>3.2</v>
      </c>
      <c r="I16" s="2">
        <v>5.9</v>
      </c>
      <c r="J16" s="2">
        <v>0.54500000000000004</v>
      </c>
      <c r="K16" s="2">
        <v>0</v>
      </c>
      <c r="L16" s="2">
        <v>1.1000000000000001</v>
      </c>
      <c r="M16" s="2">
        <v>0</v>
      </c>
      <c r="N16" s="2">
        <v>3.2</v>
      </c>
      <c r="O16" s="2">
        <v>4.8</v>
      </c>
      <c r="P16" s="2">
        <v>0.66700000000000004</v>
      </c>
      <c r="Q16" s="2">
        <v>0.54500000000000004</v>
      </c>
      <c r="R16" s="2">
        <v>0.5</v>
      </c>
      <c r="S16" s="2">
        <v>1.1000000000000001</v>
      </c>
      <c r="T16" s="2">
        <v>0.5</v>
      </c>
      <c r="U16" s="2">
        <v>2.4</v>
      </c>
      <c r="V16" s="2">
        <v>6.7</v>
      </c>
      <c r="W16" s="2">
        <v>9.1</v>
      </c>
      <c r="X16" s="2">
        <v>4.3</v>
      </c>
      <c r="Y16" s="2">
        <v>0.8</v>
      </c>
      <c r="Z16" s="2">
        <v>2.9</v>
      </c>
      <c r="AA16" s="2">
        <v>1.6</v>
      </c>
      <c r="AB16" s="2">
        <v>4.3</v>
      </c>
      <c r="AC16" s="2">
        <v>6.9</v>
      </c>
      <c r="AD16" s="2"/>
    </row>
    <row r="17" spans="1:30" x14ac:dyDescent="0.2">
      <c r="A17" t="s">
        <v>550</v>
      </c>
      <c r="B17" s="2">
        <v>25</v>
      </c>
      <c r="C17" t="s">
        <v>32</v>
      </c>
      <c r="D17" s="2" t="s">
        <v>27</v>
      </c>
      <c r="E17" s="2">
        <v>1</v>
      </c>
      <c r="F17" s="2">
        <v>0</v>
      </c>
      <c r="G17" s="2">
        <v>2</v>
      </c>
      <c r="H17" s="2">
        <v>18</v>
      </c>
      <c r="I17" s="2">
        <v>18</v>
      </c>
      <c r="J17" s="2">
        <v>1</v>
      </c>
      <c r="K17" s="2">
        <v>0</v>
      </c>
      <c r="L17" s="2">
        <v>0</v>
      </c>
      <c r="M17" s="2"/>
      <c r="N17" s="2">
        <v>18</v>
      </c>
      <c r="O17" s="2">
        <v>18</v>
      </c>
      <c r="P17" s="2">
        <v>1</v>
      </c>
      <c r="Q17" s="2">
        <v>1</v>
      </c>
      <c r="R17" s="2">
        <v>0</v>
      </c>
      <c r="S17" s="2">
        <v>0</v>
      </c>
      <c r="T17" s="2"/>
      <c r="U17" s="2">
        <v>18</v>
      </c>
      <c r="V17" s="2">
        <v>0</v>
      </c>
      <c r="W17" s="2">
        <v>18</v>
      </c>
      <c r="X17" s="2">
        <v>0</v>
      </c>
      <c r="Y17" s="2">
        <v>0</v>
      </c>
      <c r="Z17" s="2">
        <v>0</v>
      </c>
      <c r="AA17" s="2">
        <v>0</v>
      </c>
      <c r="AB17" s="2">
        <v>0</v>
      </c>
      <c r="AC17" s="2">
        <v>36</v>
      </c>
      <c r="AD17" s="2"/>
    </row>
    <row r="18" spans="1:30" x14ac:dyDescent="0.2">
      <c r="A18" t="s">
        <v>222</v>
      </c>
      <c r="B18" s="2">
        <v>19</v>
      </c>
      <c r="C18" t="s">
        <v>114</v>
      </c>
      <c r="D18" s="2" t="s">
        <v>42</v>
      </c>
      <c r="E18" s="2">
        <v>20</v>
      </c>
      <c r="F18" s="2">
        <v>20</v>
      </c>
      <c r="G18" s="2">
        <v>536</v>
      </c>
      <c r="H18" s="2">
        <v>5.4</v>
      </c>
      <c r="I18" s="2">
        <v>14</v>
      </c>
      <c r="J18" s="2">
        <v>0.38300000000000001</v>
      </c>
      <c r="K18" s="2">
        <v>1.5</v>
      </c>
      <c r="L18" s="2">
        <v>5.9</v>
      </c>
      <c r="M18" s="2">
        <v>0.25</v>
      </c>
      <c r="N18" s="2">
        <v>3.9</v>
      </c>
      <c r="O18" s="2">
        <v>8.1</v>
      </c>
      <c r="P18" s="2">
        <v>0.47899999999999998</v>
      </c>
      <c r="Q18" s="2">
        <v>0.435</v>
      </c>
      <c r="R18" s="2">
        <v>1.9</v>
      </c>
      <c r="S18" s="2">
        <v>3</v>
      </c>
      <c r="T18" s="2">
        <v>0.65900000000000003</v>
      </c>
      <c r="U18" s="2">
        <v>2.8</v>
      </c>
      <c r="V18" s="2">
        <v>5.6</v>
      </c>
      <c r="W18" s="2">
        <v>8.5</v>
      </c>
      <c r="X18" s="2">
        <v>2.7</v>
      </c>
      <c r="Y18" s="2">
        <v>1</v>
      </c>
      <c r="Z18" s="2">
        <v>2.5</v>
      </c>
      <c r="AA18" s="2">
        <v>1.9</v>
      </c>
      <c r="AB18" s="2">
        <v>3.6</v>
      </c>
      <c r="AC18" s="2">
        <v>14.2</v>
      </c>
      <c r="AD18" s="2"/>
    </row>
    <row r="19" spans="1:30" x14ac:dyDescent="0.2">
      <c r="A19" t="s">
        <v>522</v>
      </c>
      <c r="B19" s="2">
        <v>25</v>
      </c>
      <c r="C19" t="s">
        <v>75</v>
      </c>
      <c r="D19" s="2" t="s">
        <v>52</v>
      </c>
      <c r="E19" s="2">
        <v>1</v>
      </c>
      <c r="F19" s="2">
        <v>0</v>
      </c>
      <c r="G19" s="2">
        <v>4</v>
      </c>
      <c r="H19" s="2">
        <v>18</v>
      </c>
      <c r="I19" s="2">
        <v>18</v>
      </c>
      <c r="J19" s="2">
        <v>1</v>
      </c>
      <c r="K19" s="2">
        <v>9</v>
      </c>
      <c r="L19" s="2">
        <v>9</v>
      </c>
      <c r="M19" s="2">
        <v>1</v>
      </c>
      <c r="N19" s="2">
        <v>9</v>
      </c>
      <c r="O19" s="2">
        <v>9</v>
      </c>
      <c r="P19" s="2">
        <v>1</v>
      </c>
      <c r="Q19" s="2">
        <v>1.25</v>
      </c>
      <c r="R19" s="2">
        <v>0</v>
      </c>
      <c r="S19" s="2">
        <v>0</v>
      </c>
      <c r="T19" s="2"/>
      <c r="U19" s="2">
        <v>0</v>
      </c>
      <c r="V19" s="2">
        <v>0</v>
      </c>
      <c r="W19" s="2">
        <v>0</v>
      </c>
      <c r="X19" s="2">
        <v>9</v>
      </c>
      <c r="Y19" s="2">
        <v>0</v>
      </c>
      <c r="Z19" s="2">
        <v>0</v>
      </c>
      <c r="AA19" s="2">
        <v>0</v>
      </c>
      <c r="AB19" s="2">
        <v>0</v>
      </c>
      <c r="AC19" s="2">
        <v>45</v>
      </c>
      <c r="AD19" s="2"/>
    </row>
    <row r="20" spans="1:30" x14ac:dyDescent="0.2">
      <c r="A20" t="s">
        <v>90</v>
      </c>
      <c r="B20" s="2">
        <v>22</v>
      </c>
      <c r="C20" t="s">
        <v>87</v>
      </c>
      <c r="D20" s="2" t="s">
        <v>42</v>
      </c>
      <c r="E20" s="2">
        <v>25</v>
      </c>
      <c r="F20" s="2">
        <v>25</v>
      </c>
      <c r="G20" s="2">
        <v>776</v>
      </c>
      <c r="H20" s="2">
        <v>8.4</v>
      </c>
      <c r="I20" s="2">
        <v>17.7</v>
      </c>
      <c r="J20" s="2">
        <v>0.47599999999999998</v>
      </c>
      <c r="K20" s="2">
        <v>0.4</v>
      </c>
      <c r="L20" s="2">
        <v>1.7</v>
      </c>
      <c r="M20" s="2">
        <v>0.24299999999999999</v>
      </c>
      <c r="N20" s="2">
        <v>8</v>
      </c>
      <c r="O20" s="2">
        <v>16</v>
      </c>
      <c r="P20" s="2">
        <v>0.501</v>
      </c>
      <c r="Q20" s="2">
        <v>0.48799999999999999</v>
      </c>
      <c r="R20" s="2">
        <v>4.5</v>
      </c>
      <c r="S20" s="2">
        <v>5.9</v>
      </c>
      <c r="T20" s="2">
        <v>0.77200000000000002</v>
      </c>
      <c r="U20" s="2">
        <v>3.9</v>
      </c>
      <c r="V20" s="2">
        <v>8.4</v>
      </c>
      <c r="W20" s="2">
        <v>12.3</v>
      </c>
      <c r="X20" s="2">
        <v>6.2</v>
      </c>
      <c r="Y20" s="2">
        <v>1.4</v>
      </c>
      <c r="Z20" s="2">
        <v>1.2</v>
      </c>
      <c r="AA20" s="2">
        <v>2.6</v>
      </c>
      <c r="AB20" s="2">
        <v>3.1</v>
      </c>
      <c r="AC20" s="2">
        <v>21.9</v>
      </c>
      <c r="AD20" s="2"/>
    </row>
    <row r="21" spans="1:30" x14ac:dyDescent="0.2">
      <c r="A21" t="s">
        <v>158</v>
      </c>
      <c r="B21" s="2">
        <v>22</v>
      </c>
      <c r="C21" t="s">
        <v>87</v>
      </c>
      <c r="D21" s="2" t="s">
        <v>49</v>
      </c>
      <c r="E21" s="2">
        <v>25</v>
      </c>
      <c r="F21" s="2">
        <v>2</v>
      </c>
      <c r="G21" s="2">
        <v>675</v>
      </c>
      <c r="H21" s="2">
        <v>5.9</v>
      </c>
      <c r="I21" s="2">
        <v>10.7</v>
      </c>
      <c r="J21" s="2">
        <v>0.55200000000000005</v>
      </c>
      <c r="K21" s="2">
        <v>0.5</v>
      </c>
      <c r="L21" s="2">
        <v>1.6</v>
      </c>
      <c r="M21" s="2">
        <v>0.3</v>
      </c>
      <c r="N21" s="2">
        <v>5.4</v>
      </c>
      <c r="O21" s="2">
        <v>9.1</v>
      </c>
      <c r="P21" s="2">
        <v>0.59599999999999997</v>
      </c>
      <c r="Q21" s="2">
        <v>0.57499999999999996</v>
      </c>
      <c r="R21" s="2">
        <v>3.5</v>
      </c>
      <c r="S21" s="2">
        <v>5</v>
      </c>
      <c r="T21" s="2">
        <v>0.69899999999999995</v>
      </c>
      <c r="U21" s="2">
        <v>3</v>
      </c>
      <c r="V21" s="2">
        <v>6.3</v>
      </c>
      <c r="W21" s="2">
        <v>9.3000000000000007</v>
      </c>
      <c r="X21" s="2">
        <v>2.7</v>
      </c>
      <c r="Y21" s="2">
        <v>1.5</v>
      </c>
      <c r="Z21" s="2">
        <v>1.3</v>
      </c>
      <c r="AA21" s="2">
        <v>2.2999999999999998</v>
      </c>
      <c r="AB21" s="2">
        <v>3.1</v>
      </c>
      <c r="AC21" s="2">
        <v>15.8</v>
      </c>
      <c r="AD21" s="2"/>
    </row>
    <row r="22" spans="1:30" x14ac:dyDescent="0.2">
      <c r="A22" t="s">
        <v>195</v>
      </c>
      <c r="B22" s="2">
        <v>27</v>
      </c>
      <c r="C22" t="s">
        <v>77</v>
      </c>
      <c r="D22" s="2" t="s">
        <v>52</v>
      </c>
      <c r="E22" s="2">
        <v>24</v>
      </c>
      <c r="F22" s="2">
        <v>7</v>
      </c>
      <c r="G22" s="2">
        <v>576</v>
      </c>
      <c r="H22" s="2">
        <v>5.4</v>
      </c>
      <c r="I22" s="2">
        <v>11.1</v>
      </c>
      <c r="J22" s="2">
        <v>0.48599999999999999</v>
      </c>
      <c r="K22" s="2">
        <v>2.5</v>
      </c>
      <c r="L22" s="2">
        <v>5.8</v>
      </c>
      <c r="M22" s="2">
        <v>0.43</v>
      </c>
      <c r="N22" s="2">
        <v>2.9</v>
      </c>
      <c r="O22" s="2">
        <v>5.2</v>
      </c>
      <c r="P22" s="2">
        <v>0.54800000000000004</v>
      </c>
      <c r="Q22" s="2">
        <v>0.59899999999999998</v>
      </c>
      <c r="R22" s="2">
        <v>2.1</v>
      </c>
      <c r="S22" s="2">
        <v>2.4</v>
      </c>
      <c r="T22" s="2">
        <v>0.84599999999999997</v>
      </c>
      <c r="U22" s="2">
        <v>0.9</v>
      </c>
      <c r="V22" s="2">
        <v>2.9</v>
      </c>
      <c r="W22" s="2">
        <v>3.9</v>
      </c>
      <c r="X22" s="2">
        <v>1.9</v>
      </c>
      <c r="Y22" s="2">
        <v>0.9</v>
      </c>
      <c r="Z22" s="2">
        <v>0.1</v>
      </c>
      <c r="AA22" s="2">
        <v>1.1000000000000001</v>
      </c>
      <c r="AB22" s="2">
        <v>2.1</v>
      </c>
      <c r="AC22" s="2">
        <v>15.3</v>
      </c>
      <c r="AD22" s="2"/>
    </row>
    <row r="23" spans="1:30" x14ac:dyDescent="0.2">
      <c r="A23" t="s">
        <v>284</v>
      </c>
      <c r="B23" s="2">
        <v>31</v>
      </c>
      <c r="C23" t="s">
        <v>122</v>
      </c>
      <c r="D23" s="2" t="s">
        <v>42</v>
      </c>
      <c r="E23" s="2">
        <v>19</v>
      </c>
      <c r="F23" s="2">
        <v>12</v>
      </c>
      <c r="G23" s="2">
        <v>380</v>
      </c>
      <c r="H23" s="2">
        <v>5.6</v>
      </c>
      <c r="I23" s="2">
        <v>10.8</v>
      </c>
      <c r="J23" s="2">
        <v>0.51800000000000002</v>
      </c>
      <c r="K23" s="2">
        <v>0.1</v>
      </c>
      <c r="L23" s="2">
        <v>0.6</v>
      </c>
      <c r="M23" s="2">
        <v>0.16700000000000001</v>
      </c>
      <c r="N23" s="2">
        <v>5.5</v>
      </c>
      <c r="O23" s="2">
        <v>10.199999999999999</v>
      </c>
      <c r="P23" s="2">
        <v>0.53700000000000003</v>
      </c>
      <c r="Q23" s="2">
        <v>0.52200000000000002</v>
      </c>
      <c r="R23" s="2">
        <v>2.7</v>
      </c>
      <c r="S23" s="2">
        <v>4.8</v>
      </c>
      <c r="T23" s="2">
        <v>0.56899999999999995</v>
      </c>
      <c r="U23" s="2">
        <v>5.3</v>
      </c>
      <c r="V23" s="2">
        <v>9.6</v>
      </c>
      <c r="W23" s="2">
        <v>14.9</v>
      </c>
      <c r="X23" s="2">
        <v>0.9</v>
      </c>
      <c r="Y23" s="2">
        <v>2.5</v>
      </c>
      <c r="Z23" s="2">
        <v>0.8</v>
      </c>
      <c r="AA23" s="2">
        <v>3.1</v>
      </c>
      <c r="AB23" s="2">
        <v>4.5</v>
      </c>
      <c r="AC23" s="2">
        <v>14</v>
      </c>
      <c r="AD23" s="2"/>
    </row>
    <row r="24" spans="1:30" x14ac:dyDescent="0.2">
      <c r="A24" t="s">
        <v>361</v>
      </c>
      <c r="B24" s="2">
        <v>23</v>
      </c>
      <c r="C24" t="s">
        <v>35</v>
      </c>
      <c r="D24" s="2" t="s">
        <v>52</v>
      </c>
      <c r="E24" s="2">
        <v>23</v>
      </c>
      <c r="F24" s="2">
        <v>15</v>
      </c>
      <c r="G24" s="2">
        <v>407</v>
      </c>
      <c r="H24" s="2">
        <v>2.8</v>
      </c>
      <c r="I24" s="2">
        <v>7</v>
      </c>
      <c r="J24" s="2">
        <v>0.40500000000000003</v>
      </c>
      <c r="K24" s="2">
        <v>1.3</v>
      </c>
      <c r="L24" s="2">
        <v>3.6</v>
      </c>
      <c r="M24" s="2">
        <v>0.36599999999999999</v>
      </c>
      <c r="N24" s="2">
        <v>1.5</v>
      </c>
      <c r="O24" s="2">
        <v>3.4</v>
      </c>
      <c r="P24" s="2">
        <v>0.44700000000000001</v>
      </c>
      <c r="Q24" s="2">
        <v>0.5</v>
      </c>
      <c r="R24" s="2">
        <v>0.4</v>
      </c>
      <c r="S24" s="2">
        <v>0.7</v>
      </c>
      <c r="T24" s="2">
        <v>0.5</v>
      </c>
      <c r="U24" s="2">
        <v>1.4</v>
      </c>
      <c r="V24" s="2">
        <v>4.5</v>
      </c>
      <c r="W24" s="2">
        <v>5.9</v>
      </c>
      <c r="X24" s="2">
        <v>2.7</v>
      </c>
      <c r="Y24" s="2">
        <v>1.5</v>
      </c>
      <c r="Z24" s="2">
        <v>0.6</v>
      </c>
      <c r="AA24" s="2">
        <v>2.7</v>
      </c>
      <c r="AB24" s="2">
        <v>5.0999999999999996</v>
      </c>
      <c r="AC24" s="2">
        <v>7.3</v>
      </c>
      <c r="AD24" s="2"/>
    </row>
    <row r="25" spans="1:30" x14ac:dyDescent="0.2">
      <c r="A25" t="s">
        <v>356</v>
      </c>
      <c r="B25" s="2">
        <v>25</v>
      </c>
      <c r="C25" t="s">
        <v>82</v>
      </c>
      <c r="D25" s="2" t="s">
        <v>52</v>
      </c>
      <c r="E25" s="2">
        <v>11</v>
      </c>
      <c r="F25" s="2">
        <v>11</v>
      </c>
      <c r="G25" s="2">
        <v>272</v>
      </c>
      <c r="H25" s="2">
        <v>4.5</v>
      </c>
      <c r="I25" s="2">
        <v>10.3</v>
      </c>
      <c r="J25" s="2">
        <v>0.436</v>
      </c>
      <c r="K25" s="2">
        <v>0.9</v>
      </c>
      <c r="L25" s="2">
        <v>3</v>
      </c>
      <c r="M25" s="2">
        <v>0.30399999999999999</v>
      </c>
      <c r="N25" s="2">
        <v>3.6</v>
      </c>
      <c r="O25" s="2">
        <v>7.3</v>
      </c>
      <c r="P25" s="2">
        <v>0.49099999999999999</v>
      </c>
      <c r="Q25" s="2">
        <v>0.48099999999999998</v>
      </c>
      <c r="R25" s="2">
        <v>1.9</v>
      </c>
      <c r="S25" s="2">
        <v>2.1</v>
      </c>
      <c r="T25" s="2">
        <v>0.875</v>
      </c>
      <c r="U25" s="2">
        <v>0.3</v>
      </c>
      <c r="V25" s="2">
        <v>3.2</v>
      </c>
      <c r="W25" s="2">
        <v>3.4</v>
      </c>
      <c r="X25" s="2">
        <v>6.4</v>
      </c>
      <c r="Y25" s="2">
        <v>1.6</v>
      </c>
      <c r="Z25" s="2">
        <v>0</v>
      </c>
      <c r="AA25" s="2">
        <v>2.2999999999999998</v>
      </c>
      <c r="AB25" s="2">
        <v>2.8</v>
      </c>
      <c r="AC25" s="2">
        <v>11.8</v>
      </c>
      <c r="AD25" s="2"/>
    </row>
    <row r="26" spans="1:30" x14ac:dyDescent="0.2">
      <c r="A26" t="s">
        <v>137</v>
      </c>
      <c r="B26" s="2">
        <v>29</v>
      </c>
      <c r="C26" t="s">
        <v>100</v>
      </c>
      <c r="D26" s="2" t="s">
        <v>49</v>
      </c>
      <c r="E26" s="2">
        <v>20</v>
      </c>
      <c r="F26" s="2">
        <v>20</v>
      </c>
      <c r="G26" s="2">
        <v>572</v>
      </c>
      <c r="H26" s="2">
        <v>7.3</v>
      </c>
      <c r="I26" s="2">
        <v>15.9</v>
      </c>
      <c r="J26" s="2">
        <v>0.46</v>
      </c>
      <c r="K26" s="2">
        <v>2.8</v>
      </c>
      <c r="L26" s="2">
        <v>6.5</v>
      </c>
      <c r="M26" s="2">
        <v>0.42699999999999999</v>
      </c>
      <c r="N26" s="2">
        <v>4.5</v>
      </c>
      <c r="O26" s="2">
        <v>9.4</v>
      </c>
      <c r="P26" s="2">
        <v>0.48299999999999998</v>
      </c>
      <c r="Q26" s="2">
        <v>0.54800000000000004</v>
      </c>
      <c r="R26" s="2">
        <v>4.2</v>
      </c>
      <c r="S26" s="2">
        <v>5.5</v>
      </c>
      <c r="T26" s="2">
        <v>0.77</v>
      </c>
      <c r="U26" s="2">
        <v>2</v>
      </c>
      <c r="V26" s="2">
        <v>3.6</v>
      </c>
      <c r="W26" s="2">
        <v>5.5</v>
      </c>
      <c r="X26" s="2">
        <v>2.9</v>
      </c>
      <c r="Y26" s="2">
        <v>1.2</v>
      </c>
      <c r="Z26" s="2">
        <v>0.9</v>
      </c>
      <c r="AA26" s="2">
        <v>1.4</v>
      </c>
      <c r="AB26" s="2">
        <v>2.2999999999999998</v>
      </c>
      <c r="AC26" s="2">
        <v>21.6</v>
      </c>
      <c r="AD26" s="2"/>
    </row>
    <row r="27" spans="1:30" x14ac:dyDescent="0.2">
      <c r="A27" t="s">
        <v>134</v>
      </c>
      <c r="B27" s="2">
        <v>25</v>
      </c>
      <c r="C27" t="s">
        <v>135</v>
      </c>
      <c r="D27" s="2" t="s">
        <v>52</v>
      </c>
      <c r="E27" s="2">
        <v>21</v>
      </c>
      <c r="F27" s="2">
        <v>21</v>
      </c>
      <c r="G27" s="2">
        <v>636</v>
      </c>
      <c r="H27" s="2">
        <v>6.9</v>
      </c>
      <c r="I27" s="2">
        <v>17.2</v>
      </c>
      <c r="J27" s="2">
        <v>0.40100000000000002</v>
      </c>
      <c r="K27" s="2">
        <v>2.8</v>
      </c>
      <c r="L27" s="2">
        <v>8.8000000000000007</v>
      </c>
      <c r="M27" s="2">
        <v>0.32300000000000001</v>
      </c>
      <c r="N27" s="2">
        <v>4.0999999999999996</v>
      </c>
      <c r="O27" s="2">
        <v>8.4</v>
      </c>
      <c r="P27" s="2">
        <v>0.48299999999999998</v>
      </c>
      <c r="Q27" s="2">
        <v>0.48399999999999999</v>
      </c>
      <c r="R27" s="2">
        <v>2.9</v>
      </c>
      <c r="S27" s="2">
        <v>3.3</v>
      </c>
      <c r="T27" s="2">
        <v>0.89700000000000002</v>
      </c>
      <c r="U27" s="2">
        <v>0.3</v>
      </c>
      <c r="V27" s="2">
        <v>2.7</v>
      </c>
      <c r="W27" s="2">
        <v>3.1</v>
      </c>
      <c r="X27" s="2">
        <v>5.3</v>
      </c>
      <c r="Y27" s="2">
        <v>1</v>
      </c>
      <c r="Z27" s="2">
        <v>0.1</v>
      </c>
      <c r="AA27" s="2">
        <v>2.9</v>
      </c>
      <c r="AB27" s="2">
        <v>2.2999999999999998</v>
      </c>
      <c r="AC27" s="2">
        <v>19.600000000000001</v>
      </c>
      <c r="AD27" s="2"/>
    </row>
    <row r="28" spans="1:30" x14ac:dyDescent="0.2">
      <c r="A28" t="s">
        <v>212</v>
      </c>
      <c r="B28" s="2">
        <v>21</v>
      </c>
      <c r="C28" t="s">
        <v>48</v>
      </c>
      <c r="D28" s="2" t="s">
        <v>33</v>
      </c>
      <c r="E28" s="4">
        <v>27</v>
      </c>
      <c r="F28" s="2">
        <v>1</v>
      </c>
      <c r="G28" s="2">
        <v>655</v>
      </c>
      <c r="H28" s="2">
        <v>4.4000000000000004</v>
      </c>
      <c r="I28" s="2">
        <v>10.4</v>
      </c>
      <c r="J28" s="2">
        <v>0.42099999999999999</v>
      </c>
      <c r="K28" s="2">
        <v>0.9</v>
      </c>
      <c r="L28" s="2">
        <v>3.6</v>
      </c>
      <c r="M28" s="2">
        <v>0.246</v>
      </c>
      <c r="N28" s="2">
        <v>3.5</v>
      </c>
      <c r="O28" s="2">
        <v>6.9</v>
      </c>
      <c r="P28" s="2">
        <v>0.51200000000000001</v>
      </c>
      <c r="Q28" s="2">
        <v>0.46300000000000002</v>
      </c>
      <c r="R28" s="2">
        <v>2.6</v>
      </c>
      <c r="S28" s="2">
        <v>3.7</v>
      </c>
      <c r="T28" s="2">
        <v>0.70599999999999996</v>
      </c>
      <c r="U28" s="2">
        <v>0.8</v>
      </c>
      <c r="V28" s="2">
        <v>3.4</v>
      </c>
      <c r="W28" s="2">
        <v>4.2</v>
      </c>
      <c r="X28" s="2">
        <v>5.7</v>
      </c>
      <c r="Y28" s="2">
        <v>1.4</v>
      </c>
      <c r="Z28" s="2">
        <v>1.2</v>
      </c>
      <c r="AA28" s="2">
        <v>3.5</v>
      </c>
      <c r="AB28" s="2">
        <v>3.1</v>
      </c>
      <c r="AC28" s="2">
        <v>12.3</v>
      </c>
      <c r="AD28" s="2"/>
    </row>
    <row r="29" spans="1:30" x14ac:dyDescent="0.2">
      <c r="A29" t="s">
        <v>40</v>
      </c>
      <c r="B29" s="2">
        <v>31</v>
      </c>
      <c r="C29" t="s">
        <v>41</v>
      </c>
      <c r="D29" s="2" t="s">
        <v>42</v>
      </c>
      <c r="E29" s="2">
        <v>23</v>
      </c>
      <c r="F29" s="2">
        <v>23</v>
      </c>
      <c r="G29" s="2">
        <v>813</v>
      </c>
      <c r="H29" s="2">
        <v>10.1</v>
      </c>
      <c r="I29" s="2">
        <v>19</v>
      </c>
      <c r="J29" s="2">
        <v>0.52900000000000003</v>
      </c>
      <c r="K29" s="2">
        <v>0.7</v>
      </c>
      <c r="L29" s="2">
        <v>2.2000000000000002</v>
      </c>
      <c r="M29" s="2">
        <v>0.32</v>
      </c>
      <c r="N29" s="2">
        <v>9.3000000000000007</v>
      </c>
      <c r="O29" s="2">
        <v>16.8</v>
      </c>
      <c r="P29" s="2">
        <v>0.55700000000000005</v>
      </c>
      <c r="Q29" s="2">
        <v>0.54800000000000004</v>
      </c>
      <c r="R29" s="2">
        <v>7.2</v>
      </c>
      <c r="S29" s="2">
        <v>9</v>
      </c>
      <c r="T29" s="2">
        <v>0.79800000000000004</v>
      </c>
      <c r="U29" s="2">
        <v>2.5</v>
      </c>
      <c r="V29" s="2">
        <v>8.9</v>
      </c>
      <c r="W29" s="2">
        <v>11.4</v>
      </c>
      <c r="X29" s="2">
        <v>3.5</v>
      </c>
      <c r="Y29" s="2">
        <v>1.3</v>
      </c>
      <c r="Z29" s="2">
        <v>2</v>
      </c>
      <c r="AA29" s="2">
        <v>2</v>
      </c>
      <c r="AB29" s="2">
        <v>2.1</v>
      </c>
      <c r="AC29" s="2">
        <v>28</v>
      </c>
      <c r="AD29" s="2"/>
    </row>
    <row r="30" spans="1:30" x14ac:dyDescent="0.2">
      <c r="A30" t="s">
        <v>50</v>
      </c>
      <c r="B30" s="2">
        <v>23</v>
      </c>
      <c r="C30" t="s">
        <v>51</v>
      </c>
      <c r="D30" s="2" t="s">
        <v>52</v>
      </c>
      <c r="E30" s="2">
        <v>23</v>
      </c>
      <c r="F30" s="2">
        <v>23</v>
      </c>
      <c r="G30" s="2">
        <v>836</v>
      </c>
      <c r="H30" s="2">
        <v>9.1</v>
      </c>
      <c r="I30" s="2">
        <v>20.100000000000001</v>
      </c>
      <c r="J30" s="2">
        <v>0.45300000000000001</v>
      </c>
      <c r="K30" s="2">
        <v>4.4000000000000004</v>
      </c>
      <c r="L30" s="2">
        <v>10.4</v>
      </c>
      <c r="M30" s="2">
        <v>0.42699999999999999</v>
      </c>
      <c r="N30" s="2">
        <v>4.7</v>
      </c>
      <c r="O30" s="2">
        <v>9.6999999999999993</v>
      </c>
      <c r="P30" s="2">
        <v>0.48</v>
      </c>
      <c r="Q30" s="2">
        <v>0.56299999999999994</v>
      </c>
      <c r="R30" s="2">
        <v>3.5</v>
      </c>
      <c r="S30" s="2">
        <v>4.3</v>
      </c>
      <c r="T30" s="2">
        <v>0.81200000000000006</v>
      </c>
      <c r="U30" s="2">
        <v>0.6</v>
      </c>
      <c r="V30" s="2">
        <v>4.7</v>
      </c>
      <c r="W30" s="2">
        <v>5.3</v>
      </c>
      <c r="X30" s="2">
        <v>4</v>
      </c>
      <c r="Y30" s="2">
        <v>1.4</v>
      </c>
      <c r="Z30" s="2">
        <v>0.6</v>
      </c>
      <c r="AA30" s="2">
        <v>3.1</v>
      </c>
      <c r="AB30" s="2">
        <v>2</v>
      </c>
      <c r="AC30" s="2">
        <v>26.1</v>
      </c>
      <c r="AD30" s="2"/>
    </row>
    <row r="31" spans="1:30" x14ac:dyDescent="0.2">
      <c r="A31" t="s">
        <v>414</v>
      </c>
      <c r="B31" s="2">
        <v>32</v>
      </c>
      <c r="C31" t="s">
        <v>114</v>
      </c>
      <c r="D31" s="2" t="s">
        <v>27</v>
      </c>
      <c r="E31" s="2">
        <v>17</v>
      </c>
      <c r="F31" s="2">
        <v>0</v>
      </c>
      <c r="G31" s="2">
        <v>131</v>
      </c>
      <c r="H31" s="2">
        <v>4.0999999999999996</v>
      </c>
      <c r="I31" s="2">
        <v>7.7</v>
      </c>
      <c r="J31" s="2">
        <v>0.53600000000000003</v>
      </c>
      <c r="K31" s="2">
        <v>1.1000000000000001</v>
      </c>
      <c r="L31" s="2">
        <v>2.5</v>
      </c>
      <c r="M31" s="2">
        <v>0.44400000000000001</v>
      </c>
      <c r="N31" s="2">
        <v>3</v>
      </c>
      <c r="O31" s="2">
        <v>5.2</v>
      </c>
      <c r="P31" s="2">
        <v>0.57899999999999996</v>
      </c>
      <c r="Q31" s="2">
        <v>0.60699999999999998</v>
      </c>
      <c r="R31" s="2">
        <v>2.7</v>
      </c>
      <c r="S31" s="2">
        <v>4.9000000000000004</v>
      </c>
      <c r="T31" s="2">
        <v>0.55600000000000005</v>
      </c>
      <c r="U31" s="2">
        <v>1.4</v>
      </c>
      <c r="V31" s="2">
        <v>4.7</v>
      </c>
      <c r="W31" s="2">
        <v>6</v>
      </c>
      <c r="X31" s="2">
        <v>1.6</v>
      </c>
      <c r="Y31" s="2">
        <v>1.4</v>
      </c>
      <c r="Z31" s="2">
        <v>0.3</v>
      </c>
      <c r="AA31" s="2">
        <v>1.1000000000000001</v>
      </c>
      <c r="AB31" s="2">
        <v>2.5</v>
      </c>
      <c r="AC31" s="2">
        <v>12.1</v>
      </c>
      <c r="AD31" s="2"/>
    </row>
    <row r="32" spans="1:30" x14ac:dyDescent="0.2">
      <c r="A32" t="s">
        <v>386</v>
      </c>
      <c r="B32" s="2">
        <v>24</v>
      </c>
      <c r="C32" t="s">
        <v>117</v>
      </c>
      <c r="D32" s="2" t="s">
        <v>52</v>
      </c>
      <c r="E32" s="2">
        <v>14</v>
      </c>
      <c r="F32" s="2">
        <v>0</v>
      </c>
      <c r="G32" s="2">
        <v>138</v>
      </c>
      <c r="H32" s="2">
        <v>6.5</v>
      </c>
      <c r="I32" s="2">
        <v>16.399999999999999</v>
      </c>
      <c r="J32" s="2">
        <v>0.39700000000000002</v>
      </c>
      <c r="K32" s="2">
        <v>2.1</v>
      </c>
      <c r="L32" s="2">
        <v>8.1</v>
      </c>
      <c r="M32" s="2">
        <v>0.25800000000000001</v>
      </c>
      <c r="N32" s="2">
        <v>4.4000000000000004</v>
      </c>
      <c r="O32" s="2">
        <v>8.3000000000000007</v>
      </c>
      <c r="P32" s="2">
        <v>0.53100000000000003</v>
      </c>
      <c r="Q32" s="2">
        <v>0.46</v>
      </c>
      <c r="R32" s="2">
        <v>1.6</v>
      </c>
      <c r="S32" s="2">
        <v>1.8</v>
      </c>
      <c r="T32" s="2">
        <v>0.85699999999999998</v>
      </c>
      <c r="U32" s="2">
        <v>1.3</v>
      </c>
      <c r="V32" s="2">
        <v>3.1</v>
      </c>
      <c r="W32" s="2">
        <v>4.4000000000000004</v>
      </c>
      <c r="X32" s="2">
        <v>1.8</v>
      </c>
      <c r="Y32" s="2">
        <v>1.3</v>
      </c>
      <c r="Z32" s="2">
        <v>0</v>
      </c>
      <c r="AA32" s="2">
        <v>1</v>
      </c>
      <c r="AB32" s="2">
        <v>1.8</v>
      </c>
      <c r="AC32" s="2">
        <v>16.7</v>
      </c>
      <c r="AD32" s="2"/>
    </row>
    <row r="33" spans="1:30" x14ac:dyDescent="0.2">
      <c r="A33" t="s">
        <v>463</v>
      </c>
      <c r="B33" s="2">
        <v>22</v>
      </c>
      <c r="C33" t="s">
        <v>44</v>
      </c>
      <c r="D33" s="2" t="s">
        <v>42</v>
      </c>
      <c r="E33" s="2">
        <v>11</v>
      </c>
      <c r="F33" s="2">
        <v>0</v>
      </c>
      <c r="G33" s="2">
        <v>97</v>
      </c>
      <c r="H33" s="2">
        <v>3.3</v>
      </c>
      <c r="I33" s="2">
        <v>5.2</v>
      </c>
      <c r="J33" s="2">
        <v>0.64300000000000002</v>
      </c>
      <c r="K33" s="2">
        <v>0</v>
      </c>
      <c r="L33" s="2">
        <v>0</v>
      </c>
      <c r="M33" s="2"/>
      <c r="N33" s="2">
        <v>3.3</v>
      </c>
      <c r="O33" s="2">
        <v>5.2</v>
      </c>
      <c r="P33" s="2">
        <v>0.64300000000000002</v>
      </c>
      <c r="Q33" s="2">
        <v>0.64300000000000002</v>
      </c>
      <c r="R33" s="2">
        <v>1.1000000000000001</v>
      </c>
      <c r="S33" s="2">
        <v>2.2000000000000002</v>
      </c>
      <c r="T33" s="2">
        <v>0.5</v>
      </c>
      <c r="U33" s="2">
        <v>1.1000000000000001</v>
      </c>
      <c r="V33" s="2">
        <v>6.3</v>
      </c>
      <c r="W33" s="2">
        <v>7.4</v>
      </c>
      <c r="X33" s="2">
        <v>2.2000000000000002</v>
      </c>
      <c r="Y33" s="2">
        <v>0</v>
      </c>
      <c r="Z33" s="2">
        <v>3</v>
      </c>
      <c r="AA33" s="2">
        <v>3.3</v>
      </c>
      <c r="AB33" s="2">
        <v>5.2</v>
      </c>
      <c r="AC33" s="2">
        <v>7.8</v>
      </c>
      <c r="AD33" s="2"/>
    </row>
    <row r="34" spans="1:30" x14ac:dyDescent="0.2">
      <c r="A34" t="s">
        <v>494</v>
      </c>
      <c r="B34" s="2">
        <v>22</v>
      </c>
      <c r="C34" t="s">
        <v>41</v>
      </c>
      <c r="D34" s="2" t="s">
        <v>49</v>
      </c>
      <c r="E34" s="2">
        <v>8</v>
      </c>
      <c r="F34" s="2">
        <v>0</v>
      </c>
      <c r="G34" s="2">
        <v>61</v>
      </c>
      <c r="H34" s="2">
        <v>3</v>
      </c>
      <c r="I34" s="2">
        <v>10.6</v>
      </c>
      <c r="J34" s="2">
        <v>0.27800000000000002</v>
      </c>
      <c r="K34" s="2">
        <v>0</v>
      </c>
      <c r="L34" s="2">
        <v>4.0999999999999996</v>
      </c>
      <c r="M34" s="2">
        <v>0</v>
      </c>
      <c r="N34" s="2">
        <v>3</v>
      </c>
      <c r="O34" s="2">
        <v>6.5</v>
      </c>
      <c r="P34" s="2">
        <v>0.45500000000000002</v>
      </c>
      <c r="Q34" s="2">
        <v>0.27800000000000002</v>
      </c>
      <c r="R34" s="2">
        <v>1.2</v>
      </c>
      <c r="S34" s="2">
        <v>4.0999999999999996</v>
      </c>
      <c r="T34" s="2">
        <v>0.28599999999999998</v>
      </c>
      <c r="U34" s="2">
        <v>0.6</v>
      </c>
      <c r="V34" s="2">
        <v>7.7</v>
      </c>
      <c r="W34" s="2">
        <v>8.3000000000000007</v>
      </c>
      <c r="X34" s="2">
        <v>0.6</v>
      </c>
      <c r="Y34" s="2">
        <v>2.4</v>
      </c>
      <c r="Z34" s="2">
        <v>1.2</v>
      </c>
      <c r="AA34" s="2">
        <v>1.2</v>
      </c>
      <c r="AB34" s="2">
        <v>3.5</v>
      </c>
      <c r="AC34" s="2">
        <v>7.1</v>
      </c>
      <c r="AD34" s="2"/>
    </row>
    <row r="35" spans="1:30" x14ac:dyDescent="0.2">
      <c r="A35" t="s">
        <v>430</v>
      </c>
      <c r="B35" s="2">
        <v>22</v>
      </c>
      <c r="C35" t="s">
        <v>75</v>
      </c>
      <c r="D35" s="2" t="s">
        <v>49</v>
      </c>
      <c r="E35" s="2">
        <v>6</v>
      </c>
      <c r="F35" s="2">
        <v>1</v>
      </c>
      <c r="G35" s="2">
        <v>90</v>
      </c>
      <c r="H35" s="2">
        <v>5.6</v>
      </c>
      <c r="I35" s="2">
        <v>14</v>
      </c>
      <c r="J35" s="2">
        <v>0.4</v>
      </c>
      <c r="K35" s="2">
        <v>1.2</v>
      </c>
      <c r="L35" s="2">
        <v>4</v>
      </c>
      <c r="M35" s="2">
        <v>0.3</v>
      </c>
      <c r="N35" s="2">
        <v>4.4000000000000004</v>
      </c>
      <c r="O35" s="2">
        <v>10</v>
      </c>
      <c r="P35" s="2">
        <v>0.44</v>
      </c>
      <c r="Q35" s="2">
        <v>0.443</v>
      </c>
      <c r="R35" s="2">
        <v>1.2</v>
      </c>
      <c r="S35" s="2">
        <v>2.8</v>
      </c>
      <c r="T35" s="2">
        <v>0.42899999999999999</v>
      </c>
      <c r="U35" s="2">
        <v>2.8</v>
      </c>
      <c r="V35" s="2">
        <v>4.4000000000000004</v>
      </c>
      <c r="W35" s="2">
        <v>7.2</v>
      </c>
      <c r="X35" s="2">
        <v>5.6</v>
      </c>
      <c r="Y35" s="2">
        <v>0.8</v>
      </c>
      <c r="Z35" s="2">
        <v>1.2</v>
      </c>
      <c r="AA35" s="2">
        <v>3.6</v>
      </c>
      <c r="AB35" s="2">
        <v>5.2</v>
      </c>
      <c r="AC35" s="2">
        <v>13.6</v>
      </c>
      <c r="AD35" s="2"/>
    </row>
    <row r="36" spans="1:30" x14ac:dyDescent="0.2">
      <c r="A36" t="s">
        <v>148</v>
      </c>
      <c r="B36" s="2">
        <v>26</v>
      </c>
      <c r="C36" t="s">
        <v>41</v>
      </c>
      <c r="D36" s="2" t="s">
        <v>52</v>
      </c>
      <c r="E36" s="2">
        <v>19</v>
      </c>
      <c r="F36" s="2">
        <v>19</v>
      </c>
      <c r="G36" s="2">
        <v>641</v>
      </c>
      <c r="H36" s="2">
        <v>6.2</v>
      </c>
      <c r="I36" s="2">
        <v>14</v>
      </c>
      <c r="J36" s="2">
        <v>0.44</v>
      </c>
      <c r="K36" s="2">
        <v>2.8</v>
      </c>
      <c r="L36" s="2">
        <v>7.9</v>
      </c>
      <c r="M36" s="2">
        <v>0.35499999999999998</v>
      </c>
      <c r="N36" s="2">
        <v>3.4</v>
      </c>
      <c r="O36" s="2">
        <v>6.1</v>
      </c>
      <c r="P36" s="2">
        <v>0.55000000000000004</v>
      </c>
      <c r="Q36" s="2">
        <v>0.54</v>
      </c>
      <c r="R36" s="2">
        <v>2.7</v>
      </c>
      <c r="S36" s="2">
        <v>3.5</v>
      </c>
      <c r="T36" s="2">
        <v>0.77400000000000002</v>
      </c>
      <c r="U36" s="2">
        <v>0.8</v>
      </c>
      <c r="V36" s="2">
        <v>2.9</v>
      </c>
      <c r="W36" s="2">
        <v>3.8</v>
      </c>
      <c r="X36" s="2">
        <v>5.2</v>
      </c>
      <c r="Y36" s="2">
        <v>1.1000000000000001</v>
      </c>
      <c r="Z36" s="2">
        <v>0.2</v>
      </c>
      <c r="AA36" s="2">
        <v>2.4</v>
      </c>
      <c r="AB36" s="2">
        <v>2.2999999999999998</v>
      </c>
      <c r="AC36" s="2">
        <v>17.899999999999999</v>
      </c>
      <c r="AD36" s="2"/>
    </row>
    <row r="37" spans="1:30" x14ac:dyDescent="0.2">
      <c r="A37" t="s">
        <v>149</v>
      </c>
      <c r="B37" s="2">
        <v>25</v>
      </c>
      <c r="C37" t="s">
        <v>70</v>
      </c>
      <c r="D37" s="2" t="s">
        <v>52</v>
      </c>
      <c r="E37" s="2">
        <v>25</v>
      </c>
      <c r="F37" s="2">
        <v>12</v>
      </c>
      <c r="G37" s="2">
        <v>748</v>
      </c>
      <c r="H37" s="2">
        <v>5.9</v>
      </c>
      <c r="I37" s="2">
        <v>11.7</v>
      </c>
      <c r="J37" s="2">
        <v>0.502</v>
      </c>
      <c r="K37" s="2">
        <v>1.5</v>
      </c>
      <c r="L37" s="2">
        <v>4.8</v>
      </c>
      <c r="M37" s="2">
        <v>0.32300000000000001</v>
      </c>
      <c r="N37" s="2">
        <v>4.3</v>
      </c>
      <c r="O37" s="2">
        <v>6.9</v>
      </c>
      <c r="P37" s="2">
        <v>0.625</v>
      </c>
      <c r="Q37" s="2">
        <v>0.56799999999999995</v>
      </c>
      <c r="R37" s="2">
        <v>2</v>
      </c>
      <c r="S37" s="2">
        <v>2.4</v>
      </c>
      <c r="T37" s="2">
        <v>0.82</v>
      </c>
      <c r="U37" s="2">
        <v>0.8</v>
      </c>
      <c r="V37" s="2">
        <v>3.8</v>
      </c>
      <c r="W37" s="2">
        <v>4.5</v>
      </c>
      <c r="X37" s="2">
        <v>5.5</v>
      </c>
      <c r="Y37" s="2">
        <v>0.8</v>
      </c>
      <c r="Z37" s="2">
        <v>0.6</v>
      </c>
      <c r="AA37" s="2">
        <v>1.6</v>
      </c>
      <c r="AB37" s="2">
        <v>2.8</v>
      </c>
      <c r="AC37" s="2">
        <v>15.3</v>
      </c>
      <c r="AD37" s="2"/>
    </row>
    <row r="38" spans="1:30" x14ac:dyDescent="0.2">
      <c r="A38" t="s">
        <v>125</v>
      </c>
      <c r="B38" s="2">
        <v>27</v>
      </c>
      <c r="C38" t="s">
        <v>61</v>
      </c>
      <c r="D38" s="2" t="s">
        <v>42</v>
      </c>
      <c r="E38" s="2">
        <v>23</v>
      </c>
      <c r="F38" s="2">
        <v>23</v>
      </c>
      <c r="G38" s="2">
        <v>799</v>
      </c>
      <c r="H38" s="2">
        <v>6.4</v>
      </c>
      <c r="I38" s="2">
        <v>14.5</v>
      </c>
      <c r="J38" s="2">
        <v>0.441</v>
      </c>
      <c r="K38" s="2">
        <v>1</v>
      </c>
      <c r="L38" s="2">
        <v>3</v>
      </c>
      <c r="M38" s="2">
        <v>0.33300000000000002</v>
      </c>
      <c r="N38" s="2">
        <v>5.4</v>
      </c>
      <c r="O38" s="2">
        <v>11.5</v>
      </c>
      <c r="P38" s="2">
        <v>0.46899999999999997</v>
      </c>
      <c r="Q38" s="2">
        <v>0.47499999999999998</v>
      </c>
      <c r="R38" s="2">
        <v>3</v>
      </c>
      <c r="S38" s="2">
        <v>4.2</v>
      </c>
      <c r="T38" s="2">
        <v>0.72</v>
      </c>
      <c r="U38" s="2">
        <v>2.7</v>
      </c>
      <c r="V38" s="2">
        <v>8</v>
      </c>
      <c r="W38" s="2">
        <v>10.7</v>
      </c>
      <c r="X38" s="2">
        <v>5.4</v>
      </c>
      <c r="Y38" s="2">
        <v>1.5</v>
      </c>
      <c r="Z38" s="2">
        <v>0.8</v>
      </c>
      <c r="AA38" s="2">
        <v>1.9</v>
      </c>
      <c r="AB38" s="2">
        <v>2.1</v>
      </c>
      <c r="AC38" s="2">
        <v>16.8</v>
      </c>
      <c r="AD38" s="2"/>
    </row>
    <row r="39" spans="1:30" x14ac:dyDescent="0.2">
      <c r="A39" t="s">
        <v>532</v>
      </c>
      <c r="B39" s="2">
        <v>24</v>
      </c>
      <c r="C39" t="s">
        <v>39</v>
      </c>
      <c r="D39" s="2" t="s">
        <v>52</v>
      </c>
      <c r="E39" s="2">
        <v>5</v>
      </c>
      <c r="F39" s="2">
        <v>0</v>
      </c>
      <c r="G39" s="2">
        <v>34</v>
      </c>
      <c r="H39" s="2">
        <v>1.1000000000000001</v>
      </c>
      <c r="I39" s="2">
        <v>10.6</v>
      </c>
      <c r="J39" s="2">
        <v>0.1</v>
      </c>
      <c r="K39" s="2">
        <v>0</v>
      </c>
      <c r="L39" s="2">
        <v>6.4</v>
      </c>
      <c r="M39" s="2">
        <v>0</v>
      </c>
      <c r="N39" s="2">
        <v>1.1000000000000001</v>
      </c>
      <c r="O39" s="2">
        <v>4.2</v>
      </c>
      <c r="P39" s="2">
        <v>0.25</v>
      </c>
      <c r="Q39" s="2">
        <v>0.1</v>
      </c>
      <c r="R39" s="2">
        <v>2.1</v>
      </c>
      <c r="S39" s="2">
        <v>2.1</v>
      </c>
      <c r="T39" s="2">
        <v>1</v>
      </c>
      <c r="U39" s="2">
        <v>2.1</v>
      </c>
      <c r="V39" s="2">
        <v>5.3</v>
      </c>
      <c r="W39" s="2">
        <v>7.4</v>
      </c>
      <c r="X39" s="2">
        <v>2.1</v>
      </c>
      <c r="Y39" s="2">
        <v>1.1000000000000001</v>
      </c>
      <c r="Z39" s="2">
        <v>0</v>
      </c>
      <c r="AA39" s="2">
        <v>0</v>
      </c>
      <c r="AB39" s="2">
        <v>3.2</v>
      </c>
      <c r="AC39" s="2">
        <v>4.2</v>
      </c>
      <c r="AD39" s="2"/>
    </row>
    <row r="40" spans="1:30" x14ac:dyDescent="0.2">
      <c r="A40" t="s">
        <v>371</v>
      </c>
      <c r="B40" s="2">
        <v>23</v>
      </c>
      <c r="C40" t="s">
        <v>82</v>
      </c>
      <c r="D40" s="2" t="s">
        <v>52</v>
      </c>
      <c r="E40" s="2">
        <v>13</v>
      </c>
      <c r="F40" s="2">
        <v>5</v>
      </c>
      <c r="G40" s="2">
        <v>272</v>
      </c>
      <c r="H40" s="2">
        <v>3.7</v>
      </c>
      <c r="I40" s="2">
        <v>8.6999999999999993</v>
      </c>
      <c r="J40" s="2">
        <v>0.42399999999999999</v>
      </c>
      <c r="K40" s="2">
        <v>2.5</v>
      </c>
      <c r="L40" s="2">
        <v>6.2</v>
      </c>
      <c r="M40" s="2">
        <v>0.40400000000000003</v>
      </c>
      <c r="N40" s="2">
        <v>1.2</v>
      </c>
      <c r="O40" s="2">
        <v>2.5</v>
      </c>
      <c r="P40" s="2">
        <v>0.47399999999999998</v>
      </c>
      <c r="Q40" s="2">
        <v>0.56799999999999995</v>
      </c>
      <c r="R40" s="2">
        <v>0</v>
      </c>
      <c r="S40" s="2">
        <v>0</v>
      </c>
      <c r="T40" s="2"/>
      <c r="U40" s="2">
        <v>0.7</v>
      </c>
      <c r="V40" s="2">
        <v>3.2</v>
      </c>
      <c r="W40" s="2">
        <v>3.8</v>
      </c>
      <c r="X40" s="2">
        <v>2.2999999999999998</v>
      </c>
      <c r="Y40" s="2">
        <v>0.7</v>
      </c>
      <c r="Z40" s="2">
        <v>0.5</v>
      </c>
      <c r="AA40" s="2">
        <v>0.7</v>
      </c>
      <c r="AB40" s="2">
        <v>4.4000000000000004</v>
      </c>
      <c r="AC40" s="2">
        <v>9.9</v>
      </c>
      <c r="AD40" s="2"/>
    </row>
    <row r="41" spans="1:30" x14ac:dyDescent="0.2">
      <c r="A41" t="s">
        <v>347</v>
      </c>
      <c r="B41" s="2">
        <v>28</v>
      </c>
      <c r="C41" t="s">
        <v>103</v>
      </c>
      <c r="D41" s="2" t="s">
        <v>33</v>
      </c>
      <c r="E41" s="2">
        <v>18</v>
      </c>
      <c r="F41" s="2">
        <v>13</v>
      </c>
      <c r="G41" s="2">
        <v>425</v>
      </c>
      <c r="H41" s="2">
        <v>3.8</v>
      </c>
      <c r="I41" s="2">
        <v>6.3</v>
      </c>
      <c r="J41" s="2">
        <v>0.60799999999999998</v>
      </c>
      <c r="K41" s="2">
        <v>0</v>
      </c>
      <c r="L41" s="2">
        <v>0</v>
      </c>
      <c r="M41" s="2"/>
      <c r="N41" s="2">
        <v>3.8</v>
      </c>
      <c r="O41" s="2">
        <v>6.3</v>
      </c>
      <c r="P41" s="2">
        <v>0.60799999999999998</v>
      </c>
      <c r="Q41" s="2">
        <v>0.60799999999999998</v>
      </c>
      <c r="R41" s="2">
        <v>0.3</v>
      </c>
      <c r="S41" s="2">
        <v>0.7</v>
      </c>
      <c r="T41" s="2">
        <v>0.5</v>
      </c>
      <c r="U41" s="2">
        <v>1.5</v>
      </c>
      <c r="V41" s="2">
        <v>7.1</v>
      </c>
      <c r="W41" s="2">
        <v>8.6</v>
      </c>
      <c r="X41" s="2">
        <v>9.6999999999999993</v>
      </c>
      <c r="Y41" s="2">
        <v>1.3</v>
      </c>
      <c r="Z41" s="2">
        <v>0.9</v>
      </c>
      <c r="AA41" s="2">
        <v>3.7</v>
      </c>
      <c r="AB41" s="2">
        <v>4.0999999999999996</v>
      </c>
      <c r="AC41" s="2">
        <v>8</v>
      </c>
      <c r="AD41" s="2"/>
    </row>
    <row r="42" spans="1:30" x14ac:dyDescent="0.2">
      <c r="A42" t="s">
        <v>94</v>
      </c>
      <c r="B42" s="2">
        <v>22</v>
      </c>
      <c r="C42" t="s">
        <v>82</v>
      </c>
      <c r="D42" s="2" t="s">
        <v>52</v>
      </c>
      <c r="E42" s="2">
        <v>25</v>
      </c>
      <c r="F42" s="2">
        <v>20</v>
      </c>
      <c r="G42" s="2">
        <v>818</v>
      </c>
      <c r="H42" s="2">
        <v>6.5</v>
      </c>
      <c r="I42" s="2">
        <v>13.7</v>
      </c>
      <c r="J42" s="2">
        <v>0.47099999999999997</v>
      </c>
      <c r="K42" s="2">
        <v>1.7</v>
      </c>
      <c r="L42" s="2">
        <v>4.4000000000000004</v>
      </c>
      <c r="M42" s="2">
        <v>0.39</v>
      </c>
      <c r="N42" s="2">
        <v>4.8</v>
      </c>
      <c r="O42" s="2">
        <v>9.3000000000000007</v>
      </c>
      <c r="P42" s="2">
        <v>0.50900000000000001</v>
      </c>
      <c r="Q42" s="2">
        <v>0.53400000000000003</v>
      </c>
      <c r="R42" s="2">
        <v>4.9000000000000004</v>
      </c>
      <c r="S42" s="2">
        <v>5.8</v>
      </c>
      <c r="T42" s="2">
        <v>0.84699999999999998</v>
      </c>
      <c r="U42" s="2">
        <v>1.4</v>
      </c>
      <c r="V42" s="2">
        <v>5.6</v>
      </c>
      <c r="W42" s="2">
        <v>7</v>
      </c>
      <c r="X42" s="2">
        <v>1.9</v>
      </c>
      <c r="Y42" s="2">
        <v>0.7</v>
      </c>
      <c r="Z42" s="2">
        <v>0.4</v>
      </c>
      <c r="AA42" s="2">
        <v>2.2999999999999998</v>
      </c>
      <c r="AB42" s="2">
        <v>2.7</v>
      </c>
      <c r="AC42" s="2">
        <v>19.5</v>
      </c>
      <c r="AD42" s="2"/>
    </row>
    <row r="43" spans="1:30" x14ac:dyDescent="0.2">
      <c r="A43" t="s">
        <v>192</v>
      </c>
      <c r="B43" s="2">
        <v>20</v>
      </c>
      <c r="C43" t="s">
        <v>114</v>
      </c>
      <c r="D43" s="2" t="s">
        <v>49</v>
      </c>
      <c r="E43" s="2">
        <v>21</v>
      </c>
      <c r="F43" s="2">
        <v>21</v>
      </c>
      <c r="G43" s="2">
        <v>726</v>
      </c>
      <c r="H43" s="2">
        <v>4.4000000000000004</v>
      </c>
      <c r="I43" s="2">
        <v>10.1</v>
      </c>
      <c r="J43" s="2">
        <v>0.433</v>
      </c>
      <c r="K43" s="2">
        <v>0.9</v>
      </c>
      <c r="L43" s="2">
        <v>3.4</v>
      </c>
      <c r="M43" s="2">
        <v>0.26500000000000001</v>
      </c>
      <c r="N43" s="2">
        <v>3.5</v>
      </c>
      <c r="O43" s="2">
        <v>6.7</v>
      </c>
      <c r="P43" s="2">
        <v>0.51900000000000002</v>
      </c>
      <c r="Q43" s="2">
        <v>0.47799999999999998</v>
      </c>
      <c r="R43" s="2">
        <v>2.7</v>
      </c>
      <c r="S43" s="2">
        <v>3.4</v>
      </c>
      <c r="T43" s="2">
        <v>0.78300000000000003</v>
      </c>
      <c r="U43" s="2">
        <v>1.6</v>
      </c>
      <c r="V43" s="2">
        <v>4</v>
      </c>
      <c r="W43" s="2">
        <v>5.6</v>
      </c>
      <c r="X43" s="2">
        <v>3.2</v>
      </c>
      <c r="Y43" s="2">
        <v>1.6</v>
      </c>
      <c r="Z43" s="2">
        <v>0.7</v>
      </c>
      <c r="AA43" s="2">
        <v>2</v>
      </c>
      <c r="AB43" s="2">
        <v>2.7</v>
      </c>
      <c r="AC43" s="2">
        <v>12.3</v>
      </c>
      <c r="AD43" s="2"/>
    </row>
    <row r="44" spans="1:30" x14ac:dyDescent="0.2">
      <c r="A44" t="s">
        <v>372</v>
      </c>
      <c r="B44" s="2">
        <v>21</v>
      </c>
      <c r="C44" t="s">
        <v>93</v>
      </c>
      <c r="D44" s="2" t="s">
        <v>52</v>
      </c>
      <c r="E44" s="2">
        <v>19</v>
      </c>
      <c r="F44" s="2">
        <v>0</v>
      </c>
      <c r="G44" s="2">
        <v>212</v>
      </c>
      <c r="H44" s="2">
        <v>4.9000000000000004</v>
      </c>
      <c r="I44" s="2">
        <v>11.2</v>
      </c>
      <c r="J44" s="2">
        <v>0.439</v>
      </c>
      <c r="K44" s="2">
        <v>0.7</v>
      </c>
      <c r="L44" s="2">
        <v>3.4</v>
      </c>
      <c r="M44" s="2">
        <v>0.2</v>
      </c>
      <c r="N44" s="2">
        <v>4.2</v>
      </c>
      <c r="O44" s="2">
        <v>7.8</v>
      </c>
      <c r="P44" s="2">
        <v>0.54300000000000004</v>
      </c>
      <c r="Q44" s="2">
        <v>0.47</v>
      </c>
      <c r="R44" s="2">
        <v>2.2000000000000002</v>
      </c>
      <c r="S44" s="2">
        <v>3.2</v>
      </c>
      <c r="T44" s="2">
        <v>0.68400000000000005</v>
      </c>
      <c r="U44" s="2">
        <v>0.8</v>
      </c>
      <c r="V44" s="2">
        <v>1.7</v>
      </c>
      <c r="W44" s="2">
        <v>2.5</v>
      </c>
      <c r="X44" s="2">
        <v>4.8</v>
      </c>
      <c r="Y44" s="2">
        <v>1.4</v>
      </c>
      <c r="Z44" s="2">
        <v>0.2</v>
      </c>
      <c r="AA44" s="2">
        <v>3.4</v>
      </c>
      <c r="AB44" s="2">
        <v>1.9</v>
      </c>
      <c r="AC44" s="2">
        <v>12.7</v>
      </c>
      <c r="AD44" s="2"/>
    </row>
    <row r="45" spans="1:30" x14ac:dyDescent="0.2">
      <c r="A45" t="s">
        <v>152</v>
      </c>
      <c r="B45" s="2">
        <v>29</v>
      </c>
      <c r="C45" t="s">
        <v>35</v>
      </c>
      <c r="D45" s="2" t="s">
        <v>27</v>
      </c>
      <c r="E45" s="2">
        <v>23</v>
      </c>
      <c r="F45" s="2">
        <v>1</v>
      </c>
      <c r="G45" s="2">
        <v>555</v>
      </c>
      <c r="H45" s="2">
        <v>8.1999999999999993</v>
      </c>
      <c r="I45" s="2">
        <v>17.3</v>
      </c>
      <c r="J45" s="2">
        <v>0.47699999999999998</v>
      </c>
      <c r="K45" s="2">
        <v>1.9</v>
      </c>
      <c r="L45" s="2">
        <v>4.9000000000000004</v>
      </c>
      <c r="M45" s="2">
        <v>0.38200000000000001</v>
      </c>
      <c r="N45" s="2">
        <v>6.4</v>
      </c>
      <c r="O45" s="2">
        <v>12.3</v>
      </c>
      <c r="P45" s="2">
        <v>0.51600000000000001</v>
      </c>
      <c r="Q45" s="2">
        <v>0.53200000000000003</v>
      </c>
      <c r="R45" s="2">
        <v>1.4</v>
      </c>
      <c r="S45" s="2">
        <v>1.9</v>
      </c>
      <c r="T45" s="2">
        <v>0.72399999999999998</v>
      </c>
      <c r="U45" s="2">
        <v>2.7</v>
      </c>
      <c r="V45" s="2">
        <v>8.6</v>
      </c>
      <c r="W45" s="2">
        <v>11.4</v>
      </c>
      <c r="X45" s="2">
        <v>2.5</v>
      </c>
      <c r="Y45" s="2">
        <v>0.8</v>
      </c>
      <c r="Z45" s="2">
        <v>0.9</v>
      </c>
      <c r="AA45" s="2">
        <v>1.8</v>
      </c>
      <c r="AB45" s="2">
        <v>2.2000000000000002</v>
      </c>
      <c r="AC45" s="2">
        <v>19.7</v>
      </c>
      <c r="AD45" s="2"/>
    </row>
    <row r="46" spans="1:30" x14ac:dyDescent="0.2">
      <c r="A46" t="s">
        <v>303</v>
      </c>
      <c r="B46" s="2">
        <v>32</v>
      </c>
      <c r="C46" t="s">
        <v>72</v>
      </c>
      <c r="D46" s="2" t="s">
        <v>52</v>
      </c>
      <c r="E46" s="2">
        <v>11</v>
      </c>
      <c r="F46" s="2">
        <v>0</v>
      </c>
      <c r="G46" s="2">
        <v>277</v>
      </c>
      <c r="H46" s="2">
        <v>5.8</v>
      </c>
      <c r="I46" s="2">
        <v>14.6</v>
      </c>
      <c r="J46" s="2">
        <v>0.40200000000000002</v>
      </c>
      <c r="K46" s="2">
        <v>3.2</v>
      </c>
      <c r="L46" s="2">
        <v>9.6999999999999993</v>
      </c>
      <c r="M46" s="2">
        <v>0.33300000000000002</v>
      </c>
      <c r="N46" s="2">
        <v>2.6</v>
      </c>
      <c r="O46" s="2">
        <v>4.8</v>
      </c>
      <c r="P46" s="2">
        <v>0.54100000000000004</v>
      </c>
      <c r="Q46" s="2">
        <v>0.51300000000000001</v>
      </c>
      <c r="R46" s="2">
        <v>2.1</v>
      </c>
      <c r="S46" s="2">
        <v>2.2000000000000002</v>
      </c>
      <c r="T46" s="2">
        <v>0.94099999999999995</v>
      </c>
      <c r="U46" s="2">
        <v>1</v>
      </c>
      <c r="V46" s="2">
        <v>4</v>
      </c>
      <c r="W46" s="2">
        <v>5.0999999999999996</v>
      </c>
      <c r="X46" s="2">
        <v>3</v>
      </c>
      <c r="Y46" s="2">
        <v>1.4</v>
      </c>
      <c r="Z46" s="2">
        <v>0.5</v>
      </c>
      <c r="AA46" s="2">
        <v>2.5</v>
      </c>
      <c r="AB46" s="2">
        <v>3.9</v>
      </c>
      <c r="AC46" s="2">
        <v>17</v>
      </c>
      <c r="AD46" s="2"/>
    </row>
    <row r="47" spans="1:30" x14ac:dyDescent="0.2">
      <c r="A47" t="s">
        <v>456</v>
      </c>
      <c r="B47" s="2">
        <v>25</v>
      </c>
      <c r="C47" t="s">
        <v>54</v>
      </c>
      <c r="D47" s="2" t="s">
        <v>27</v>
      </c>
      <c r="E47" s="2">
        <v>7</v>
      </c>
      <c r="F47" s="2">
        <v>0</v>
      </c>
      <c r="G47" s="2">
        <v>37</v>
      </c>
      <c r="H47" s="2">
        <v>8.8000000000000007</v>
      </c>
      <c r="I47" s="2">
        <v>14.6</v>
      </c>
      <c r="J47" s="2">
        <v>0.6</v>
      </c>
      <c r="K47" s="2">
        <v>1</v>
      </c>
      <c r="L47" s="2">
        <v>4.9000000000000004</v>
      </c>
      <c r="M47" s="2">
        <v>0.2</v>
      </c>
      <c r="N47" s="2">
        <v>7.8</v>
      </c>
      <c r="O47" s="2">
        <v>9.6999999999999993</v>
      </c>
      <c r="P47" s="2">
        <v>0.8</v>
      </c>
      <c r="Q47" s="2">
        <v>0.63300000000000001</v>
      </c>
      <c r="R47" s="2">
        <v>3.9</v>
      </c>
      <c r="S47" s="2">
        <v>5.8</v>
      </c>
      <c r="T47" s="2">
        <v>0.66700000000000004</v>
      </c>
      <c r="U47" s="2">
        <v>3.9</v>
      </c>
      <c r="V47" s="2">
        <v>6.8</v>
      </c>
      <c r="W47" s="2">
        <v>10.7</v>
      </c>
      <c r="X47" s="2">
        <v>1</v>
      </c>
      <c r="Y47" s="2">
        <v>0</v>
      </c>
      <c r="Z47" s="2">
        <v>0</v>
      </c>
      <c r="AA47" s="2">
        <v>2.9</v>
      </c>
      <c r="AB47" s="2">
        <v>1</v>
      </c>
      <c r="AC47" s="2">
        <v>22.4</v>
      </c>
      <c r="AD47" s="2"/>
    </row>
    <row r="48" spans="1:30" x14ac:dyDescent="0.2">
      <c r="A48" t="s">
        <v>368</v>
      </c>
      <c r="B48" s="2">
        <v>24</v>
      </c>
      <c r="C48" t="s">
        <v>77</v>
      </c>
      <c r="D48" s="2" t="s">
        <v>33</v>
      </c>
      <c r="E48" s="2">
        <v>10</v>
      </c>
      <c r="F48" s="2">
        <v>0</v>
      </c>
      <c r="G48" s="2">
        <v>104</v>
      </c>
      <c r="H48" s="2">
        <v>8</v>
      </c>
      <c r="I48" s="2">
        <v>20.399999999999999</v>
      </c>
      <c r="J48" s="2">
        <v>0.39</v>
      </c>
      <c r="K48" s="2">
        <v>6.2</v>
      </c>
      <c r="L48" s="2">
        <v>14.2</v>
      </c>
      <c r="M48" s="2">
        <v>0.439</v>
      </c>
      <c r="N48" s="2">
        <v>1.7</v>
      </c>
      <c r="O48" s="2">
        <v>6.2</v>
      </c>
      <c r="P48" s="2">
        <v>0.27800000000000002</v>
      </c>
      <c r="Q48" s="2">
        <v>0.54200000000000004</v>
      </c>
      <c r="R48" s="2">
        <v>4.5</v>
      </c>
      <c r="S48" s="2">
        <v>5.2</v>
      </c>
      <c r="T48" s="2">
        <v>0.86699999999999999</v>
      </c>
      <c r="U48" s="2">
        <v>1</v>
      </c>
      <c r="V48" s="2">
        <v>3.5</v>
      </c>
      <c r="W48" s="2">
        <v>4.5</v>
      </c>
      <c r="X48" s="2">
        <v>3.5</v>
      </c>
      <c r="Y48" s="2">
        <v>2.4</v>
      </c>
      <c r="Z48" s="2">
        <v>0.7</v>
      </c>
      <c r="AA48" s="2">
        <v>3.8</v>
      </c>
      <c r="AB48" s="2">
        <v>4.5</v>
      </c>
      <c r="AC48" s="2">
        <v>26.7</v>
      </c>
      <c r="AD48" s="2"/>
    </row>
    <row r="49" spans="1:30" x14ac:dyDescent="0.2">
      <c r="A49" t="s">
        <v>182</v>
      </c>
      <c r="B49" s="2">
        <v>31</v>
      </c>
      <c r="C49" t="s">
        <v>54</v>
      </c>
      <c r="D49" s="2" t="s">
        <v>52</v>
      </c>
      <c r="E49" s="2">
        <v>15</v>
      </c>
      <c r="F49" s="2">
        <v>15</v>
      </c>
      <c r="G49" s="2">
        <v>502</v>
      </c>
      <c r="H49" s="2">
        <v>7.3</v>
      </c>
      <c r="I49" s="2">
        <v>14.8</v>
      </c>
      <c r="J49" s="2">
        <v>0.49299999999999999</v>
      </c>
      <c r="K49" s="2">
        <v>2.2000000000000002</v>
      </c>
      <c r="L49" s="2">
        <v>6.2</v>
      </c>
      <c r="M49" s="2">
        <v>0.36</v>
      </c>
      <c r="N49" s="2">
        <v>5.0999999999999996</v>
      </c>
      <c r="O49" s="2">
        <v>8.6999999999999993</v>
      </c>
      <c r="P49" s="2">
        <v>0.58699999999999997</v>
      </c>
      <c r="Q49" s="2">
        <v>0.56799999999999995</v>
      </c>
      <c r="R49" s="2">
        <v>2.2999999999999998</v>
      </c>
      <c r="S49" s="2">
        <v>2.9</v>
      </c>
      <c r="T49" s="2">
        <v>0.8</v>
      </c>
      <c r="U49" s="2">
        <v>0.7</v>
      </c>
      <c r="V49" s="2">
        <v>3.8</v>
      </c>
      <c r="W49" s="2">
        <v>4.5</v>
      </c>
      <c r="X49" s="2">
        <v>3.5</v>
      </c>
      <c r="Y49" s="2">
        <v>1.2</v>
      </c>
      <c r="Z49" s="2">
        <v>0.8</v>
      </c>
      <c r="AA49" s="2">
        <v>2.4</v>
      </c>
      <c r="AB49" s="2">
        <v>3.2</v>
      </c>
      <c r="AC49" s="2">
        <v>19.100000000000001</v>
      </c>
      <c r="AD49" s="2"/>
    </row>
    <row r="50" spans="1:30" x14ac:dyDescent="0.2">
      <c r="A50" t="s">
        <v>523</v>
      </c>
      <c r="B50" s="2">
        <v>25</v>
      </c>
      <c r="C50" t="s">
        <v>32</v>
      </c>
      <c r="D50" s="2" t="s">
        <v>42</v>
      </c>
      <c r="E50" s="2">
        <v>5</v>
      </c>
      <c r="F50" s="2">
        <v>0</v>
      </c>
      <c r="G50" s="2">
        <v>18</v>
      </c>
      <c r="H50" s="2">
        <v>2</v>
      </c>
      <c r="I50" s="2">
        <v>14</v>
      </c>
      <c r="J50" s="2">
        <v>0.14299999999999999</v>
      </c>
      <c r="K50" s="2">
        <v>0</v>
      </c>
      <c r="L50" s="2">
        <v>10</v>
      </c>
      <c r="M50" s="2">
        <v>0</v>
      </c>
      <c r="N50" s="2">
        <v>2</v>
      </c>
      <c r="O50" s="2">
        <v>4</v>
      </c>
      <c r="P50" s="2">
        <v>0.5</v>
      </c>
      <c r="Q50" s="2">
        <v>0.14299999999999999</v>
      </c>
      <c r="R50" s="2">
        <v>4</v>
      </c>
      <c r="S50" s="2">
        <v>4</v>
      </c>
      <c r="T50" s="2">
        <v>1</v>
      </c>
      <c r="U50" s="2">
        <v>6</v>
      </c>
      <c r="V50" s="2">
        <v>10</v>
      </c>
      <c r="W50" s="2">
        <v>16</v>
      </c>
      <c r="X50" s="2">
        <v>4</v>
      </c>
      <c r="Y50" s="2">
        <v>2</v>
      </c>
      <c r="Z50" s="2">
        <v>2</v>
      </c>
      <c r="AA50" s="2">
        <v>0</v>
      </c>
      <c r="AB50" s="2">
        <v>2</v>
      </c>
      <c r="AC50" s="2">
        <v>8</v>
      </c>
      <c r="AD50" s="2"/>
    </row>
    <row r="51" spans="1:30" x14ac:dyDescent="0.2">
      <c r="A51" t="s">
        <v>247</v>
      </c>
      <c r="B51" s="2">
        <v>21</v>
      </c>
      <c r="C51" t="s">
        <v>100</v>
      </c>
      <c r="D51" s="2" t="s">
        <v>52</v>
      </c>
      <c r="E51" s="2">
        <v>23</v>
      </c>
      <c r="F51" s="2">
        <v>8</v>
      </c>
      <c r="G51" s="2">
        <v>572</v>
      </c>
      <c r="H51" s="2">
        <v>4.4000000000000004</v>
      </c>
      <c r="I51" s="2">
        <v>11.6</v>
      </c>
      <c r="J51" s="2">
        <v>0.38</v>
      </c>
      <c r="K51" s="2">
        <v>1.3</v>
      </c>
      <c r="L51" s="2">
        <v>5.3</v>
      </c>
      <c r="M51" s="2">
        <v>0.247</v>
      </c>
      <c r="N51" s="2">
        <v>3.1</v>
      </c>
      <c r="O51" s="2">
        <v>6.2</v>
      </c>
      <c r="P51" s="2">
        <v>0.495</v>
      </c>
      <c r="Q51" s="2">
        <v>0.438</v>
      </c>
      <c r="R51" s="2">
        <v>1.3</v>
      </c>
      <c r="S51" s="2">
        <v>1.8</v>
      </c>
      <c r="T51" s="2">
        <v>0.75</v>
      </c>
      <c r="U51" s="2">
        <v>1.5</v>
      </c>
      <c r="V51" s="2">
        <v>5.4</v>
      </c>
      <c r="W51" s="2">
        <v>6.9</v>
      </c>
      <c r="X51" s="2">
        <v>5</v>
      </c>
      <c r="Y51" s="2">
        <v>1.2</v>
      </c>
      <c r="Z51" s="2">
        <v>0.4</v>
      </c>
      <c r="AA51" s="2">
        <v>1.8</v>
      </c>
      <c r="AB51" s="2">
        <v>2.5</v>
      </c>
      <c r="AC51" s="2">
        <v>11.5</v>
      </c>
      <c r="AD51" s="2"/>
    </row>
    <row r="52" spans="1:30" x14ac:dyDescent="0.2">
      <c r="A52" t="s">
        <v>177</v>
      </c>
      <c r="B52" s="2">
        <v>23</v>
      </c>
      <c r="C52" t="s">
        <v>117</v>
      </c>
      <c r="D52" s="2" t="s">
        <v>52</v>
      </c>
      <c r="E52" s="2">
        <v>23</v>
      </c>
      <c r="F52" s="2">
        <v>10</v>
      </c>
      <c r="G52" s="2">
        <v>633</v>
      </c>
      <c r="H52" s="2">
        <v>5.9</v>
      </c>
      <c r="I52" s="2">
        <v>13.4</v>
      </c>
      <c r="J52" s="2">
        <v>0.436</v>
      </c>
      <c r="K52" s="2">
        <v>1.7</v>
      </c>
      <c r="L52" s="2">
        <v>5.3</v>
      </c>
      <c r="M52" s="2">
        <v>0.32300000000000001</v>
      </c>
      <c r="N52" s="2">
        <v>4.2</v>
      </c>
      <c r="O52" s="2">
        <v>8.1</v>
      </c>
      <c r="P52" s="2">
        <v>0.51</v>
      </c>
      <c r="Q52" s="2">
        <v>0.5</v>
      </c>
      <c r="R52" s="2">
        <v>2.2999999999999998</v>
      </c>
      <c r="S52" s="2">
        <v>2.7</v>
      </c>
      <c r="T52" s="2">
        <v>0.85099999999999998</v>
      </c>
      <c r="U52" s="2">
        <v>0.9</v>
      </c>
      <c r="V52" s="2">
        <v>3.9</v>
      </c>
      <c r="W52" s="2">
        <v>4.8</v>
      </c>
      <c r="X52" s="2">
        <v>4.3</v>
      </c>
      <c r="Y52" s="2">
        <v>1.9</v>
      </c>
      <c r="Z52" s="2">
        <v>0.3</v>
      </c>
      <c r="AA52" s="2">
        <v>2</v>
      </c>
      <c r="AB52" s="2">
        <v>2.4</v>
      </c>
      <c r="AC52" s="2">
        <v>15.7</v>
      </c>
      <c r="AD52" s="2"/>
    </row>
    <row r="53" spans="1:30" x14ac:dyDescent="0.2">
      <c r="A53" t="s">
        <v>251</v>
      </c>
      <c r="B53" s="2">
        <v>28</v>
      </c>
      <c r="C53" t="s">
        <v>80</v>
      </c>
      <c r="D53" s="2" t="s">
        <v>27</v>
      </c>
      <c r="E53" s="2">
        <v>24</v>
      </c>
      <c r="F53" s="2">
        <v>15</v>
      </c>
      <c r="G53" s="2">
        <v>444</v>
      </c>
      <c r="H53" s="2">
        <v>6.6</v>
      </c>
      <c r="I53" s="2">
        <v>10.9</v>
      </c>
      <c r="J53" s="2">
        <v>0.61199999999999999</v>
      </c>
      <c r="K53" s="2">
        <v>0.1</v>
      </c>
      <c r="L53" s="2">
        <v>1.3</v>
      </c>
      <c r="M53" s="2">
        <v>6.3E-2</v>
      </c>
      <c r="N53" s="2">
        <v>6.6</v>
      </c>
      <c r="O53" s="2">
        <v>9.6</v>
      </c>
      <c r="P53" s="2">
        <v>0.68600000000000005</v>
      </c>
      <c r="Q53" s="2">
        <v>0.61599999999999999</v>
      </c>
      <c r="R53" s="2">
        <v>1</v>
      </c>
      <c r="S53" s="2">
        <v>1.5</v>
      </c>
      <c r="T53" s="2">
        <v>0.63200000000000001</v>
      </c>
      <c r="U53" s="2">
        <v>3.1</v>
      </c>
      <c r="V53" s="2">
        <v>6.4</v>
      </c>
      <c r="W53" s="2">
        <v>9.5</v>
      </c>
      <c r="X53" s="2">
        <v>1.9</v>
      </c>
      <c r="Y53" s="2">
        <v>1.6</v>
      </c>
      <c r="Z53" s="2">
        <v>0.8</v>
      </c>
      <c r="AA53" s="2">
        <v>0.8</v>
      </c>
      <c r="AB53" s="2">
        <v>3.9</v>
      </c>
      <c r="AC53" s="2">
        <v>14.4</v>
      </c>
      <c r="AD53" s="2"/>
    </row>
    <row r="54" spans="1:30" x14ac:dyDescent="0.2">
      <c r="A54" t="s">
        <v>116</v>
      </c>
      <c r="B54" s="2">
        <v>27</v>
      </c>
      <c r="C54" t="s">
        <v>117</v>
      </c>
      <c r="D54" s="2" t="s">
        <v>49</v>
      </c>
      <c r="E54" s="2">
        <v>18</v>
      </c>
      <c r="F54" s="2">
        <v>18</v>
      </c>
      <c r="G54" s="2">
        <v>595</v>
      </c>
      <c r="H54" s="2">
        <v>9.4</v>
      </c>
      <c r="I54" s="2">
        <v>20.100000000000001</v>
      </c>
      <c r="J54" s="2">
        <v>0.46500000000000002</v>
      </c>
      <c r="K54" s="2">
        <v>2.6</v>
      </c>
      <c r="L54" s="2">
        <v>7</v>
      </c>
      <c r="M54" s="2">
        <v>0.374</v>
      </c>
      <c r="N54" s="2">
        <v>6.8</v>
      </c>
      <c r="O54" s="2">
        <v>13.2</v>
      </c>
      <c r="P54" s="2">
        <v>0.51400000000000001</v>
      </c>
      <c r="Q54" s="2">
        <v>0.53</v>
      </c>
      <c r="R54" s="2">
        <v>2.8</v>
      </c>
      <c r="S54" s="2">
        <v>3.3</v>
      </c>
      <c r="T54" s="2">
        <v>0.85499999999999998</v>
      </c>
      <c r="U54" s="2">
        <v>1</v>
      </c>
      <c r="V54" s="2">
        <v>5</v>
      </c>
      <c r="W54" s="2">
        <v>6.1</v>
      </c>
      <c r="X54" s="2">
        <v>5.6</v>
      </c>
      <c r="Y54" s="2">
        <v>1</v>
      </c>
      <c r="Z54" s="2">
        <v>0.7</v>
      </c>
      <c r="AA54" s="2">
        <v>4.2</v>
      </c>
      <c r="AB54" s="2">
        <v>2.7</v>
      </c>
      <c r="AC54" s="2">
        <v>24.2</v>
      </c>
      <c r="AD54" s="2"/>
    </row>
    <row r="55" spans="1:30" x14ac:dyDescent="0.2">
      <c r="A55" t="s">
        <v>95</v>
      </c>
      <c r="B55" s="2">
        <v>22</v>
      </c>
      <c r="C55" t="s">
        <v>59</v>
      </c>
      <c r="D55" s="2" t="s">
        <v>49</v>
      </c>
      <c r="E55" s="2">
        <v>20</v>
      </c>
      <c r="F55" s="2">
        <v>20</v>
      </c>
      <c r="G55" s="2">
        <v>688</v>
      </c>
      <c r="H55" s="2">
        <v>8</v>
      </c>
      <c r="I55" s="2">
        <v>19.7</v>
      </c>
      <c r="J55" s="2">
        <v>0.40699999999999997</v>
      </c>
      <c r="K55" s="2">
        <v>4.2</v>
      </c>
      <c r="L55" s="2">
        <v>11.5</v>
      </c>
      <c r="M55" s="2">
        <v>0.36499999999999999</v>
      </c>
      <c r="N55" s="2">
        <v>3.8</v>
      </c>
      <c r="O55" s="2">
        <v>8.1999999999999993</v>
      </c>
      <c r="P55" s="2">
        <v>0.46500000000000002</v>
      </c>
      <c r="Q55" s="2">
        <v>0.51300000000000001</v>
      </c>
      <c r="R55" s="2">
        <v>2.9</v>
      </c>
      <c r="S55" s="2">
        <v>3.2</v>
      </c>
      <c r="T55" s="2">
        <v>0.90200000000000002</v>
      </c>
      <c r="U55" s="2">
        <v>1.1000000000000001</v>
      </c>
      <c r="V55" s="2">
        <v>4.3</v>
      </c>
      <c r="W55" s="2">
        <v>5.4</v>
      </c>
      <c r="X55" s="2">
        <v>3.6</v>
      </c>
      <c r="Y55" s="2">
        <v>1.2</v>
      </c>
      <c r="Z55" s="2">
        <v>0.8</v>
      </c>
      <c r="AA55" s="2">
        <v>2.9</v>
      </c>
      <c r="AB55" s="2">
        <v>2.9</v>
      </c>
      <c r="AC55" s="2">
        <v>23.1</v>
      </c>
      <c r="AD55" s="2"/>
    </row>
    <row r="56" spans="1:30" x14ac:dyDescent="0.2">
      <c r="A56" t="s">
        <v>514</v>
      </c>
      <c r="B56" s="2">
        <v>25</v>
      </c>
      <c r="C56" t="s">
        <v>63</v>
      </c>
      <c r="D56" s="2" t="s">
        <v>33</v>
      </c>
      <c r="E56" s="2">
        <v>5</v>
      </c>
      <c r="F56" s="2">
        <v>0</v>
      </c>
      <c r="G56" s="2">
        <v>21</v>
      </c>
      <c r="H56" s="2">
        <v>3.4</v>
      </c>
      <c r="I56" s="2">
        <v>15.4</v>
      </c>
      <c r="J56" s="2">
        <v>0.222</v>
      </c>
      <c r="K56" s="2">
        <v>0</v>
      </c>
      <c r="L56" s="2">
        <v>3.4</v>
      </c>
      <c r="M56" s="2">
        <v>0</v>
      </c>
      <c r="N56" s="2">
        <v>3.4</v>
      </c>
      <c r="O56" s="2">
        <v>12</v>
      </c>
      <c r="P56" s="2">
        <v>0.28599999999999998</v>
      </c>
      <c r="Q56" s="2">
        <v>0.222</v>
      </c>
      <c r="R56" s="2">
        <v>3.4</v>
      </c>
      <c r="S56" s="2">
        <v>5.0999999999999996</v>
      </c>
      <c r="T56" s="2">
        <v>0.66700000000000004</v>
      </c>
      <c r="U56" s="2">
        <v>1.7</v>
      </c>
      <c r="V56" s="2">
        <v>5.0999999999999996</v>
      </c>
      <c r="W56" s="2">
        <v>6.9</v>
      </c>
      <c r="X56" s="2">
        <v>3.4</v>
      </c>
      <c r="Y56" s="2">
        <v>0</v>
      </c>
      <c r="Z56" s="2">
        <v>0</v>
      </c>
      <c r="AA56" s="2">
        <v>3.4</v>
      </c>
      <c r="AB56" s="2">
        <v>3.4</v>
      </c>
      <c r="AC56" s="2">
        <v>10.3</v>
      </c>
      <c r="AD56" s="2"/>
    </row>
    <row r="57" spans="1:30" x14ac:dyDescent="0.2">
      <c r="A57" t="s">
        <v>297</v>
      </c>
      <c r="B57" s="2">
        <v>21</v>
      </c>
      <c r="C57" t="s">
        <v>120</v>
      </c>
      <c r="D57" s="2" t="s">
        <v>49</v>
      </c>
      <c r="E57" s="2">
        <v>17</v>
      </c>
      <c r="F57" s="2">
        <v>0</v>
      </c>
      <c r="G57" s="2">
        <v>283</v>
      </c>
      <c r="H57" s="2">
        <v>6.2</v>
      </c>
      <c r="I57" s="2">
        <v>13.5</v>
      </c>
      <c r="J57" s="2">
        <v>0.46200000000000002</v>
      </c>
      <c r="K57" s="2">
        <v>3.6</v>
      </c>
      <c r="L57" s="2">
        <v>8.5</v>
      </c>
      <c r="M57" s="2">
        <v>0.41799999999999998</v>
      </c>
      <c r="N57" s="2">
        <v>2.7</v>
      </c>
      <c r="O57" s="2">
        <v>5</v>
      </c>
      <c r="P57" s="2">
        <v>0.53800000000000003</v>
      </c>
      <c r="Q57" s="2">
        <v>0.59399999999999997</v>
      </c>
      <c r="R57" s="2">
        <v>1.5</v>
      </c>
      <c r="S57" s="2">
        <v>1.7</v>
      </c>
      <c r="T57" s="2">
        <v>0.92300000000000004</v>
      </c>
      <c r="U57" s="2">
        <v>1.4</v>
      </c>
      <c r="V57" s="2">
        <v>3.3</v>
      </c>
      <c r="W57" s="2">
        <v>4.7</v>
      </c>
      <c r="X57" s="2">
        <v>2.2000000000000002</v>
      </c>
      <c r="Y57" s="2">
        <v>1.3</v>
      </c>
      <c r="Z57" s="2">
        <v>0.1</v>
      </c>
      <c r="AA57" s="2">
        <v>3.2</v>
      </c>
      <c r="AB57" s="2">
        <v>2</v>
      </c>
      <c r="AC57" s="2">
        <v>17.600000000000001</v>
      </c>
      <c r="AD57" s="2"/>
    </row>
    <row r="58" spans="1:30" x14ac:dyDescent="0.2">
      <c r="A58" t="s">
        <v>527</v>
      </c>
      <c r="B58" s="2">
        <v>20</v>
      </c>
      <c r="C58" t="s">
        <v>41</v>
      </c>
      <c r="D58" s="2" t="s">
        <v>52</v>
      </c>
      <c r="E58" s="2">
        <v>7</v>
      </c>
      <c r="F58" s="2">
        <v>0</v>
      </c>
      <c r="G58" s="2">
        <v>18</v>
      </c>
      <c r="H58" s="2">
        <v>2</v>
      </c>
      <c r="I58" s="2">
        <v>16</v>
      </c>
      <c r="J58" s="2">
        <v>0.125</v>
      </c>
      <c r="K58" s="2">
        <v>0</v>
      </c>
      <c r="L58" s="2">
        <v>8</v>
      </c>
      <c r="M58" s="2">
        <v>0</v>
      </c>
      <c r="N58" s="2">
        <v>2</v>
      </c>
      <c r="O58" s="2">
        <v>8</v>
      </c>
      <c r="P58" s="2">
        <v>0.25</v>
      </c>
      <c r="Q58" s="2">
        <v>0.125</v>
      </c>
      <c r="R58" s="2">
        <v>4</v>
      </c>
      <c r="S58" s="2">
        <v>4</v>
      </c>
      <c r="T58" s="2">
        <v>1</v>
      </c>
      <c r="U58" s="2">
        <v>2</v>
      </c>
      <c r="V58" s="2">
        <v>0</v>
      </c>
      <c r="W58" s="2">
        <v>2</v>
      </c>
      <c r="X58" s="2">
        <v>4</v>
      </c>
      <c r="Y58" s="2">
        <v>2</v>
      </c>
      <c r="Z58" s="2">
        <v>2</v>
      </c>
      <c r="AA58" s="2">
        <v>0</v>
      </c>
      <c r="AB58" s="2">
        <v>4</v>
      </c>
      <c r="AC58" s="2">
        <v>8</v>
      </c>
      <c r="AD58" s="2"/>
    </row>
    <row r="59" spans="1:30" x14ac:dyDescent="0.2">
      <c r="A59" t="s">
        <v>185</v>
      </c>
      <c r="B59" s="2">
        <v>36</v>
      </c>
      <c r="C59" t="s">
        <v>35</v>
      </c>
      <c r="D59" s="2" t="s">
        <v>42</v>
      </c>
      <c r="E59" s="2">
        <v>24</v>
      </c>
      <c r="F59" s="2">
        <v>24</v>
      </c>
      <c r="G59" s="2">
        <v>784</v>
      </c>
      <c r="H59" s="2">
        <v>4.5</v>
      </c>
      <c r="I59" s="2">
        <v>9.8000000000000007</v>
      </c>
      <c r="J59" s="2">
        <v>0.46500000000000002</v>
      </c>
      <c r="K59" s="2">
        <v>2</v>
      </c>
      <c r="L59" s="2">
        <v>5.6</v>
      </c>
      <c r="M59" s="2">
        <v>0.35499999999999998</v>
      </c>
      <c r="N59" s="2">
        <v>2.6</v>
      </c>
      <c r="O59" s="2">
        <v>4.2</v>
      </c>
      <c r="P59" s="2">
        <v>0.60899999999999999</v>
      </c>
      <c r="Q59" s="2">
        <v>0.56599999999999995</v>
      </c>
      <c r="R59" s="2">
        <v>1.1000000000000001</v>
      </c>
      <c r="S59" s="2">
        <v>1.6</v>
      </c>
      <c r="T59" s="2">
        <v>0.70599999999999996</v>
      </c>
      <c r="U59" s="2">
        <v>1.4</v>
      </c>
      <c r="V59" s="2">
        <v>4.0999999999999996</v>
      </c>
      <c r="W59" s="2">
        <v>5.5</v>
      </c>
      <c r="X59" s="2">
        <v>1.7</v>
      </c>
      <c r="Y59" s="2">
        <v>1.2</v>
      </c>
      <c r="Z59" s="2">
        <v>2.2999999999999998</v>
      </c>
      <c r="AA59" s="2">
        <v>1.3</v>
      </c>
      <c r="AB59" s="2">
        <v>2.8</v>
      </c>
      <c r="AC59" s="2">
        <v>12.2</v>
      </c>
      <c r="AD59" s="2"/>
    </row>
    <row r="60" spans="1:30" x14ac:dyDescent="0.2">
      <c r="A60" t="s">
        <v>391</v>
      </c>
      <c r="B60" s="2">
        <v>26</v>
      </c>
      <c r="C60" t="s">
        <v>66</v>
      </c>
      <c r="D60" s="2" t="s">
        <v>42</v>
      </c>
      <c r="E60" s="2">
        <v>16</v>
      </c>
      <c r="F60" s="2">
        <v>2</v>
      </c>
      <c r="G60" s="2">
        <v>143</v>
      </c>
      <c r="H60" s="2">
        <v>6.5</v>
      </c>
      <c r="I60" s="2">
        <v>12.1</v>
      </c>
      <c r="J60" s="2">
        <v>0.54200000000000004</v>
      </c>
      <c r="K60" s="2">
        <v>0</v>
      </c>
      <c r="L60" s="2">
        <v>0</v>
      </c>
      <c r="M60" s="2"/>
      <c r="N60" s="2">
        <v>6.5</v>
      </c>
      <c r="O60" s="2">
        <v>12.1</v>
      </c>
      <c r="P60" s="2">
        <v>0.54200000000000004</v>
      </c>
      <c r="Q60" s="2">
        <v>0.54200000000000004</v>
      </c>
      <c r="R60" s="2">
        <v>1.5</v>
      </c>
      <c r="S60" s="2">
        <v>2</v>
      </c>
      <c r="T60" s="2">
        <v>0.75</v>
      </c>
      <c r="U60" s="2">
        <v>5.3</v>
      </c>
      <c r="V60" s="2">
        <v>7.3</v>
      </c>
      <c r="W60" s="2">
        <v>12.6</v>
      </c>
      <c r="X60" s="2">
        <v>4.5</v>
      </c>
      <c r="Y60" s="2">
        <v>1</v>
      </c>
      <c r="Z60" s="2">
        <v>2.2999999999999998</v>
      </c>
      <c r="AA60" s="2">
        <v>3.5</v>
      </c>
      <c r="AB60" s="2">
        <v>6.5</v>
      </c>
      <c r="AC60" s="2">
        <v>14.6</v>
      </c>
      <c r="AD60" s="2"/>
    </row>
    <row r="61" spans="1:30" x14ac:dyDescent="0.2">
      <c r="A61" t="s">
        <v>549</v>
      </c>
      <c r="B61" s="2">
        <v>22</v>
      </c>
      <c r="C61" t="s">
        <v>135</v>
      </c>
      <c r="D61" s="2" t="s">
        <v>52</v>
      </c>
      <c r="E61" s="2">
        <v>1</v>
      </c>
      <c r="F61" s="2">
        <v>0</v>
      </c>
      <c r="G61" s="2">
        <v>3</v>
      </c>
      <c r="H61" s="2">
        <v>12</v>
      </c>
      <c r="I61" s="2">
        <v>24</v>
      </c>
      <c r="J61" s="2">
        <v>0.5</v>
      </c>
      <c r="K61" s="2">
        <v>0</v>
      </c>
      <c r="L61" s="2">
        <v>12</v>
      </c>
      <c r="M61" s="2">
        <v>0</v>
      </c>
      <c r="N61" s="2">
        <v>12</v>
      </c>
      <c r="O61" s="2">
        <v>12</v>
      </c>
      <c r="P61" s="2">
        <v>1</v>
      </c>
      <c r="Q61" s="2">
        <v>0.5</v>
      </c>
      <c r="R61" s="2">
        <v>0</v>
      </c>
      <c r="S61" s="2">
        <v>0</v>
      </c>
      <c r="T61" s="2"/>
      <c r="U61" s="2">
        <v>0</v>
      </c>
      <c r="V61" s="2">
        <v>0</v>
      </c>
      <c r="W61" s="2">
        <v>0</v>
      </c>
      <c r="X61" s="2">
        <v>12</v>
      </c>
      <c r="Y61" s="2">
        <v>0</v>
      </c>
      <c r="Z61" s="2">
        <v>0</v>
      </c>
      <c r="AA61" s="2">
        <v>0</v>
      </c>
      <c r="AB61" s="2">
        <v>0</v>
      </c>
      <c r="AC61" s="2">
        <v>24</v>
      </c>
      <c r="AD61" s="2"/>
    </row>
    <row r="62" spans="1:30" x14ac:dyDescent="0.2">
      <c r="A62" t="s">
        <v>131</v>
      </c>
      <c r="B62" s="2">
        <v>32</v>
      </c>
      <c r="C62" t="s">
        <v>100</v>
      </c>
      <c r="D62" s="2" t="s">
        <v>52</v>
      </c>
      <c r="E62" s="2">
        <v>24</v>
      </c>
      <c r="F62" s="2">
        <v>4</v>
      </c>
      <c r="G62" s="2">
        <v>574</v>
      </c>
      <c r="H62" s="2">
        <v>7.7</v>
      </c>
      <c r="I62" s="2">
        <v>16.899999999999999</v>
      </c>
      <c r="J62" s="2">
        <v>0.45600000000000002</v>
      </c>
      <c r="K62" s="2">
        <v>4.9000000000000004</v>
      </c>
      <c r="L62" s="2">
        <v>11.5</v>
      </c>
      <c r="M62" s="2">
        <v>0.42599999999999999</v>
      </c>
      <c r="N62" s="2">
        <v>2.8</v>
      </c>
      <c r="O62" s="2">
        <v>5.5</v>
      </c>
      <c r="P62" s="2">
        <v>0.51700000000000002</v>
      </c>
      <c r="Q62" s="2">
        <v>0.6</v>
      </c>
      <c r="R62" s="2">
        <v>1.5</v>
      </c>
      <c r="S62" s="2">
        <v>1.6</v>
      </c>
      <c r="T62" s="2">
        <v>0.92300000000000004</v>
      </c>
      <c r="U62" s="2">
        <v>0.9</v>
      </c>
      <c r="V62" s="2">
        <v>4.4000000000000004</v>
      </c>
      <c r="W62" s="2">
        <v>5.3</v>
      </c>
      <c r="X62" s="2">
        <v>2.1</v>
      </c>
      <c r="Y62" s="2">
        <v>1.3</v>
      </c>
      <c r="Z62" s="2">
        <v>0.5</v>
      </c>
      <c r="AA62" s="2">
        <v>1.8</v>
      </c>
      <c r="AB62" s="2">
        <v>3.1</v>
      </c>
      <c r="AC62" s="2">
        <v>21.8</v>
      </c>
      <c r="AD62" s="2"/>
    </row>
    <row r="63" spans="1:30" x14ac:dyDescent="0.2">
      <c r="A63" t="s">
        <v>74</v>
      </c>
      <c r="B63" s="2">
        <v>23</v>
      </c>
      <c r="C63" t="s">
        <v>75</v>
      </c>
      <c r="D63" s="2" t="s">
        <v>33</v>
      </c>
      <c r="E63" s="2">
        <v>22</v>
      </c>
      <c r="F63" s="2">
        <v>22</v>
      </c>
      <c r="G63" s="2">
        <v>789</v>
      </c>
      <c r="H63" s="2">
        <v>9</v>
      </c>
      <c r="I63" s="2">
        <v>19.8</v>
      </c>
      <c r="J63" s="2">
        <v>0.45300000000000001</v>
      </c>
      <c r="K63" s="2">
        <v>2.4</v>
      </c>
      <c r="L63" s="2">
        <v>6.3</v>
      </c>
      <c r="M63" s="2">
        <v>0.38100000000000001</v>
      </c>
      <c r="N63" s="2">
        <v>6.6</v>
      </c>
      <c r="O63" s="2">
        <v>13.5</v>
      </c>
      <c r="P63" s="2">
        <v>0.48599999999999999</v>
      </c>
      <c r="Q63" s="2">
        <v>0.51400000000000001</v>
      </c>
      <c r="R63" s="2">
        <v>3.3</v>
      </c>
      <c r="S63" s="2">
        <v>4.2</v>
      </c>
      <c r="T63" s="2">
        <v>0.78500000000000003</v>
      </c>
      <c r="U63" s="2">
        <v>1.1000000000000001</v>
      </c>
      <c r="V63" s="2">
        <v>6.2</v>
      </c>
      <c r="W63" s="2">
        <v>7.3</v>
      </c>
      <c r="X63" s="2">
        <v>9.4</v>
      </c>
      <c r="Y63" s="2">
        <v>0.9</v>
      </c>
      <c r="Z63" s="2">
        <v>0.8</v>
      </c>
      <c r="AA63" s="2">
        <v>4.5999999999999996</v>
      </c>
      <c r="AB63" s="2">
        <v>2.6</v>
      </c>
      <c r="AC63" s="2">
        <v>23.7</v>
      </c>
      <c r="AD63" s="2"/>
    </row>
    <row r="64" spans="1:30" x14ac:dyDescent="0.2">
      <c r="A64" t="s">
        <v>462</v>
      </c>
      <c r="B64" s="2">
        <v>22</v>
      </c>
      <c r="C64" t="s">
        <v>48</v>
      </c>
      <c r="D64" s="2" t="s">
        <v>49</v>
      </c>
      <c r="E64" s="2">
        <v>17</v>
      </c>
      <c r="F64" s="2">
        <v>0</v>
      </c>
      <c r="G64" s="2">
        <v>93</v>
      </c>
      <c r="H64" s="2">
        <v>2.7</v>
      </c>
      <c r="I64" s="2">
        <v>9.3000000000000007</v>
      </c>
      <c r="J64" s="2">
        <v>0.29199999999999998</v>
      </c>
      <c r="K64" s="2">
        <v>1.9</v>
      </c>
      <c r="L64" s="2">
        <v>7.7</v>
      </c>
      <c r="M64" s="2">
        <v>0.25</v>
      </c>
      <c r="N64" s="2">
        <v>0.8</v>
      </c>
      <c r="O64" s="2">
        <v>1.5</v>
      </c>
      <c r="P64" s="2">
        <v>0.5</v>
      </c>
      <c r="Q64" s="2">
        <v>0.39600000000000002</v>
      </c>
      <c r="R64" s="2">
        <v>0.8</v>
      </c>
      <c r="S64" s="2">
        <v>0.8</v>
      </c>
      <c r="T64" s="2">
        <v>1</v>
      </c>
      <c r="U64" s="2">
        <v>0.8</v>
      </c>
      <c r="V64" s="2">
        <v>2.7</v>
      </c>
      <c r="W64" s="2">
        <v>3.5</v>
      </c>
      <c r="X64" s="2">
        <v>0.4</v>
      </c>
      <c r="Y64" s="2">
        <v>0</v>
      </c>
      <c r="Z64" s="2">
        <v>0.8</v>
      </c>
      <c r="AA64" s="2">
        <v>0.4</v>
      </c>
      <c r="AB64" s="2">
        <v>2.2999999999999998</v>
      </c>
      <c r="AC64" s="2">
        <v>8.1</v>
      </c>
      <c r="AD64" s="2"/>
    </row>
    <row r="65" spans="1:30" x14ac:dyDescent="0.2">
      <c r="A65" t="s">
        <v>257</v>
      </c>
      <c r="B65" s="2">
        <v>29</v>
      </c>
      <c r="C65" t="s">
        <v>122</v>
      </c>
      <c r="D65" s="2" t="s">
        <v>49</v>
      </c>
      <c r="E65" s="2">
        <v>20</v>
      </c>
      <c r="F65" s="2">
        <v>15</v>
      </c>
      <c r="G65" s="2">
        <v>582</v>
      </c>
      <c r="H65" s="2">
        <v>3.7</v>
      </c>
      <c r="I65" s="2">
        <v>9.1999999999999993</v>
      </c>
      <c r="J65" s="2">
        <v>0.40500000000000003</v>
      </c>
      <c r="K65" s="2">
        <v>0.9</v>
      </c>
      <c r="L65" s="2">
        <v>3.2</v>
      </c>
      <c r="M65" s="2">
        <v>0.29399999999999998</v>
      </c>
      <c r="N65" s="2">
        <v>2.8</v>
      </c>
      <c r="O65" s="2">
        <v>6</v>
      </c>
      <c r="P65" s="2">
        <v>0.46400000000000002</v>
      </c>
      <c r="Q65" s="2">
        <v>0.45600000000000002</v>
      </c>
      <c r="R65" s="2">
        <v>2.4</v>
      </c>
      <c r="S65" s="2">
        <v>3.6</v>
      </c>
      <c r="T65" s="2">
        <v>0.67200000000000004</v>
      </c>
      <c r="U65" s="2">
        <v>1.7</v>
      </c>
      <c r="V65" s="2">
        <v>4</v>
      </c>
      <c r="W65" s="2">
        <v>5.7</v>
      </c>
      <c r="X65" s="2">
        <v>2.8</v>
      </c>
      <c r="Y65" s="2">
        <v>1.2</v>
      </c>
      <c r="Z65" s="2">
        <v>0.6</v>
      </c>
      <c r="AA65" s="2">
        <v>2.2000000000000002</v>
      </c>
      <c r="AB65" s="2">
        <v>2</v>
      </c>
      <c r="AC65" s="2">
        <v>10.8</v>
      </c>
      <c r="AD65" s="2"/>
    </row>
    <row r="66" spans="1:30" x14ac:dyDescent="0.2">
      <c r="A66" t="s">
        <v>516</v>
      </c>
      <c r="B66" s="2">
        <v>19</v>
      </c>
      <c r="C66" t="s">
        <v>77</v>
      </c>
      <c r="D66" s="2" t="s">
        <v>52</v>
      </c>
      <c r="E66" s="2">
        <v>1</v>
      </c>
      <c r="F66" s="2">
        <v>0</v>
      </c>
      <c r="G66" s="2">
        <v>18</v>
      </c>
      <c r="H66" s="2">
        <v>4</v>
      </c>
      <c r="I66" s="2">
        <v>14</v>
      </c>
      <c r="J66" s="2">
        <v>0.28599999999999998</v>
      </c>
      <c r="K66" s="2">
        <v>2</v>
      </c>
      <c r="L66" s="2">
        <v>8</v>
      </c>
      <c r="M66" s="2">
        <v>0.25</v>
      </c>
      <c r="N66" s="2">
        <v>2</v>
      </c>
      <c r="O66" s="2">
        <v>6</v>
      </c>
      <c r="P66" s="2">
        <v>0.33300000000000002</v>
      </c>
      <c r="Q66" s="2">
        <v>0.35699999999999998</v>
      </c>
      <c r="R66" s="2">
        <v>0</v>
      </c>
      <c r="S66" s="2">
        <v>0</v>
      </c>
      <c r="T66" s="2"/>
      <c r="U66" s="2">
        <v>2</v>
      </c>
      <c r="V66" s="2">
        <v>4</v>
      </c>
      <c r="W66" s="2">
        <v>6</v>
      </c>
      <c r="X66" s="2">
        <v>0</v>
      </c>
      <c r="Y66" s="2">
        <v>4</v>
      </c>
      <c r="Z66" s="2">
        <v>0</v>
      </c>
      <c r="AA66" s="2">
        <v>2</v>
      </c>
      <c r="AB66" s="2">
        <v>0</v>
      </c>
      <c r="AC66" s="2">
        <v>10</v>
      </c>
      <c r="AD66" s="2"/>
    </row>
    <row r="67" spans="1:30" x14ac:dyDescent="0.2">
      <c r="A67" t="s">
        <v>390</v>
      </c>
      <c r="B67" s="2">
        <v>25</v>
      </c>
      <c r="C67" t="s">
        <v>41</v>
      </c>
      <c r="D67" s="2" t="s">
        <v>49</v>
      </c>
      <c r="E67" s="2">
        <v>17</v>
      </c>
      <c r="F67" s="2">
        <v>8</v>
      </c>
      <c r="G67" s="2">
        <v>339</v>
      </c>
      <c r="H67" s="2">
        <v>2.1</v>
      </c>
      <c r="I67" s="2">
        <v>4.4000000000000004</v>
      </c>
      <c r="J67" s="2">
        <v>0.48799999999999999</v>
      </c>
      <c r="K67" s="2">
        <v>1.1000000000000001</v>
      </c>
      <c r="L67" s="2">
        <v>2.4</v>
      </c>
      <c r="M67" s="2">
        <v>0.435</v>
      </c>
      <c r="N67" s="2">
        <v>1.1000000000000001</v>
      </c>
      <c r="O67" s="2">
        <v>1.9</v>
      </c>
      <c r="P67" s="2">
        <v>0.55600000000000005</v>
      </c>
      <c r="Q67" s="2">
        <v>0.61</v>
      </c>
      <c r="R67" s="2">
        <v>1</v>
      </c>
      <c r="S67" s="2">
        <v>1.5</v>
      </c>
      <c r="T67" s="2">
        <v>0.64300000000000002</v>
      </c>
      <c r="U67" s="2">
        <v>0.6</v>
      </c>
      <c r="V67" s="2">
        <v>3</v>
      </c>
      <c r="W67" s="2">
        <v>3.6</v>
      </c>
      <c r="X67" s="2">
        <v>1.4</v>
      </c>
      <c r="Y67" s="2">
        <v>1.9</v>
      </c>
      <c r="Z67" s="2">
        <v>0.6</v>
      </c>
      <c r="AA67" s="2">
        <v>0.7</v>
      </c>
      <c r="AB67" s="2">
        <v>2.9</v>
      </c>
      <c r="AC67" s="2">
        <v>6.3</v>
      </c>
      <c r="AD67" s="2"/>
    </row>
    <row r="68" spans="1:30" x14ac:dyDescent="0.2">
      <c r="A68" t="s">
        <v>482</v>
      </c>
      <c r="B68" s="2">
        <v>24</v>
      </c>
      <c r="C68" t="s">
        <v>80</v>
      </c>
      <c r="D68" s="2" t="s">
        <v>52</v>
      </c>
      <c r="E68" s="2">
        <v>3</v>
      </c>
      <c r="F68" s="2">
        <v>0</v>
      </c>
      <c r="G68" s="2">
        <v>46</v>
      </c>
      <c r="H68" s="2">
        <v>3.9</v>
      </c>
      <c r="I68" s="2">
        <v>7.8</v>
      </c>
      <c r="J68" s="2">
        <v>0.5</v>
      </c>
      <c r="K68" s="2">
        <v>1.6</v>
      </c>
      <c r="L68" s="2">
        <v>3.9</v>
      </c>
      <c r="M68" s="2">
        <v>0.4</v>
      </c>
      <c r="N68" s="2">
        <v>2.2999999999999998</v>
      </c>
      <c r="O68" s="2">
        <v>3.9</v>
      </c>
      <c r="P68" s="2">
        <v>0.6</v>
      </c>
      <c r="Q68" s="2">
        <v>0.6</v>
      </c>
      <c r="R68" s="2">
        <v>3.1</v>
      </c>
      <c r="S68" s="2">
        <v>3.1</v>
      </c>
      <c r="T68" s="2">
        <v>1</v>
      </c>
      <c r="U68" s="2">
        <v>0.8</v>
      </c>
      <c r="V68" s="2">
        <v>3.9</v>
      </c>
      <c r="W68" s="2">
        <v>4.7</v>
      </c>
      <c r="X68" s="2">
        <v>5.5</v>
      </c>
      <c r="Y68" s="2">
        <v>0.8</v>
      </c>
      <c r="Z68" s="2">
        <v>0.8</v>
      </c>
      <c r="AA68" s="2">
        <v>1.6</v>
      </c>
      <c r="AB68" s="2">
        <v>3.9</v>
      </c>
      <c r="AC68" s="2">
        <v>12.5</v>
      </c>
      <c r="AD68" s="2"/>
    </row>
    <row r="69" spans="1:30" x14ac:dyDescent="0.2">
      <c r="A69" t="s">
        <v>107</v>
      </c>
      <c r="B69" s="2">
        <v>23</v>
      </c>
      <c r="C69" t="s">
        <v>103</v>
      </c>
      <c r="D69" s="2" t="s">
        <v>52</v>
      </c>
      <c r="E69" s="2">
        <v>17</v>
      </c>
      <c r="F69" s="2">
        <v>17</v>
      </c>
      <c r="G69" s="2">
        <v>568</v>
      </c>
      <c r="H69" s="2">
        <v>8.6999999999999993</v>
      </c>
      <c r="I69" s="2">
        <v>18.8</v>
      </c>
      <c r="J69" s="2">
        <v>0.46100000000000002</v>
      </c>
      <c r="K69" s="2">
        <v>3.1</v>
      </c>
      <c r="L69" s="2">
        <v>8</v>
      </c>
      <c r="M69" s="2">
        <v>0.38900000000000001</v>
      </c>
      <c r="N69" s="2">
        <v>5.6</v>
      </c>
      <c r="O69" s="2">
        <v>10.8</v>
      </c>
      <c r="P69" s="2">
        <v>0.51500000000000001</v>
      </c>
      <c r="Q69" s="2">
        <v>0.54400000000000004</v>
      </c>
      <c r="R69" s="2">
        <v>6.1</v>
      </c>
      <c r="S69" s="2">
        <v>7.1</v>
      </c>
      <c r="T69" s="2">
        <v>0.86599999999999999</v>
      </c>
      <c r="U69" s="2">
        <v>0.4</v>
      </c>
      <c r="V69" s="2">
        <v>3.1</v>
      </c>
      <c r="W69" s="2">
        <v>3.5</v>
      </c>
      <c r="X69" s="2">
        <v>3.6</v>
      </c>
      <c r="Y69" s="2">
        <v>0.8</v>
      </c>
      <c r="Z69" s="2">
        <v>0.1</v>
      </c>
      <c r="AA69" s="2">
        <v>3</v>
      </c>
      <c r="AB69" s="2">
        <v>2.2000000000000002</v>
      </c>
      <c r="AC69" s="2">
        <v>26.6</v>
      </c>
      <c r="AD69" s="2"/>
    </row>
    <row r="70" spans="1:30" x14ac:dyDescent="0.2">
      <c r="A70" t="s">
        <v>409</v>
      </c>
      <c r="B70" s="2">
        <v>20</v>
      </c>
      <c r="C70" t="s">
        <v>87</v>
      </c>
      <c r="D70" s="2" t="s">
        <v>49</v>
      </c>
      <c r="E70" s="2">
        <v>8</v>
      </c>
      <c r="F70" s="2">
        <v>0</v>
      </c>
      <c r="G70" s="2">
        <v>79</v>
      </c>
      <c r="H70" s="2">
        <v>8.1999999999999993</v>
      </c>
      <c r="I70" s="2">
        <v>21.9</v>
      </c>
      <c r="J70" s="2">
        <v>0.375</v>
      </c>
      <c r="K70" s="2">
        <v>0.5</v>
      </c>
      <c r="L70" s="2">
        <v>9.6</v>
      </c>
      <c r="M70" s="2">
        <v>4.8000000000000001E-2</v>
      </c>
      <c r="N70" s="2">
        <v>7.7</v>
      </c>
      <c r="O70" s="2">
        <v>12.3</v>
      </c>
      <c r="P70" s="2">
        <v>0.63</v>
      </c>
      <c r="Q70" s="2">
        <v>0.38500000000000001</v>
      </c>
      <c r="R70" s="2">
        <v>4.5999999999999996</v>
      </c>
      <c r="S70" s="2">
        <v>7.3</v>
      </c>
      <c r="T70" s="2">
        <v>0.625</v>
      </c>
      <c r="U70" s="2">
        <v>1.8</v>
      </c>
      <c r="V70" s="2">
        <v>3.2</v>
      </c>
      <c r="W70" s="2">
        <v>5</v>
      </c>
      <c r="X70" s="2">
        <v>1.8</v>
      </c>
      <c r="Y70" s="2">
        <v>0.5</v>
      </c>
      <c r="Z70" s="2">
        <v>0.5</v>
      </c>
      <c r="AA70" s="2">
        <v>1.4</v>
      </c>
      <c r="AB70" s="2">
        <v>4.0999999999999996</v>
      </c>
      <c r="AC70" s="2">
        <v>21.4</v>
      </c>
      <c r="AD70" s="2"/>
    </row>
    <row r="71" spans="1:30" x14ac:dyDescent="0.2">
      <c r="A71" t="s">
        <v>102</v>
      </c>
      <c r="B71" s="2">
        <v>28</v>
      </c>
      <c r="C71" t="s">
        <v>103</v>
      </c>
      <c r="D71" s="2" t="s">
        <v>27</v>
      </c>
      <c r="E71" s="2">
        <v>23</v>
      </c>
      <c r="F71" s="2">
        <v>23</v>
      </c>
      <c r="G71" s="2">
        <v>755</v>
      </c>
      <c r="H71" s="2">
        <v>6.9</v>
      </c>
      <c r="I71" s="2">
        <v>14.1</v>
      </c>
      <c r="J71" s="2">
        <v>0.48799999999999999</v>
      </c>
      <c r="K71" s="2">
        <v>3.6</v>
      </c>
      <c r="L71" s="2">
        <v>8.3000000000000007</v>
      </c>
      <c r="M71" s="2">
        <v>0.434</v>
      </c>
      <c r="N71" s="2">
        <v>3.2</v>
      </c>
      <c r="O71" s="2">
        <v>5.7</v>
      </c>
      <c r="P71" s="2">
        <v>0.56699999999999995</v>
      </c>
      <c r="Q71" s="2">
        <v>0.61699999999999999</v>
      </c>
      <c r="R71" s="2">
        <v>3.2</v>
      </c>
      <c r="S71" s="2">
        <v>3.6</v>
      </c>
      <c r="T71" s="2">
        <v>0.90700000000000003</v>
      </c>
      <c r="U71" s="2">
        <v>0.9</v>
      </c>
      <c r="V71" s="2">
        <v>3.8</v>
      </c>
      <c r="W71" s="2">
        <v>4.7</v>
      </c>
      <c r="X71" s="2">
        <v>3.1</v>
      </c>
      <c r="Y71" s="2">
        <v>1</v>
      </c>
      <c r="Z71" s="2">
        <v>0.5</v>
      </c>
      <c r="AA71" s="2">
        <v>1.1000000000000001</v>
      </c>
      <c r="AB71" s="2">
        <v>2.1</v>
      </c>
      <c r="AC71" s="2">
        <v>20.6</v>
      </c>
      <c r="AD71" s="2"/>
    </row>
    <row r="72" spans="1:30" x14ac:dyDescent="0.2">
      <c r="A72" t="s">
        <v>276</v>
      </c>
      <c r="B72" s="2">
        <v>30</v>
      </c>
      <c r="C72" t="s">
        <v>44</v>
      </c>
      <c r="D72" s="2" t="s">
        <v>33</v>
      </c>
      <c r="E72" s="2">
        <v>19</v>
      </c>
      <c r="F72" s="2">
        <v>0</v>
      </c>
      <c r="G72" s="2">
        <v>332</v>
      </c>
      <c r="H72" s="2">
        <v>6.1</v>
      </c>
      <c r="I72" s="2">
        <v>13.9</v>
      </c>
      <c r="J72" s="2">
        <v>0.438</v>
      </c>
      <c r="K72" s="2">
        <v>3.5</v>
      </c>
      <c r="L72" s="2">
        <v>8.1999999999999993</v>
      </c>
      <c r="M72" s="2">
        <v>0.42099999999999999</v>
      </c>
      <c r="N72" s="2">
        <v>2.6</v>
      </c>
      <c r="O72" s="2">
        <v>5.6</v>
      </c>
      <c r="P72" s="2">
        <v>0.46200000000000002</v>
      </c>
      <c r="Q72" s="2">
        <v>0.56299999999999994</v>
      </c>
      <c r="R72" s="2">
        <v>1</v>
      </c>
      <c r="S72" s="2">
        <v>1.2</v>
      </c>
      <c r="T72" s="2">
        <v>0.81799999999999995</v>
      </c>
      <c r="U72" s="2">
        <v>0.7</v>
      </c>
      <c r="V72" s="2">
        <v>3.1</v>
      </c>
      <c r="W72" s="2">
        <v>3.8</v>
      </c>
      <c r="X72" s="2">
        <v>6.4</v>
      </c>
      <c r="Y72" s="2">
        <v>1.3</v>
      </c>
      <c r="Z72" s="2">
        <v>0.8</v>
      </c>
      <c r="AA72" s="2">
        <v>1.1000000000000001</v>
      </c>
      <c r="AB72" s="2">
        <v>4.4000000000000004</v>
      </c>
      <c r="AC72" s="2">
        <v>16.600000000000001</v>
      </c>
      <c r="AD72" s="2"/>
    </row>
    <row r="73" spans="1:30" x14ac:dyDescent="0.2">
      <c r="A73" t="s">
        <v>211</v>
      </c>
      <c r="B73" s="2">
        <v>30</v>
      </c>
      <c r="C73" t="s">
        <v>57</v>
      </c>
      <c r="D73" s="2" t="s">
        <v>49</v>
      </c>
      <c r="E73" s="2">
        <v>19</v>
      </c>
      <c r="F73" s="2">
        <v>0</v>
      </c>
      <c r="G73" s="2">
        <v>465</v>
      </c>
      <c r="H73" s="2">
        <v>6.2</v>
      </c>
      <c r="I73" s="2">
        <v>11.5</v>
      </c>
      <c r="J73" s="2">
        <v>0.53700000000000003</v>
      </c>
      <c r="K73" s="2">
        <v>2.6</v>
      </c>
      <c r="L73" s="2">
        <v>5.3</v>
      </c>
      <c r="M73" s="2">
        <v>0.48499999999999999</v>
      </c>
      <c r="N73" s="2">
        <v>3.6</v>
      </c>
      <c r="O73" s="2">
        <v>6.3</v>
      </c>
      <c r="P73" s="2">
        <v>0.57999999999999996</v>
      </c>
      <c r="Q73" s="2">
        <v>0.64800000000000002</v>
      </c>
      <c r="R73" s="2">
        <v>2.5</v>
      </c>
      <c r="S73" s="2">
        <v>3.6</v>
      </c>
      <c r="T73" s="2">
        <v>0.69599999999999995</v>
      </c>
      <c r="U73" s="2">
        <v>0.7</v>
      </c>
      <c r="V73" s="2">
        <v>3.6</v>
      </c>
      <c r="W73" s="2">
        <v>4.3</v>
      </c>
      <c r="X73" s="2">
        <v>6</v>
      </c>
      <c r="Y73" s="2">
        <v>1.3</v>
      </c>
      <c r="Z73" s="2">
        <v>0.6</v>
      </c>
      <c r="AA73" s="2">
        <v>1.9</v>
      </c>
      <c r="AB73" s="2">
        <v>2</v>
      </c>
      <c r="AC73" s="2">
        <v>17.399999999999999</v>
      </c>
      <c r="AD73" s="2"/>
    </row>
    <row r="74" spans="1:30" x14ac:dyDescent="0.2">
      <c r="A74" t="s">
        <v>229</v>
      </c>
      <c r="B74" s="2">
        <v>19</v>
      </c>
      <c r="C74" t="s">
        <v>114</v>
      </c>
      <c r="D74" s="2" t="s">
        <v>33</v>
      </c>
      <c r="E74" s="2">
        <v>22</v>
      </c>
      <c r="F74" s="2">
        <v>14</v>
      </c>
      <c r="G74" s="2">
        <v>630</v>
      </c>
      <c r="H74" s="2">
        <v>4.3</v>
      </c>
      <c r="I74" s="2">
        <v>11</v>
      </c>
      <c r="J74" s="2">
        <v>0.39100000000000001</v>
      </c>
      <c r="K74" s="2">
        <v>1.9</v>
      </c>
      <c r="L74" s="2">
        <v>5.8</v>
      </c>
      <c r="M74" s="2">
        <v>0.32700000000000001</v>
      </c>
      <c r="N74" s="2">
        <v>2.4</v>
      </c>
      <c r="O74" s="2">
        <v>5.2</v>
      </c>
      <c r="P74" s="2">
        <v>0.46200000000000002</v>
      </c>
      <c r="Q74" s="2">
        <v>0.47699999999999998</v>
      </c>
      <c r="R74" s="2">
        <v>1.1000000000000001</v>
      </c>
      <c r="S74" s="2">
        <v>1.4</v>
      </c>
      <c r="T74" s="2">
        <v>0.8</v>
      </c>
      <c r="U74" s="2">
        <v>0.3</v>
      </c>
      <c r="V74" s="2">
        <v>4.7</v>
      </c>
      <c r="W74" s="2">
        <v>5</v>
      </c>
      <c r="X74" s="2">
        <v>5.0999999999999996</v>
      </c>
      <c r="Y74" s="2">
        <v>1.3</v>
      </c>
      <c r="Z74" s="2">
        <v>0.3</v>
      </c>
      <c r="AA74" s="2">
        <v>2.5</v>
      </c>
      <c r="AB74" s="2">
        <v>3.8</v>
      </c>
      <c r="AC74" s="2">
        <v>11.6</v>
      </c>
      <c r="AD74" s="2"/>
    </row>
    <row r="75" spans="1:30" x14ac:dyDescent="0.2">
      <c r="A75" t="s">
        <v>263</v>
      </c>
      <c r="B75" s="2">
        <v>21</v>
      </c>
      <c r="C75" t="s">
        <v>32</v>
      </c>
      <c r="D75" s="2" t="s">
        <v>52</v>
      </c>
      <c r="E75" s="2">
        <v>24</v>
      </c>
      <c r="F75" s="2">
        <v>13</v>
      </c>
      <c r="G75" s="2">
        <v>635</v>
      </c>
      <c r="H75" s="2">
        <v>3.9</v>
      </c>
      <c r="I75" s="2">
        <v>9.3000000000000007</v>
      </c>
      <c r="J75" s="2">
        <v>0.42099999999999999</v>
      </c>
      <c r="K75" s="2">
        <v>1.4</v>
      </c>
      <c r="L75" s="2">
        <v>4.5</v>
      </c>
      <c r="M75" s="2">
        <v>0.3</v>
      </c>
      <c r="N75" s="2">
        <v>2.6</v>
      </c>
      <c r="O75" s="2">
        <v>4.8</v>
      </c>
      <c r="P75" s="2">
        <v>0.53600000000000003</v>
      </c>
      <c r="Q75" s="2">
        <v>0.49399999999999999</v>
      </c>
      <c r="R75" s="2">
        <v>0.3</v>
      </c>
      <c r="S75" s="2">
        <v>0.4</v>
      </c>
      <c r="T75" s="2">
        <v>0.85699999999999998</v>
      </c>
      <c r="U75" s="2">
        <v>1.8</v>
      </c>
      <c r="V75" s="2">
        <v>3.1</v>
      </c>
      <c r="W75" s="2">
        <v>4.9000000000000004</v>
      </c>
      <c r="X75" s="2">
        <v>3</v>
      </c>
      <c r="Y75" s="2">
        <v>2.4</v>
      </c>
      <c r="Z75" s="2">
        <v>1</v>
      </c>
      <c r="AA75" s="2">
        <v>0.8</v>
      </c>
      <c r="AB75" s="2">
        <v>2.8</v>
      </c>
      <c r="AC75" s="2">
        <v>9.5</v>
      </c>
      <c r="AD75" s="2"/>
    </row>
    <row r="76" spans="1:30" x14ac:dyDescent="0.2">
      <c r="A76" t="s">
        <v>387</v>
      </c>
      <c r="B76" s="2">
        <v>24</v>
      </c>
      <c r="C76" t="s">
        <v>93</v>
      </c>
      <c r="D76" s="2" t="s">
        <v>42</v>
      </c>
      <c r="E76" s="2">
        <v>15</v>
      </c>
      <c r="F76" s="2">
        <v>0</v>
      </c>
      <c r="G76" s="2">
        <v>158</v>
      </c>
      <c r="H76" s="2">
        <v>5.9</v>
      </c>
      <c r="I76" s="2">
        <v>10.7</v>
      </c>
      <c r="J76" s="2">
        <v>0.55300000000000005</v>
      </c>
      <c r="K76" s="2">
        <v>0</v>
      </c>
      <c r="L76" s="2">
        <v>0</v>
      </c>
      <c r="M76" s="2"/>
      <c r="N76" s="2">
        <v>5.9</v>
      </c>
      <c r="O76" s="2">
        <v>10.7</v>
      </c>
      <c r="P76" s="2">
        <v>0.55300000000000005</v>
      </c>
      <c r="Q76" s="2">
        <v>0.55300000000000005</v>
      </c>
      <c r="R76" s="2">
        <v>2.5</v>
      </c>
      <c r="S76" s="2">
        <v>4.8</v>
      </c>
      <c r="T76" s="2">
        <v>0.52400000000000002</v>
      </c>
      <c r="U76" s="2">
        <v>5</v>
      </c>
      <c r="V76" s="2">
        <v>8.1999999999999993</v>
      </c>
      <c r="W76" s="2">
        <v>13.2</v>
      </c>
      <c r="X76" s="2">
        <v>1.8</v>
      </c>
      <c r="Y76" s="2">
        <v>1.4</v>
      </c>
      <c r="Z76" s="2">
        <v>4.3</v>
      </c>
      <c r="AA76" s="2">
        <v>2.2999999999999998</v>
      </c>
      <c r="AB76" s="2">
        <v>4.8</v>
      </c>
      <c r="AC76" s="2">
        <v>14.4</v>
      </c>
      <c r="AD76" s="2"/>
    </row>
    <row r="77" spans="1:30" x14ac:dyDescent="0.2">
      <c r="A77" t="s">
        <v>269</v>
      </c>
      <c r="B77" s="2">
        <v>22</v>
      </c>
      <c r="C77" t="s">
        <v>32</v>
      </c>
      <c r="D77" s="2" t="s">
        <v>42</v>
      </c>
      <c r="E77" s="2">
        <v>10</v>
      </c>
      <c r="F77" s="2">
        <v>10</v>
      </c>
      <c r="G77" s="2">
        <v>265</v>
      </c>
      <c r="H77" s="2">
        <v>7.6</v>
      </c>
      <c r="I77" s="2">
        <v>15.1</v>
      </c>
      <c r="J77" s="2">
        <v>0.505</v>
      </c>
      <c r="K77" s="2">
        <v>1.9</v>
      </c>
      <c r="L77" s="2">
        <v>5</v>
      </c>
      <c r="M77" s="2">
        <v>0.378</v>
      </c>
      <c r="N77" s="2">
        <v>5.7</v>
      </c>
      <c r="O77" s="2">
        <v>10.1</v>
      </c>
      <c r="P77" s="2">
        <v>0.56799999999999995</v>
      </c>
      <c r="Q77" s="2">
        <v>0.56799999999999995</v>
      </c>
      <c r="R77" s="2">
        <v>5.2</v>
      </c>
      <c r="S77" s="2">
        <v>6.7</v>
      </c>
      <c r="T77" s="2">
        <v>0.77600000000000002</v>
      </c>
      <c r="U77" s="2">
        <v>2.2000000000000002</v>
      </c>
      <c r="V77" s="2">
        <v>9.6</v>
      </c>
      <c r="W77" s="2">
        <v>11.8</v>
      </c>
      <c r="X77" s="2">
        <v>2.7</v>
      </c>
      <c r="Y77" s="2">
        <v>1.1000000000000001</v>
      </c>
      <c r="Z77" s="2">
        <v>3.5</v>
      </c>
      <c r="AA77" s="2">
        <v>3.1</v>
      </c>
      <c r="AB77" s="2">
        <v>2.4</v>
      </c>
      <c r="AC77" s="2">
        <v>22.3</v>
      </c>
      <c r="AD77" s="2"/>
    </row>
    <row r="78" spans="1:30" x14ac:dyDescent="0.2">
      <c r="A78" t="s">
        <v>207</v>
      </c>
      <c r="B78" s="2">
        <v>32</v>
      </c>
      <c r="C78" t="s">
        <v>66</v>
      </c>
      <c r="D78" s="2" t="s">
        <v>27</v>
      </c>
      <c r="E78" s="2">
        <v>23</v>
      </c>
      <c r="F78" s="2">
        <v>0</v>
      </c>
      <c r="G78" s="2">
        <v>413</v>
      </c>
      <c r="H78" s="2">
        <v>7.2</v>
      </c>
      <c r="I78" s="2">
        <v>16</v>
      </c>
      <c r="J78" s="2">
        <v>0.45400000000000001</v>
      </c>
      <c r="K78" s="2">
        <v>2.1</v>
      </c>
      <c r="L78" s="2">
        <v>7.6</v>
      </c>
      <c r="M78" s="2">
        <v>0.27600000000000002</v>
      </c>
      <c r="N78" s="2">
        <v>5.0999999999999996</v>
      </c>
      <c r="O78" s="2">
        <v>8.4</v>
      </c>
      <c r="P78" s="2">
        <v>0.61499999999999999</v>
      </c>
      <c r="Q78" s="2">
        <v>0.51900000000000002</v>
      </c>
      <c r="R78" s="2">
        <v>3.4</v>
      </c>
      <c r="S78" s="2">
        <v>4.4000000000000004</v>
      </c>
      <c r="T78" s="2">
        <v>0.76500000000000001</v>
      </c>
      <c r="U78" s="2">
        <v>2.6</v>
      </c>
      <c r="V78" s="2">
        <v>6.4</v>
      </c>
      <c r="W78" s="2">
        <v>9</v>
      </c>
      <c r="X78" s="2">
        <v>1.2</v>
      </c>
      <c r="Y78" s="2">
        <v>1</v>
      </c>
      <c r="Z78" s="2">
        <v>1.5</v>
      </c>
      <c r="AA78" s="2">
        <v>1.4</v>
      </c>
      <c r="AB78" s="2">
        <v>2.4</v>
      </c>
      <c r="AC78" s="2">
        <v>20</v>
      </c>
      <c r="AD78" s="2"/>
    </row>
    <row r="79" spans="1:30" x14ac:dyDescent="0.2">
      <c r="A79" t="s">
        <v>445</v>
      </c>
      <c r="B79" s="2">
        <v>27</v>
      </c>
      <c r="C79" t="s">
        <v>70</v>
      </c>
      <c r="D79" s="2" t="s">
        <v>52</v>
      </c>
      <c r="E79" s="2">
        <v>12</v>
      </c>
      <c r="F79" s="2">
        <v>0</v>
      </c>
      <c r="G79" s="2">
        <v>50</v>
      </c>
      <c r="H79" s="2">
        <v>6.5</v>
      </c>
      <c r="I79" s="2">
        <v>13</v>
      </c>
      <c r="J79" s="2">
        <v>0.5</v>
      </c>
      <c r="K79" s="2">
        <v>3.6</v>
      </c>
      <c r="L79" s="2">
        <v>8.6</v>
      </c>
      <c r="M79" s="2">
        <v>0.41699999999999998</v>
      </c>
      <c r="N79" s="2">
        <v>2.9</v>
      </c>
      <c r="O79" s="2">
        <v>4.3</v>
      </c>
      <c r="P79" s="2">
        <v>0.66700000000000004</v>
      </c>
      <c r="Q79" s="2">
        <v>0.63900000000000001</v>
      </c>
      <c r="R79" s="2">
        <v>4.3</v>
      </c>
      <c r="S79" s="2">
        <v>5.8</v>
      </c>
      <c r="T79" s="2">
        <v>0.75</v>
      </c>
      <c r="U79" s="2">
        <v>2.9</v>
      </c>
      <c r="V79" s="2">
        <v>7.2</v>
      </c>
      <c r="W79" s="2">
        <v>10.1</v>
      </c>
      <c r="X79" s="2">
        <v>2.9</v>
      </c>
      <c r="Y79" s="2">
        <v>0</v>
      </c>
      <c r="Z79" s="2">
        <v>0</v>
      </c>
      <c r="AA79" s="2">
        <v>0.7</v>
      </c>
      <c r="AB79" s="2">
        <v>3.6</v>
      </c>
      <c r="AC79" s="2">
        <v>20.9</v>
      </c>
      <c r="AD79" s="2"/>
    </row>
    <row r="80" spans="1:30" x14ac:dyDescent="0.2">
      <c r="A80" t="s">
        <v>548</v>
      </c>
      <c r="B80" s="2">
        <v>21</v>
      </c>
      <c r="C80" t="s">
        <v>35</v>
      </c>
      <c r="D80" s="2" t="s">
        <v>49</v>
      </c>
      <c r="E80" s="2">
        <v>3</v>
      </c>
      <c r="F80" s="2">
        <v>0</v>
      </c>
      <c r="G80" s="2">
        <v>6</v>
      </c>
      <c r="H80" s="2">
        <v>6</v>
      </c>
      <c r="I80" s="2">
        <v>12</v>
      </c>
      <c r="J80" s="2">
        <v>0.5</v>
      </c>
      <c r="K80" s="2">
        <v>0</v>
      </c>
      <c r="L80" s="2">
        <v>0</v>
      </c>
      <c r="M80" s="2"/>
      <c r="N80" s="2">
        <v>6</v>
      </c>
      <c r="O80" s="2">
        <v>12</v>
      </c>
      <c r="P80" s="2">
        <v>0.5</v>
      </c>
      <c r="Q80" s="2">
        <v>0.5</v>
      </c>
      <c r="R80" s="2">
        <v>0</v>
      </c>
      <c r="S80" s="2">
        <v>0</v>
      </c>
      <c r="T80" s="2"/>
      <c r="U80" s="2">
        <v>6</v>
      </c>
      <c r="V80" s="2">
        <v>6</v>
      </c>
      <c r="W80" s="2">
        <v>12</v>
      </c>
      <c r="X80" s="2">
        <v>6</v>
      </c>
      <c r="Y80" s="2">
        <v>6</v>
      </c>
      <c r="Z80" s="2">
        <v>0</v>
      </c>
      <c r="AA80" s="2">
        <v>6</v>
      </c>
      <c r="AB80" s="2">
        <v>0</v>
      </c>
      <c r="AC80" s="2">
        <v>12</v>
      </c>
      <c r="AD80" s="2"/>
    </row>
    <row r="81" spans="1:30" x14ac:dyDescent="0.2">
      <c r="A81" t="s">
        <v>196</v>
      </c>
      <c r="B81" s="2">
        <v>39</v>
      </c>
      <c r="C81" t="s">
        <v>93</v>
      </c>
      <c r="D81" s="2" t="s">
        <v>33</v>
      </c>
      <c r="E81" s="2">
        <v>24</v>
      </c>
      <c r="F81" s="2">
        <v>24</v>
      </c>
      <c r="G81" s="2">
        <v>693</v>
      </c>
      <c r="H81" s="2">
        <v>4.3</v>
      </c>
      <c r="I81" s="2">
        <v>10.1</v>
      </c>
      <c r="J81" s="2">
        <v>0.42799999999999999</v>
      </c>
      <c r="K81" s="2">
        <v>2.2999999999999998</v>
      </c>
      <c r="L81" s="2">
        <v>6.5</v>
      </c>
      <c r="M81" s="2">
        <v>0.35199999999999998</v>
      </c>
      <c r="N81" s="2">
        <v>2</v>
      </c>
      <c r="O81" s="2">
        <v>3.6</v>
      </c>
      <c r="P81" s="2">
        <v>0.56499999999999995</v>
      </c>
      <c r="Q81" s="2">
        <v>0.54100000000000004</v>
      </c>
      <c r="R81" s="2">
        <v>1.8</v>
      </c>
      <c r="S81" s="2">
        <v>1.8</v>
      </c>
      <c r="T81" s="2">
        <v>1</v>
      </c>
      <c r="U81" s="2">
        <v>0.7</v>
      </c>
      <c r="V81" s="2">
        <v>4.3</v>
      </c>
      <c r="W81" s="2">
        <v>5</v>
      </c>
      <c r="X81" s="2">
        <v>10.6</v>
      </c>
      <c r="Y81" s="2">
        <v>1.8</v>
      </c>
      <c r="Z81" s="2">
        <v>0.3</v>
      </c>
      <c r="AA81" s="2">
        <v>2.2000000000000002</v>
      </c>
      <c r="AB81" s="2">
        <v>2.2999999999999998</v>
      </c>
      <c r="AC81" s="2">
        <v>12.7</v>
      </c>
      <c r="AD81" s="2"/>
    </row>
    <row r="82" spans="1:30" x14ac:dyDescent="0.2">
      <c r="A82" t="s">
        <v>138</v>
      </c>
      <c r="B82" s="2">
        <v>23</v>
      </c>
      <c r="C82" t="s">
        <v>46</v>
      </c>
      <c r="D82" s="2" t="s">
        <v>52</v>
      </c>
      <c r="E82" s="2">
        <v>22</v>
      </c>
      <c r="F82" s="2">
        <v>22</v>
      </c>
      <c r="G82" s="2">
        <v>774</v>
      </c>
      <c r="H82" s="2">
        <v>5.9</v>
      </c>
      <c r="I82" s="2">
        <v>10.4</v>
      </c>
      <c r="J82" s="2">
        <v>0.56999999999999995</v>
      </c>
      <c r="K82" s="2">
        <v>1.2</v>
      </c>
      <c r="L82" s="2">
        <v>2.7</v>
      </c>
      <c r="M82" s="2">
        <v>0.43099999999999999</v>
      </c>
      <c r="N82" s="2">
        <v>4.7</v>
      </c>
      <c r="O82" s="2">
        <v>7.7</v>
      </c>
      <c r="P82" s="2">
        <v>0.61799999999999999</v>
      </c>
      <c r="Q82" s="2">
        <v>0.626</v>
      </c>
      <c r="R82" s="2">
        <v>2.7</v>
      </c>
      <c r="S82" s="2">
        <v>3.5</v>
      </c>
      <c r="T82" s="2">
        <v>0.77600000000000002</v>
      </c>
      <c r="U82" s="2">
        <v>1.2</v>
      </c>
      <c r="V82" s="2">
        <v>4</v>
      </c>
      <c r="W82" s="2">
        <v>5.2</v>
      </c>
      <c r="X82" s="2">
        <v>1.9</v>
      </c>
      <c r="Y82" s="2">
        <v>1.3</v>
      </c>
      <c r="Z82" s="2">
        <v>0.7</v>
      </c>
      <c r="AA82" s="2">
        <v>1.5</v>
      </c>
      <c r="AB82" s="2">
        <v>2.4</v>
      </c>
      <c r="AC82" s="2">
        <v>15.7</v>
      </c>
      <c r="AD82" s="2"/>
    </row>
    <row r="83" spans="1:30" x14ac:dyDescent="0.2">
      <c r="A83" t="s">
        <v>440</v>
      </c>
      <c r="B83" s="2">
        <v>24</v>
      </c>
      <c r="C83" t="s">
        <v>41</v>
      </c>
      <c r="D83" s="2" t="s">
        <v>42</v>
      </c>
      <c r="E83" s="2">
        <v>14</v>
      </c>
      <c r="F83" s="2">
        <v>0</v>
      </c>
      <c r="G83" s="2">
        <v>138</v>
      </c>
      <c r="H83" s="2">
        <v>3.7</v>
      </c>
      <c r="I83" s="2">
        <v>5.7</v>
      </c>
      <c r="J83" s="2">
        <v>0.63600000000000001</v>
      </c>
      <c r="K83" s="2">
        <v>0</v>
      </c>
      <c r="L83" s="2">
        <v>0.5</v>
      </c>
      <c r="M83" s="2">
        <v>0</v>
      </c>
      <c r="N83" s="2">
        <v>3.7</v>
      </c>
      <c r="O83" s="2">
        <v>5.2</v>
      </c>
      <c r="P83" s="2">
        <v>0.7</v>
      </c>
      <c r="Q83" s="2">
        <v>0.63600000000000001</v>
      </c>
      <c r="R83" s="2">
        <v>0.5</v>
      </c>
      <c r="S83" s="2">
        <v>0.5</v>
      </c>
      <c r="T83" s="2">
        <v>1</v>
      </c>
      <c r="U83" s="2">
        <v>3.4</v>
      </c>
      <c r="V83" s="2">
        <v>4.7</v>
      </c>
      <c r="W83" s="2">
        <v>8.1</v>
      </c>
      <c r="X83" s="2">
        <v>1</v>
      </c>
      <c r="Y83" s="2">
        <v>1</v>
      </c>
      <c r="Z83" s="2">
        <v>1</v>
      </c>
      <c r="AA83" s="2">
        <v>1.3</v>
      </c>
      <c r="AB83" s="2">
        <v>4.4000000000000004</v>
      </c>
      <c r="AC83" s="2">
        <v>7.8</v>
      </c>
      <c r="AD83" s="2"/>
    </row>
    <row r="84" spans="1:30" x14ac:dyDescent="0.2">
      <c r="A84" t="s">
        <v>172</v>
      </c>
      <c r="B84" s="2">
        <v>33</v>
      </c>
      <c r="C84" t="s">
        <v>117</v>
      </c>
      <c r="D84" s="2" t="s">
        <v>33</v>
      </c>
      <c r="E84" s="2">
        <v>13</v>
      </c>
      <c r="F84" s="2">
        <v>13</v>
      </c>
      <c r="G84" s="2">
        <v>439</v>
      </c>
      <c r="H84" s="2">
        <v>9</v>
      </c>
      <c r="I84" s="2">
        <v>20.100000000000001</v>
      </c>
      <c r="J84" s="2">
        <v>0.44900000000000001</v>
      </c>
      <c r="K84" s="2">
        <v>3.1</v>
      </c>
      <c r="L84" s="2">
        <v>9.3000000000000007</v>
      </c>
      <c r="M84" s="2">
        <v>0.33600000000000002</v>
      </c>
      <c r="N84" s="2">
        <v>5.9</v>
      </c>
      <c r="O84" s="2">
        <v>10.8</v>
      </c>
      <c r="P84" s="2">
        <v>0.54500000000000004</v>
      </c>
      <c r="Q84" s="2">
        <v>0.52700000000000002</v>
      </c>
      <c r="R84" s="2">
        <v>1.8</v>
      </c>
      <c r="S84" s="2">
        <v>2.8</v>
      </c>
      <c r="T84" s="2">
        <v>0.64700000000000002</v>
      </c>
      <c r="U84" s="2">
        <v>0.7</v>
      </c>
      <c r="V84" s="2">
        <v>3.3</v>
      </c>
      <c r="W84" s="2">
        <v>4</v>
      </c>
      <c r="X84" s="2">
        <v>4.0999999999999996</v>
      </c>
      <c r="Y84" s="2">
        <v>1.3</v>
      </c>
      <c r="Z84" s="2">
        <v>0.5</v>
      </c>
      <c r="AA84" s="2">
        <v>1.6</v>
      </c>
      <c r="AB84" s="2">
        <v>2.4</v>
      </c>
      <c r="AC84" s="2">
        <v>23</v>
      </c>
      <c r="AD84" s="2"/>
    </row>
    <row r="85" spans="1:30" x14ac:dyDescent="0.2">
      <c r="A85" t="s">
        <v>183</v>
      </c>
      <c r="B85" s="2">
        <v>30</v>
      </c>
      <c r="C85" t="s">
        <v>72</v>
      </c>
      <c r="D85" s="2" t="s">
        <v>42</v>
      </c>
      <c r="E85" s="2">
        <v>26</v>
      </c>
      <c r="F85" s="2">
        <v>26</v>
      </c>
      <c r="G85" s="2">
        <v>593</v>
      </c>
      <c r="H85" s="2">
        <v>7.2</v>
      </c>
      <c r="I85" s="2">
        <v>12.3</v>
      </c>
      <c r="J85" s="2">
        <v>0.58399999999999996</v>
      </c>
      <c r="K85" s="2">
        <v>0</v>
      </c>
      <c r="L85" s="2">
        <v>0</v>
      </c>
      <c r="M85" s="2"/>
      <c r="N85" s="2">
        <v>7.2</v>
      </c>
      <c r="O85" s="2">
        <v>12.3</v>
      </c>
      <c r="P85" s="2">
        <v>0.58399999999999996</v>
      </c>
      <c r="Q85" s="2">
        <v>0.58399999999999996</v>
      </c>
      <c r="R85" s="2">
        <v>1.8</v>
      </c>
      <c r="S85" s="2">
        <v>3.2</v>
      </c>
      <c r="T85" s="2">
        <v>0.55800000000000005</v>
      </c>
      <c r="U85" s="2">
        <v>5.9</v>
      </c>
      <c r="V85" s="2">
        <v>9</v>
      </c>
      <c r="W85" s="2">
        <v>14.9</v>
      </c>
      <c r="X85" s="2">
        <v>2.1</v>
      </c>
      <c r="Y85" s="2">
        <v>1</v>
      </c>
      <c r="Z85" s="2">
        <v>1.5</v>
      </c>
      <c r="AA85" s="2">
        <v>1.2</v>
      </c>
      <c r="AB85" s="2">
        <v>3.2</v>
      </c>
      <c r="AC85" s="2">
        <v>16.100000000000001</v>
      </c>
      <c r="AD85" s="2"/>
    </row>
    <row r="86" spans="1:30" x14ac:dyDescent="0.2">
      <c r="A86" t="s">
        <v>110</v>
      </c>
      <c r="B86" s="2">
        <v>24</v>
      </c>
      <c r="C86" t="s">
        <v>70</v>
      </c>
      <c r="D86" s="2" t="s">
        <v>52</v>
      </c>
      <c r="E86" s="2">
        <v>23</v>
      </c>
      <c r="F86" s="2">
        <v>23</v>
      </c>
      <c r="G86" s="2">
        <v>751</v>
      </c>
      <c r="H86" s="2">
        <v>6.7</v>
      </c>
      <c r="I86" s="2">
        <v>15.7</v>
      </c>
      <c r="J86" s="2">
        <v>0.42399999999999999</v>
      </c>
      <c r="K86" s="2">
        <v>3.6</v>
      </c>
      <c r="L86" s="2">
        <v>9.8000000000000007</v>
      </c>
      <c r="M86" s="2">
        <v>0.371</v>
      </c>
      <c r="N86" s="2">
        <v>3</v>
      </c>
      <c r="O86" s="2">
        <v>5.9</v>
      </c>
      <c r="P86" s="2">
        <v>0.51200000000000001</v>
      </c>
      <c r="Q86" s="2">
        <v>0.54</v>
      </c>
      <c r="R86" s="2">
        <v>3</v>
      </c>
      <c r="S86" s="2">
        <v>3.4</v>
      </c>
      <c r="T86" s="2">
        <v>0.873</v>
      </c>
      <c r="U86" s="2">
        <v>0.4</v>
      </c>
      <c r="V86" s="2">
        <v>3.7</v>
      </c>
      <c r="W86" s="2">
        <v>4.0999999999999996</v>
      </c>
      <c r="X86" s="2">
        <v>5.2</v>
      </c>
      <c r="Y86" s="2">
        <v>1.2</v>
      </c>
      <c r="Z86" s="2">
        <v>0.2</v>
      </c>
      <c r="AA86" s="2">
        <v>2.6</v>
      </c>
      <c r="AB86" s="2">
        <v>2.7</v>
      </c>
      <c r="AC86" s="2">
        <v>19.899999999999999</v>
      </c>
      <c r="AD86" s="2"/>
    </row>
    <row r="87" spans="1:30" x14ac:dyDescent="0.2">
      <c r="A87" t="s">
        <v>225</v>
      </c>
      <c r="B87" s="2">
        <v>29</v>
      </c>
      <c r="C87" t="s">
        <v>59</v>
      </c>
      <c r="D87" s="2" t="s">
        <v>49</v>
      </c>
      <c r="E87" s="2">
        <v>24</v>
      </c>
      <c r="F87" s="2">
        <v>5</v>
      </c>
      <c r="G87" s="2">
        <v>629</v>
      </c>
      <c r="H87" s="2">
        <v>4.5</v>
      </c>
      <c r="I87" s="2">
        <v>10.1</v>
      </c>
      <c r="J87" s="2">
        <v>0.441</v>
      </c>
      <c r="K87" s="2">
        <v>1.7</v>
      </c>
      <c r="L87" s="2">
        <v>4.9000000000000004</v>
      </c>
      <c r="M87" s="2">
        <v>0.33700000000000002</v>
      </c>
      <c r="N87" s="2">
        <v>2.8</v>
      </c>
      <c r="O87" s="2">
        <v>5.2</v>
      </c>
      <c r="P87" s="2">
        <v>0.53800000000000003</v>
      </c>
      <c r="Q87" s="2">
        <v>0.52300000000000002</v>
      </c>
      <c r="R87" s="2">
        <v>1.2</v>
      </c>
      <c r="S87" s="2">
        <v>1.8</v>
      </c>
      <c r="T87" s="2">
        <v>0.65600000000000003</v>
      </c>
      <c r="U87" s="2">
        <v>1.5</v>
      </c>
      <c r="V87" s="2">
        <v>5.2</v>
      </c>
      <c r="W87" s="2">
        <v>6.7</v>
      </c>
      <c r="X87" s="2">
        <v>3.3</v>
      </c>
      <c r="Y87" s="2">
        <v>1.5</v>
      </c>
      <c r="Z87" s="2">
        <v>1</v>
      </c>
      <c r="AA87" s="2">
        <v>1.4</v>
      </c>
      <c r="AB87" s="2">
        <v>2.6</v>
      </c>
      <c r="AC87" s="2">
        <v>11.8</v>
      </c>
      <c r="AD87" s="2"/>
    </row>
    <row r="88" spans="1:30" x14ac:dyDescent="0.2">
      <c r="A88" t="s">
        <v>406</v>
      </c>
      <c r="B88" s="2">
        <v>20</v>
      </c>
      <c r="C88" t="s">
        <v>120</v>
      </c>
      <c r="D88" s="2" t="s">
        <v>52</v>
      </c>
      <c r="E88" s="2">
        <v>16</v>
      </c>
      <c r="F88" s="2">
        <v>7</v>
      </c>
      <c r="G88" s="2">
        <v>299</v>
      </c>
      <c r="H88" s="2">
        <v>2.2000000000000002</v>
      </c>
      <c r="I88" s="2">
        <v>8.1</v>
      </c>
      <c r="J88" s="2">
        <v>0.26900000000000002</v>
      </c>
      <c r="K88" s="2">
        <v>0.8</v>
      </c>
      <c r="L88" s="2">
        <v>4.5</v>
      </c>
      <c r="M88" s="2">
        <v>0.189</v>
      </c>
      <c r="N88" s="2">
        <v>1.3</v>
      </c>
      <c r="O88" s="2">
        <v>3.6</v>
      </c>
      <c r="P88" s="2">
        <v>0.36699999999999999</v>
      </c>
      <c r="Q88" s="2">
        <v>0.32100000000000001</v>
      </c>
      <c r="R88" s="2">
        <v>0.7</v>
      </c>
      <c r="S88" s="2">
        <v>1.2</v>
      </c>
      <c r="T88" s="2">
        <v>0.6</v>
      </c>
      <c r="U88" s="2">
        <v>1</v>
      </c>
      <c r="V88" s="2">
        <v>3.5</v>
      </c>
      <c r="W88" s="2">
        <v>4.5</v>
      </c>
      <c r="X88" s="2">
        <v>2.2999999999999998</v>
      </c>
      <c r="Y88" s="2">
        <v>0.8</v>
      </c>
      <c r="Z88" s="2">
        <v>0.6</v>
      </c>
      <c r="AA88" s="2">
        <v>1.3</v>
      </c>
      <c r="AB88" s="2">
        <v>2.4</v>
      </c>
      <c r="AC88" s="2">
        <v>5.9</v>
      </c>
      <c r="AD88" s="2"/>
    </row>
    <row r="89" spans="1:30" x14ac:dyDescent="0.2">
      <c r="A89" t="s">
        <v>466</v>
      </c>
      <c r="B89" s="2">
        <v>22</v>
      </c>
      <c r="C89" t="s">
        <v>37</v>
      </c>
      <c r="D89" s="2" t="s">
        <v>52</v>
      </c>
      <c r="E89" s="2">
        <v>16</v>
      </c>
      <c r="F89" s="2">
        <v>0</v>
      </c>
      <c r="G89" s="2">
        <v>82</v>
      </c>
      <c r="H89" s="2">
        <v>3.5</v>
      </c>
      <c r="I89" s="2">
        <v>8.3000000000000007</v>
      </c>
      <c r="J89" s="2">
        <v>0.42099999999999999</v>
      </c>
      <c r="K89" s="2">
        <v>1.8</v>
      </c>
      <c r="L89" s="2">
        <v>3.1</v>
      </c>
      <c r="M89" s="2">
        <v>0.57099999999999995</v>
      </c>
      <c r="N89" s="2">
        <v>1.8</v>
      </c>
      <c r="O89" s="2">
        <v>5.3</v>
      </c>
      <c r="P89" s="2">
        <v>0.33300000000000002</v>
      </c>
      <c r="Q89" s="2">
        <v>0.52600000000000002</v>
      </c>
      <c r="R89" s="2">
        <v>0</v>
      </c>
      <c r="S89" s="2">
        <v>0</v>
      </c>
      <c r="T89" s="2"/>
      <c r="U89" s="2">
        <v>1.8</v>
      </c>
      <c r="V89" s="2">
        <v>4.4000000000000004</v>
      </c>
      <c r="W89" s="2">
        <v>6.1</v>
      </c>
      <c r="X89" s="2">
        <v>1.8</v>
      </c>
      <c r="Y89" s="2">
        <v>1.8</v>
      </c>
      <c r="Z89" s="2">
        <v>1.8</v>
      </c>
      <c r="AA89" s="2">
        <v>2.6</v>
      </c>
      <c r="AB89" s="2">
        <v>3.5</v>
      </c>
      <c r="AC89" s="2">
        <v>8.8000000000000007</v>
      </c>
      <c r="AD89" s="2"/>
    </row>
    <row r="90" spans="1:30" x14ac:dyDescent="0.2">
      <c r="A90" t="s">
        <v>308</v>
      </c>
      <c r="B90" s="2">
        <v>24</v>
      </c>
      <c r="C90" t="s">
        <v>48</v>
      </c>
      <c r="D90" s="2" t="s">
        <v>33</v>
      </c>
      <c r="E90" s="2">
        <v>24</v>
      </c>
      <c r="F90" s="2">
        <v>0</v>
      </c>
      <c r="G90" s="2">
        <v>265</v>
      </c>
      <c r="H90" s="2">
        <v>5.8</v>
      </c>
      <c r="I90" s="2">
        <v>15.5</v>
      </c>
      <c r="J90" s="2">
        <v>0.377</v>
      </c>
      <c r="K90" s="2">
        <v>2.2000000000000002</v>
      </c>
      <c r="L90" s="2">
        <v>6.8</v>
      </c>
      <c r="M90" s="2">
        <v>0.32</v>
      </c>
      <c r="N90" s="2">
        <v>3.7</v>
      </c>
      <c r="O90" s="2">
        <v>8.6999999999999993</v>
      </c>
      <c r="P90" s="2">
        <v>0.42199999999999999</v>
      </c>
      <c r="Q90" s="2">
        <v>0.44700000000000001</v>
      </c>
      <c r="R90" s="2">
        <v>3.1</v>
      </c>
      <c r="S90" s="2">
        <v>4.3</v>
      </c>
      <c r="T90" s="2">
        <v>0.71899999999999997</v>
      </c>
      <c r="U90" s="2">
        <v>1.1000000000000001</v>
      </c>
      <c r="V90" s="2">
        <v>5.3</v>
      </c>
      <c r="W90" s="2">
        <v>6.4</v>
      </c>
      <c r="X90" s="2">
        <v>6</v>
      </c>
      <c r="Y90" s="2">
        <v>1.4</v>
      </c>
      <c r="Z90" s="2">
        <v>0.4</v>
      </c>
      <c r="AA90" s="2">
        <v>3.8</v>
      </c>
      <c r="AB90" s="2">
        <v>4.5</v>
      </c>
      <c r="AC90" s="2">
        <v>17</v>
      </c>
      <c r="AD90" s="2"/>
    </row>
    <row r="91" spans="1:30" x14ac:dyDescent="0.2">
      <c r="A91" t="s">
        <v>566</v>
      </c>
      <c r="B91" s="2">
        <v>25</v>
      </c>
      <c r="C91" t="s">
        <v>75</v>
      </c>
      <c r="D91" s="2" t="s">
        <v>49</v>
      </c>
      <c r="E91" s="2">
        <v>2</v>
      </c>
      <c r="F91" s="2">
        <v>0</v>
      </c>
      <c r="G91" s="2">
        <v>13</v>
      </c>
      <c r="H91" s="2">
        <v>0</v>
      </c>
      <c r="I91" s="2">
        <v>13.8</v>
      </c>
      <c r="J91" s="2">
        <v>0</v>
      </c>
      <c r="K91" s="2">
        <v>0</v>
      </c>
      <c r="L91" s="2">
        <v>13.8</v>
      </c>
      <c r="M91" s="2">
        <v>0</v>
      </c>
      <c r="N91" s="2">
        <v>0</v>
      </c>
      <c r="O91" s="2">
        <v>0</v>
      </c>
      <c r="P91" s="2"/>
      <c r="Q91" s="2">
        <v>0</v>
      </c>
      <c r="R91" s="2">
        <v>0</v>
      </c>
      <c r="S91" s="2">
        <v>0</v>
      </c>
      <c r="T91" s="2"/>
      <c r="U91" s="2">
        <v>0</v>
      </c>
      <c r="V91" s="2">
        <v>5.5</v>
      </c>
      <c r="W91" s="2">
        <v>5.5</v>
      </c>
      <c r="X91" s="2">
        <v>2.8</v>
      </c>
      <c r="Y91" s="2">
        <v>0</v>
      </c>
      <c r="Z91" s="2">
        <v>0</v>
      </c>
      <c r="AA91" s="2">
        <v>0</v>
      </c>
      <c r="AB91" s="2">
        <v>2.8</v>
      </c>
      <c r="AC91" s="2">
        <v>0</v>
      </c>
      <c r="AD91" s="2"/>
    </row>
    <row r="92" spans="1:30" x14ac:dyDescent="0.2">
      <c r="A92" t="s">
        <v>496</v>
      </c>
      <c r="B92" s="2">
        <v>24</v>
      </c>
      <c r="C92" t="s">
        <v>80</v>
      </c>
      <c r="D92" s="2" t="s">
        <v>42</v>
      </c>
      <c r="E92" s="2">
        <v>7</v>
      </c>
      <c r="F92" s="2">
        <v>0</v>
      </c>
      <c r="G92" s="2">
        <v>21</v>
      </c>
      <c r="H92" s="2">
        <v>1.7</v>
      </c>
      <c r="I92" s="2">
        <v>6.9</v>
      </c>
      <c r="J92" s="2">
        <v>0.25</v>
      </c>
      <c r="K92" s="2">
        <v>0</v>
      </c>
      <c r="L92" s="2">
        <v>3.4</v>
      </c>
      <c r="M92" s="2">
        <v>0</v>
      </c>
      <c r="N92" s="2">
        <v>1.7</v>
      </c>
      <c r="O92" s="2">
        <v>3.4</v>
      </c>
      <c r="P92" s="2">
        <v>0.5</v>
      </c>
      <c r="Q92" s="2">
        <v>0.25</v>
      </c>
      <c r="R92" s="2">
        <v>13.7</v>
      </c>
      <c r="S92" s="2">
        <v>13.7</v>
      </c>
      <c r="T92" s="2">
        <v>1</v>
      </c>
      <c r="U92" s="2">
        <v>3.4</v>
      </c>
      <c r="V92" s="2">
        <v>8.6</v>
      </c>
      <c r="W92" s="2">
        <v>12</v>
      </c>
      <c r="X92" s="2">
        <v>0</v>
      </c>
      <c r="Y92" s="2">
        <v>0</v>
      </c>
      <c r="Z92" s="2">
        <v>1.7</v>
      </c>
      <c r="AA92" s="2">
        <v>0</v>
      </c>
      <c r="AB92" s="2">
        <v>5.0999999999999996</v>
      </c>
      <c r="AC92" s="2">
        <v>17.100000000000001</v>
      </c>
      <c r="AD92" s="2"/>
    </row>
    <row r="93" spans="1:30" x14ac:dyDescent="0.2">
      <c r="A93" t="s">
        <v>536</v>
      </c>
      <c r="B93" s="2">
        <v>25</v>
      </c>
      <c r="C93" t="s">
        <v>54</v>
      </c>
      <c r="D93" s="2" t="s">
        <v>33</v>
      </c>
      <c r="E93" s="2">
        <v>1</v>
      </c>
      <c r="F93" s="2">
        <v>0</v>
      </c>
      <c r="G93" s="2">
        <v>3</v>
      </c>
      <c r="H93" s="2">
        <v>12</v>
      </c>
      <c r="I93" s="2">
        <v>24</v>
      </c>
      <c r="J93" s="2">
        <v>0.5</v>
      </c>
      <c r="K93" s="2">
        <v>12</v>
      </c>
      <c r="L93" s="2">
        <v>12</v>
      </c>
      <c r="M93" s="2">
        <v>1</v>
      </c>
      <c r="N93" s="2">
        <v>0</v>
      </c>
      <c r="O93" s="2">
        <v>12</v>
      </c>
      <c r="P93" s="2">
        <v>0</v>
      </c>
      <c r="Q93" s="2">
        <v>0.75</v>
      </c>
      <c r="R93" s="2">
        <v>0</v>
      </c>
      <c r="S93" s="2">
        <v>0</v>
      </c>
      <c r="T93" s="2"/>
      <c r="U93" s="2">
        <v>0</v>
      </c>
      <c r="V93" s="2">
        <v>0</v>
      </c>
      <c r="W93" s="2">
        <v>0</v>
      </c>
      <c r="X93" s="2">
        <v>0</v>
      </c>
      <c r="Y93" s="2">
        <v>0</v>
      </c>
      <c r="Z93" s="2">
        <v>0</v>
      </c>
      <c r="AA93" s="2">
        <v>0</v>
      </c>
      <c r="AB93" s="2">
        <v>0</v>
      </c>
      <c r="AC93" s="2">
        <v>36</v>
      </c>
      <c r="AD93" s="2"/>
    </row>
    <row r="94" spans="1:30" x14ac:dyDescent="0.2">
      <c r="A94" t="s">
        <v>123</v>
      </c>
      <c r="B94" s="2">
        <v>26</v>
      </c>
      <c r="C94" t="s">
        <v>120</v>
      </c>
      <c r="D94" s="2" t="s">
        <v>52</v>
      </c>
      <c r="E94" s="2">
        <v>23</v>
      </c>
      <c r="F94" s="2">
        <v>21</v>
      </c>
      <c r="G94" s="2">
        <v>641</v>
      </c>
      <c r="H94" s="2">
        <v>7.5</v>
      </c>
      <c r="I94" s="2">
        <v>15.6</v>
      </c>
      <c r="J94" s="2">
        <v>0.48</v>
      </c>
      <c r="K94" s="2">
        <v>2.2999999999999998</v>
      </c>
      <c r="L94" s="2">
        <v>5.3</v>
      </c>
      <c r="M94" s="2">
        <v>0.432</v>
      </c>
      <c r="N94" s="2">
        <v>5.2</v>
      </c>
      <c r="O94" s="2">
        <v>10.199999999999999</v>
      </c>
      <c r="P94" s="2">
        <v>0.505</v>
      </c>
      <c r="Q94" s="2">
        <v>0.55400000000000005</v>
      </c>
      <c r="R94" s="2">
        <v>4.4000000000000004</v>
      </c>
      <c r="S94" s="2">
        <v>4.9000000000000004</v>
      </c>
      <c r="T94" s="2">
        <v>0.89800000000000002</v>
      </c>
      <c r="U94" s="2">
        <v>1</v>
      </c>
      <c r="V94" s="2">
        <v>2.2999999999999998</v>
      </c>
      <c r="W94" s="2">
        <v>3.3</v>
      </c>
      <c r="X94" s="2">
        <v>4.2</v>
      </c>
      <c r="Y94" s="2">
        <v>0.8</v>
      </c>
      <c r="Z94" s="2">
        <v>0.2</v>
      </c>
      <c r="AA94" s="2">
        <v>3.1</v>
      </c>
      <c r="AB94" s="2">
        <v>2.9</v>
      </c>
      <c r="AC94" s="2">
        <v>21.7</v>
      </c>
      <c r="AD94" s="2"/>
    </row>
    <row r="95" spans="1:30" x14ac:dyDescent="0.2">
      <c r="A95" t="s">
        <v>224</v>
      </c>
      <c r="B95" s="2">
        <v>25</v>
      </c>
      <c r="C95" t="s">
        <v>114</v>
      </c>
      <c r="D95" s="2" t="s">
        <v>49</v>
      </c>
      <c r="E95" s="2">
        <v>19</v>
      </c>
      <c r="F95" s="2">
        <v>0</v>
      </c>
      <c r="G95" s="2">
        <v>525</v>
      </c>
      <c r="H95" s="2">
        <v>5.2</v>
      </c>
      <c r="I95" s="2">
        <v>12.6</v>
      </c>
      <c r="J95" s="2">
        <v>0.41299999999999998</v>
      </c>
      <c r="K95" s="2">
        <v>2.4</v>
      </c>
      <c r="L95" s="2">
        <v>7.7</v>
      </c>
      <c r="M95" s="2">
        <v>0.313</v>
      </c>
      <c r="N95" s="2">
        <v>2.8</v>
      </c>
      <c r="O95" s="2">
        <v>4.9000000000000004</v>
      </c>
      <c r="P95" s="2">
        <v>0.56899999999999995</v>
      </c>
      <c r="Q95" s="2">
        <v>0.50800000000000001</v>
      </c>
      <c r="R95" s="2">
        <v>1.4</v>
      </c>
      <c r="S95" s="2">
        <v>1.6</v>
      </c>
      <c r="T95" s="2">
        <v>0.83299999999999996</v>
      </c>
      <c r="U95" s="2">
        <v>0.5</v>
      </c>
      <c r="V95" s="2">
        <v>4</v>
      </c>
      <c r="W95" s="2">
        <v>4.5</v>
      </c>
      <c r="X95" s="2">
        <v>1.9</v>
      </c>
      <c r="Y95" s="2">
        <v>0.8</v>
      </c>
      <c r="Z95" s="2">
        <v>0.2</v>
      </c>
      <c r="AA95" s="2">
        <v>1.4</v>
      </c>
      <c r="AB95" s="2">
        <v>2.2000000000000002</v>
      </c>
      <c r="AC95" s="2">
        <v>14.2</v>
      </c>
      <c r="AD95" s="2"/>
    </row>
    <row r="96" spans="1:30" x14ac:dyDescent="0.2">
      <c r="A96" t="s">
        <v>485</v>
      </c>
      <c r="B96" s="2">
        <v>33</v>
      </c>
      <c r="C96" t="s">
        <v>48</v>
      </c>
      <c r="D96" s="2" t="s">
        <v>33</v>
      </c>
      <c r="E96" s="2">
        <v>13</v>
      </c>
      <c r="F96" s="2">
        <v>0</v>
      </c>
      <c r="G96" s="2">
        <v>46</v>
      </c>
      <c r="H96" s="2">
        <v>3.9</v>
      </c>
      <c r="I96" s="2">
        <v>11.7</v>
      </c>
      <c r="J96" s="2">
        <v>0.33300000000000002</v>
      </c>
      <c r="K96" s="2">
        <v>3.9</v>
      </c>
      <c r="L96" s="2">
        <v>9.4</v>
      </c>
      <c r="M96" s="2">
        <v>0.41699999999999998</v>
      </c>
      <c r="N96" s="2">
        <v>0</v>
      </c>
      <c r="O96" s="2">
        <v>2.2999999999999998</v>
      </c>
      <c r="P96" s="2">
        <v>0</v>
      </c>
      <c r="Q96" s="2">
        <v>0.5</v>
      </c>
      <c r="R96" s="2">
        <v>0</v>
      </c>
      <c r="S96" s="2">
        <v>0</v>
      </c>
      <c r="T96" s="2"/>
      <c r="U96" s="2">
        <v>2.2999999999999998</v>
      </c>
      <c r="V96" s="2">
        <v>4.7</v>
      </c>
      <c r="W96" s="2">
        <v>7</v>
      </c>
      <c r="X96" s="2">
        <v>7</v>
      </c>
      <c r="Y96" s="2">
        <v>1.6</v>
      </c>
      <c r="Z96" s="2">
        <v>1.6</v>
      </c>
      <c r="AA96" s="2">
        <v>1.6</v>
      </c>
      <c r="AB96" s="2">
        <v>2.2999999999999998</v>
      </c>
      <c r="AC96" s="2">
        <v>11.7</v>
      </c>
      <c r="AD96" s="2"/>
    </row>
    <row r="97" spans="1:30" x14ac:dyDescent="0.2">
      <c r="A97" t="s">
        <v>415</v>
      </c>
      <c r="B97" s="2">
        <v>24</v>
      </c>
      <c r="C97" t="s">
        <v>57</v>
      </c>
      <c r="D97" s="2" t="s">
        <v>33</v>
      </c>
      <c r="E97" s="2">
        <v>16</v>
      </c>
      <c r="F97" s="2">
        <v>0</v>
      </c>
      <c r="G97" s="2">
        <v>151</v>
      </c>
      <c r="H97" s="2">
        <v>4.3</v>
      </c>
      <c r="I97" s="2">
        <v>7.4</v>
      </c>
      <c r="J97" s="2">
        <v>0.58099999999999996</v>
      </c>
      <c r="K97" s="2">
        <v>1.2</v>
      </c>
      <c r="L97" s="2">
        <v>2.6</v>
      </c>
      <c r="M97" s="2">
        <v>0.45500000000000002</v>
      </c>
      <c r="N97" s="2">
        <v>3.1</v>
      </c>
      <c r="O97" s="2">
        <v>4.8</v>
      </c>
      <c r="P97" s="2">
        <v>0.65</v>
      </c>
      <c r="Q97" s="2">
        <v>0.66100000000000003</v>
      </c>
      <c r="R97" s="2">
        <v>0.7</v>
      </c>
      <c r="S97" s="2">
        <v>1.2</v>
      </c>
      <c r="T97" s="2">
        <v>0.6</v>
      </c>
      <c r="U97" s="2">
        <v>0.2</v>
      </c>
      <c r="V97" s="2">
        <v>3.1</v>
      </c>
      <c r="W97" s="2">
        <v>3.3</v>
      </c>
      <c r="X97" s="2">
        <v>5.2</v>
      </c>
      <c r="Y97" s="2">
        <v>1.2</v>
      </c>
      <c r="Z97" s="2">
        <v>1.4</v>
      </c>
      <c r="AA97" s="2">
        <v>2.1</v>
      </c>
      <c r="AB97" s="2">
        <v>1.7</v>
      </c>
      <c r="AC97" s="2">
        <v>10.5</v>
      </c>
      <c r="AD97" s="2"/>
    </row>
    <row r="98" spans="1:30" x14ac:dyDescent="0.2">
      <c r="A98" t="s">
        <v>534</v>
      </c>
      <c r="B98" s="2">
        <v>21</v>
      </c>
      <c r="C98" t="s">
        <v>103</v>
      </c>
      <c r="D98" s="2" t="s">
        <v>52</v>
      </c>
      <c r="E98" s="2">
        <v>5</v>
      </c>
      <c r="F98" s="2">
        <v>0</v>
      </c>
      <c r="G98" s="2">
        <v>10</v>
      </c>
      <c r="H98" s="2">
        <v>3.6</v>
      </c>
      <c r="I98" s="2">
        <v>25.2</v>
      </c>
      <c r="J98" s="2">
        <v>0.14299999999999999</v>
      </c>
      <c r="K98" s="2">
        <v>0</v>
      </c>
      <c r="L98" s="2">
        <v>10.8</v>
      </c>
      <c r="M98" s="2">
        <v>0</v>
      </c>
      <c r="N98" s="2">
        <v>3.6</v>
      </c>
      <c r="O98" s="2">
        <v>14.4</v>
      </c>
      <c r="P98" s="2">
        <v>0.25</v>
      </c>
      <c r="Q98" s="2">
        <v>0.14299999999999999</v>
      </c>
      <c r="R98" s="2">
        <v>3.6</v>
      </c>
      <c r="S98" s="2">
        <v>7.2</v>
      </c>
      <c r="T98" s="2">
        <v>0.5</v>
      </c>
      <c r="U98" s="2">
        <v>0</v>
      </c>
      <c r="V98" s="2">
        <v>7.2</v>
      </c>
      <c r="W98" s="2">
        <v>7.2</v>
      </c>
      <c r="X98" s="2">
        <v>0</v>
      </c>
      <c r="Y98" s="2">
        <v>0</v>
      </c>
      <c r="Z98" s="2">
        <v>0</v>
      </c>
      <c r="AA98" s="2">
        <v>0</v>
      </c>
      <c r="AB98" s="2">
        <v>0</v>
      </c>
      <c r="AC98" s="2">
        <v>10.8</v>
      </c>
      <c r="AD98" s="2"/>
    </row>
    <row r="99" spans="1:30" x14ac:dyDescent="0.2">
      <c r="A99" t="s">
        <v>533</v>
      </c>
      <c r="B99" s="2">
        <v>24</v>
      </c>
      <c r="C99" t="s">
        <v>66</v>
      </c>
      <c r="D99" s="2" t="s">
        <v>52</v>
      </c>
      <c r="E99" s="2">
        <v>4</v>
      </c>
      <c r="F99" s="2">
        <v>0</v>
      </c>
      <c r="G99" s="2">
        <v>33</v>
      </c>
      <c r="H99" s="2">
        <v>1.1000000000000001</v>
      </c>
      <c r="I99" s="2">
        <v>7.6</v>
      </c>
      <c r="J99" s="2">
        <v>0.14299999999999999</v>
      </c>
      <c r="K99" s="2">
        <v>0</v>
      </c>
      <c r="L99" s="2">
        <v>3.3</v>
      </c>
      <c r="M99" s="2">
        <v>0</v>
      </c>
      <c r="N99" s="2">
        <v>1.1000000000000001</v>
      </c>
      <c r="O99" s="2">
        <v>4.4000000000000004</v>
      </c>
      <c r="P99" s="2">
        <v>0.25</v>
      </c>
      <c r="Q99" s="2">
        <v>0.14299999999999999</v>
      </c>
      <c r="R99" s="2">
        <v>1.1000000000000001</v>
      </c>
      <c r="S99" s="2">
        <v>1.1000000000000001</v>
      </c>
      <c r="T99" s="2">
        <v>1</v>
      </c>
      <c r="U99" s="2">
        <v>0</v>
      </c>
      <c r="V99" s="2">
        <v>4.4000000000000004</v>
      </c>
      <c r="W99" s="2">
        <v>4.4000000000000004</v>
      </c>
      <c r="X99" s="2">
        <v>3.3</v>
      </c>
      <c r="Y99" s="2">
        <v>2.2000000000000002</v>
      </c>
      <c r="Z99" s="2">
        <v>0</v>
      </c>
      <c r="AA99" s="2">
        <v>4.4000000000000004</v>
      </c>
      <c r="AB99" s="2">
        <v>1.1000000000000001</v>
      </c>
      <c r="AC99" s="2">
        <v>3.3</v>
      </c>
      <c r="AD99" s="2"/>
    </row>
    <row r="100" spans="1:30" x14ac:dyDescent="0.2">
      <c r="A100" t="s">
        <v>157</v>
      </c>
      <c r="B100" s="2">
        <v>28</v>
      </c>
      <c r="C100" t="s">
        <v>41</v>
      </c>
      <c r="D100" s="2" t="s">
        <v>33</v>
      </c>
      <c r="E100" s="2">
        <v>23</v>
      </c>
      <c r="F100" s="2">
        <v>10</v>
      </c>
      <c r="G100" s="2">
        <v>629</v>
      </c>
      <c r="H100" s="2">
        <v>6.1</v>
      </c>
      <c r="I100" s="2">
        <v>14.4</v>
      </c>
      <c r="J100" s="2">
        <v>0.42199999999999999</v>
      </c>
      <c r="K100" s="2">
        <v>2.6</v>
      </c>
      <c r="L100" s="2">
        <v>7.7</v>
      </c>
      <c r="M100" s="2">
        <v>0.34300000000000003</v>
      </c>
      <c r="N100" s="2">
        <v>3.4</v>
      </c>
      <c r="O100" s="2">
        <v>6.7</v>
      </c>
      <c r="P100" s="2">
        <v>0.51300000000000001</v>
      </c>
      <c r="Q100" s="2">
        <v>0.51400000000000001</v>
      </c>
      <c r="R100" s="2">
        <v>2.2000000000000002</v>
      </c>
      <c r="S100" s="2">
        <v>2.6</v>
      </c>
      <c r="T100" s="2">
        <v>0.86699999999999999</v>
      </c>
      <c r="U100" s="2">
        <v>0.4</v>
      </c>
      <c r="V100" s="2">
        <v>3.1</v>
      </c>
      <c r="W100" s="2">
        <v>3.5</v>
      </c>
      <c r="X100" s="2">
        <v>6.8</v>
      </c>
      <c r="Y100" s="2">
        <v>1.2</v>
      </c>
      <c r="Z100" s="2">
        <v>0.2</v>
      </c>
      <c r="AA100" s="2">
        <v>2.2999999999999998</v>
      </c>
      <c r="AB100" s="2">
        <v>2.5</v>
      </c>
      <c r="AC100" s="2">
        <v>17</v>
      </c>
      <c r="AD100" s="2"/>
    </row>
    <row r="101" spans="1:30" x14ac:dyDescent="0.2">
      <c r="A101" t="s">
        <v>554</v>
      </c>
      <c r="B101" s="2">
        <v>22</v>
      </c>
      <c r="C101" t="s">
        <v>51</v>
      </c>
      <c r="D101" s="2" t="s">
        <v>33</v>
      </c>
      <c r="E101" s="2">
        <v>3</v>
      </c>
      <c r="F101" s="2">
        <v>0</v>
      </c>
      <c r="G101" s="2">
        <v>13</v>
      </c>
      <c r="H101" s="2">
        <v>0</v>
      </c>
      <c r="I101" s="2">
        <v>2.8</v>
      </c>
      <c r="J101" s="2">
        <v>0</v>
      </c>
      <c r="K101" s="2">
        <v>0</v>
      </c>
      <c r="L101" s="2">
        <v>2.8</v>
      </c>
      <c r="M101" s="2">
        <v>0</v>
      </c>
      <c r="N101" s="2">
        <v>0</v>
      </c>
      <c r="O101" s="2">
        <v>0</v>
      </c>
      <c r="P101" s="2"/>
      <c r="Q101" s="2">
        <v>0</v>
      </c>
      <c r="R101" s="2">
        <v>2.8</v>
      </c>
      <c r="S101" s="2">
        <v>5.5</v>
      </c>
      <c r="T101" s="2">
        <v>0.5</v>
      </c>
      <c r="U101" s="2">
        <v>0</v>
      </c>
      <c r="V101" s="2">
        <v>11.1</v>
      </c>
      <c r="W101" s="2">
        <v>11.1</v>
      </c>
      <c r="X101" s="2">
        <v>8.3000000000000007</v>
      </c>
      <c r="Y101" s="2">
        <v>0</v>
      </c>
      <c r="Z101" s="2">
        <v>0</v>
      </c>
      <c r="AA101" s="2">
        <v>11.1</v>
      </c>
      <c r="AB101" s="2">
        <v>2.8</v>
      </c>
      <c r="AC101" s="2">
        <v>2.8</v>
      </c>
      <c r="AD101" s="2"/>
    </row>
    <row r="102" spans="1:30" x14ac:dyDescent="0.2">
      <c r="A102" t="s">
        <v>209</v>
      </c>
      <c r="B102" s="2">
        <v>25</v>
      </c>
      <c r="C102" t="s">
        <v>135</v>
      </c>
      <c r="D102" s="2" t="s">
        <v>33</v>
      </c>
      <c r="E102" s="2">
        <v>22</v>
      </c>
      <c r="F102" s="2">
        <v>0</v>
      </c>
      <c r="G102" s="2">
        <v>378</v>
      </c>
      <c r="H102" s="2">
        <v>7.7</v>
      </c>
      <c r="I102" s="2">
        <v>17.8</v>
      </c>
      <c r="J102" s="2">
        <v>0.433</v>
      </c>
      <c r="K102" s="2">
        <v>2.9</v>
      </c>
      <c r="L102" s="2">
        <v>7.4</v>
      </c>
      <c r="M102" s="2">
        <v>0.38500000000000001</v>
      </c>
      <c r="N102" s="2">
        <v>4.9000000000000004</v>
      </c>
      <c r="O102" s="2">
        <v>10.4</v>
      </c>
      <c r="P102" s="2">
        <v>0.46800000000000003</v>
      </c>
      <c r="Q102" s="2">
        <v>0.51300000000000001</v>
      </c>
      <c r="R102" s="2">
        <v>3.3</v>
      </c>
      <c r="S102" s="2">
        <v>5</v>
      </c>
      <c r="T102" s="2">
        <v>0.67300000000000004</v>
      </c>
      <c r="U102" s="2">
        <v>0.7</v>
      </c>
      <c r="V102" s="2">
        <v>4.2</v>
      </c>
      <c r="W102" s="2">
        <v>4.9000000000000004</v>
      </c>
      <c r="X102" s="2">
        <v>5.5</v>
      </c>
      <c r="Y102" s="2">
        <v>2</v>
      </c>
      <c r="Z102" s="2">
        <v>1.2</v>
      </c>
      <c r="AA102" s="2">
        <v>3.6</v>
      </c>
      <c r="AB102" s="2">
        <v>2.2999999999999998</v>
      </c>
      <c r="AC102" s="2">
        <v>21.6</v>
      </c>
      <c r="AD102" s="2"/>
    </row>
    <row r="103" spans="1:30" x14ac:dyDescent="0.2">
      <c r="A103" t="s">
        <v>330</v>
      </c>
      <c r="B103" s="2">
        <v>22</v>
      </c>
      <c r="C103" t="s">
        <v>70</v>
      </c>
      <c r="D103" s="2" t="s">
        <v>52</v>
      </c>
      <c r="E103" s="2">
        <v>25</v>
      </c>
      <c r="F103" s="2">
        <v>0</v>
      </c>
      <c r="G103" s="2">
        <v>337</v>
      </c>
      <c r="H103" s="2">
        <v>4</v>
      </c>
      <c r="I103" s="2">
        <v>7.9</v>
      </c>
      <c r="J103" s="2">
        <v>0.5</v>
      </c>
      <c r="K103" s="2">
        <v>1.1000000000000001</v>
      </c>
      <c r="L103" s="2">
        <v>2.9</v>
      </c>
      <c r="M103" s="2">
        <v>0.37</v>
      </c>
      <c r="N103" s="2">
        <v>2.9</v>
      </c>
      <c r="O103" s="2">
        <v>5</v>
      </c>
      <c r="P103" s="2">
        <v>0.57399999999999995</v>
      </c>
      <c r="Q103" s="2">
        <v>0.56799999999999995</v>
      </c>
      <c r="R103" s="2">
        <v>2.4</v>
      </c>
      <c r="S103" s="2">
        <v>3</v>
      </c>
      <c r="T103" s="2">
        <v>0.78600000000000003</v>
      </c>
      <c r="U103" s="2">
        <v>1.7</v>
      </c>
      <c r="V103" s="2">
        <v>2</v>
      </c>
      <c r="W103" s="2">
        <v>3.7</v>
      </c>
      <c r="X103" s="2">
        <v>2.5</v>
      </c>
      <c r="Y103" s="2">
        <v>1.6</v>
      </c>
      <c r="Z103" s="2">
        <v>0.7</v>
      </c>
      <c r="AA103" s="2">
        <v>2.2000000000000002</v>
      </c>
      <c r="AB103" s="2">
        <v>3.7</v>
      </c>
      <c r="AC103" s="2">
        <v>11.3</v>
      </c>
      <c r="AD103" s="2"/>
    </row>
    <row r="104" spans="1:30" x14ac:dyDescent="0.2">
      <c r="A104" t="s">
        <v>184</v>
      </c>
      <c r="B104" s="2">
        <v>23</v>
      </c>
      <c r="C104" t="s">
        <v>41</v>
      </c>
      <c r="D104" s="2" t="s">
        <v>49</v>
      </c>
      <c r="E104" s="2">
        <v>24</v>
      </c>
      <c r="F104" s="2">
        <v>12</v>
      </c>
      <c r="G104" s="2">
        <v>583</v>
      </c>
      <c r="H104" s="2">
        <v>6.1</v>
      </c>
      <c r="I104" s="2">
        <v>13</v>
      </c>
      <c r="J104" s="2">
        <v>0.46899999999999997</v>
      </c>
      <c r="K104" s="2">
        <v>3.1</v>
      </c>
      <c r="L104" s="2">
        <v>7.9</v>
      </c>
      <c r="M104" s="2">
        <v>0.39100000000000001</v>
      </c>
      <c r="N104" s="2">
        <v>3</v>
      </c>
      <c r="O104" s="2">
        <v>5.0999999999999996</v>
      </c>
      <c r="P104" s="2">
        <v>0.59</v>
      </c>
      <c r="Q104" s="2">
        <v>0.58799999999999997</v>
      </c>
      <c r="R104" s="2">
        <v>1</v>
      </c>
      <c r="S104" s="2">
        <v>1.4</v>
      </c>
      <c r="T104" s="2">
        <v>0.77300000000000002</v>
      </c>
      <c r="U104" s="2">
        <v>0.9</v>
      </c>
      <c r="V104" s="2">
        <v>4.3</v>
      </c>
      <c r="W104" s="2">
        <v>5.2</v>
      </c>
      <c r="X104" s="2">
        <v>1.7</v>
      </c>
      <c r="Y104" s="2">
        <v>0.8</v>
      </c>
      <c r="Z104" s="2">
        <v>0.1</v>
      </c>
      <c r="AA104" s="2">
        <v>0.8</v>
      </c>
      <c r="AB104" s="2">
        <v>2.2999999999999998</v>
      </c>
      <c r="AC104" s="2">
        <v>16.399999999999999</v>
      </c>
      <c r="AD104" s="2"/>
    </row>
    <row r="105" spans="1:30" x14ac:dyDescent="0.2">
      <c r="A105" t="s">
        <v>64</v>
      </c>
      <c r="B105" s="2">
        <v>34</v>
      </c>
      <c r="C105" t="s">
        <v>35</v>
      </c>
      <c r="D105" s="2" t="s">
        <v>33</v>
      </c>
      <c r="E105" s="2">
        <v>21</v>
      </c>
      <c r="F105" s="2">
        <v>21</v>
      </c>
      <c r="G105" s="2">
        <v>763</v>
      </c>
      <c r="H105" s="2">
        <v>7.8</v>
      </c>
      <c r="I105" s="2">
        <v>17.3</v>
      </c>
      <c r="J105" s="2">
        <v>0.45400000000000001</v>
      </c>
      <c r="K105" s="2">
        <v>3.3</v>
      </c>
      <c r="L105" s="2">
        <v>9</v>
      </c>
      <c r="M105" s="2">
        <v>0.372</v>
      </c>
      <c r="N105" s="2">
        <v>4.5</v>
      </c>
      <c r="O105" s="2">
        <v>8.3000000000000007</v>
      </c>
      <c r="P105" s="2">
        <v>0.54300000000000004</v>
      </c>
      <c r="Q105" s="2">
        <v>0.55100000000000005</v>
      </c>
      <c r="R105" s="2">
        <v>6.5</v>
      </c>
      <c r="S105" s="2">
        <v>7.1</v>
      </c>
      <c r="T105" s="2">
        <v>0.92</v>
      </c>
      <c r="U105" s="2">
        <v>0.6</v>
      </c>
      <c r="V105" s="2">
        <v>3.8</v>
      </c>
      <c r="W105" s="2">
        <v>4.4000000000000004</v>
      </c>
      <c r="X105" s="2">
        <v>7.5</v>
      </c>
      <c r="Y105" s="2">
        <v>0.9</v>
      </c>
      <c r="Z105" s="2">
        <v>0.2</v>
      </c>
      <c r="AA105" s="2">
        <v>3</v>
      </c>
      <c r="AB105" s="2">
        <v>1.8</v>
      </c>
      <c r="AC105" s="2">
        <v>25.5</v>
      </c>
      <c r="AD105" s="2"/>
    </row>
    <row r="106" spans="1:30" x14ac:dyDescent="0.2">
      <c r="A106" t="s">
        <v>486</v>
      </c>
      <c r="B106" s="2">
        <v>32</v>
      </c>
      <c r="C106" t="s">
        <v>54</v>
      </c>
      <c r="D106" s="2" t="s">
        <v>52</v>
      </c>
      <c r="E106" s="2">
        <v>4</v>
      </c>
      <c r="F106" s="2">
        <v>0</v>
      </c>
      <c r="G106" s="2">
        <v>37</v>
      </c>
      <c r="H106" s="2">
        <v>3.9</v>
      </c>
      <c r="I106" s="2">
        <v>13.6</v>
      </c>
      <c r="J106" s="2">
        <v>0.28599999999999998</v>
      </c>
      <c r="K106" s="2">
        <v>1</v>
      </c>
      <c r="L106" s="2">
        <v>8.8000000000000007</v>
      </c>
      <c r="M106" s="2">
        <v>0.111</v>
      </c>
      <c r="N106" s="2">
        <v>2.9</v>
      </c>
      <c r="O106" s="2">
        <v>4.9000000000000004</v>
      </c>
      <c r="P106" s="2">
        <v>0.6</v>
      </c>
      <c r="Q106" s="2">
        <v>0.32100000000000001</v>
      </c>
      <c r="R106" s="2">
        <v>5.8</v>
      </c>
      <c r="S106" s="2">
        <v>5.8</v>
      </c>
      <c r="T106" s="2">
        <v>1</v>
      </c>
      <c r="U106" s="2">
        <v>0</v>
      </c>
      <c r="V106" s="2">
        <v>4.9000000000000004</v>
      </c>
      <c r="W106" s="2">
        <v>4.9000000000000004</v>
      </c>
      <c r="X106" s="2">
        <v>4.9000000000000004</v>
      </c>
      <c r="Y106" s="2">
        <v>1.9</v>
      </c>
      <c r="Z106" s="2">
        <v>0</v>
      </c>
      <c r="AA106" s="2">
        <v>2.9</v>
      </c>
      <c r="AB106" s="2">
        <v>1</v>
      </c>
      <c r="AC106" s="2">
        <v>14.6</v>
      </c>
      <c r="AD106" s="2"/>
    </row>
    <row r="107" spans="1:30" x14ac:dyDescent="0.2">
      <c r="A107" t="s">
        <v>155</v>
      </c>
      <c r="B107" s="2">
        <v>26</v>
      </c>
      <c r="C107" t="s">
        <v>63</v>
      </c>
      <c r="D107" s="2" t="s">
        <v>42</v>
      </c>
      <c r="E107" s="2">
        <v>24</v>
      </c>
      <c r="F107" s="2">
        <v>12</v>
      </c>
      <c r="G107" s="2">
        <v>500</v>
      </c>
      <c r="H107" s="2">
        <v>9.1</v>
      </c>
      <c r="I107" s="2">
        <v>12.4</v>
      </c>
      <c r="J107" s="4">
        <v>0.73799999999999999</v>
      </c>
      <c r="K107" s="2">
        <v>0</v>
      </c>
      <c r="L107" s="2">
        <v>0</v>
      </c>
      <c r="M107" s="2"/>
      <c r="N107" s="2">
        <v>9.1</v>
      </c>
      <c r="O107" s="2">
        <v>12.4</v>
      </c>
      <c r="P107" s="4">
        <v>0.73799999999999999</v>
      </c>
      <c r="Q107" s="4">
        <v>0.73799999999999999</v>
      </c>
      <c r="R107" s="2">
        <v>3.3</v>
      </c>
      <c r="S107" s="2">
        <v>4.9000000000000004</v>
      </c>
      <c r="T107" s="2">
        <v>0.67600000000000005</v>
      </c>
      <c r="U107" s="2">
        <v>4.7</v>
      </c>
      <c r="V107" s="2">
        <v>6.4</v>
      </c>
      <c r="W107" s="2">
        <v>11.1</v>
      </c>
      <c r="X107" s="2">
        <v>2.2000000000000002</v>
      </c>
      <c r="Y107" s="2">
        <v>0.9</v>
      </c>
      <c r="Z107" s="2">
        <v>2.2000000000000002</v>
      </c>
      <c r="AA107" s="2">
        <v>1.6</v>
      </c>
      <c r="AB107" s="2">
        <v>4.3</v>
      </c>
      <c r="AC107" s="2">
        <v>21.6</v>
      </c>
      <c r="AD107" s="2"/>
    </row>
    <row r="108" spans="1:30" x14ac:dyDescent="0.2">
      <c r="A108" t="s">
        <v>380</v>
      </c>
      <c r="B108" s="2">
        <v>32</v>
      </c>
      <c r="C108" t="s">
        <v>117</v>
      </c>
      <c r="D108" s="2" t="s">
        <v>42</v>
      </c>
      <c r="E108" s="2">
        <v>18</v>
      </c>
      <c r="F108" s="2">
        <v>7</v>
      </c>
      <c r="G108" s="2">
        <v>257</v>
      </c>
      <c r="H108" s="2">
        <v>3.6</v>
      </c>
      <c r="I108" s="2">
        <v>8.3000000000000007</v>
      </c>
      <c r="J108" s="2">
        <v>0.441</v>
      </c>
      <c r="K108" s="2">
        <v>0.7</v>
      </c>
      <c r="L108" s="2">
        <v>2.7</v>
      </c>
      <c r="M108" s="2">
        <v>0.26300000000000001</v>
      </c>
      <c r="N108" s="2">
        <v>2.9</v>
      </c>
      <c r="O108" s="2">
        <v>5.6</v>
      </c>
      <c r="P108" s="2">
        <v>0.52500000000000002</v>
      </c>
      <c r="Q108" s="2">
        <v>0.48299999999999998</v>
      </c>
      <c r="R108" s="2">
        <v>1.4</v>
      </c>
      <c r="S108" s="2">
        <v>1.7</v>
      </c>
      <c r="T108" s="2">
        <v>0.83299999999999996</v>
      </c>
      <c r="U108" s="2">
        <v>1.8</v>
      </c>
      <c r="V108" s="2">
        <v>6.6</v>
      </c>
      <c r="W108" s="2">
        <v>8.4</v>
      </c>
      <c r="X108" s="2">
        <v>3.2</v>
      </c>
      <c r="Y108" s="2">
        <v>0.8</v>
      </c>
      <c r="Z108" s="2">
        <v>1.5</v>
      </c>
      <c r="AA108" s="2">
        <v>1.7</v>
      </c>
      <c r="AB108" s="2">
        <v>4.2</v>
      </c>
      <c r="AC108" s="2">
        <v>9.4</v>
      </c>
      <c r="AD108" s="2"/>
    </row>
    <row r="109" spans="1:30" x14ac:dyDescent="0.2">
      <c r="A109" t="s">
        <v>560</v>
      </c>
      <c r="B109" s="2">
        <v>23</v>
      </c>
      <c r="C109" t="s">
        <v>75</v>
      </c>
      <c r="D109" s="2" t="s">
        <v>33</v>
      </c>
      <c r="E109" s="2">
        <v>2</v>
      </c>
      <c r="F109" s="2">
        <v>0</v>
      </c>
      <c r="G109" s="2">
        <v>5</v>
      </c>
      <c r="H109" s="2">
        <v>0</v>
      </c>
      <c r="I109" s="2">
        <v>14.4</v>
      </c>
      <c r="J109" s="2">
        <v>0</v>
      </c>
      <c r="K109" s="2">
        <v>0</v>
      </c>
      <c r="L109" s="2">
        <v>14.4</v>
      </c>
      <c r="M109" s="2">
        <v>0</v>
      </c>
      <c r="N109" s="2">
        <v>0</v>
      </c>
      <c r="O109" s="2">
        <v>0</v>
      </c>
      <c r="P109" s="2"/>
      <c r="Q109" s="2">
        <v>0</v>
      </c>
      <c r="R109" s="2">
        <v>0</v>
      </c>
      <c r="S109" s="2">
        <v>0</v>
      </c>
      <c r="T109" s="2"/>
      <c r="U109" s="2">
        <v>0</v>
      </c>
      <c r="V109" s="2">
        <v>0</v>
      </c>
      <c r="W109" s="2">
        <v>0</v>
      </c>
      <c r="X109" s="2">
        <v>0</v>
      </c>
      <c r="Y109" s="2">
        <v>0</v>
      </c>
      <c r="Z109" s="2">
        <v>0</v>
      </c>
      <c r="AA109" s="2">
        <v>0</v>
      </c>
      <c r="AB109" s="2">
        <v>7.2</v>
      </c>
      <c r="AC109" s="2">
        <v>0</v>
      </c>
      <c r="AD109" s="2"/>
    </row>
    <row r="110" spans="1:30" x14ac:dyDescent="0.2">
      <c r="A110" t="s">
        <v>431</v>
      </c>
      <c r="B110" s="2">
        <v>27</v>
      </c>
      <c r="C110" t="s">
        <v>59</v>
      </c>
      <c r="D110" s="2" t="s">
        <v>52</v>
      </c>
      <c r="E110" s="2">
        <v>3</v>
      </c>
      <c r="F110" s="2">
        <v>0</v>
      </c>
      <c r="G110" s="2">
        <v>61</v>
      </c>
      <c r="H110" s="2">
        <v>7.7</v>
      </c>
      <c r="I110" s="2">
        <v>11.8</v>
      </c>
      <c r="J110" s="2">
        <v>0.65</v>
      </c>
      <c r="K110" s="2">
        <v>3.5</v>
      </c>
      <c r="L110" s="2">
        <v>5.9</v>
      </c>
      <c r="M110" s="2">
        <v>0.6</v>
      </c>
      <c r="N110" s="2">
        <v>4.0999999999999996</v>
      </c>
      <c r="O110" s="2">
        <v>5.9</v>
      </c>
      <c r="P110" s="2">
        <v>0.7</v>
      </c>
      <c r="Q110" s="2">
        <v>0.8</v>
      </c>
      <c r="R110" s="2">
        <v>0.6</v>
      </c>
      <c r="S110" s="2">
        <v>1.2</v>
      </c>
      <c r="T110" s="2">
        <v>0.5</v>
      </c>
      <c r="U110" s="2">
        <v>1.8</v>
      </c>
      <c r="V110" s="2">
        <v>4.7</v>
      </c>
      <c r="W110" s="2">
        <v>6.5</v>
      </c>
      <c r="X110" s="2">
        <v>1.8</v>
      </c>
      <c r="Y110" s="2">
        <v>0.6</v>
      </c>
      <c r="Z110" s="2">
        <v>0.6</v>
      </c>
      <c r="AA110" s="2">
        <v>1.2</v>
      </c>
      <c r="AB110" s="2">
        <v>2.4</v>
      </c>
      <c r="AC110" s="2">
        <v>19.5</v>
      </c>
      <c r="AD110" s="2"/>
    </row>
    <row r="111" spans="1:30" x14ac:dyDescent="0.2">
      <c r="A111" t="s">
        <v>429</v>
      </c>
      <c r="B111" s="2">
        <v>30</v>
      </c>
      <c r="C111" t="s">
        <v>46</v>
      </c>
      <c r="D111" s="2" t="s">
        <v>42</v>
      </c>
      <c r="E111" s="2">
        <v>10</v>
      </c>
      <c r="F111" s="2">
        <v>3</v>
      </c>
      <c r="G111" s="2">
        <v>136</v>
      </c>
      <c r="H111" s="2">
        <v>3.2</v>
      </c>
      <c r="I111" s="2">
        <v>10.6</v>
      </c>
      <c r="J111" s="2">
        <v>0.3</v>
      </c>
      <c r="K111" s="2">
        <v>1.3</v>
      </c>
      <c r="L111" s="2">
        <v>5</v>
      </c>
      <c r="M111" s="2">
        <v>0.26300000000000001</v>
      </c>
      <c r="N111" s="2">
        <v>1.9</v>
      </c>
      <c r="O111" s="2">
        <v>5.6</v>
      </c>
      <c r="P111" s="2">
        <v>0.33300000000000002</v>
      </c>
      <c r="Q111" s="2">
        <v>0.36299999999999999</v>
      </c>
      <c r="R111" s="2">
        <v>1.3</v>
      </c>
      <c r="S111" s="2">
        <v>1.6</v>
      </c>
      <c r="T111" s="2">
        <v>0.83299999999999996</v>
      </c>
      <c r="U111" s="2">
        <v>2.4</v>
      </c>
      <c r="V111" s="2">
        <v>6.9</v>
      </c>
      <c r="W111" s="2">
        <v>9.3000000000000007</v>
      </c>
      <c r="X111" s="2">
        <v>2.9</v>
      </c>
      <c r="Y111" s="2">
        <v>1.6</v>
      </c>
      <c r="Z111" s="2">
        <v>0</v>
      </c>
      <c r="AA111" s="2">
        <v>2.9</v>
      </c>
      <c r="AB111" s="2">
        <v>3.7</v>
      </c>
      <c r="AC111" s="2">
        <v>9</v>
      </c>
      <c r="AD111" s="2"/>
    </row>
    <row r="112" spans="1:30" x14ac:dyDescent="0.2">
      <c r="A112" t="s">
        <v>476</v>
      </c>
      <c r="B112" s="2">
        <v>20</v>
      </c>
      <c r="C112" t="s">
        <v>103</v>
      </c>
      <c r="D112" s="2" t="s">
        <v>49</v>
      </c>
      <c r="E112" s="2">
        <v>3</v>
      </c>
      <c r="F112" s="2">
        <v>0</v>
      </c>
      <c r="G112" s="2">
        <v>26</v>
      </c>
      <c r="H112" s="2">
        <v>8.3000000000000007</v>
      </c>
      <c r="I112" s="2">
        <v>15.2</v>
      </c>
      <c r="J112" s="2">
        <v>0.54500000000000004</v>
      </c>
      <c r="K112" s="2">
        <v>8.3000000000000007</v>
      </c>
      <c r="L112" s="2">
        <v>13.8</v>
      </c>
      <c r="M112" s="2">
        <v>0.6</v>
      </c>
      <c r="N112" s="2">
        <v>0</v>
      </c>
      <c r="O112" s="2">
        <v>1.4</v>
      </c>
      <c r="P112" s="2">
        <v>0</v>
      </c>
      <c r="Q112" s="2">
        <v>0.81799999999999995</v>
      </c>
      <c r="R112" s="2">
        <v>0</v>
      </c>
      <c r="S112" s="2">
        <v>0</v>
      </c>
      <c r="T112" s="2"/>
      <c r="U112" s="2">
        <v>0</v>
      </c>
      <c r="V112" s="2">
        <v>4.2</v>
      </c>
      <c r="W112" s="2">
        <v>4.2</v>
      </c>
      <c r="X112" s="2">
        <v>1.4</v>
      </c>
      <c r="Y112" s="2">
        <v>2.8</v>
      </c>
      <c r="Z112" s="2">
        <v>1.4</v>
      </c>
      <c r="AA112" s="2">
        <v>4.2</v>
      </c>
      <c r="AB112" s="2">
        <v>1.4</v>
      </c>
      <c r="AC112" s="2">
        <v>24.9</v>
      </c>
      <c r="AD112" s="2"/>
    </row>
    <row r="113" spans="1:30" x14ac:dyDescent="0.2">
      <c r="A113" t="s">
        <v>83</v>
      </c>
      <c r="B113" s="2">
        <v>25</v>
      </c>
      <c r="C113" t="s">
        <v>57</v>
      </c>
      <c r="D113" s="2" t="s">
        <v>33</v>
      </c>
      <c r="E113" s="2">
        <v>24</v>
      </c>
      <c r="F113" s="2">
        <v>24</v>
      </c>
      <c r="G113" s="2">
        <v>728</v>
      </c>
      <c r="H113" s="2">
        <v>8.8000000000000007</v>
      </c>
      <c r="I113" s="2">
        <v>18</v>
      </c>
      <c r="J113" s="2">
        <v>0.48799999999999999</v>
      </c>
      <c r="K113" s="2">
        <v>3.4</v>
      </c>
      <c r="L113" s="2">
        <v>8.1</v>
      </c>
      <c r="M113" s="2">
        <v>0.42299999999999999</v>
      </c>
      <c r="N113" s="2">
        <v>5.4</v>
      </c>
      <c r="O113" s="2">
        <v>10</v>
      </c>
      <c r="P113" s="2">
        <v>0.54</v>
      </c>
      <c r="Q113" s="2">
        <v>0.58199999999999996</v>
      </c>
      <c r="R113" s="2">
        <v>3.3</v>
      </c>
      <c r="S113" s="2">
        <v>3.5</v>
      </c>
      <c r="T113" s="2">
        <v>0.94399999999999995</v>
      </c>
      <c r="U113" s="2">
        <v>0.6</v>
      </c>
      <c r="V113" s="2">
        <v>2.2999999999999998</v>
      </c>
      <c r="W113" s="2">
        <v>2.9</v>
      </c>
      <c r="X113" s="2">
        <v>7.7</v>
      </c>
      <c r="Y113" s="2">
        <v>1.1000000000000001</v>
      </c>
      <c r="Z113" s="2">
        <v>0.3</v>
      </c>
      <c r="AA113" s="2">
        <v>2.7</v>
      </c>
      <c r="AB113" s="2">
        <v>3</v>
      </c>
      <c r="AC113" s="2">
        <v>24.3</v>
      </c>
      <c r="AD113" s="2"/>
    </row>
    <row r="114" spans="1:30" x14ac:dyDescent="0.2">
      <c r="A114" t="s">
        <v>535</v>
      </c>
      <c r="B114" s="2">
        <v>25</v>
      </c>
      <c r="C114" t="s">
        <v>93</v>
      </c>
      <c r="D114" s="2" t="s">
        <v>52</v>
      </c>
      <c r="E114" s="2">
        <v>1</v>
      </c>
      <c r="F114" s="2">
        <v>0</v>
      </c>
      <c r="G114" s="2">
        <v>8</v>
      </c>
      <c r="H114" s="2">
        <v>4.5</v>
      </c>
      <c r="I114" s="2">
        <v>18</v>
      </c>
      <c r="J114" s="2">
        <v>0.25</v>
      </c>
      <c r="K114" s="2">
        <v>0</v>
      </c>
      <c r="L114" s="2">
        <v>4.5</v>
      </c>
      <c r="M114" s="2">
        <v>0</v>
      </c>
      <c r="N114" s="2">
        <v>4.5</v>
      </c>
      <c r="O114" s="2">
        <v>13.5</v>
      </c>
      <c r="P114" s="2">
        <v>0.33300000000000002</v>
      </c>
      <c r="Q114" s="2">
        <v>0.25</v>
      </c>
      <c r="R114" s="2">
        <v>4.5</v>
      </c>
      <c r="S114" s="2">
        <v>9</v>
      </c>
      <c r="T114" s="2">
        <v>0.5</v>
      </c>
      <c r="U114" s="2">
        <v>0</v>
      </c>
      <c r="V114" s="2">
        <v>0</v>
      </c>
      <c r="W114" s="2">
        <v>0</v>
      </c>
      <c r="X114" s="2">
        <v>9</v>
      </c>
      <c r="Y114" s="2">
        <v>0</v>
      </c>
      <c r="Z114" s="2">
        <v>0</v>
      </c>
      <c r="AA114" s="2">
        <v>0</v>
      </c>
      <c r="AB114" s="2">
        <v>4.5</v>
      </c>
      <c r="AC114" s="2">
        <v>13.5</v>
      </c>
      <c r="AD114" s="2"/>
    </row>
    <row r="115" spans="1:30" x14ac:dyDescent="0.2">
      <c r="A115" t="s">
        <v>370</v>
      </c>
      <c r="B115" s="2">
        <v>23</v>
      </c>
      <c r="C115" t="s">
        <v>72</v>
      </c>
      <c r="D115" s="2" t="s">
        <v>27</v>
      </c>
      <c r="E115" s="2">
        <v>14</v>
      </c>
      <c r="F115" s="2">
        <v>1</v>
      </c>
      <c r="G115" s="2">
        <v>204</v>
      </c>
      <c r="H115" s="2">
        <v>4.8</v>
      </c>
      <c r="I115" s="2">
        <v>8.5</v>
      </c>
      <c r="J115" s="2">
        <v>0.56299999999999994</v>
      </c>
      <c r="K115" s="2">
        <v>1.8</v>
      </c>
      <c r="L115" s="2">
        <v>4.2</v>
      </c>
      <c r="M115" s="2">
        <v>0.41699999999999998</v>
      </c>
      <c r="N115" s="2">
        <v>3</v>
      </c>
      <c r="O115" s="2">
        <v>4.2</v>
      </c>
      <c r="P115" s="2">
        <v>0.70799999999999996</v>
      </c>
      <c r="Q115" s="2">
        <v>0.66700000000000004</v>
      </c>
      <c r="R115" s="2">
        <v>1.9</v>
      </c>
      <c r="S115" s="2">
        <v>2.2999999999999998</v>
      </c>
      <c r="T115" s="2">
        <v>0.84599999999999997</v>
      </c>
      <c r="U115" s="2">
        <v>0.7</v>
      </c>
      <c r="V115" s="2">
        <v>6.4</v>
      </c>
      <c r="W115" s="2">
        <v>7.1</v>
      </c>
      <c r="X115" s="2">
        <v>3.4</v>
      </c>
      <c r="Y115" s="2">
        <v>1.1000000000000001</v>
      </c>
      <c r="Z115" s="2">
        <v>0.5</v>
      </c>
      <c r="AA115" s="2">
        <v>2.2999999999999998</v>
      </c>
      <c r="AB115" s="2">
        <v>1.9</v>
      </c>
      <c r="AC115" s="2">
        <v>13.2</v>
      </c>
      <c r="AD115" s="2"/>
    </row>
    <row r="116" spans="1:30" x14ac:dyDescent="0.2">
      <c r="A116" t="s">
        <v>249</v>
      </c>
      <c r="B116" s="2">
        <v>26</v>
      </c>
      <c r="C116" t="s">
        <v>66</v>
      </c>
      <c r="D116" s="2" t="s">
        <v>33</v>
      </c>
      <c r="E116" s="2">
        <v>26</v>
      </c>
      <c r="F116" s="2">
        <v>13</v>
      </c>
      <c r="G116" s="2">
        <v>707</v>
      </c>
      <c r="H116" s="2">
        <v>3.4</v>
      </c>
      <c r="I116" s="2">
        <v>8.6</v>
      </c>
      <c r="J116" s="2">
        <v>0.39600000000000002</v>
      </c>
      <c r="K116" s="2">
        <v>1.2</v>
      </c>
      <c r="L116" s="2">
        <v>4.0999999999999996</v>
      </c>
      <c r="M116" s="2">
        <v>0.28399999999999997</v>
      </c>
      <c r="N116" s="2">
        <v>2.2000000000000002</v>
      </c>
      <c r="O116" s="2">
        <v>4.5</v>
      </c>
      <c r="P116" s="2">
        <v>0.5</v>
      </c>
      <c r="Q116" s="2">
        <v>0.46400000000000002</v>
      </c>
      <c r="R116" s="2">
        <v>1.1000000000000001</v>
      </c>
      <c r="S116" s="2">
        <v>1.6</v>
      </c>
      <c r="T116" s="2">
        <v>0.67700000000000005</v>
      </c>
      <c r="U116" s="2">
        <v>0.7</v>
      </c>
      <c r="V116" s="2">
        <v>2.2999999999999998</v>
      </c>
      <c r="W116" s="2">
        <v>3.1</v>
      </c>
      <c r="X116" s="2">
        <v>6.7</v>
      </c>
      <c r="Y116" s="2">
        <v>1.1000000000000001</v>
      </c>
      <c r="Z116" s="2">
        <v>0.3</v>
      </c>
      <c r="AA116" s="2">
        <v>2.5</v>
      </c>
      <c r="AB116" s="2">
        <v>4</v>
      </c>
      <c r="AC116" s="2">
        <v>9.1</v>
      </c>
      <c r="AD116" s="2"/>
    </row>
    <row r="117" spans="1:30" x14ac:dyDescent="0.2">
      <c r="A117" t="s">
        <v>488</v>
      </c>
      <c r="B117" s="2">
        <v>23</v>
      </c>
      <c r="C117" t="s">
        <v>103</v>
      </c>
      <c r="D117" s="2" t="s">
        <v>42</v>
      </c>
      <c r="E117" s="2">
        <v>3</v>
      </c>
      <c r="F117" s="2">
        <v>0</v>
      </c>
      <c r="G117" s="2">
        <v>44</v>
      </c>
      <c r="H117" s="2">
        <v>3.3</v>
      </c>
      <c r="I117" s="2">
        <v>9</v>
      </c>
      <c r="J117" s="2">
        <v>0.36399999999999999</v>
      </c>
      <c r="K117" s="2">
        <v>0.8</v>
      </c>
      <c r="L117" s="2">
        <v>1.6</v>
      </c>
      <c r="M117" s="2">
        <v>0.5</v>
      </c>
      <c r="N117" s="2">
        <v>2.5</v>
      </c>
      <c r="O117" s="2">
        <v>7.4</v>
      </c>
      <c r="P117" s="2">
        <v>0.33300000000000002</v>
      </c>
      <c r="Q117" s="2">
        <v>0.40899999999999997</v>
      </c>
      <c r="R117" s="2">
        <v>4.9000000000000004</v>
      </c>
      <c r="S117" s="2">
        <v>4.9000000000000004</v>
      </c>
      <c r="T117" s="2">
        <v>1</v>
      </c>
      <c r="U117" s="2">
        <v>3.3</v>
      </c>
      <c r="V117" s="2">
        <v>4.0999999999999996</v>
      </c>
      <c r="W117" s="2">
        <v>7.4</v>
      </c>
      <c r="X117" s="2">
        <v>2.5</v>
      </c>
      <c r="Y117" s="2">
        <v>3.3</v>
      </c>
      <c r="Z117" s="2">
        <v>0.8</v>
      </c>
      <c r="AA117" s="2">
        <v>0.8</v>
      </c>
      <c r="AB117" s="2">
        <v>3.3</v>
      </c>
      <c r="AC117" s="2">
        <v>12.3</v>
      </c>
      <c r="AD117" s="2"/>
    </row>
    <row r="118" spans="1:30" x14ac:dyDescent="0.2">
      <c r="A118" t="s">
        <v>36</v>
      </c>
      <c r="B118" s="2">
        <v>27</v>
      </c>
      <c r="C118" t="s">
        <v>37</v>
      </c>
      <c r="D118" s="2" t="s">
        <v>33</v>
      </c>
      <c r="E118" s="2">
        <v>26</v>
      </c>
      <c r="F118" s="2">
        <v>26</v>
      </c>
      <c r="G118" s="4">
        <v>968</v>
      </c>
      <c r="H118" s="2">
        <v>9.4</v>
      </c>
      <c r="I118" s="2">
        <v>19.399999999999999</v>
      </c>
      <c r="J118" s="2">
        <v>0.48399999999999999</v>
      </c>
      <c r="K118" s="2">
        <v>2</v>
      </c>
      <c r="L118" s="2">
        <v>6.1</v>
      </c>
      <c r="M118" s="2">
        <v>0.32500000000000001</v>
      </c>
      <c r="N118" s="2">
        <v>7.4</v>
      </c>
      <c r="O118" s="2">
        <v>13.3</v>
      </c>
      <c r="P118" s="2">
        <v>0.55600000000000005</v>
      </c>
      <c r="Q118" s="2">
        <v>0.53500000000000003</v>
      </c>
      <c r="R118" s="2">
        <v>4.5</v>
      </c>
      <c r="S118" s="2">
        <v>5.7</v>
      </c>
      <c r="T118" s="2">
        <v>0.79600000000000004</v>
      </c>
      <c r="U118" s="2">
        <v>1.2</v>
      </c>
      <c r="V118" s="2">
        <v>3.8</v>
      </c>
      <c r="W118" s="2">
        <v>4.9000000000000004</v>
      </c>
      <c r="X118" s="2">
        <v>5.9</v>
      </c>
      <c r="Y118" s="2">
        <v>1.6</v>
      </c>
      <c r="Z118" s="2">
        <v>0.3</v>
      </c>
      <c r="AA118" s="2">
        <v>3.4</v>
      </c>
      <c r="AB118" s="2">
        <v>2.5</v>
      </c>
      <c r="AC118" s="2">
        <v>25.2</v>
      </c>
      <c r="AD118" s="2"/>
    </row>
    <row r="119" spans="1:30" x14ac:dyDescent="0.2">
      <c r="A119" t="s">
        <v>160</v>
      </c>
      <c r="B119" s="2">
        <v>27</v>
      </c>
      <c r="C119" t="s">
        <v>72</v>
      </c>
      <c r="D119" s="2" t="s">
        <v>49</v>
      </c>
      <c r="E119" s="2">
        <v>15</v>
      </c>
      <c r="F119" s="2">
        <v>2</v>
      </c>
      <c r="G119" s="2">
        <v>417</v>
      </c>
      <c r="H119" s="2">
        <v>8.4</v>
      </c>
      <c r="I119" s="2">
        <v>17.399999999999999</v>
      </c>
      <c r="J119" s="2">
        <v>0.48299999999999998</v>
      </c>
      <c r="K119" s="2">
        <v>3.5</v>
      </c>
      <c r="L119" s="2">
        <v>7.9</v>
      </c>
      <c r="M119" s="2">
        <v>0.44600000000000001</v>
      </c>
      <c r="N119" s="2">
        <v>4.8</v>
      </c>
      <c r="O119" s="2">
        <v>9.4</v>
      </c>
      <c r="P119" s="2">
        <v>0.51400000000000001</v>
      </c>
      <c r="Q119" s="2">
        <v>0.58499999999999996</v>
      </c>
      <c r="R119" s="2">
        <v>5.0999999999999996</v>
      </c>
      <c r="S119" s="2">
        <v>5.8</v>
      </c>
      <c r="T119" s="2">
        <v>0.88100000000000001</v>
      </c>
      <c r="U119" s="2">
        <v>0.8</v>
      </c>
      <c r="V119" s="2">
        <v>4.0999999999999996</v>
      </c>
      <c r="W119" s="2">
        <v>4.9000000000000004</v>
      </c>
      <c r="X119" s="2">
        <v>1.6</v>
      </c>
      <c r="Y119" s="2">
        <v>1</v>
      </c>
      <c r="Z119" s="2">
        <v>0.2</v>
      </c>
      <c r="AA119" s="2">
        <v>1.5</v>
      </c>
      <c r="AB119" s="2">
        <v>3.2</v>
      </c>
      <c r="AC119" s="2">
        <v>25.4</v>
      </c>
      <c r="AD119" s="2"/>
    </row>
    <row r="120" spans="1:30" x14ac:dyDescent="0.2">
      <c r="A120" t="s">
        <v>389</v>
      </c>
      <c r="B120" s="2">
        <v>26</v>
      </c>
      <c r="C120" t="s">
        <v>100</v>
      </c>
      <c r="D120" s="2" t="s">
        <v>52</v>
      </c>
      <c r="E120" s="2">
        <v>6</v>
      </c>
      <c r="F120" s="2">
        <v>2</v>
      </c>
      <c r="G120" s="2">
        <v>121</v>
      </c>
      <c r="H120" s="2">
        <v>6.5</v>
      </c>
      <c r="I120" s="2">
        <v>16.100000000000001</v>
      </c>
      <c r="J120" s="2">
        <v>0.40699999999999997</v>
      </c>
      <c r="K120" s="2">
        <v>3.9</v>
      </c>
      <c r="L120" s="2">
        <v>10.4</v>
      </c>
      <c r="M120" s="2">
        <v>0.371</v>
      </c>
      <c r="N120" s="2">
        <v>2.7</v>
      </c>
      <c r="O120" s="2">
        <v>5.7</v>
      </c>
      <c r="P120" s="2">
        <v>0.47399999999999998</v>
      </c>
      <c r="Q120" s="2">
        <v>0.52800000000000002</v>
      </c>
      <c r="R120" s="2">
        <v>1.5</v>
      </c>
      <c r="S120" s="2">
        <v>2.4</v>
      </c>
      <c r="T120" s="2">
        <v>0.625</v>
      </c>
      <c r="U120" s="2">
        <v>1.8</v>
      </c>
      <c r="V120" s="2">
        <v>4.2</v>
      </c>
      <c r="W120" s="2">
        <v>6</v>
      </c>
      <c r="X120" s="2">
        <v>5.0999999999999996</v>
      </c>
      <c r="Y120" s="2">
        <v>2.1</v>
      </c>
      <c r="Z120" s="2">
        <v>0.6</v>
      </c>
      <c r="AA120" s="2">
        <v>3</v>
      </c>
      <c r="AB120" s="2">
        <v>5.4</v>
      </c>
      <c r="AC120" s="2">
        <v>18.399999999999999</v>
      </c>
      <c r="AD120" s="2"/>
    </row>
    <row r="121" spans="1:30" x14ac:dyDescent="0.2">
      <c r="A121" t="s">
        <v>348</v>
      </c>
      <c r="B121" s="2">
        <v>28</v>
      </c>
      <c r="C121" t="s">
        <v>57</v>
      </c>
      <c r="D121" s="2" t="s">
        <v>27</v>
      </c>
      <c r="E121" s="2">
        <v>17</v>
      </c>
      <c r="F121" s="2">
        <v>9</v>
      </c>
      <c r="G121" s="2">
        <v>376</v>
      </c>
      <c r="H121" s="2">
        <v>3</v>
      </c>
      <c r="I121" s="2">
        <v>8.1999999999999993</v>
      </c>
      <c r="J121" s="2">
        <v>0.36</v>
      </c>
      <c r="K121" s="2">
        <v>2.2999999999999998</v>
      </c>
      <c r="L121" s="2">
        <v>7</v>
      </c>
      <c r="M121" s="2">
        <v>0.32900000000000001</v>
      </c>
      <c r="N121" s="2">
        <v>0.7</v>
      </c>
      <c r="O121" s="2">
        <v>1.2</v>
      </c>
      <c r="P121" s="2">
        <v>0.53800000000000003</v>
      </c>
      <c r="Q121" s="2">
        <v>0.5</v>
      </c>
      <c r="R121" s="2">
        <v>0.8</v>
      </c>
      <c r="S121" s="2">
        <v>1.8</v>
      </c>
      <c r="T121" s="2">
        <v>0.42099999999999999</v>
      </c>
      <c r="U121" s="2">
        <v>1.1000000000000001</v>
      </c>
      <c r="V121" s="2">
        <v>6.4</v>
      </c>
      <c r="W121" s="2">
        <v>7.5</v>
      </c>
      <c r="X121" s="2">
        <v>2.4</v>
      </c>
      <c r="Y121" s="2">
        <v>1.7</v>
      </c>
      <c r="Z121" s="2">
        <v>0.6</v>
      </c>
      <c r="AA121" s="2">
        <v>0.5</v>
      </c>
      <c r="AB121" s="2">
        <v>2.4</v>
      </c>
      <c r="AC121" s="2">
        <v>9</v>
      </c>
      <c r="AD121" s="2"/>
    </row>
    <row r="122" spans="1:30" x14ac:dyDescent="0.2">
      <c r="A122" t="s">
        <v>199</v>
      </c>
      <c r="B122" s="2">
        <v>26</v>
      </c>
      <c r="C122" t="s">
        <v>135</v>
      </c>
      <c r="D122" s="2" t="s">
        <v>42</v>
      </c>
      <c r="E122" s="2">
        <v>17</v>
      </c>
      <c r="F122" s="2">
        <v>17</v>
      </c>
      <c r="G122" s="2">
        <v>513</v>
      </c>
      <c r="H122" s="2">
        <v>7.9</v>
      </c>
      <c r="I122" s="2">
        <v>14.2</v>
      </c>
      <c r="J122" s="2">
        <v>0.55400000000000005</v>
      </c>
      <c r="K122" s="2">
        <v>0.4</v>
      </c>
      <c r="L122" s="2">
        <v>1.3</v>
      </c>
      <c r="M122" s="2">
        <v>0.26300000000000001</v>
      </c>
      <c r="N122" s="2">
        <v>7.5</v>
      </c>
      <c r="O122" s="2">
        <v>12.8</v>
      </c>
      <c r="P122" s="2">
        <v>0.58499999999999996</v>
      </c>
      <c r="Q122" s="2">
        <v>0.56699999999999995</v>
      </c>
      <c r="R122" s="2">
        <v>0.9</v>
      </c>
      <c r="S122" s="2">
        <v>1.5</v>
      </c>
      <c r="T122" s="2">
        <v>0.61899999999999999</v>
      </c>
      <c r="U122" s="2">
        <v>3.4</v>
      </c>
      <c r="V122" s="2">
        <v>8.6</v>
      </c>
      <c r="W122" s="2">
        <v>11.9</v>
      </c>
      <c r="X122" s="2">
        <v>1.5</v>
      </c>
      <c r="Y122" s="2">
        <v>1.1000000000000001</v>
      </c>
      <c r="Z122" s="2">
        <v>0.9</v>
      </c>
      <c r="AA122" s="2">
        <v>2.2000000000000002</v>
      </c>
      <c r="AB122" s="2">
        <v>2.7</v>
      </c>
      <c r="AC122" s="2">
        <v>17</v>
      </c>
      <c r="AD122" s="2"/>
    </row>
    <row r="123" spans="1:30" x14ac:dyDescent="0.2">
      <c r="A123" t="s">
        <v>449</v>
      </c>
      <c r="B123" s="2">
        <v>36</v>
      </c>
      <c r="C123" t="s">
        <v>46</v>
      </c>
      <c r="D123" s="2" t="s">
        <v>42</v>
      </c>
      <c r="E123" s="2">
        <v>10</v>
      </c>
      <c r="F123" s="2">
        <v>0</v>
      </c>
      <c r="G123" s="2">
        <v>98</v>
      </c>
      <c r="H123" s="2">
        <v>4.4000000000000004</v>
      </c>
      <c r="I123" s="2">
        <v>7.7</v>
      </c>
      <c r="J123" s="2">
        <v>0.57099999999999995</v>
      </c>
      <c r="K123" s="2">
        <v>0</v>
      </c>
      <c r="L123" s="2">
        <v>0</v>
      </c>
      <c r="M123" s="2"/>
      <c r="N123" s="2">
        <v>4.4000000000000004</v>
      </c>
      <c r="O123" s="2">
        <v>7.7</v>
      </c>
      <c r="P123" s="2">
        <v>0.57099999999999995</v>
      </c>
      <c r="Q123" s="2">
        <v>0.57099999999999995</v>
      </c>
      <c r="R123" s="2">
        <v>0.7</v>
      </c>
      <c r="S123" s="2">
        <v>2.9</v>
      </c>
      <c r="T123" s="2">
        <v>0.25</v>
      </c>
      <c r="U123" s="2">
        <v>4</v>
      </c>
      <c r="V123" s="2">
        <v>8.1</v>
      </c>
      <c r="W123" s="2">
        <v>12.1</v>
      </c>
      <c r="X123" s="2">
        <v>2.9</v>
      </c>
      <c r="Y123" s="2">
        <v>0.7</v>
      </c>
      <c r="Z123" s="2">
        <v>0.7</v>
      </c>
      <c r="AA123" s="2">
        <v>3.7</v>
      </c>
      <c r="AB123" s="2">
        <v>4</v>
      </c>
      <c r="AC123" s="2">
        <v>9.6</v>
      </c>
      <c r="AD123" s="2"/>
    </row>
    <row r="124" spans="1:30" x14ac:dyDescent="0.2">
      <c r="A124" t="s">
        <v>285</v>
      </c>
      <c r="B124" s="2">
        <v>28</v>
      </c>
      <c r="C124" t="s">
        <v>117</v>
      </c>
      <c r="D124" s="2" t="s">
        <v>33</v>
      </c>
      <c r="E124" s="2">
        <v>9</v>
      </c>
      <c r="F124" s="2">
        <v>9</v>
      </c>
      <c r="G124" s="2">
        <v>295</v>
      </c>
      <c r="H124" s="2">
        <v>6.2</v>
      </c>
      <c r="I124" s="2">
        <v>17.899999999999999</v>
      </c>
      <c r="J124" s="2">
        <v>0.34699999999999998</v>
      </c>
      <c r="K124" s="2">
        <v>1.7</v>
      </c>
      <c r="L124" s="2">
        <v>6.6</v>
      </c>
      <c r="M124" s="2">
        <v>0.25900000000000001</v>
      </c>
      <c r="N124" s="2">
        <v>4.5</v>
      </c>
      <c r="O124" s="2">
        <v>11.3</v>
      </c>
      <c r="P124" s="2">
        <v>0.39800000000000002</v>
      </c>
      <c r="Q124" s="2">
        <v>0.39500000000000002</v>
      </c>
      <c r="R124" s="2">
        <v>3.8</v>
      </c>
      <c r="S124" s="2">
        <v>4.4000000000000004</v>
      </c>
      <c r="T124" s="2">
        <v>0.86099999999999999</v>
      </c>
      <c r="U124" s="2">
        <v>0.4</v>
      </c>
      <c r="V124" s="2">
        <v>6.7</v>
      </c>
      <c r="W124" s="2">
        <v>7.1</v>
      </c>
      <c r="X124" s="2">
        <v>7.4</v>
      </c>
      <c r="Y124" s="2">
        <v>2.2999999999999998</v>
      </c>
      <c r="Z124" s="2">
        <v>0.7</v>
      </c>
      <c r="AA124" s="2">
        <v>4.0999999999999996</v>
      </c>
      <c r="AB124" s="2">
        <v>2.8</v>
      </c>
      <c r="AC124" s="2">
        <v>17.899999999999999</v>
      </c>
      <c r="AD124" s="2"/>
    </row>
    <row r="125" spans="1:30" x14ac:dyDescent="0.2">
      <c r="A125" t="s">
        <v>407</v>
      </c>
      <c r="B125" s="2">
        <v>32</v>
      </c>
      <c r="C125" t="s">
        <v>35</v>
      </c>
      <c r="D125" s="2" t="s">
        <v>33</v>
      </c>
      <c r="E125" s="2">
        <v>18</v>
      </c>
      <c r="F125" s="2">
        <v>2</v>
      </c>
      <c r="G125" s="2">
        <v>287</v>
      </c>
      <c r="H125" s="2">
        <v>2.1</v>
      </c>
      <c r="I125" s="2">
        <v>6.6</v>
      </c>
      <c r="J125" s="2">
        <v>0.32100000000000001</v>
      </c>
      <c r="K125" s="2">
        <v>1.1000000000000001</v>
      </c>
      <c r="L125" s="2">
        <v>4</v>
      </c>
      <c r="M125" s="2">
        <v>0.28100000000000003</v>
      </c>
      <c r="N125" s="2">
        <v>1</v>
      </c>
      <c r="O125" s="2">
        <v>2.6</v>
      </c>
      <c r="P125" s="2">
        <v>0.38100000000000001</v>
      </c>
      <c r="Q125" s="2">
        <v>0.40600000000000003</v>
      </c>
      <c r="R125" s="2">
        <v>0.6</v>
      </c>
      <c r="S125" s="2">
        <v>1.3</v>
      </c>
      <c r="T125" s="2">
        <v>0.5</v>
      </c>
      <c r="U125" s="2">
        <v>1.4</v>
      </c>
      <c r="V125" s="2">
        <v>2.8</v>
      </c>
      <c r="W125" s="2">
        <v>4.0999999999999996</v>
      </c>
      <c r="X125" s="2">
        <v>3.6</v>
      </c>
      <c r="Y125" s="2">
        <v>1.6</v>
      </c>
      <c r="Z125" s="2">
        <v>0.8</v>
      </c>
      <c r="AA125" s="2">
        <v>1</v>
      </c>
      <c r="AB125" s="2">
        <v>1.4</v>
      </c>
      <c r="AC125" s="2">
        <v>6</v>
      </c>
      <c r="AD125" s="2"/>
    </row>
    <row r="126" spans="1:30" x14ac:dyDescent="0.2">
      <c r="A126" t="s">
        <v>88</v>
      </c>
      <c r="B126" s="2">
        <v>35</v>
      </c>
      <c r="C126" t="s">
        <v>37</v>
      </c>
      <c r="D126" s="2" t="s">
        <v>49</v>
      </c>
      <c r="E126" s="2">
        <v>21</v>
      </c>
      <c r="F126" s="2">
        <v>21</v>
      </c>
      <c r="G126" s="2">
        <v>747</v>
      </c>
      <c r="H126" s="2">
        <v>8.4</v>
      </c>
      <c r="I126" s="2">
        <v>16.8</v>
      </c>
      <c r="J126" s="2">
        <v>0.499</v>
      </c>
      <c r="K126" s="2">
        <v>0.7</v>
      </c>
      <c r="L126" s="2">
        <v>2.2000000000000002</v>
      </c>
      <c r="M126" s="2">
        <v>0.32600000000000001</v>
      </c>
      <c r="N126" s="2">
        <v>7.7</v>
      </c>
      <c r="O126" s="2">
        <v>14.6</v>
      </c>
      <c r="P126" s="2">
        <v>0.52500000000000002</v>
      </c>
      <c r="Q126" s="2">
        <v>0.52</v>
      </c>
      <c r="R126" s="2">
        <v>5.6</v>
      </c>
      <c r="S126" s="2">
        <v>6.6</v>
      </c>
      <c r="T126" s="2">
        <v>0.85299999999999998</v>
      </c>
      <c r="U126" s="2">
        <v>0.5</v>
      </c>
      <c r="V126" s="2">
        <v>3.5</v>
      </c>
      <c r="W126" s="2">
        <v>4</v>
      </c>
      <c r="X126" s="2">
        <v>4</v>
      </c>
      <c r="Y126" s="2">
        <v>1.6</v>
      </c>
      <c r="Z126" s="2">
        <v>0.5</v>
      </c>
      <c r="AA126" s="2">
        <v>1.7</v>
      </c>
      <c r="AB126" s="2">
        <v>1.9</v>
      </c>
      <c r="AC126" s="2">
        <v>23.1</v>
      </c>
      <c r="AD126" s="2"/>
    </row>
    <row r="127" spans="1:30" x14ac:dyDescent="0.2">
      <c r="A127" t="s">
        <v>169</v>
      </c>
      <c r="B127" s="2">
        <v>24</v>
      </c>
      <c r="C127" t="s">
        <v>135</v>
      </c>
      <c r="D127" s="2" t="s">
        <v>49</v>
      </c>
      <c r="E127" s="2">
        <v>24</v>
      </c>
      <c r="F127" s="2">
        <v>12</v>
      </c>
      <c r="G127" s="2">
        <v>638</v>
      </c>
      <c r="H127" s="2">
        <v>5.2</v>
      </c>
      <c r="I127" s="2">
        <v>12.5</v>
      </c>
      <c r="J127" s="2">
        <v>0.41399999999999998</v>
      </c>
      <c r="K127" s="2">
        <v>1.8</v>
      </c>
      <c r="L127" s="2">
        <v>5.2</v>
      </c>
      <c r="M127" s="2">
        <v>0.34799999999999998</v>
      </c>
      <c r="N127" s="2">
        <v>3.4</v>
      </c>
      <c r="O127" s="2">
        <v>7.3</v>
      </c>
      <c r="P127" s="2">
        <v>0.46200000000000002</v>
      </c>
      <c r="Q127" s="2">
        <v>0.48599999999999999</v>
      </c>
      <c r="R127" s="2">
        <v>3.8</v>
      </c>
      <c r="S127" s="2">
        <v>4.8</v>
      </c>
      <c r="T127" s="2">
        <v>0.78800000000000003</v>
      </c>
      <c r="U127" s="2">
        <v>1.7</v>
      </c>
      <c r="V127" s="2">
        <v>6.2</v>
      </c>
      <c r="W127" s="2">
        <v>7.9</v>
      </c>
      <c r="X127" s="2">
        <v>4.2</v>
      </c>
      <c r="Y127" s="2">
        <v>1.4</v>
      </c>
      <c r="Z127" s="2">
        <v>1.1000000000000001</v>
      </c>
      <c r="AA127" s="2">
        <v>2.7</v>
      </c>
      <c r="AB127" s="2">
        <v>2.9</v>
      </c>
      <c r="AC127" s="2">
        <v>16</v>
      </c>
      <c r="AD127" s="2"/>
    </row>
    <row r="128" spans="1:30" x14ac:dyDescent="0.2">
      <c r="A128" t="s">
        <v>112</v>
      </c>
      <c r="B128" s="2">
        <v>31</v>
      </c>
      <c r="C128" t="s">
        <v>103</v>
      </c>
      <c r="D128" s="2" t="s">
        <v>33</v>
      </c>
      <c r="E128" s="2">
        <v>22</v>
      </c>
      <c r="F128" s="2">
        <v>22</v>
      </c>
      <c r="G128" s="2">
        <v>746</v>
      </c>
      <c r="H128" s="2">
        <v>6.8</v>
      </c>
      <c r="I128" s="2">
        <v>15.2</v>
      </c>
      <c r="J128" s="2">
        <v>0.44800000000000001</v>
      </c>
      <c r="K128" s="2">
        <v>2.7</v>
      </c>
      <c r="L128" s="2">
        <v>6.9</v>
      </c>
      <c r="M128" s="2">
        <v>0.38500000000000001</v>
      </c>
      <c r="N128" s="2">
        <v>4.2</v>
      </c>
      <c r="O128" s="2">
        <v>8.3000000000000007</v>
      </c>
      <c r="P128" s="2">
        <v>0.5</v>
      </c>
      <c r="Q128" s="2">
        <v>0.53500000000000003</v>
      </c>
      <c r="R128" s="2">
        <v>3.5</v>
      </c>
      <c r="S128" s="2">
        <v>3.9</v>
      </c>
      <c r="T128" s="2">
        <v>0.88900000000000001</v>
      </c>
      <c r="U128" s="2">
        <v>0.2</v>
      </c>
      <c r="V128" s="2">
        <v>2.9</v>
      </c>
      <c r="W128" s="2">
        <v>3.1</v>
      </c>
      <c r="X128" s="2">
        <v>6.9</v>
      </c>
      <c r="Y128" s="2">
        <v>1.2</v>
      </c>
      <c r="Z128" s="2">
        <v>0.2</v>
      </c>
      <c r="AA128" s="2">
        <v>2.6</v>
      </c>
      <c r="AB128" s="2">
        <v>2.6</v>
      </c>
      <c r="AC128" s="2">
        <v>19.7</v>
      </c>
      <c r="AD128" s="2"/>
    </row>
    <row r="129" spans="1:30" x14ac:dyDescent="0.2">
      <c r="A129" t="s">
        <v>256</v>
      </c>
      <c r="B129" s="2">
        <v>20</v>
      </c>
      <c r="C129" t="s">
        <v>63</v>
      </c>
      <c r="D129" s="2" t="s">
        <v>42</v>
      </c>
      <c r="E129" s="2">
        <v>20</v>
      </c>
      <c r="F129" s="2">
        <v>13</v>
      </c>
      <c r="G129" s="2">
        <v>470</v>
      </c>
      <c r="H129" s="2">
        <v>5.4</v>
      </c>
      <c r="I129" s="2">
        <v>8</v>
      </c>
      <c r="J129" s="2">
        <v>0.67600000000000005</v>
      </c>
      <c r="K129" s="2">
        <v>0</v>
      </c>
      <c r="L129" s="2">
        <v>0</v>
      </c>
      <c r="M129" s="2"/>
      <c r="N129" s="2">
        <v>5.4</v>
      </c>
      <c r="O129" s="2">
        <v>8</v>
      </c>
      <c r="P129" s="2">
        <v>0.67600000000000005</v>
      </c>
      <c r="Q129" s="2">
        <v>0.67600000000000005</v>
      </c>
      <c r="R129" s="2">
        <v>2.5</v>
      </c>
      <c r="S129" s="2">
        <v>4.0999999999999996</v>
      </c>
      <c r="T129" s="2">
        <v>0.623</v>
      </c>
      <c r="U129" s="2">
        <v>4.7</v>
      </c>
      <c r="V129" s="2">
        <v>7.1</v>
      </c>
      <c r="W129" s="2">
        <v>11.9</v>
      </c>
      <c r="X129" s="2">
        <v>3.7</v>
      </c>
      <c r="Y129" s="2">
        <v>0.8</v>
      </c>
      <c r="Z129" s="2">
        <v>2.5</v>
      </c>
      <c r="AA129" s="2">
        <v>1.8</v>
      </c>
      <c r="AB129" s="2">
        <v>4.4000000000000004</v>
      </c>
      <c r="AC129" s="2">
        <v>13.4</v>
      </c>
      <c r="AD129" s="2"/>
    </row>
    <row r="130" spans="1:30" x14ac:dyDescent="0.2">
      <c r="A130" t="s">
        <v>188</v>
      </c>
      <c r="B130" s="2">
        <v>27</v>
      </c>
      <c r="C130" t="s">
        <v>77</v>
      </c>
      <c r="D130" s="2" t="s">
        <v>49</v>
      </c>
      <c r="E130" s="2">
        <v>25</v>
      </c>
      <c r="F130" s="2">
        <v>25</v>
      </c>
      <c r="G130" s="2">
        <v>625</v>
      </c>
      <c r="H130" s="2">
        <v>5.6</v>
      </c>
      <c r="I130" s="2">
        <v>11.2</v>
      </c>
      <c r="J130" s="2">
        <v>0.5</v>
      </c>
      <c r="K130" s="2">
        <v>1.7</v>
      </c>
      <c r="L130" s="2">
        <v>4.0999999999999996</v>
      </c>
      <c r="M130" s="2">
        <v>0.41699999999999998</v>
      </c>
      <c r="N130" s="2">
        <v>3.9</v>
      </c>
      <c r="O130" s="2">
        <v>7</v>
      </c>
      <c r="P130" s="2">
        <v>0.54900000000000004</v>
      </c>
      <c r="Q130" s="2">
        <v>0.57699999999999996</v>
      </c>
      <c r="R130" s="2">
        <v>1.6</v>
      </c>
      <c r="S130" s="2">
        <v>1.8</v>
      </c>
      <c r="T130" s="2">
        <v>0.871</v>
      </c>
      <c r="U130" s="2">
        <v>1.7</v>
      </c>
      <c r="V130" s="2">
        <v>3.1</v>
      </c>
      <c r="W130" s="2">
        <v>4.8</v>
      </c>
      <c r="X130" s="2">
        <v>1.3</v>
      </c>
      <c r="Y130" s="2">
        <v>1.8</v>
      </c>
      <c r="Z130" s="2">
        <v>0.3</v>
      </c>
      <c r="AA130" s="2">
        <v>1.6</v>
      </c>
      <c r="AB130" s="2">
        <v>3.1</v>
      </c>
      <c r="AC130" s="2">
        <v>14.5</v>
      </c>
      <c r="AD130" s="2"/>
    </row>
    <row r="131" spans="1:30" x14ac:dyDescent="0.2">
      <c r="A131" t="s">
        <v>108</v>
      </c>
      <c r="B131" s="2">
        <v>30</v>
      </c>
      <c r="C131" t="s">
        <v>39</v>
      </c>
      <c r="D131" s="2" t="s">
        <v>52</v>
      </c>
      <c r="E131" s="2">
        <v>24</v>
      </c>
      <c r="F131" s="2">
        <v>24</v>
      </c>
      <c r="G131" s="2">
        <v>827</v>
      </c>
      <c r="H131" s="2">
        <v>6.2</v>
      </c>
      <c r="I131" s="2">
        <v>13.7</v>
      </c>
      <c r="J131" s="2">
        <v>0.45400000000000001</v>
      </c>
      <c r="K131" s="2">
        <v>3.9</v>
      </c>
      <c r="L131" s="2">
        <v>9.6999999999999993</v>
      </c>
      <c r="M131" s="2">
        <v>0.40100000000000002</v>
      </c>
      <c r="N131" s="2">
        <v>2.4</v>
      </c>
      <c r="O131" s="2">
        <v>4</v>
      </c>
      <c r="P131" s="2">
        <v>0.58099999999999996</v>
      </c>
      <c r="Q131" s="2">
        <v>0.59499999999999997</v>
      </c>
      <c r="R131" s="2">
        <v>2</v>
      </c>
      <c r="S131" s="2">
        <v>2.2999999999999998</v>
      </c>
      <c r="T131" s="2">
        <v>0.86499999999999999</v>
      </c>
      <c r="U131" s="2">
        <v>1.3</v>
      </c>
      <c r="V131" s="2">
        <v>3.7</v>
      </c>
      <c r="W131" s="2">
        <v>5</v>
      </c>
      <c r="X131" s="2">
        <v>5.0999999999999996</v>
      </c>
      <c r="Y131" s="2">
        <v>1.1000000000000001</v>
      </c>
      <c r="Z131" s="2">
        <v>1.1000000000000001</v>
      </c>
      <c r="AA131" s="2">
        <v>1.6</v>
      </c>
      <c r="AB131" s="2">
        <v>2.2999999999999998</v>
      </c>
      <c r="AC131" s="2">
        <v>18.3</v>
      </c>
      <c r="AD131" s="2"/>
    </row>
    <row r="132" spans="1:30" x14ac:dyDescent="0.2">
      <c r="A132" t="s">
        <v>194</v>
      </c>
      <c r="B132" s="2">
        <v>26</v>
      </c>
      <c r="C132" t="s">
        <v>80</v>
      </c>
      <c r="D132" s="2" t="s">
        <v>52</v>
      </c>
      <c r="E132" s="2">
        <v>17</v>
      </c>
      <c r="F132" s="2">
        <v>16</v>
      </c>
      <c r="G132" s="2">
        <v>481</v>
      </c>
      <c r="H132" s="2">
        <v>6.9</v>
      </c>
      <c r="I132" s="2">
        <v>15.9</v>
      </c>
      <c r="J132" s="2">
        <v>0.434</v>
      </c>
      <c r="K132" s="2">
        <v>2.2999999999999998</v>
      </c>
      <c r="L132" s="2">
        <v>7.2</v>
      </c>
      <c r="M132" s="2">
        <v>0.32300000000000001</v>
      </c>
      <c r="N132" s="2">
        <v>4.5999999999999996</v>
      </c>
      <c r="O132" s="2">
        <v>8.6999999999999993</v>
      </c>
      <c r="P132" s="2">
        <v>0.52600000000000002</v>
      </c>
      <c r="Q132" s="2">
        <v>0.50700000000000001</v>
      </c>
      <c r="R132" s="2">
        <v>2.2999999999999998</v>
      </c>
      <c r="S132" s="2">
        <v>2.8</v>
      </c>
      <c r="T132" s="2">
        <v>0.81599999999999995</v>
      </c>
      <c r="U132" s="2">
        <v>1</v>
      </c>
      <c r="V132" s="2">
        <v>6.6</v>
      </c>
      <c r="W132" s="2">
        <v>7.6</v>
      </c>
      <c r="X132" s="2">
        <v>5.2</v>
      </c>
      <c r="Y132" s="2">
        <v>1.3</v>
      </c>
      <c r="Z132" s="2">
        <v>0.6</v>
      </c>
      <c r="AA132" s="2">
        <v>3</v>
      </c>
      <c r="AB132" s="2">
        <v>3.4</v>
      </c>
      <c r="AC132" s="2">
        <v>18.399999999999999</v>
      </c>
      <c r="AD132" s="2"/>
    </row>
    <row r="133" spans="1:30" x14ac:dyDescent="0.2">
      <c r="A133" t="s">
        <v>53</v>
      </c>
      <c r="B133" s="2">
        <v>28</v>
      </c>
      <c r="C133" t="s">
        <v>54</v>
      </c>
      <c r="D133" s="2" t="s">
        <v>52</v>
      </c>
      <c r="E133" s="2">
        <v>23</v>
      </c>
      <c r="F133" s="2">
        <v>23</v>
      </c>
      <c r="G133" s="2">
        <v>851</v>
      </c>
      <c r="H133" s="2">
        <v>7.7</v>
      </c>
      <c r="I133" s="2">
        <v>17.8</v>
      </c>
      <c r="J133" s="2">
        <v>0.432</v>
      </c>
      <c r="K133" s="2">
        <v>2.5</v>
      </c>
      <c r="L133" s="2">
        <v>7.4</v>
      </c>
      <c r="M133" s="2">
        <v>0.33500000000000002</v>
      </c>
      <c r="N133" s="2">
        <v>5.2</v>
      </c>
      <c r="O133" s="2">
        <v>10.4</v>
      </c>
      <c r="P133" s="2">
        <v>0.502</v>
      </c>
      <c r="Q133" s="2">
        <v>0.502</v>
      </c>
      <c r="R133" s="2">
        <v>6.3</v>
      </c>
      <c r="S133" s="2">
        <v>7</v>
      </c>
      <c r="T133" s="2">
        <v>0.90400000000000003</v>
      </c>
      <c r="U133" s="2">
        <v>1.1000000000000001</v>
      </c>
      <c r="V133" s="2">
        <v>2.6</v>
      </c>
      <c r="W133" s="2">
        <v>3.7</v>
      </c>
      <c r="X133" s="2">
        <v>6.2</v>
      </c>
      <c r="Y133" s="2">
        <v>1.1000000000000001</v>
      </c>
      <c r="Z133" s="2">
        <v>0.4</v>
      </c>
      <c r="AA133" s="2">
        <v>2.4</v>
      </c>
      <c r="AB133" s="2">
        <v>2.4</v>
      </c>
      <c r="AC133" s="2">
        <v>24.2</v>
      </c>
      <c r="AD133" s="2"/>
    </row>
    <row r="134" spans="1:30" x14ac:dyDescent="0.2">
      <c r="A134" t="s">
        <v>282</v>
      </c>
      <c r="B134" s="2">
        <v>24</v>
      </c>
      <c r="C134" t="s">
        <v>93</v>
      </c>
      <c r="D134" s="2" t="s">
        <v>52</v>
      </c>
      <c r="E134" s="2">
        <v>9</v>
      </c>
      <c r="F134" s="2">
        <v>0</v>
      </c>
      <c r="G134" s="2">
        <v>216</v>
      </c>
      <c r="H134" s="2">
        <v>9</v>
      </c>
      <c r="I134" s="2">
        <v>18.5</v>
      </c>
      <c r="J134" s="2">
        <v>0.48599999999999999</v>
      </c>
      <c r="K134" s="2">
        <v>3.7</v>
      </c>
      <c r="L134" s="2">
        <v>8.6999999999999993</v>
      </c>
      <c r="M134" s="2">
        <v>0.42299999999999999</v>
      </c>
      <c r="N134" s="2">
        <v>5.3</v>
      </c>
      <c r="O134" s="2">
        <v>9.8000000000000007</v>
      </c>
      <c r="P134" s="2">
        <v>0.54200000000000004</v>
      </c>
      <c r="Q134" s="2">
        <v>0.58599999999999997</v>
      </c>
      <c r="R134" s="2">
        <v>3.2</v>
      </c>
      <c r="S134" s="2">
        <v>3.5</v>
      </c>
      <c r="T134" s="2">
        <v>0.90500000000000003</v>
      </c>
      <c r="U134" s="2">
        <v>0.5</v>
      </c>
      <c r="V134" s="2">
        <v>2.2999999999999998</v>
      </c>
      <c r="W134" s="2">
        <v>2.8</v>
      </c>
      <c r="X134" s="2">
        <v>4.2</v>
      </c>
      <c r="Y134" s="2">
        <v>1.7</v>
      </c>
      <c r="Z134" s="2">
        <v>0.7</v>
      </c>
      <c r="AA134" s="2">
        <v>2.5</v>
      </c>
      <c r="AB134" s="2">
        <v>3.3</v>
      </c>
      <c r="AC134" s="2">
        <v>24.8</v>
      </c>
      <c r="AD134" s="2"/>
    </row>
    <row r="135" spans="1:30" x14ac:dyDescent="0.2">
      <c r="A135" t="s">
        <v>150</v>
      </c>
      <c r="B135" s="2">
        <v>29</v>
      </c>
      <c r="C135" t="s">
        <v>87</v>
      </c>
      <c r="D135" s="2" t="s">
        <v>49</v>
      </c>
      <c r="E135" s="2">
        <v>25</v>
      </c>
      <c r="F135" s="2">
        <v>25</v>
      </c>
      <c r="G135" s="2">
        <v>782</v>
      </c>
      <c r="H135" s="2">
        <v>5.4</v>
      </c>
      <c r="I135" s="2">
        <v>12.7</v>
      </c>
      <c r="J135" s="2">
        <v>0.42399999999999999</v>
      </c>
      <c r="K135" s="2">
        <v>2.2999999999999998</v>
      </c>
      <c r="L135" s="2">
        <v>6.2</v>
      </c>
      <c r="M135" s="2">
        <v>0.38100000000000001</v>
      </c>
      <c r="N135" s="2">
        <v>3</v>
      </c>
      <c r="O135" s="2">
        <v>6.5</v>
      </c>
      <c r="P135" s="2">
        <v>0.46500000000000002</v>
      </c>
      <c r="Q135" s="2">
        <v>0.51600000000000001</v>
      </c>
      <c r="R135" s="2">
        <v>1.4</v>
      </c>
      <c r="S135" s="2">
        <v>1.7</v>
      </c>
      <c r="T135" s="2">
        <v>0.83299999999999996</v>
      </c>
      <c r="U135" s="2">
        <v>1.4</v>
      </c>
      <c r="V135" s="2">
        <v>2.9</v>
      </c>
      <c r="W135" s="2">
        <v>4.3</v>
      </c>
      <c r="X135" s="2">
        <v>1.8</v>
      </c>
      <c r="Y135" s="2">
        <v>0.7</v>
      </c>
      <c r="Z135" s="2">
        <v>0.4</v>
      </c>
      <c r="AA135" s="2">
        <v>1.2</v>
      </c>
      <c r="AB135" s="2">
        <v>3.8</v>
      </c>
      <c r="AC135" s="2">
        <v>14.5</v>
      </c>
      <c r="AD135" s="2"/>
    </row>
    <row r="136" spans="1:30" x14ac:dyDescent="0.2">
      <c r="A136" t="s">
        <v>404</v>
      </c>
      <c r="B136" s="2">
        <v>23</v>
      </c>
      <c r="C136" t="s">
        <v>32</v>
      </c>
      <c r="D136" s="2" t="s">
        <v>49</v>
      </c>
      <c r="E136" s="2">
        <v>21</v>
      </c>
      <c r="F136" s="2">
        <v>0</v>
      </c>
      <c r="G136" s="2">
        <v>177</v>
      </c>
      <c r="H136" s="2">
        <v>3.9</v>
      </c>
      <c r="I136" s="2">
        <v>11.2</v>
      </c>
      <c r="J136" s="2">
        <v>0.34499999999999997</v>
      </c>
      <c r="K136" s="2">
        <v>1.4</v>
      </c>
      <c r="L136" s="2">
        <v>6.7</v>
      </c>
      <c r="M136" s="2">
        <v>0.21199999999999999</v>
      </c>
      <c r="N136" s="2">
        <v>2.4</v>
      </c>
      <c r="O136" s="2">
        <v>4.5</v>
      </c>
      <c r="P136" s="2">
        <v>0.54500000000000004</v>
      </c>
      <c r="Q136" s="2">
        <v>0.40899999999999997</v>
      </c>
      <c r="R136" s="2">
        <v>1</v>
      </c>
      <c r="S136" s="2">
        <v>1.6</v>
      </c>
      <c r="T136" s="2">
        <v>0.625</v>
      </c>
      <c r="U136" s="2">
        <v>3.3</v>
      </c>
      <c r="V136" s="2">
        <v>5.3</v>
      </c>
      <c r="W136" s="2">
        <v>8.5</v>
      </c>
      <c r="X136" s="2">
        <v>3.1</v>
      </c>
      <c r="Y136" s="2">
        <v>0.8</v>
      </c>
      <c r="Z136" s="2">
        <v>0.2</v>
      </c>
      <c r="AA136" s="2">
        <v>1.6</v>
      </c>
      <c r="AB136" s="2">
        <v>3.9</v>
      </c>
      <c r="AC136" s="2">
        <v>10.199999999999999</v>
      </c>
      <c r="AD136" s="2"/>
    </row>
    <row r="137" spans="1:30" x14ac:dyDescent="0.2">
      <c r="A137" t="s">
        <v>78</v>
      </c>
      <c r="B137" s="2">
        <v>28</v>
      </c>
      <c r="C137" t="s">
        <v>37</v>
      </c>
      <c r="D137" s="2" t="s">
        <v>42</v>
      </c>
      <c r="E137" s="2">
        <v>24</v>
      </c>
      <c r="F137" s="2">
        <v>24</v>
      </c>
      <c r="G137" s="2">
        <v>859</v>
      </c>
      <c r="H137" s="2">
        <v>8.1</v>
      </c>
      <c r="I137" s="2">
        <v>12.9</v>
      </c>
      <c r="J137" s="2">
        <v>0.628</v>
      </c>
      <c r="K137" s="2">
        <v>1</v>
      </c>
      <c r="L137" s="2">
        <v>2.4</v>
      </c>
      <c r="M137" s="2">
        <v>0.439</v>
      </c>
      <c r="N137" s="2">
        <v>7.1</v>
      </c>
      <c r="O137" s="2">
        <v>10.6</v>
      </c>
      <c r="P137" s="2">
        <v>0.67100000000000004</v>
      </c>
      <c r="Q137" s="2">
        <v>0.66800000000000004</v>
      </c>
      <c r="R137" s="2">
        <v>4.0999999999999996</v>
      </c>
      <c r="S137" s="2">
        <v>4.9000000000000004</v>
      </c>
      <c r="T137" s="2">
        <v>0.82899999999999996</v>
      </c>
      <c r="U137" s="2">
        <v>3.4</v>
      </c>
      <c r="V137" s="2">
        <v>9.6999999999999993</v>
      </c>
      <c r="W137" s="2">
        <v>13.1</v>
      </c>
      <c r="X137" s="2">
        <v>6.1</v>
      </c>
      <c r="Y137" s="2">
        <v>0.8</v>
      </c>
      <c r="Z137" s="2">
        <v>0.4</v>
      </c>
      <c r="AA137" s="2">
        <v>3.2</v>
      </c>
      <c r="AB137" s="2">
        <v>3.5</v>
      </c>
      <c r="AC137" s="2">
        <v>21.4</v>
      </c>
      <c r="AD137" s="2"/>
    </row>
    <row r="138" spans="1:30" x14ac:dyDescent="0.2">
      <c r="A138" t="s">
        <v>552</v>
      </c>
      <c r="B138" s="2">
        <v>21</v>
      </c>
      <c r="C138" t="s">
        <v>72</v>
      </c>
      <c r="D138" s="2" t="s">
        <v>49</v>
      </c>
      <c r="E138" s="2">
        <v>2</v>
      </c>
      <c r="F138" s="2">
        <v>0</v>
      </c>
      <c r="G138" s="2">
        <v>11</v>
      </c>
      <c r="H138" s="2">
        <v>0</v>
      </c>
      <c r="I138" s="2">
        <v>3.3</v>
      </c>
      <c r="J138" s="2">
        <v>0</v>
      </c>
      <c r="K138" s="2">
        <v>0</v>
      </c>
      <c r="L138" s="2">
        <v>0</v>
      </c>
      <c r="M138" s="2"/>
      <c r="N138" s="2">
        <v>0</v>
      </c>
      <c r="O138" s="2">
        <v>3.3</v>
      </c>
      <c r="P138" s="2">
        <v>0</v>
      </c>
      <c r="Q138" s="2">
        <v>0</v>
      </c>
      <c r="R138" s="2">
        <v>3.3</v>
      </c>
      <c r="S138" s="2">
        <v>6.5</v>
      </c>
      <c r="T138" s="2">
        <v>0.5</v>
      </c>
      <c r="U138" s="2">
        <v>0</v>
      </c>
      <c r="V138" s="2">
        <v>0</v>
      </c>
      <c r="W138" s="2">
        <v>0</v>
      </c>
      <c r="X138" s="2">
        <v>0</v>
      </c>
      <c r="Y138" s="2">
        <v>0</v>
      </c>
      <c r="Z138" s="2">
        <v>0</v>
      </c>
      <c r="AA138" s="2">
        <v>0</v>
      </c>
      <c r="AB138" s="2">
        <v>3.3</v>
      </c>
      <c r="AC138" s="2">
        <v>3.3</v>
      </c>
      <c r="AD138" s="2"/>
    </row>
    <row r="139" spans="1:30" x14ac:dyDescent="0.2">
      <c r="A139" t="s">
        <v>339</v>
      </c>
      <c r="B139" s="2">
        <v>20</v>
      </c>
      <c r="C139" t="s">
        <v>135</v>
      </c>
      <c r="D139" s="2" t="s">
        <v>42</v>
      </c>
      <c r="E139" s="2">
        <v>17</v>
      </c>
      <c r="F139" s="2">
        <v>6</v>
      </c>
      <c r="G139" s="2">
        <v>289</v>
      </c>
      <c r="H139" s="2">
        <v>5</v>
      </c>
      <c r="I139" s="2">
        <v>9.5</v>
      </c>
      <c r="J139" s="2">
        <v>0.52600000000000002</v>
      </c>
      <c r="K139" s="2">
        <v>0.4</v>
      </c>
      <c r="L139" s="2">
        <v>1.1000000000000001</v>
      </c>
      <c r="M139" s="2">
        <v>0.33300000000000002</v>
      </c>
      <c r="N139" s="2">
        <v>4.5999999999999996</v>
      </c>
      <c r="O139" s="2">
        <v>8.3000000000000007</v>
      </c>
      <c r="P139" s="2">
        <v>0.55200000000000005</v>
      </c>
      <c r="Q139" s="2">
        <v>0.54600000000000004</v>
      </c>
      <c r="R139" s="2">
        <v>2</v>
      </c>
      <c r="S139" s="2">
        <v>2.7</v>
      </c>
      <c r="T139" s="2">
        <v>0.72699999999999998</v>
      </c>
      <c r="U139" s="2">
        <v>6.7</v>
      </c>
      <c r="V139" s="2">
        <v>7.5</v>
      </c>
      <c r="W139" s="2">
        <v>14.2</v>
      </c>
      <c r="X139" s="2">
        <v>0.6</v>
      </c>
      <c r="Y139" s="2">
        <v>1.1000000000000001</v>
      </c>
      <c r="Z139" s="2">
        <v>4.5999999999999996</v>
      </c>
      <c r="AA139" s="2">
        <v>2.1</v>
      </c>
      <c r="AB139" s="2">
        <v>6.2</v>
      </c>
      <c r="AC139" s="2">
        <v>12.3</v>
      </c>
      <c r="AD139" s="2"/>
    </row>
    <row r="140" spans="1:30" x14ac:dyDescent="0.2">
      <c r="A140" t="s">
        <v>56</v>
      </c>
      <c r="B140" s="2">
        <v>28</v>
      </c>
      <c r="C140" t="s">
        <v>57</v>
      </c>
      <c r="D140" s="2" t="s">
        <v>52</v>
      </c>
      <c r="E140" s="2">
        <v>24</v>
      </c>
      <c r="F140" s="2">
        <v>24</v>
      </c>
      <c r="G140" s="2">
        <v>765</v>
      </c>
      <c r="H140" s="2">
        <v>9.6</v>
      </c>
      <c r="I140" s="2">
        <v>21.3</v>
      </c>
      <c r="J140" s="2">
        <v>0.45100000000000001</v>
      </c>
      <c r="K140" s="2">
        <v>4.2</v>
      </c>
      <c r="L140" s="2">
        <v>10.3</v>
      </c>
      <c r="M140" s="2">
        <v>0.41099999999999998</v>
      </c>
      <c r="N140" s="2">
        <v>5.4</v>
      </c>
      <c r="O140" s="2">
        <v>11</v>
      </c>
      <c r="P140" s="2">
        <v>0.48899999999999999</v>
      </c>
      <c r="Q140" s="2">
        <v>0.55100000000000005</v>
      </c>
      <c r="R140" s="2">
        <v>3.3</v>
      </c>
      <c r="S140" s="2">
        <v>4.0999999999999996</v>
      </c>
      <c r="T140" s="2">
        <v>0.80700000000000005</v>
      </c>
      <c r="U140" s="2">
        <v>0.7</v>
      </c>
      <c r="V140" s="2">
        <v>4.7</v>
      </c>
      <c r="W140" s="2">
        <v>5.4</v>
      </c>
      <c r="X140" s="2">
        <v>4.9000000000000004</v>
      </c>
      <c r="Y140" s="2">
        <v>1.7</v>
      </c>
      <c r="Z140" s="2">
        <v>0.4</v>
      </c>
      <c r="AA140" s="2">
        <v>2.5</v>
      </c>
      <c r="AB140" s="2">
        <v>2.6</v>
      </c>
      <c r="AC140" s="2">
        <v>26.8</v>
      </c>
      <c r="AD140" s="2"/>
    </row>
    <row r="141" spans="1:30" x14ac:dyDescent="0.2">
      <c r="A141" t="s">
        <v>234</v>
      </c>
      <c r="B141" s="2">
        <v>28</v>
      </c>
      <c r="C141" t="s">
        <v>51</v>
      </c>
      <c r="D141" s="2" t="s">
        <v>52</v>
      </c>
      <c r="E141" s="2">
        <v>23</v>
      </c>
      <c r="F141" s="2">
        <v>2</v>
      </c>
      <c r="G141" s="2">
        <v>579</v>
      </c>
      <c r="H141" s="2">
        <v>4.2</v>
      </c>
      <c r="I141" s="2">
        <v>12</v>
      </c>
      <c r="J141" s="2">
        <v>0.35199999999999998</v>
      </c>
      <c r="K141" s="2">
        <v>3</v>
      </c>
      <c r="L141" s="2">
        <v>9.5</v>
      </c>
      <c r="M141" s="2">
        <v>0.32200000000000001</v>
      </c>
      <c r="N141" s="2">
        <v>1.2</v>
      </c>
      <c r="O141" s="2">
        <v>2.5</v>
      </c>
      <c r="P141" s="2">
        <v>0.46300000000000002</v>
      </c>
      <c r="Q141" s="2">
        <v>0.47899999999999998</v>
      </c>
      <c r="R141" s="2">
        <v>0.7</v>
      </c>
      <c r="S141" s="2">
        <v>1</v>
      </c>
      <c r="T141" s="2">
        <v>0.75</v>
      </c>
      <c r="U141" s="2">
        <v>0.5</v>
      </c>
      <c r="V141" s="2">
        <v>3.8</v>
      </c>
      <c r="W141" s="2">
        <v>4.3</v>
      </c>
      <c r="X141" s="2">
        <v>5.0999999999999996</v>
      </c>
      <c r="Y141" s="2">
        <v>1.8</v>
      </c>
      <c r="Z141" s="2">
        <v>0.4</v>
      </c>
      <c r="AA141" s="2">
        <v>2.4</v>
      </c>
      <c r="AB141" s="2">
        <v>2.2999999999999998</v>
      </c>
      <c r="AC141" s="2">
        <v>12.2</v>
      </c>
      <c r="AD141" s="2"/>
    </row>
    <row r="142" spans="1:30" x14ac:dyDescent="0.2">
      <c r="A142" t="s">
        <v>261</v>
      </c>
      <c r="B142" s="2">
        <v>31</v>
      </c>
      <c r="C142" t="s">
        <v>103</v>
      </c>
      <c r="D142" s="2" t="s">
        <v>27</v>
      </c>
      <c r="E142" s="2">
        <v>16</v>
      </c>
      <c r="F142" s="2">
        <v>16</v>
      </c>
      <c r="G142" s="2">
        <v>466</v>
      </c>
      <c r="H142" s="2">
        <v>4.5999999999999996</v>
      </c>
      <c r="I142" s="2">
        <v>10</v>
      </c>
      <c r="J142" s="2">
        <v>0.46500000000000002</v>
      </c>
      <c r="K142" s="2">
        <v>2.9</v>
      </c>
      <c r="L142" s="2">
        <v>6.8</v>
      </c>
      <c r="M142" s="2">
        <v>0.432</v>
      </c>
      <c r="N142" s="2">
        <v>1.7</v>
      </c>
      <c r="O142" s="2">
        <v>3.2</v>
      </c>
      <c r="P142" s="2">
        <v>0.53700000000000003</v>
      </c>
      <c r="Q142" s="2">
        <v>0.61199999999999999</v>
      </c>
      <c r="R142" s="2">
        <v>0.8</v>
      </c>
      <c r="S142" s="2">
        <v>1.4</v>
      </c>
      <c r="T142" s="2">
        <v>0.61099999999999999</v>
      </c>
      <c r="U142" s="2">
        <v>2.1</v>
      </c>
      <c r="V142" s="2">
        <v>3.2</v>
      </c>
      <c r="W142" s="2">
        <v>5.3</v>
      </c>
      <c r="X142" s="2">
        <v>2.2000000000000002</v>
      </c>
      <c r="Y142" s="2">
        <v>1.2</v>
      </c>
      <c r="Z142" s="2">
        <v>0.6</v>
      </c>
      <c r="AA142" s="2">
        <v>1.2</v>
      </c>
      <c r="AB142" s="2">
        <v>3.9</v>
      </c>
      <c r="AC142" s="2">
        <v>13.1</v>
      </c>
      <c r="AD142" s="2"/>
    </row>
    <row r="143" spans="1:30" x14ac:dyDescent="0.2">
      <c r="A143" t="s">
        <v>382</v>
      </c>
      <c r="B143" s="2">
        <v>33</v>
      </c>
      <c r="C143" t="s">
        <v>37</v>
      </c>
      <c r="D143" s="2" t="s">
        <v>49</v>
      </c>
      <c r="E143" s="2">
        <v>19</v>
      </c>
      <c r="F143" s="2">
        <v>2</v>
      </c>
      <c r="G143" s="2">
        <v>155</v>
      </c>
      <c r="H143" s="2">
        <v>5.0999999999999996</v>
      </c>
      <c r="I143" s="2">
        <v>12.8</v>
      </c>
      <c r="J143" s="2">
        <v>0.4</v>
      </c>
      <c r="K143" s="2">
        <v>4.4000000000000004</v>
      </c>
      <c r="L143" s="2">
        <v>10.9</v>
      </c>
      <c r="M143" s="2">
        <v>0.40400000000000003</v>
      </c>
      <c r="N143" s="2">
        <v>0.7</v>
      </c>
      <c r="O143" s="2">
        <v>1.9</v>
      </c>
      <c r="P143" s="2">
        <v>0.375</v>
      </c>
      <c r="Q143" s="2">
        <v>0.57299999999999995</v>
      </c>
      <c r="R143" s="2">
        <v>0.7</v>
      </c>
      <c r="S143" s="2">
        <v>1.2</v>
      </c>
      <c r="T143" s="2">
        <v>0.6</v>
      </c>
      <c r="U143" s="2">
        <v>0.2</v>
      </c>
      <c r="V143" s="2">
        <v>3</v>
      </c>
      <c r="W143" s="2">
        <v>3.3</v>
      </c>
      <c r="X143" s="2">
        <v>0.7</v>
      </c>
      <c r="Y143" s="2">
        <v>0.5</v>
      </c>
      <c r="Z143" s="2">
        <v>0.2</v>
      </c>
      <c r="AA143" s="2">
        <v>0.5</v>
      </c>
      <c r="AB143" s="2">
        <v>3.7</v>
      </c>
      <c r="AC143" s="2">
        <v>15.3</v>
      </c>
      <c r="AD143" s="2"/>
    </row>
    <row r="144" spans="1:30" x14ac:dyDescent="0.2">
      <c r="A144" t="s">
        <v>240</v>
      </c>
      <c r="B144" s="2">
        <v>34</v>
      </c>
      <c r="C144" t="s">
        <v>100</v>
      </c>
      <c r="D144" s="2" t="s">
        <v>27</v>
      </c>
      <c r="E144" s="2">
        <v>22</v>
      </c>
      <c r="F144" s="2">
        <v>21</v>
      </c>
      <c r="G144" s="2">
        <v>629</v>
      </c>
      <c r="H144" s="2">
        <v>3.8</v>
      </c>
      <c r="I144" s="2">
        <v>8.5</v>
      </c>
      <c r="J144" s="2">
        <v>0.443</v>
      </c>
      <c r="K144" s="2">
        <v>1.7</v>
      </c>
      <c r="L144" s="2">
        <v>4.5</v>
      </c>
      <c r="M144" s="2">
        <v>0.38</v>
      </c>
      <c r="N144" s="2">
        <v>2.1</v>
      </c>
      <c r="O144" s="2">
        <v>4</v>
      </c>
      <c r="P144" s="2">
        <v>0.51400000000000001</v>
      </c>
      <c r="Q144" s="2">
        <v>0.54400000000000004</v>
      </c>
      <c r="R144" s="2">
        <v>1.7</v>
      </c>
      <c r="S144" s="2">
        <v>2.8</v>
      </c>
      <c r="T144" s="2">
        <v>0.61199999999999999</v>
      </c>
      <c r="U144" s="2">
        <v>1.1000000000000001</v>
      </c>
      <c r="V144" s="2">
        <v>6.7</v>
      </c>
      <c r="W144" s="2">
        <v>7.8</v>
      </c>
      <c r="X144" s="2">
        <v>7.5</v>
      </c>
      <c r="Y144" s="2">
        <v>1.3</v>
      </c>
      <c r="Z144" s="2">
        <v>1.3</v>
      </c>
      <c r="AA144" s="2">
        <v>3</v>
      </c>
      <c r="AB144" s="2">
        <v>4.2</v>
      </c>
      <c r="AC144" s="2">
        <v>11</v>
      </c>
      <c r="AD144" s="2"/>
    </row>
    <row r="145" spans="1:30" x14ac:dyDescent="0.2">
      <c r="A145" t="s">
        <v>353</v>
      </c>
      <c r="B145" s="2">
        <v>27</v>
      </c>
      <c r="C145" t="s">
        <v>120</v>
      </c>
      <c r="D145" s="2" t="s">
        <v>42</v>
      </c>
      <c r="E145" s="2">
        <v>20</v>
      </c>
      <c r="F145" s="2">
        <v>0</v>
      </c>
      <c r="G145" s="2">
        <v>271</v>
      </c>
      <c r="H145" s="2">
        <v>4.8</v>
      </c>
      <c r="I145" s="2">
        <v>8.1999999999999993</v>
      </c>
      <c r="J145" s="2">
        <v>0.58099999999999996</v>
      </c>
      <c r="K145" s="2">
        <v>0.1</v>
      </c>
      <c r="L145" s="2">
        <v>0.4</v>
      </c>
      <c r="M145" s="2">
        <v>0.33300000000000002</v>
      </c>
      <c r="N145" s="2">
        <v>4.5999999999999996</v>
      </c>
      <c r="O145" s="2">
        <v>7.8</v>
      </c>
      <c r="P145" s="2">
        <v>0.59299999999999997</v>
      </c>
      <c r="Q145" s="2">
        <v>0.58899999999999997</v>
      </c>
      <c r="R145" s="2">
        <v>2.2999999999999998</v>
      </c>
      <c r="S145" s="2">
        <v>3.6</v>
      </c>
      <c r="T145" s="2">
        <v>0.63</v>
      </c>
      <c r="U145" s="2">
        <v>3.2</v>
      </c>
      <c r="V145" s="2">
        <v>7.4</v>
      </c>
      <c r="W145" s="2">
        <v>10.6</v>
      </c>
      <c r="X145" s="2">
        <v>3.2</v>
      </c>
      <c r="Y145" s="2">
        <v>0.7</v>
      </c>
      <c r="Z145" s="2">
        <v>1.9</v>
      </c>
      <c r="AA145" s="2">
        <v>2.1</v>
      </c>
      <c r="AB145" s="2">
        <v>3.2</v>
      </c>
      <c r="AC145" s="2">
        <v>12</v>
      </c>
      <c r="AD145" s="2"/>
    </row>
    <row r="146" spans="1:30" x14ac:dyDescent="0.2">
      <c r="A146" t="s">
        <v>467</v>
      </c>
      <c r="B146" s="2">
        <v>25</v>
      </c>
      <c r="C146" t="s">
        <v>39</v>
      </c>
      <c r="D146" s="2" t="s">
        <v>27</v>
      </c>
      <c r="E146" s="2">
        <v>7</v>
      </c>
      <c r="F146" s="2">
        <v>0</v>
      </c>
      <c r="G146" s="2">
        <v>81</v>
      </c>
      <c r="H146" s="2">
        <v>2.2000000000000002</v>
      </c>
      <c r="I146" s="2">
        <v>6.7</v>
      </c>
      <c r="J146" s="2">
        <v>0.33300000000000002</v>
      </c>
      <c r="K146" s="2">
        <v>1.8</v>
      </c>
      <c r="L146" s="2">
        <v>5.8</v>
      </c>
      <c r="M146" s="2">
        <v>0.308</v>
      </c>
      <c r="N146" s="2">
        <v>0.4</v>
      </c>
      <c r="O146" s="2">
        <v>0.9</v>
      </c>
      <c r="P146" s="2">
        <v>0.5</v>
      </c>
      <c r="Q146" s="2">
        <v>0.46700000000000003</v>
      </c>
      <c r="R146" s="2">
        <v>2.7</v>
      </c>
      <c r="S146" s="2">
        <v>3.1</v>
      </c>
      <c r="T146" s="2">
        <v>0.85699999999999998</v>
      </c>
      <c r="U146" s="2">
        <v>1.8</v>
      </c>
      <c r="V146" s="2">
        <v>5.3</v>
      </c>
      <c r="W146" s="2">
        <v>7.1</v>
      </c>
      <c r="X146" s="2">
        <v>1.8</v>
      </c>
      <c r="Y146" s="2">
        <v>0.9</v>
      </c>
      <c r="Z146" s="2">
        <v>0.9</v>
      </c>
      <c r="AA146" s="2">
        <v>1.3</v>
      </c>
      <c r="AB146" s="2">
        <v>3.1</v>
      </c>
      <c r="AC146" s="2">
        <v>8.9</v>
      </c>
      <c r="AD146" s="2"/>
    </row>
    <row r="147" spans="1:30" x14ac:dyDescent="0.2">
      <c r="A147" t="s">
        <v>400</v>
      </c>
      <c r="B147" s="2">
        <v>27</v>
      </c>
      <c r="C147" t="s">
        <v>61</v>
      </c>
      <c r="D147" s="2" t="s">
        <v>52</v>
      </c>
      <c r="E147" s="2">
        <v>10</v>
      </c>
      <c r="F147" s="2">
        <v>0</v>
      </c>
      <c r="G147" s="2">
        <v>174</v>
      </c>
      <c r="H147" s="2">
        <v>4.0999999999999996</v>
      </c>
      <c r="I147" s="2">
        <v>8.6999999999999993</v>
      </c>
      <c r="J147" s="2">
        <v>0.47599999999999998</v>
      </c>
      <c r="K147" s="2">
        <v>2.1</v>
      </c>
      <c r="L147" s="2">
        <v>4.0999999999999996</v>
      </c>
      <c r="M147" s="2">
        <v>0.5</v>
      </c>
      <c r="N147" s="2">
        <v>2.1</v>
      </c>
      <c r="O147" s="2">
        <v>4.5999999999999996</v>
      </c>
      <c r="P147" s="2">
        <v>0.45500000000000002</v>
      </c>
      <c r="Q147" s="2">
        <v>0.59499999999999997</v>
      </c>
      <c r="R147" s="2">
        <v>0.8</v>
      </c>
      <c r="S147" s="2">
        <v>1.2</v>
      </c>
      <c r="T147" s="2">
        <v>0.66700000000000004</v>
      </c>
      <c r="U147" s="2">
        <v>2.1</v>
      </c>
      <c r="V147" s="2">
        <v>4.3</v>
      </c>
      <c r="W147" s="2">
        <v>6.4</v>
      </c>
      <c r="X147" s="2">
        <v>3.3</v>
      </c>
      <c r="Y147" s="2">
        <v>1.9</v>
      </c>
      <c r="Z147" s="2">
        <v>1</v>
      </c>
      <c r="AA147" s="2">
        <v>2.1</v>
      </c>
      <c r="AB147" s="2">
        <v>3.1</v>
      </c>
      <c r="AC147" s="2">
        <v>11.2</v>
      </c>
      <c r="AD147" s="2"/>
    </row>
    <row r="148" spans="1:30" x14ac:dyDescent="0.2">
      <c r="A148" t="s">
        <v>198</v>
      </c>
      <c r="B148" s="2">
        <v>30</v>
      </c>
      <c r="C148" t="s">
        <v>61</v>
      </c>
      <c r="D148" s="2" t="s">
        <v>49</v>
      </c>
      <c r="E148" s="2">
        <v>22</v>
      </c>
      <c r="F148" s="2">
        <v>11</v>
      </c>
      <c r="G148" s="2">
        <v>496</v>
      </c>
      <c r="H148" s="2">
        <v>6.3</v>
      </c>
      <c r="I148" s="2">
        <v>15.1</v>
      </c>
      <c r="J148" s="2">
        <v>0.41799999999999998</v>
      </c>
      <c r="K148" s="2">
        <v>3.9</v>
      </c>
      <c r="L148" s="2">
        <v>10.199999999999999</v>
      </c>
      <c r="M148" s="2">
        <v>0.38300000000000001</v>
      </c>
      <c r="N148" s="2">
        <v>2.4</v>
      </c>
      <c r="O148" s="2">
        <v>4.9000000000000004</v>
      </c>
      <c r="P148" s="2">
        <v>0.49299999999999999</v>
      </c>
      <c r="Q148" s="2">
        <v>0.54800000000000004</v>
      </c>
      <c r="R148" s="2">
        <v>1.1000000000000001</v>
      </c>
      <c r="S148" s="2">
        <v>1.3</v>
      </c>
      <c r="T148" s="2">
        <v>0.83299999999999996</v>
      </c>
      <c r="U148" s="2">
        <v>0.6</v>
      </c>
      <c r="V148" s="2">
        <v>3.1</v>
      </c>
      <c r="W148" s="2">
        <v>3.7</v>
      </c>
      <c r="X148" s="2">
        <v>3.6</v>
      </c>
      <c r="Y148" s="2">
        <v>0.8</v>
      </c>
      <c r="Z148" s="2">
        <v>0.2</v>
      </c>
      <c r="AA148" s="2">
        <v>1.5</v>
      </c>
      <c r="AB148" s="2">
        <v>3.3</v>
      </c>
      <c r="AC148" s="2">
        <v>17.600000000000001</v>
      </c>
      <c r="AD148" s="2"/>
    </row>
    <row r="149" spans="1:30" x14ac:dyDescent="0.2">
      <c r="A149" t="s">
        <v>447</v>
      </c>
      <c r="B149" s="2">
        <v>28</v>
      </c>
      <c r="C149" t="s">
        <v>135</v>
      </c>
      <c r="D149" s="2" t="s">
        <v>42</v>
      </c>
      <c r="E149" s="2">
        <v>13</v>
      </c>
      <c r="F149" s="2">
        <v>0</v>
      </c>
      <c r="G149" s="2">
        <v>83</v>
      </c>
      <c r="H149" s="2">
        <v>4.3</v>
      </c>
      <c r="I149" s="2">
        <v>11.3</v>
      </c>
      <c r="J149" s="2">
        <v>0.38500000000000001</v>
      </c>
      <c r="K149" s="2">
        <v>3</v>
      </c>
      <c r="L149" s="2">
        <v>8.1999999999999993</v>
      </c>
      <c r="M149" s="2">
        <v>0.36799999999999999</v>
      </c>
      <c r="N149" s="2">
        <v>1.3</v>
      </c>
      <c r="O149" s="2">
        <v>3</v>
      </c>
      <c r="P149" s="2">
        <v>0.42899999999999999</v>
      </c>
      <c r="Q149" s="2">
        <v>0.51900000000000002</v>
      </c>
      <c r="R149" s="2">
        <v>0</v>
      </c>
      <c r="S149" s="2">
        <v>0</v>
      </c>
      <c r="T149" s="2"/>
      <c r="U149" s="2">
        <v>2.6</v>
      </c>
      <c r="V149" s="2">
        <v>3</v>
      </c>
      <c r="W149" s="2">
        <v>5.6</v>
      </c>
      <c r="X149" s="2">
        <v>1.3</v>
      </c>
      <c r="Y149" s="2">
        <v>0</v>
      </c>
      <c r="Z149" s="2">
        <v>0.9</v>
      </c>
      <c r="AA149" s="2">
        <v>0.4</v>
      </c>
      <c r="AB149" s="2">
        <v>4.3</v>
      </c>
      <c r="AC149" s="2">
        <v>11.7</v>
      </c>
      <c r="AD149" s="2"/>
    </row>
    <row r="150" spans="1:30" x14ac:dyDescent="0.2">
      <c r="A150" t="s">
        <v>434</v>
      </c>
      <c r="B150" s="2">
        <v>33</v>
      </c>
      <c r="C150" t="s">
        <v>63</v>
      </c>
      <c r="D150" s="2" t="s">
        <v>42</v>
      </c>
      <c r="E150" s="2">
        <v>19</v>
      </c>
      <c r="F150" s="2">
        <v>0</v>
      </c>
      <c r="G150" s="2">
        <v>154</v>
      </c>
      <c r="H150" s="2">
        <v>1.9</v>
      </c>
      <c r="I150" s="2">
        <v>2.2999999999999998</v>
      </c>
      <c r="J150" s="2">
        <v>0.8</v>
      </c>
      <c r="K150" s="2">
        <v>0</v>
      </c>
      <c r="L150" s="2">
        <v>0</v>
      </c>
      <c r="M150" s="2"/>
      <c r="N150" s="2">
        <v>1.9</v>
      </c>
      <c r="O150" s="2">
        <v>2.2999999999999998</v>
      </c>
      <c r="P150" s="2">
        <v>0.8</v>
      </c>
      <c r="Q150" s="2">
        <v>0.8</v>
      </c>
      <c r="R150" s="2">
        <v>4</v>
      </c>
      <c r="S150" s="2">
        <v>5.6</v>
      </c>
      <c r="T150" s="2">
        <v>0.70799999999999996</v>
      </c>
      <c r="U150" s="2">
        <v>2.8</v>
      </c>
      <c r="V150" s="2">
        <v>5.0999999999999996</v>
      </c>
      <c r="W150" s="2">
        <v>7.9</v>
      </c>
      <c r="X150" s="2">
        <v>3</v>
      </c>
      <c r="Y150" s="2">
        <v>1.6</v>
      </c>
      <c r="Z150" s="2">
        <v>1.9</v>
      </c>
      <c r="AA150" s="2">
        <v>1.2</v>
      </c>
      <c r="AB150" s="2">
        <v>6.1</v>
      </c>
      <c r="AC150" s="2">
        <v>7.7</v>
      </c>
      <c r="AD150" s="2"/>
    </row>
    <row r="151" spans="1:30" x14ac:dyDescent="0.2">
      <c r="A151" t="s">
        <v>146</v>
      </c>
      <c r="B151" s="2">
        <v>21</v>
      </c>
      <c r="C151" t="s">
        <v>72</v>
      </c>
      <c r="D151" s="2" t="s">
        <v>52</v>
      </c>
      <c r="E151" s="2">
        <v>24</v>
      </c>
      <c r="F151" s="2">
        <v>24</v>
      </c>
      <c r="G151" s="2">
        <v>811</v>
      </c>
      <c r="H151" s="2">
        <v>6</v>
      </c>
      <c r="I151" s="2">
        <v>13.4</v>
      </c>
      <c r="J151" s="2">
        <v>0.44700000000000001</v>
      </c>
      <c r="K151" s="2">
        <v>1.3</v>
      </c>
      <c r="L151" s="2">
        <v>4.0999999999999996</v>
      </c>
      <c r="M151" s="2">
        <v>0.312</v>
      </c>
      <c r="N151" s="2">
        <v>4.7</v>
      </c>
      <c r="O151" s="2">
        <v>9.3000000000000007</v>
      </c>
      <c r="P151" s="2">
        <v>0.50700000000000001</v>
      </c>
      <c r="Q151" s="2">
        <v>0.495</v>
      </c>
      <c r="R151" s="2">
        <v>1.1000000000000001</v>
      </c>
      <c r="S151" s="2">
        <v>1.6</v>
      </c>
      <c r="T151" s="2">
        <v>0.64900000000000002</v>
      </c>
      <c r="U151" s="2">
        <v>1.9</v>
      </c>
      <c r="V151" s="2">
        <v>3.5</v>
      </c>
      <c r="W151" s="2">
        <v>5.3</v>
      </c>
      <c r="X151" s="2">
        <v>3.6</v>
      </c>
      <c r="Y151" s="2">
        <v>3.2</v>
      </c>
      <c r="Z151" s="2">
        <v>1</v>
      </c>
      <c r="AA151" s="2">
        <v>1.9</v>
      </c>
      <c r="AB151" s="2">
        <v>2.9</v>
      </c>
      <c r="AC151" s="2">
        <v>14.3</v>
      </c>
      <c r="AD151" s="2"/>
    </row>
    <row r="152" spans="1:30" x14ac:dyDescent="0.2">
      <c r="A152" t="s">
        <v>487</v>
      </c>
      <c r="B152" s="2">
        <v>24</v>
      </c>
      <c r="C152" t="s">
        <v>70</v>
      </c>
      <c r="D152" s="2" t="s">
        <v>27</v>
      </c>
      <c r="E152" s="2">
        <v>6</v>
      </c>
      <c r="F152" s="2">
        <v>0</v>
      </c>
      <c r="G152" s="2">
        <v>31</v>
      </c>
      <c r="H152" s="2">
        <v>5.8</v>
      </c>
      <c r="I152" s="2">
        <v>9.3000000000000007</v>
      </c>
      <c r="J152" s="2">
        <v>0.625</v>
      </c>
      <c r="K152" s="2">
        <v>3.5</v>
      </c>
      <c r="L152" s="2">
        <v>7</v>
      </c>
      <c r="M152" s="2">
        <v>0.5</v>
      </c>
      <c r="N152" s="2">
        <v>2.2999999999999998</v>
      </c>
      <c r="O152" s="2">
        <v>2.2999999999999998</v>
      </c>
      <c r="P152" s="2">
        <v>1</v>
      </c>
      <c r="Q152" s="2">
        <v>0.81299999999999994</v>
      </c>
      <c r="R152" s="2">
        <v>2.2999999999999998</v>
      </c>
      <c r="S152" s="2">
        <v>2.2999999999999998</v>
      </c>
      <c r="T152" s="2">
        <v>1</v>
      </c>
      <c r="U152" s="2">
        <v>1.2</v>
      </c>
      <c r="V152" s="2">
        <v>4.5999999999999996</v>
      </c>
      <c r="W152" s="2">
        <v>5.8</v>
      </c>
      <c r="X152" s="2">
        <v>3.5</v>
      </c>
      <c r="Y152" s="2">
        <v>1.2</v>
      </c>
      <c r="Z152" s="2">
        <v>1.2</v>
      </c>
      <c r="AA152" s="2">
        <v>2.2999999999999998</v>
      </c>
      <c r="AB152" s="2">
        <v>9.3000000000000007</v>
      </c>
      <c r="AC152" s="2">
        <v>17.399999999999999</v>
      </c>
      <c r="AD152" s="2"/>
    </row>
    <row r="153" spans="1:30" x14ac:dyDescent="0.2">
      <c r="A153" t="s">
        <v>408</v>
      </c>
      <c r="B153" s="2">
        <v>30</v>
      </c>
      <c r="C153" t="s">
        <v>117</v>
      </c>
      <c r="D153" s="2" t="s">
        <v>33</v>
      </c>
      <c r="E153" s="2">
        <v>7</v>
      </c>
      <c r="F153" s="2">
        <v>3</v>
      </c>
      <c r="G153" s="2">
        <v>144</v>
      </c>
      <c r="H153" s="2">
        <v>5.7</v>
      </c>
      <c r="I153" s="2">
        <v>11.5</v>
      </c>
      <c r="J153" s="2">
        <v>0.5</v>
      </c>
      <c r="K153" s="2">
        <v>0</v>
      </c>
      <c r="L153" s="2">
        <v>0.2</v>
      </c>
      <c r="M153" s="2">
        <v>0</v>
      </c>
      <c r="N153" s="2">
        <v>5.7</v>
      </c>
      <c r="O153" s="2">
        <v>11.3</v>
      </c>
      <c r="P153" s="2">
        <v>0.51100000000000001</v>
      </c>
      <c r="Q153" s="2">
        <v>0.5</v>
      </c>
      <c r="R153" s="2">
        <v>0.2</v>
      </c>
      <c r="S153" s="2">
        <v>0.5</v>
      </c>
      <c r="T153" s="2">
        <v>0.5</v>
      </c>
      <c r="U153" s="2">
        <v>1.2</v>
      </c>
      <c r="V153" s="2">
        <v>4.7</v>
      </c>
      <c r="W153" s="2">
        <v>6</v>
      </c>
      <c r="X153" s="2">
        <v>12</v>
      </c>
      <c r="Y153" s="2">
        <v>2.5</v>
      </c>
      <c r="Z153" s="2">
        <v>0.7</v>
      </c>
      <c r="AA153" s="2">
        <v>5</v>
      </c>
      <c r="AB153" s="2">
        <v>2.5</v>
      </c>
      <c r="AC153" s="2">
        <v>11.7</v>
      </c>
      <c r="AD153" s="2"/>
    </row>
    <row r="154" spans="1:30" x14ac:dyDescent="0.2">
      <c r="A154" t="s">
        <v>458</v>
      </c>
      <c r="B154" s="2">
        <v>24</v>
      </c>
      <c r="C154" t="s">
        <v>82</v>
      </c>
      <c r="D154" s="2" t="s">
        <v>27</v>
      </c>
      <c r="E154" s="2">
        <v>15</v>
      </c>
      <c r="F154" s="2">
        <v>1</v>
      </c>
      <c r="G154" s="2">
        <v>111</v>
      </c>
      <c r="H154" s="2">
        <v>2.6</v>
      </c>
      <c r="I154" s="2">
        <v>5.8</v>
      </c>
      <c r="J154" s="2">
        <v>0.44400000000000001</v>
      </c>
      <c r="K154" s="2">
        <v>0.3</v>
      </c>
      <c r="L154" s="2">
        <v>1.6</v>
      </c>
      <c r="M154" s="2">
        <v>0.2</v>
      </c>
      <c r="N154" s="2">
        <v>2.2999999999999998</v>
      </c>
      <c r="O154" s="2">
        <v>4.2</v>
      </c>
      <c r="P154" s="2">
        <v>0.53800000000000003</v>
      </c>
      <c r="Q154" s="2">
        <v>0.47199999999999998</v>
      </c>
      <c r="R154" s="2">
        <v>1.6</v>
      </c>
      <c r="S154" s="2">
        <v>2.9</v>
      </c>
      <c r="T154" s="2">
        <v>0.55600000000000005</v>
      </c>
      <c r="U154" s="2">
        <v>1</v>
      </c>
      <c r="V154" s="2">
        <v>2.9</v>
      </c>
      <c r="W154" s="2">
        <v>3.9</v>
      </c>
      <c r="X154" s="2">
        <v>1.9</v>
      </c>
      <c r="Y154" s="2">
        <v>0.6</v>
      </c>
      <c r="Z154" s="2">
        <v>0.6</v>
      </c>
      <c r="AA154" s="2">
        <v>1.3</v>
      </c>
      <c r="AB154" s="2">
        <v>4.9000000000000004</v>
      </c>
      <c r="AC154" s="2">
        <v>7.1</v>
      </c>
      <c r="AD154" s="2"/>
    </row>
    <row r="155" spans="1:30" x14ac:dyDescent="0.2">
      <c r="A155" t="s">
        <v>367</v>
      </c>
      <c r="B155" s="2">
        <v>36</v>
      </c>
      <c r="C155" t="s">
        <v>122</v>
      </c>
      <c r="D155" s="2" t="s">
        <v>52</v>
      </c>
      <c r="E155" s="2">
        <v>16</v>
      </c>
      <c r="F155" s="2">
        <v>1</v>
      </c>
      <c r="G155" s="2">
        <v>264</v>
      </c>
      <c r="H155" s="2">
        <v>3.4</v>
      </c>
      <c r="I155" s="2">
        <v>10.5</v>
      </c>
      <c r="J155" s="2">
        <v>0.32500000000000001</v>
      </c>
      <c r="K155" s="2">
        <v>1.4</v>
      </c>
      <c r="L155" s="2">
        <v>5.7</v>
      </c>
      <c r="M155" s="2">
        <v>0.23799999999999999</v>
      </c>
      <c r="N155" s="2">
        <v>2</v>
      </c>
      <c r="O155" s="2">
        <v>4.8</v>
      </c>
      <c r="P155" s="2">
        <v>0.42899999999999999</v>
      </c>
      <c r="Q155" s="2">
        <v>0.39</v>
      </c>
      <c r="R155" s="2">
        <v>2.2999999999999998</v>
      </c>
      <c r="S155" s="2">
        <v>3</v>
      </c>
      <c r="T155" s="2">
        <v>0.77300000000000002</v>
      </c>
      <c r="U155" s="2">
        <v>0.4</v>
      </c>
      <c r="V155" s="2">
        <v>1.6</v>
      </c>
      <c r="W155" s="2">
        <v>2</v>
      </c>
      <c r="X155" s="2">
        <v>2.9</v>
      </c>
      <c r="Y155" s="2">
        <v>1.4</v>
      </c>
      <c r="Z155" s="2">
        <v>0.7</v>
      </c>
      <c r="AA155" s="2">
        <v>1.8</v>
      </c>
      <c r="AB155" s="2">
        <v>1.8</v>
      </c>
      <c r="AC155" s="2">
        <v>10.5</v>
      </c>
      <c r="AD155" s="2"/>
    </row>
    <row r="156" spans="1:30" x14ac:dyDescent="0.2">
      <c r="A156" t="s">
        <v>96</v>
      </c>
      <c r="B156" s="2">
        <v>23</v>
      </c>
      <c r="C156" t="s">
        <v>57</v>
      </c>
      <c r="D156" s="2" t="s">
        <v>27</v>
      </c>
      <c r="E156" s="2">
        <v>24</v>
      </c>
      <c r="F156" s="2">
        <v>24</v>
      </c>
      <c r="G156" s="2">
        <v>736</v>
      </c>
      <c r="H156" s="2">
        <v>8.3000000000000007</v>
      </c>
      <c r="I156" s="2">
        <v>14.8</v>
      </c>
      <c r="J156" s="2">
        <v>0.55800000000000005</v>
      </c>
      <c r="K156" s="2">
        <v>1.1000000000000001</v>
      </c>
      <c r="L156" s="2">
        <v>2.7</v>
      </c>
      <c r="M156" s="2">
        <v>0.4</v>
      </c>
      <c r="N156" s="2">
        <v>7.2</v>
      </c>
      <c r="O156" s="2">
        <v>12.1</v>
      </c>
      <c r="P156" s="2">
        <v>0.59299999999999997</v>
      </c>
      <c r="Q156" s="2">
        <v>0.59399999999999997</v>
      </c>
      <c r="R156" s="2">
        <v>3.8</v>
      </c>
      <c r="S156" s="2">
        <v>4.8</v>
      </c>
      <c r="T156" s="2">
        <v>0.79600000000000004</v>
      </c>
      <c r="U156" s="2">
        <v>2.6</v>
      </c>
      <c r="V156" s="2">
        <v>8</v>
      </c>
      <c r="W156" s="2">
        <v>10.7</v>
      </c>
      <c r="X156" s="2">
        <v>3.1</v>
      </c>
      <c r="Y156" s="2">
        <v>1.3</v>
      </c>
      <c r="Z156" s="2">
        <v>1.8</v>
      </c>
      <c r="AA156" s="2">
        <v>2.5</v>
      </c>
      <c r="AB156" s="2">
        <v>2.4</v>
      </c>
      <c r="AC156" s="2">
        <v>21.4</v>
      </c>
      <c r="AD156" s="2"/>
    </row>
    <row r="157" spans="1:30" x14ac:dyDescent="0.2">
      <c r="A157" t="s">
        <v>47</v>
      </c>
      <c r="B157" s="2">
        <v>23</v>
      </c>
      <c r="C157" t="s">
        <v>48</v>
      </c>
      <c r="D157" s="2" t="s">
        <v>49</v>
      </c>
      <c r="E157" s="2">
        <v>25</v>
      </c>
      <c r="F157" s="2">
        <v>25</v>
      </c>
      <c r="G157" s="2">
        <v>829</v>
      </c>
      <c r="H157" s="2">
        <v>9.6</v>
      </c>
      <c r="I157" s="2">
        <v>20.5</v>
      </c>
      <c r="J157" s="2">
        <v>0.46500000000000002</v>
      </c>
      <c r="K157" s="2">
        <v>2.2000000000000002</v>
      </c>
      <c r="L157" s="2">
        <v>6.9</v>
      </c>
      <c r="M157" s="2">
        <v>0.32100000000000001</v>
      </c>
      <c r="N157" s="2">
        <v>7.3</v>
      </c>
      <c r="O157" s="2">
        <v>13.6</v>
      </c>
      <c r="P157" s="2">
        <v>0.53800000000000003</v>
      </c>
      <c r="Q157" s="2">
        <v>0.51900000000000002</v>
      </c>
      <c r="R157" s="2">
        <v>5.2</v>
      </c>
      <c r="S157" s="2">
        <v>5.9</v>
      </c>
      <c r="T157" s="2">
        <v>0.88100000000000001</v>
      </c>
      <c r="U157" s="2">
        <v>1</v>
      </c>
      <c r="V157" s="2">
        <v>5.0999999999999996</v>
      </c>
      <c r="W157" s="2">
        <v>6.1</v>
      </c>
      <c r="X157" s="2">
        <v>6.2</v>
      </c>
      <c r="Y157" s="2">
        <v>1.9</v>
      </c>
      <c r="Z157" s="2">
        <v>0.5</v>
      </c>
      <c r="AA157" s="2">
        <v>2.6</v>
      </c>
      <c r="AB157" s="2">
        <v>2.5</v>
      </c>
      <c r="AC157" s="2">
        <v>26.5</v>
      </c>
      <c r="AD157" s="2"/>
    </row>
    <row r="158" spans="1:30" x14ac:dyDescent="0.2">
      <c r="A158" t="s">
        <v>127</v>
      </c>
      <c r="B158" s="2">
        <v>30</v>
      </c>
      <c r="C158" t="s">
        <v>87</v>
      </c>
      <c r="D158" s="2" t="s">
        <v>33</v>
      </c>
      <c r="E158" s="2">
        <v>23</v>
      </c>
      <c r="F158" s="2">
        <v>23</v>
      </c>
      <c r="G158" s="2">
        <v>808</v>
      </c>
      <c r="H158" s="2">
        <v>5.7</v>
      </c>
      <c r="I158" s="2">
        <v>14.7</v>
      </c>
      <c r="J158" s="2">
        <v>0.38500000000000001</v>
      </c>
      <c r="K158" s="2">
        <v>2.5</v>
      </c>
      <c r="L158" s="2">
        <v>7.9</v>
      </c>
      <c r="M158" s="2">
        <v>0.316</v>
      </c>
      <c r="N158" s="2">
        <v>3.2</v>
      </c>
      <c r="O158" s="2">
        <v>6.8</v>
      </c>
      <c r="P158" s="2">
        <v>0.46400000000000002</v>
      </c>
      <c r="Q158" s="2">
        <v>0.47</v>
      </c>
      <c r="R158" s="2">
        <v>2.2000000000000002</v>
      </c>
      <c r="S158" s="2">
        <v>2.6</v>
      </c>
      <c r="T158" s="2">
        <v>0.83099999999999996</v>
      </c>
      <c r="U158" s="2">
        <v>0.6</v>
      </c>
      <c r="V158" s="2">
        <v>3.6</v>
      </c>
      <c r="W158" s="2">
        <v>4.2</v>
      </c>
      <c r="X158" s="2">
        <v>6.1</v>
      </c>
      <c r="Y158" s="2">
        <v>1.5</v>
      </c>
      <c r="Z158" s="2">
        <v>0.4</v>
      </c>
      <c r="AA158" s="2">
        <v>1.4</v>
      </c>
      <c r="AB158" s="2">
        <v>2.5</v>
      </c>
      <c r="AC158" s="2">
        <v>16</v>
      </c>
      <c r="AD158" s="2"/>
    </row>
    <row r="159" spans="1:30" x14ac:dyDescent="0.2">
      <c r="A159" t="s">
        <v>351</v>
      </c>
      <c r="B159" s="2">
        <v>28</v>
      </c>
      <c r="C159" t="s">
        <v>41</v>
      </c>
      <c r="D159" s="2" t="s">
        <v>33</v>
      </c>
      <c r="E159" s="2">
        <v>24</v>
      </c>
      <c r="F159" s="2">
        <v>3</v>
      </c>
      <c r="G159" s="2">
        <v>454</v>
      </c>
      <c r="H159" s="2">
        <v>2.9</v>
      </c>
      <c r="I159" s="2">
        <v>8.1999999999999993</v>
      </c>
      <c r="J159" s="2">
        <v>0.35</v>
      </c>
      <c r="K159" s="2">
        <v>1.3</v>
      </c>
      <c r="L159" s="2">
        <v>4.8</v>
      </c>
      <c r="M159" s="2">
        <v>0.26200000000000001</v>
      </c>
      <c r="N159" s="2">
        <v>1.6</v>
      </c>
      <c r="O159" s="2">
        <v>3.3</v>
      </c>
      <c r="P159" s="2">
        <v>0.47599999999999998</v>
      </c>
      <c r="Q159" s="2">
        <v>0.42699999999999999</v>
      </c>
      <c r="R159" s="2">
        <v>0.3</v>
      </c>
      <c r="S159" s="2">
        <v>0.6</v>
      </c>
      <c r="T159" s="2">
        <v>0.5</v>
      </c>
      <c r="U159" s="2">
        <v>0.6</v>
      </c>
      <c r="V159" s="2">
        <v>1.5</v>
      </c>
      <c r="W159" s="2">
        <v>2.1</v>
      </c>
      <c r="X159" s="2">
        <v>1.6</v>
      </c>
      <c r="Y159" s="2">
        <v>1.7</v>
      </c>
      <c r="Z159" s="2">
        <v>0.2</v>
      </c>
      <c r="AA159" s="2">
        <v>0.9</v>
      </c>
      <c r="AB159" s="2">
        <v>3.6</v>
      </c>
      <c r="AC159" s="2">
        <v>7.3</v>
      </c>
      <c r="AD159" s="2"/>
    </row>
    <row r="160" spans="1:30" x14ac:dyDescent="0.2">
      <c r="A160" t="s">
        <v>521</v>
      </c>
      <c r="B160" s="2">
        <v>38</v>
      </c>
      <c r="C160" t="s">
        <v>66</v>
      </c>
      <c r="D160" s="2" t="s">
        <v>52</v>
      </c>
      <c r="E160" s="2">
        <v>8</v>
      </c>
      <c r="F160" s="2">
        <v>0</v>
      </c>
      <c r="G160" s="2">
        <v>31</v>
      </c>
      <c r="H160" s="2">
        <v>2.2999999999999998</v>
      </c>
      <c r="I160" s="2">
        <v>7</v>
      </c>
      <c r="J160" s="2">
        <v>0.33300000000000002</v>
      </c>
      <c r="K160" s="2">
        <v>1.2</v>
      </c>
      <c r="L160" s="2">
        <v>2.2999999999999998</v>
      </c>
      <c r="M160" s="2">
        <v>0.5</v>
      </c>
      <c r="N160" s="2">
        <v>1.2</v>
      </c>
      <c r="O160" s="2">
        <v>4.5999999999999996</v>
      </c>
      <c r="P160" s="2">
        <v>0.25</v>
      </c>
      <c r="Q160" s="2">
        <v>0.41699999999999998</v>
      </c>
      <c r="R160" s="2">
        <v>0</v>
      </c>
      <c r="S160" s="2">
        <v>0</v>
      </c>
      <c r="T160" s="2"/>
      <c r="U160" s="2">
        <v>1.2</v>
      </c>
      <c r="V160" s="2">
        <v>3.5</v>
      </c>
      <c r="W160" s="2">
        <v>4.5999999999999996</v>
      </c>
      <c r="X160" s="2">
        <v>5.8</v>
      </c>
      <c r="Y160" s="2">
        <v>4.5999999999999996</v>
      </c>
      <c r="Z160" s="2">
        <v>1.2</v>
      </c>
      <c r="AA160" s="2">
        <v>1.2</v>
      </c>
      <c r="AB160" s="2">
        <v>7</v>
      </c>
      <c r="AC160" s="2">
        <v>5.8</v>
      </c>
      <c r="AD160" s="2"/>
    </row>
    <row r="161" spans="1:30" x14ac:dyDescent="0.2">
      <c r="A161" t="s">
        <v>280</v>
      </c>
      <c r="B161" s="2">
        <v>28</v>
      </c>
      <c r="C161" t="s">
        <v>72</v>
      </c>
      <c r="D161" s="2" t="s">
        <v>52</v>
      </c>
      <c r="E161" s="2">
        <v>19</v>
      </c>
      <c r="F161" s="2">
        <v>1</v>
      </c>
      <c r="G161" s="2">
        <v>343</v>
      </c>
      <c r="H161" s="2">
        <v>4.5</v>
      </c>
      <c r="I161" s="2">
        <v>10.4</v>
      </c>
      <c r="J161" s="2">
        <v>0.434</v>
      </c>
      <c r="K161" s="2">
        <v>3.9</v>
      </c>
      <c r="L161" s="2">
        <v>8.6999999999999993</v>
      </c>
      <c r="M161" s="2">
        <v>0.44600000000000001</v>
      </c>
      <c r="N161" s="2">
        <v>0.6</v>
      </c>
      <c r="O161" s="2">
        <v>1.7</v>
      </c>
      <c r="P161" s="2">
        <v>0.375</v>
      </c>
      <c r="Q161" s="2">
        <v>0.621</v>
      </c>
      <c r="R161" s="2">
        <v>2.7</v>
      </c>
      <c r="S161" s="2">
        <v>3.3</v>
      </c>
      <c r="T161" s="2">
        <v>0.83899999999999997</v>
      </c>
      <c r="U161" s="2">
        <v>0.3</v>
      </c>
      <c r="V161" s="2">
        <v>1.9</v>
      </c>
      <c r="W161" s="2">
        <v>2.2000000000000002</v>
      </c>
      <c r="X161" s="2">
        <v>2.8</v>
      </c>
      <c r="Y161" s="2">
        <v>1.4</v>
      </c>
      <c r="Z161" s="2">
        <v>0.3</v>
      </c>
      <c r="AA161" s="2">
        <v>1</v>
      </c>
      <c r="AB161" s="2">
        <v>3.6</v>
      </c>
      <c r="AC161" s="2">
        <v>15.6</v>
      </c>
      <c r="AD161" s="2"/>
    </row>
    <row r="162" spans="1:30" x14ac:dyDescent="0.2">
      <c r="A162" t="s">
        <v>378</v>
      </c>
      <c r="B162" s="2">
        <v>30</v>
      </c>
      <c r="C162" t="s">
        <v>48</v>
      </c>
      <c r="D162" s="2" t="s">
        <v>52</v>
      </c>
      <c r="E162" s="2">
        <v>17</v>
      </c>
      <c r="F162" s="2">
        <v>2</v>
      </c>
      <c r="G162" s="2">
        <v>282</v>
      </c>
      <c r="H162" s="2">
        <v>3.1</v>
      </c>
      <c r="I162" s="2">
        <v>7.7</v>
      </c>
      <c r="J162" s="2">
        <v>0.4</v>
      </c>
      <c r="K162" s="2">
        <v>2.2000000000000002</v>
      </c>
      <c r="L162" s="2">
        <v>5.9</v>
      </c>
      <c r="M162" s="2">
        <v>0.37</v>
      </c>
      <c r="N162" s="2">
        <v>0.9</v>
      </c>
      <c r="O162" s="2">
        <v>1.8</v>
      </c>
      <c r="P162" s="2">
        <v>0.5</v>
      </c>
      <c r="Q162" s="2">
        <v>0.54200000000000004</v>
      </c>
      <c r="R162" s="2">
        <v>0.5</v>
      </c>
      <c r="S162" s="2">
        <v>0.8</v>
      </c>
      <c r="T162" s="2">
        <v>0.66700000000000004</v>
      </c>
      <c r="U162" s="2">
        <v>1.1000000000000001</v>
      </c>
      <c r="V162" s="2">
        <v>1.8</v>
      </c>
      <c r="W162" s="2">
        <v>2.9</v>
      </c>
      <c r="X162" s="2">
        <v>0.9</v>
      </c>
      <c r="Y162" s="2">
        <v>1.1000000000000001</v>
      </c>
      <c r="Z162" s="2">
        <v>0.6</v>
      </c>
      <c r="AA162" s="2">
        <v>0.9</v>
      </c>
      <c r="AB162" s="2">
        <v>1.7</v>
      </c>
      <c r="AC162" s="2">
        <v>8.8000000000000007</v>
      </c>
      <c r="AD162" s="2"/>
    </row>
    <row r="163" spans="1:30" x14ac:dyDescent="0.2">
      <c r="A163" t="s">
        <v>321</v>
      </c>
      <c r="B163" s="2">
        <v>32</v>
      </c>
      <c r="C163" t="s">
        <v>100</v>
      </c>
      <c r="D163" s="2" t="s">
        <v>52</v>
      </c>
      <c r="E163" s="2">
        <v>24</v>
      </c>
      <c r="F163" s="2">
        <v>4</v>
      </c>
      <c r="G163" s="2">
        <v>325</v>
      </c>
      <c r="H163" s="2">
        <v>5.6</v>
      </c>
      <c r="I163" s="2">
        <v>10.3</v>
      </c>
      <c r="J163" s="2">
        <v>0.54800000000000004</v>
      </c>
      <c r="K163" s="2">
        <v>0.4</v>
      </c>
      <c r="L163" s="2">
        <v>3</v>
      </c>
      <c r="M163" s="2">
        <v>0.14799999999999999</v>
      </c>
      <c r="N163" s="2">
        <v>5.2</v>
      </c>
      <c r="O163" s="2">
        <v>7.3</v>
      </c>
      <c r="P163" s="2">
        <v>0.71199999999999997</v>
      </c>
      <c r="Q163" s="2">
        <v>0.56999999999999995</v>
      </c>
      <c r="R163" s="2">
        <v>0.7</v>
      </c>
      <c r="S163" s="2">
        <v>1.2</v>
      </c>
      <c r="T163" s="2">
        <v>0.54500000000000004</v>
      </c>
      <c r="U163" s="2">
        <v>3.1</v>
      </c>
      <c r="V163" s="2">
        <v>4.3</v>
      </c>
      <c r="W163" s="2">
        <v>7.4</v>
      </c>
      <c r="X163" s="2">
        <v>3.2</v>
      </c>
      <c r="Y163" s="2">
        <v>2.1</v>
      </c>
      <c r="Z163" s="2">
        <v>1</v>
      </c>
      <c r="AA163" s="2">
        <v>1.6</v>
      </c>
      <c r="AB163" s="2">
        <v>3.8</v>
      </c>
      <c r="AC163" s="2">
        <v>12.4</v>
      </c>
      <c r="AD163" s="2"/>
    </row>
    <row r="164" spans="1:30" x14ac:dyDescent="0.2">
      <c r="A164" t="s">
        <v>228</v>
      </c>
      <c r="B164" s="2">
        <v>26</v>
      </c>
      <c r="C164" t="s">
        <v>35</v>
      </c>
      <c r="D164" s="2" t="s">
        <v>52</v>
      </c>
      <c r="E164" s="2">
        <v>22</v>
      </c>
      <c r="F164" s="2">
        <v>7</v>
      </c>
      <c r="G164" s="2">
        <v>571</v>
      </c>
      <c r="H164" s="2">
        <v>4.4000000000000004</v>
      </c>
      <c r="I164" s="2">
        <v>10.5</v>
      </c>
      <c r="J164" s="2">
        <v>0.41599999999999998</v>
      </c>
      <c r="K164" s="2">
        <v>2.8</v>
      </c>
      <c r="L164" s="2">
        <v>7.1</v>
      </c>
      <c r="M164" s="2">
        <v>0.40200000000000002</v>
      </c>
      <c r="N164" s="2">
        <v>1.5</v>
      </c>
      <c r="O164" s="2">
        <v>3.4</v>
      </c>
      <c r="P164" s="2">
        <v>0.44400000000000001</v>
      </c>
      <c r="Q164" s="2">
        <v>0.55100000000000005</v>
      </c>
      <c r="R164" s="2">
        <v>1.3</v>
      </c>
      <c r="S164" s="2">
        <v>1.5</v>
      </c>
      <c r="T164" s="2">
        <v>0.91300000000000003</v>
      </c>
      <c r="U164" s="2">
        <v>0.2</v>
      </c>
      <c r="V164" s="2">
        <v>2.6</v>
      </c>
      <c r="W164" s="2">
        <v>2.8</v>
      </c>
      <c r="X164" s="2">
        <v>1.4</v>
      </c>
      <c r="Y164" s="2">
        <v>1.3</v>
      </c>
      <c r="Z164" s="2">
        <v>0</v>
      </c>
      <c r="AA164" s="2">
        <v>0.8</v>
      </c>
      <c r="AB164" s="2">
        <v>3.2</v>
      </c>
      <c r="AC164" s="2">
        <v>12.9</v>
      </c>
      <c r="AD164" s="2"/>
    </row>
    <row r="165" spans="1:30" x14ac:dyDescent="0.2">
      <c r="A165" t="s">
        <v>221</v>
      </c>
      <c r="B165" s="2">
        <v>31</v>
      </c>
      <c r="C165" t="s">
        <v>57</v>
      </c>
      <c r="D165" s="2" t="s">
        <v>27</v>
      </c>
      <c r="E165" s="2">
        <v>25</v>
      </c>
      <c r="F165" s="2">
        <v>1</v>
      </c>
      <c r="G165" s="2">
        <v>514</v>
      </c>
      <c r="H165" s="2">
        <v>5.6</v>
      </c>
      <c r="I165" s="2">
        <v>12.1</v>
      </c>
      <c r="J165" s="2">
        <v>0.46200000000000002</v>
      </c>
      <c r="K165" s="2">
        <v>2.9</v>
      </c>
      <c r="L165" s="2">
        <v>8</v>
      </c>
      <c r="M165" s="2">
        <v>0.36</v>
      </c>
      <c r="N165" s="2">
        <v>2.7</v>
      </c>
      <c r="O165" s="2">
        <v>4.0999999999999996</v>
      </c>
      <c r="P165" s="2">
        <v>0.66100000000000003</v>
      </c>
      <c r="Q165" s="2">
        <v>0.58099999999999996</v>
      </c>
      <c r="R165" s="2">
        <v>0.7</v>
      </c>
      <c r="S165" s="2">
        <v>0.9</v>
      </c>
      <c r="T165" s="2">
        <v>0.76900000000000002</v>
      </c>
      <c r="U165" s="2">
        <v>1.1000000000000001</v>
      </c>
      <c r="V165" s="2">
        <v>5.7</v>
      </c>
      <c r="W165" s="2">
        <v>6.7</v>
      </c>
      <c r="X165" s="2">
        <v>2.2000000000000002</v>
      </c>
      <c r="Y165" s="2">
        <v>0.6</v>
      </c>
      <c r="Z165" s="2">
        <v>0.4</v>
      </c>
      <c r="AA165" s="2">
        <v>1.8</v>
      </c>
      <c r="AB165" s="2">
        <v>3.9</v>
      </c>
      <c r="AC165" s="2">
        <v>14.8</v>
      </c>
      <c r="AD165" s="2"/>
    </row>
    <row r="166" spans="1:30" x14ac:dyDescent="0.2">
      <c r="A166" t="s">
        <v>34</v>
      </c>
      <c r="B166" s="2">
        <v>30</v>
      </c>
      <c r="C166" t="s">
        <v>35</v>
      </c>
      <c r="D166" s="2" t="s">
        <v>27</v>
      </c>
      <c r="E166" s="2">
        <v>22</v>
      </c>
      <c r="F166" s="2">
        <v>22</v>
      </c>
      <c r="G166" s="2">
        <v>772</v>
      </c>
      <c r="H166" s="2">
        <v>13.2</v>
      </c>
      <c r="I166" s="2">
        <v>21.6</v>
      </c>
      <c r="J166" s="2">
        <v>0.61199999999999999</v>
      </c>
      <c r="K166" s="2">
        <v>0.1</v>
      </c>
      <c r="L166" s="2">
        <v>0.8</v>
      </c>
      <c r="M166" s="2">
        <v>0.17599999999999999</v>
      </c>
      <c r="N166" s="2">
        <v>13.1</v>
      </c>
      <c r="O166" s="2">
        <v>20.8</v>
      </c>
      <c r="P166" s="2">
        <v>0.629</v>
      </c>
      <c r="Q166" s="2">
        <v>0.61499999999999999</v>
      </c>
      <c r="R166" s="2">
        <v>6.9</v>
      </c>
      <c r="S166" s="2">
        <v>11.4</v>
      </c>
      <c r="T166" s="2">
        <v>0.61099999999999999</v>
      </c>
      <c r="U166" s="2">
        <v>2.1</v>
      </c>
      <c r="V166" s="2">
        <v>9.6</v>
      </c>
      <c r="W166" s="2">
        <v>11.7</v>
      </c>
      <c r="X166" s="2">
        <v>6.2</v>
      </c>
      <c r="Y166" s="2">
        <v>0.6</v>
      </c>
      <c r="Z166" s="2">
        <v>1.5</v>
      </c>
      <c r="AA166" s="2">
        <v>3.5</v>
      </c>
      <c r="AB166" s="2">
        <v>2.5</v>
      </c>
      <c r="AC166" s="2">
        <v>33.6</v>
      </c>
      <c r="AD166" s="2"/>
    </row>
    <row r="167" spans="1:30" x14ac:dyDescent="0.2">
      <c r="A167" t="s">
        <v>235</v>
      </c>
      <c r="B167" s="2">
        <v>25</v>
      </c>
      <c r="C167" t="s">
        <v>48</v>
      </c>
      <c r="D167" s="2" t="s">
        <v>42</v>
      </c>
      <c r="E167" s="2">
        <v>22</v>
      </c>
      <c r="F167" s="2">
        <v>19</v>
      </c>
      <c r="G167" s="2">
        <v>516</v>
      </c>
      <c r="H167" s="2">
        <v>5.7</v>
      </c>
      <c r="I167" s="2">
        <v>9</v>
      </c>
      <c r="J167" s="2">
        <v>0.63600000000000001</v>
      </c>
      <c r="K167" s="2">
        <v>0</v>
      </c>
      <c r="L167" s="2">
        <v>0.8</v>
      </c>
      <c r="M167" s="2">
        <v>0</v>
      </c>
      <c r="N167" s="2">
        <v>5.7</v>
      </c>
      <c r="O167" s="2">
        <v>8.1999999999999993</v>
      </c>
      <c r="P167" s="2">
        <v>0.69499999999999995</v>
      </c>
      <c r="Q167" s="2">
        <v>0.63600000000000001</v>
      </c>
      <c r="R167" s="2">
        <v>2.2000000000000002</v>
      </c>
      <c r="S167" s="2">
        <v>2.9</v>
      </c>
      <c r="T167" s="2">
        <v>0.78</v>
      </c>
      <c r="U167" s="2">
        <v>4.4000000000000004</v>
      </c>
      <c r="V167" s="2">
        <v>7.3</v>
      </c>
      <c r="W167" s="2">
        <v>11.7</v>
      </c>
      <c r="X167" s="2">
        <v>3</v>
      </c>
      <c r="Y167" s="2">
        <v>1.2</v>
      </c>
      <c r="Z167" s="2">
        <v>2.4</v>
      </c>
      <c r="AA167" s="2">
        <v>2</v>
      </c>
      <c r="AB167" s="2">
        <v>4</v>
      </c>
      <c r="AC167" s="2">
        <v>13.7</v>
      </c>
      <c r="AD167" s="2"/>
    </row>
    <row r="168" spans="1:30" x14ac:dyDescent="0.2">
      <c r="A168" t="s">
        <v>124</v>
      </c>
      <c r="B168" s="2">
        <v>21</v>
      </c>
      <c r="C168" t="s">
        <v>66</v>
      </c>
      <c r="D168" s="2" t="s">
        <v>52</v>
      </c>
      <c r="E168" s="2">
        <v>21</v>
      </c>
      <c r="F168" s="2">
        <v>21</v>
      </c>
      <c r="G168" s="2">
        <v>680</v>
      </c>
      <c r="H168" s="2">
        <v>6.7</v>
      </c>
      <c r="I168" s="2">
        <v>16.3</v>
      </c>
      <c r="J168" s="2">
        <v>0.41399999999999998</v>
      </c>
      <c r="K168" s="2">
        <v>2.8</v>
      </c>
      <c r="L168" s="2">
        <v>8.1999999999999993</v>
      </c>
      <c r="M168" s="2">
        <v>0.34200000000000003</v>
      </c>
      <c r="N168" s="2">
        <v>3.9</v>
      </c>
      <c r="O168" s="2">
        <v>8</v>
      </c>
      <c r="P168" s="2">
        <v>0.48699999999999999</v>
      </c>
      <c r="Q168" s="2">
        <v>0.5</v>
      </c>
      <c r="R168" s="2">
        <v>3.8</v>
      </c>
      <c r="S168" s="2">
        <v>4.2</v>
      </c>
      <c r="T168" s="2">
        <v>0.9</v>
      </c>
      <c r="U168" s="2">
        <v>0.7</v>
      </c>
      <c r="V168" s="2">
        <v>2.9</v>
      </c>
      <c r="W168" s="2">
        <v>3.5</v>
      </c>
      <c r="X168" s="2">
        <v>2.2000000000000002</v>
      </c>
      <c r="Y168" s="2">
        <v>1</v>
      </c>
      <c r="Z168" s="2">
        <v>0.3</v>
      </c>
      <c r="AA168" s="2">
        <v>1.7</v>
      </c>
      <c r="AB168" s="2">
        <v>2.4</v>
      </c>
      <c r="AC168" s="2">
        <v>20.100000000000001</v>
      </c>
      <c r="AD168" s="2"/>
    </row>
    <row r="169" spans="1:30" x14ac:dyDescent="0.2">
      <c r="A169" t="s">
        <v>265</v>
      </c>
      <c r="B169" s="2">
        <v>26</v>
      </c>
      <c r="C169" t="s">
        <v>59</v>
      </c>
      <c r="D169" s="2" t="s">
        <v>27</v>
      </c>
      <c r="E169" s="2">
        <v>16</v>
      </c>
      <c r="F169" s="2">
        <v>7</v>
      </c>
      <c r="G169" s="2">
        <v>479</v>
      </c>
      <c r="H169" s="2">
        <v>4.0999999999999996</v>
      </c>
      <c r="I169" s="2">
        <v>9.1999999999999993</v>
      </c>
      <c r="J169" s="2">
        <v>0.439</v>
      </c>
      <c r="K169" s="2">
        <v>2</v>
      </c>
      <c r="L169" s="2">
        <v>5.6</v>
      </c>
      <c r="M169" s="2">
        <v>0.36499999999999999</v>
      </c>
      <c r="N169" s="2">
        <v>2</v>
      </c>
      <c r="O169" s="2">
        <v>3.7</v>
      </c>
      <c r="P169" s="2">
        <v>0.55100000000000005</v>
      </c>
      <c r="Q169" s="2">
        <v>0.54900000000000004</v>
      </c>
      <c r="R169" s="2">
        <v>2.2999999999999998</v>
      </c>
      <c r="S169" s="2">
        <v>2.8</v>
      </c>
      <c r="T169" s="2">
        <v>0.83799999999999997</v>
      </c>
      <c r="U169" s="2">
        <v>1.4</v>
      </c>
      <c r="V169" s="2">
        <v>4.8</v>
      </c>
      <c r="W169" s="2">
        <v>6.2</v>
      </c>
      <c r="X169" s="2">
        <v>2.8</v>
      </c>
      <c r="Y169" s="2">
        <v>1.4</v>
      </c>
      <c r="Z169" s="2">
        <v>1</v>
      </c>
      <c r="AA169" s="2">
        <v>2.1</v>
      </c>
      <c r="AB169" s="2">
        <v>3.5</v>
      </c>
      <c r="AC169" s="2">
        <v>12.5</v>
      </c>
      <c r="AD169" s="2"/>
    </row>
    <row r="170" spans="1:30" x14ac:dyDescent="0.2">
      <c r="A170" t="s">
        <v>223</v>
      </c>
      <c r="B170" s="2">
        <v>29</v>
      </c>
      <c r="C170" t="s">
        <v>54</v>
      </c>
      <c r="D170" s="2" t="s">
        <v>52</v>
      </c>
      <c r="E170" s="2">
        <v>19</v>
      </c>
      <c r="F170" s="2">
        <v>1</v>
      </c>
      <c r="G170" s="2">
        <v>453</v>
      </c>
      <c r="H170" s="2">
        <v>5.0999999999999996</v>
      </c>
      <c r="I170" s="2">
        <v>12.1</v>
      </c>
      <c r="J170" s="2">
        <v>0.42099999999999999</v>
      </c>
      <c r="K170" s="2">
        <v>3.5</v>
      </c>
      <c r="L170" s="2">
        <v>9.1</v>
      </c>
      <c r="M170" s="2">
        <v>0.38300000000000001</v>
      </c>
      <c r="N170" s="2">
        <v>1.6</v>
      </c>
      <c r="O170" s="2">
        <v>2.9</v>
      </c>
      <c r="P170" s="2">
        <v>0.54100000000000004</v>
      </c>
      <c r="Q170" s="2">
        <v>0.56599999999999995</v>
      </c>
      <c r="R170" s="2">
        <v>3</v>
      </c>
      <c r="S170" s="2">
        <v>3.7</v>
      </c>
      <c r="T170" s="2">
        <v>0.82599999999999996</v>
      </c>
      <c r="U170" s="2">
        <v>0.8</v>
      </c>
      <c r="V170" s="2">
        <v>3.6</v>
      </c>
      <c r="W170" s="2">
        <v>4.4000000000000004</v>
      </c>
      <c r="X170" s="2">
        <v>2.9</v>
      </c>
      <c r="Y170" s="2">
        <v>1.1000000000000001</v>
      </c>
      <c r="Z170" s="2">
        <v>0.5</v>
      </c>
      <c r="AA170" s="2">
        <v>1.8</v>
      </c>
      <c r="AB170" s="2">
        <v>2.1</v>
      </c>
      <c r="AC170" s="2">
        <v>16.7</v>
      </c>
      <c r="AD170" s="2"/>
    </row>
    <row r="171" spans="1:30" x14ac:dyDescent="0.2">
      <c r="A171" t="s">
        <v>216</v>
      </c>
      <c r="B171" s="2">
        <v>29</v>
      </c>
      <c r="C171" t="s">
        <v>122</v>
      </c>
      <c r="D171" s="2" t="s">
        <v>27</v>
      </c>
      <c r="E171" s="2">
        <v>22</v>
      </c>
      <c r="F171" s="2">
        <v>9</v>
      </c>
      <c r="G171" s="2">
        <v>538</v>
      </c>
      <c r="H171" s="2">
        <v>5.4</v>
      </c>
      <c r="I171" s="2">
        <v>10.9</v>
      </c>
      <c r="J171" s="2">
        <v>0.49099999999999999</v>
      </c>
      <c r="K171" s="2">
        <v>2.2999999999999998</v>
      </c>
      <c r="L171" s="2">
        <v>5.8</v>
      </c>
      <c r="M171" s="2">
        <v>0.39500000000000002</v>
      </c>
      <c r="N171" s="2">
        <v>3.1</v>
      </c>
      <c r="O171" s="2">
        <v>5.2</v>
      </c>
      <c r="P171" s="2">
        <v>0.59699999999999998</v>
      </c>
      <c r="Q171" s="2">
        <v>0.59499999999999997</v>
      </c>
      <c r="R171" s="2">
        <v>1.5</v>
      </c>
      <c r="S171" s="2">
        <v>2.7</v>
      </c>
      <c r="T171" s="2">
        <v>0.57499999999999996</v>
      </c>
      <c r="U171" s="2">
        <v>2.7</v>
      </c>
      <c r="V171" s="2">
        <v>5.6</v>
      </c>
      <c r="W171" s="2">
        <v>8.3000000000000007</v>
      </c>
      <c r="X171" s="2">
        <v>2.9</v>
      </c>
      <c r="Y171" s="2">
        <v>1</v>
      </c>
      <c r="Z171" s="2">
        <v>0.7</v>
      </c>
      <c r="AA171" s="2">
        <v>1.9</v>
      </c>
      <c r="AB171" s="2">
        <v>4</v>
      </c>
      <c r="AC171" s="2">
        <v>14.5</v>
      </c>
      <c r="AD171" s="2"/>
    </row>
    <row r="172" spans="1:30" x14ac:dyDescent="0.2">
      <c r="A172" t="s">
        <v>512</v>
      </c>
      <c r="B172" s="2">
        <v>22</v>
      </c>
      <c r="C172" t="s">
        <v>100</v>
      </c>
      <c r="D172" s="2" t="s">
        <v>27</v>
      </c>
      <c r="E172" s="2">
        <v>6</v>
      </c>
      <c r="F172" s="2">
        <v>0</v>
      </c>
      <c r="G172" s="2">
        <v>22</v>
      </c>
      <c r="H172" s="2">
        <v>3.3</v>
      </c>
      <c r="I172" s="2">
        <v>8.1999999999999993</v>
      </c>
      <c r="J172" s="2">
        <v>0.4</v>
      </c>
      <c r="K172" s="2">
        <v>1.6</v>
      </c>
      <c r="L172" s="2">
        <v>4.9000000000000004</v>
      </c>
      <c r="M172" s="2">
        <v>0.33300000000000002</v>
      </c>
      <c r="N172" s="2">
        <v>1.6</v>
      </c>
      <c r="O172" s="2">
        <v>3.3</v>
      </c>
      <c r="P172" s="2">
        <v>0.5</v>
      </c>
      <c r="Q172" s="2">
        <v>0.5</v>
      </c>
      <c r="R172" s="2">
        <v>1.6</v>
      </c>
      <c r="S172" s="2">
        <v>3.3</v>
      </c>
      <c r="T172" s="2">
        <v>0.5</v>
      </c>
      <c r="U172" s="2">
        <v>1.6</v>
      </c>
      <c r="V172" s="2">
        <v>8.1999999999999993</v>
      </c>
      <c r="W172" s="2">
        <v>9.8000000000000007</v>
      </c>
      <c r="X172" s="2">
        <v>3.3</v>
      </c>
      <c r="Y172" s="2">
        <v>0</v>
      </c>
      <c r="Z172" s="2">
        <v>0</v>
      </c>
      <c r="AA172" s="2">
        <v>3.3</v>
      </c>
      <c r="AB172" s="2">
        <v>4.9000000000000004</v>
      </c>
      <c r="AC172" s="2">
        <v>9.8000000000000007</v>
      </c>
      <c r="AD172" s="2"/>
    </row>
    <row r="173" spans="1:30" x14ac:dyDescent="0.2">
      <c r="A173" t="s">
        <v>186</v>
      </c>
      <c r="B173" s="2">
        <v>32</v>
      </c>
      <c r="C173" t="s">
        <v>93</v>
      </c>
      <c r="D173" s="2" t="s">
        <v>27</v>
      </c>
      <c r="E173" s="2">
        <v>24</v>
      </c>
      <c r="F173" s="2">
        <v>24</v>
      </c>
      <c r="G173" s="2">
        <v>688</v>
      </c>
      <c r="H173" s="2">
        <v>4.5</v>
      </c>
      <c r="I173" s="2">
        <v>9.3000000000000007</v>
      </c>
      <c r="J173" s="2">
        <v>0.48599999999999999</v>
      </c>
      <c r="K173" s="2">
        <v>1.8</v>
      </c>
      <c r="L173" s="2">
        <v>4.0999999999999996</v>
      </c>
      <c r="M173" s="2">
        <v>0.43</v>
      </c>
      <c r="N173" s="2">
        <v>2.7</v>
      </c>
      <c r="O173" s="2">
        <v>5.0999999999999996</v>
      </c>
      <c r="P173" s="2">
        <v>0.53100000000000003</v>
      </c>
      <c r="Q173" s="2">
        <v>0.58199999999999996</v>
      </c>
      <c r="R173" s="2">
        <v>3</v>
      </c>
      <c r="S173" s="2">
        <v>3.7</v>
      </c>
      <c r="T173" s="2">
        <v>0.81699999999999995</v>
      </c>
      <c r="U173" s="2">
        <v>2</v>
      </c>
      <c r="V173" s="2">
        <v>3.4</v>
      </c>
      <c r="W173" s="2">
        <v>5.4</v>
      </c>
      <c r="X173" s="2">
        <v>2.1</v>
      </c>
      <c r="Y173" s="2">
        <v>0.4</v>
      </c>
      <c r="Z173" s="2">
        <v>0.3</v>
      </c>
      <c r="AA173" s="2">
        <v>0.9</v>
      </c>
      <c r="AB173" s="2">
        <v>1</v>
      </c>
      <c r="AC173" s="2">
        <v>13.8</v>
      </c>
      <c r="AD173" s="2"/>
    </row>
    <row r="174" spans="1:30" x14ac:dyDescent="0.2">
      <c r="A174" t="s">
        <v>559</v>
      </c>
      <c r="B174" s="2">
        <v>22</v>
      </c>
      <c r="C174" t="s">
        <v>93</v>
      </c>
      <c r="D174" s="2" t="s">
        <v>49</v>
      </c>
      <c r="E174" s="2">
        <v>1</v>
      </c>
      <c r="F174" s="2">
        <v>0</v>
      </c>
      <c r="G174" s="2">
        <v>7</v>
      </c>
      <c r="H174" s="2">
        <v>0</v>
      </c>
      <c r="I174" s="2">
        <v>5.0999999999999996</v>
      </c>
      <c r="J174" s="2">
        <v>0</v>
      </c>
      <c r="K174" s="2">
        <v>0</v>
      </c>
      <c r="L174" s="2">
        <v>0</v>
      </c>
      <c r="M174" s="2"/>
      <c r="N174" s="2">
        <v>0</v>
      </c>
      <c r="O174" s="2">
        <v>5.0999999999999996</v>
      </c>
      <c r="P174" s="2">
        <v>0</v>
      </c>
      <c r="Q174" s="2">
        <v>0</v>
      </c>
      <c r="R174" s="2">
        <v>0</v>
      </c>
      <c r="S174" s="2">
        <v>0</v>
      </c>
      <c r="T174" s="2"/>
      <c r="U174" s="2">
        <v>0</v>
      </c>
      <c r="V174" s="2">
        <v>5.0999999999999996</v>
      </c>
      <c r="W174" s="2">
        <v>5.0999999999999996</v>
      </c>
      <c r="X174" s="2">
        <v>0</v>
      </c>
      <c r="Y174" s="2">
        <v>0</v>
      </c>
      <c r="Z174" s="2">
        <v>0</v>
      </c>
      <c r="AA174" s="2">
        <v>0</v>
      </c>
      <c r="AB174" s="2">
        <v>5.0999999999999996</v>
      </c>
      <c r="AC174" s="2">
        <v>0</v>
      </c>
      <c r="AD174" s="2"/>
    </row>
    <row r="175" spans="1:30" x14ac:dyDescent="0.2">
      <c r="A175" t="s">
        <v>275</v>
      </c>
      <c r="B175" s="2">
        <v>28</v>
      </c>
      <c r="C175" t="s">
        <v>61</v>
      </c>
      <c r="D175" s="2" t="s">
        <v>49</v>
      </c>
      <c r="E175" s="2">
        <v>21</v>
      </c>
      <c r="F175" s="2">
        <v>15</v>
      </c>
      <c r="G175" s="2">
        <v>527</v>
      </c>
      <c r="H175" s="2">
        <v>3.8</v>
      </c>
      <c r="I175" s="2">
        <v>8.1</v>
      </c>
      <c r="J175" s="2">
        <v>0.47499999999999998</v>
      </c>
      <c r="K175" s="2">
        <v>1.9</v>
      </c>
      <c r="L175" s="2">
        <v>4.5</v>
      </c>
      <c r="M175" s="2">
        <v>0.42399999999999999</v>
      </c>
      <c r="N175" s="2">
        <v>1.9</v>
      </c>
      <c r="O175" s="2">
        <v>3.6</v>
      </c>
      <c r="P175" s="2">
        <v>0.53800000000000003</v>
      </c>
      <c r="Q175" s="2">
        <v>0.59299999999999997</v>
      </c>
      <c r="R175" s="2">
        <v>0.9</v>
      </c>
      <c r="S175" s="2">
        <v>1.3</v>
      </c>
      <c r="T175" s="2">
        <v>0.68400000000000005</v>
      </c>
      <c r="U175" s="2">
        <v>1.2</v>
      </c>
      <c r="V175" s="2">
        <v>3.2</v>
      </c>
      <c r="W175" s="2">
        <v>4.4000000000000004</v>
      </c>
      <c r="X175" s="2">
        <v>1.6</v>
      </c>
      <c r="Y175" s="2">
        <v>1.6</v>
      </c>
      <c r="Z175" s="2">
        <v>1.1000000000000001</v>
      </c>
      <c r="AA175" s="2">
        <v>1</v>
      </c>
      <c r="AB175" s="2">
        <v>3</v>
      </c>
      <c r="AC175" s="2">
        <v>10.5</v>
      </c>
      <c r="AD175" s="2"/>
    </row>
    <row r="176" spans="1:30" x14ac:dyDescent="0.2">
      <c r="A176" t="s">
        <v>363</v>
      </c>
      <c r="B176" s="2">
        <v>26</v>
      </c>
      <c r="C176" t="s">
        <v>117</v>
      </c>
      <c r="D176" s="2" t="s">
        <v>49</v>
      </c>
      <c r="E176" s="2">
        <v>8</v>
      </c>
      <c r="F176" s="2">
        <v>8</v>
      </c>
      <c r="G176" s="2">
        <v>255</v>
      </c>
      <c r="H176" s="2">
        <v>4.5</v>
      </c>
      <c r="I176" s="2">
        <v>9.3000000000000007</v>
      </c>
      <c r="J176" s="2">
        <v>0.48499999999999999</v>
      </c>
      <c r="K176" s="2">
        <v>1.1000000000000001</v>
      </c>
      <c r="L176" s="2">
        <v>4</v>
      </c>
      <c r="M176" s="2">
        <v>0.28599999999999998</v>
      </c>
      <c r="N176" s="2">
        <v>3.4</v>
      </c>
      <c r="O176" s="2">
        <v>5.4</v>
      </c>
      <c r="P176" s="2">
        <v>0.63200000000000001</v>
      </c>
      <c r="Q176" s="2">
        <v>0.54500000000000004</v>
      </c>
      <c r="R176" s="2">
        <v>1.4</v>
      </c>
      <c r="S176" s="2">
        <v>2.1</v>
      </c>
      <c r="T176" s="2">
        <v>0.66700000000000004</v>
      </c>
      <c r="U176" s="2">
        <v>1</v>
      </c>
      <c r="V176" s="2">
        <v>3.4</v>
      </c>
      <c r="W176" s="2">
        <v>4.4000000000000004</v>
      </c>
      <c r="X176" s="2">
        <v>2.5</v>
      </c>
      <c r="Y176" s="2">
        <v>2</v>
      </c>
      <c r="Z176" s="2">
        <v>0.6</v>
      </c>
      <c r="AA176" s="2">
        <v>2</v>
      </c>
      <c r="AB176" s="2">
        <v>3.2</v>
      </c>
      <c r="AC176" s="2">
        <v>11.6</v>
      </c>
      <c r="AD176" s="2"/>
    </row>
    <row r="177" spans="1:30" x14ac:dyDescent="0.2">
      <c r="A177" t="s">
        <v>424</v>
      </c>
      <c r="B177" s="2">
        <v>24</v>
      </c>
      <c r="C177" t="s">
        <v>46</v>
      </c>
      <c r="D177" s="2" t="s">
        <v>27</v>
      </c>
      <c r="E177" s="2">
        <v>14</v>
      </c>
      <c r="F177" s="2">
        <v>0</v>
      </c>
      <c r="G177" s="2">
        <v>129</v>
      </c>
      <c r="H177" s="2">
        <v>3.3</v>
      </c>
      <c r="I177" s="2">
        <v>7.5</v>
      </c>
      <c r="J177" s="2">
        <v>0.44400000000000001</v>
      </c>
      <c r="K177" s="2">
        <v>1.1000000000000001</v>
      </c>
      <c r="L177" s="2">
        <v>4.5</v>
      </c>
      <c r="M177" s="2">
        <v>0.25</v>
      </c>
      <c r="N177" s="2">
        <v>2.2000000000000002</v>
      </c>
      <c r="O177" s="2">
        <v>3.1</v>
      </c>
      <c r="P177" s="2">
        <v>0.72699999999999998</v>
      </c>
      <c r="Q177" s="2">
        <v>0.51900000000000002</v>
      </c>
      <c r="R177" s="2">
        <v>2.2000000000000002</v>
      </c>
      <c r="S177" s="2">
        <v>2.5</v>
      </c>
      <c r="T177" s="2">
        <v>0.88900000000000001</v>
      </c>
      <c r="U177" s="2">
        <v>1.7</v>
      </c>
      <c r="V177" s="2">
        <v>5.3</v>
      </c>
      <c r="W177" s="2">
        <v>7</v>
      </c>
      <c r="X177" s="2">
        <v>2</v>
      </c>
      <c r="Y177" s="2">
        <v>0.6</v>
      </c>
      <c r="Z177" s="2">
        <v>0.8</v>
      </c>
      <c r="AA177" s="2">
        <v>1.4</v>
      </c>
      <c r="AB177" s="2">
        <v>4.2</v>
      </c>
      <c r="AC177" s="2">
        <v>10</v>
      </c>
      <c r="AD177" s="2"/>
    </row>
    <row r="178" spans="1:30" x14ac:dyDescent="0.2">
      <c r="A178" t="s">
        <v>413</v>
      </c>
      <c r="B178" s="2">
        <v>25</v>
      </c>
      <c r="C178" t="s">
        <v>66</v>
      </c>
      <c r="D178" s="2" t="s">
        <v>33</v>
      </c>
      <c r="E178" s="2">
        <v>3</v>
      </c>
      <c r="F178" s="2">
        <v>3</v>
      </c>
      <c r="G178" s="2">
        <v>68</v>
      </c>
      <c r="H178" s="2">
        <v>8.5</v>
      </c>
      <c r="I178" s="2">
        <v>22.2</v>
      </c>
      <c r="J178" s="2">
        <v>0.38100000000000001</v>
      </c>
      <c r="K178" s="2">
        <v>3.2</v>
      </c>
      <c r="L178" s="2">
        <v>8.5</v>
      </c>
      <c r="M178" s="2">
        <v>0.375</v>
      </c>
      <c r="N178" s="2">
        <v>5.3</v>
      </c>
      <c r="O178" s="2">
        <v>13.8</v>
      </c>
      <c r="P178" s="2">
        <v>0.38500000000000001</v>
      </c>
      <c r="Q178" s="2">
        <v>0.45200000000000001</v>
      </c>
      <c r="R178" s="2">
        <v>4.2</v>
      </c>
      <c r="S178" s="2">
        <v>4.8</v>
      </c>
      <c r="T178" s="2">
        <v>0.88900000000000001</v>
      </c>
      <c r="U178" s="2">
        <v>0.5</v>
      </c>
      <c r="V178" s="2">
        <v>2.6</v>
      </c>
      <c r="W178" s="2">
        <v>3.2</v>
      </c>
      <c r="X178" s="2">
        <v>6.4</v>
      </c>
      <c r="Y178" s="2">
        <v>1.1000000000000001</v>
      </c>
      <c r="Z178" s="2">
        <v>0</v>
      </c>
      <c r="AA178" s="2">
        <v>2.1</v>
      </c>
      <c r="AB178" s="2">
        <v>3.7</v>
      </c>
      <c r="AC178" s="2">
        <v>24.4</v>
      </c>
      <c r="AD178" s="2"/>
    </row>
    <row r="179" spans="1:30" x14ac:dyDescent="0.2">
      <c r="A179" t="s">
        <v>385</v>
      </c>
      <c r="B179" s="2">
        <v>24</v>
      </c>
      <c r="C179" t="s">
        <v>37</v>
      </c>
      <c r="D179" s="2" t="s">
        <v>27</v>
      </c>
      <c r="E179" s="2">
        <v>15</v>
      </c>
      <c r="F179" s="2">
        <v>0</v>
      </c>
      <c r="G179" s="2">
        <v>142</v>
      </c>
      <c r="H179" s="2">
        <v>7.1</v>
      </c>
      <c r="I179" s="2">
        <v>10.9</v>
      </c>
      <c r="J179" s="2">
        <v>0.65100000000000002</v>
      </c>
      <c r="K179" s="2">
        <v>0.3</v>
      </c>
      <c r="L179" s="2">
        <v>1</v>
      </c>
      <c r="M179" s="2">
        <v>0.25</v>
      </c>
      <c r="N179" s="2">
        <v>6.8</v>
      </c>
      <c r="O179" s="2">
        <v>9.9</v>
      </c>
      <c r="P179" s="2">
        <v>0.69199999999999995</v>
      </c>
      <c r="Q179" s="2">
        <v>0.66300000000000003</v>
      </c>
      <c r="R179" s="2">
        <v>1.8</v>
      </c>
      <c r="S179" s="2">
        <v>3.8</v>
      </c>
      <c r="T179" s="2">
        <v>0.46700000000000003</v>
      </c>
      <c r="U179" s="2">
        <v>2</v>
      </c>
      <c r="V179" s="2">
        <v>3.8</v>
      </c>
      <c r="W179" s="2">
        <v>5.8</v>
      </c>
      <c r="X179" s="2">
        <v>0.5</v>
      </c>
      <c r="Y179" s="2">
        <v>0.3</v>
      </c>
      <c r="Z179" s="2">
        <v>1.5</v>
      </c>
      <c r="AA179" s="2">
        <v>2.2999999999999998</v>
      </c>
      <c r="AB179" s="2">
        <v>5.3</v>
      </c>
      <c r="AC179" s="2">
        <v>16.2</v>
      </c>
      <c r="AD179" s="2"/>
    </row>
    <row r="180" spans="1:30" x14ac:dyDescent="0.2">
      <c r="A180" t="s">
        <v>307</v>
      </c>
      <c r="B180" s="2">
        <v>24</v>
      </c>
      <c r="C180" t="s">
        <v>57</v>
      </c>
      <c r="D180" s="2" t="s">
        <v>52</v>
      </c>
      <c r="E180" s="2">
        <v>21</v>
      </c>
      <c r="F180" s="2">
        <v>14</v>
      </c>
      <c r="G180" s="2">
        <v>439</v>
      </c>
      <c r="H180" s="2">
        <v>3.7</v>
      </c>
      <c r="I180" s="2">
        <v>7.7</v>
      </c>
      <c r="J180" s="2">
        <v>0.47899999999999998</v>
      </c>
      <c r="K180" s="2">
        <v>2.1</v>
      </c>
      <c r="L180" s="2">
        <v>4.4000000000000004</v>
      </c>
      <c r="M180" s="2">
        <v>0.46300000000000002</v>
      </c>
      <c r="N180" s="2">
        <v>1.6</v>
      </c>
      <c r="O180" s="2">
        <v>3.3</v>
      </c>
      <c r="P180" s="2">
        <v>0.5</v>
      </c>
      <c r="Q180" s="2">
        <v>0.61199999999999999</v>
      </c>
      <c r="R180" s="2">
        <v>0.9</v>
      </c>
      <c r="S180" s="2">
        <v>1.4</v>
      </c>
      <c r="T180" s="2">
        <v>0.64700000000000002</v>
      </c>
      <c r="U180" s="2">
        <v>1.6</v>
      </c>
      <c r="V180" s="2">
        <v>2.5</v>
      </c>
      <c r="W180" s="2">
        <v>4</v>
      </c>
      <c r="X180" s="2">
        <v>3.1</v>
      </c>
      <c r="Y180" s="2">
        <v>1.2</v>
      </c>
      <c r="Z180" s="2">
        <v>0.7</v>
      </c>
      <c r="AA180" s="2">
        <v>0.6</v>
      </c>
      <c r="AB180" s="2">
        <v>3.5</v>
      </c>
      <c r="AC180" s="2">
        <v>10.3</v>
      </c>
      <c r="AD180" s="2"/>
    </row>
    <row r="181" spans="1:30" x14ac:dyDescent="0.2">
      <c r="A181" t="s">
        <v>394</v>
      </c>
      <c r="B181" s="2">
        <v>20</v>
      </c>
      <c r="C181" t="s">
        <v>120</v>
      </c>
      <c r="D181" s="2" t="s">
        <v>33</v>
      </c>
      <c r="E181" s="2">
        <v>16</v>
      </c>
      <c r="F181" s="2">
        <v>1</v>
      </c>
      <c r="G181" s="2">
        <v>278</v>
      </c>
      <c r="H181" s="2">
        <v>2.8</v>
      </c>
      <c r="I181" s="2">
        <v>9.1999999999999993</v>
      </c>
      <c r="J181" s="2">
        <v>0.31</v>
      </c>
      <c r="K181" s="2">
        <v>0.5</v>
      </c>
      <c r="L181" s="2">
        <v>3.5</v>
      </c>
      <c r="M181" s="2">
        <v>0.14799999999999999</v>
      </c>
      <c r="N181" s="2">
        <v>2.2999999999999998</v>
      </c>
      <c r="O181" s="2">
        <v>5.7</v>
      </c>
      <c r="P181" s="2">
        <v>0.40899999999999997</v>
      </c>
      <c r="Q181" s="2">
        <v>0.33800000000000002</v>
      </c>
      <c r="R181" s="2">
        <v>1</v>
      </c>
      <c r="S181" s="2">
        <v>2.2999999999999998</v>
      </c>
      <c r="T181" s="2">
        <v>0.44400000000000001</v>
      </c>
      <c r="U181" s="2">
        <v>0.1</v>
      </c>
      <c r="V181" s="2">
        <v>3.4</v>
      </c>
      <c r="W181" s="2">
        <v>3.5</v>
      </c>
      <c r="X181" s="2">
        <v>6.9</v>
      </c>
      <c r="Y181" s="2">
        <v>1.9</v>
      </c>
      <c r="Z181" s="2">
        <v>0.3</v>
      </c>
      <c r="AA181" s="2">
        <v>4.9000000000000004</v>
      </c>
      <c r="AB181" s="2">
        <v>3.8</v>
      </c>
      <c r="AC181" s="2">
        <v>7.3</v>
      </c>
      <c r="AD181" s="2"/>
    </row>
    <row r="182" spans="1:30" x14ac:dyDescent="0.2">
      <c r="A182" t="s">
        <v>555</v>
      </c>
      <c r="B182" s="2">
        <v>23</v>
      </c>
      <c r="C182" t="s">
        <v>37</v>
      </c>
      <c r="D182" s="2" t="s">
        <v>49</v>
      </c>
      <c r="E182" s="2">
        <v>1</v>
      </c>
      <c r="F182" s="2">
        <v>0</v>
      </c>
      <c r="G182" s="2">
        <v>5</v>
      </c>
      <c r="H182" s="2">
        <v>0</v>
      </c>
      <c r="I182" s="2">
        <v>0</v>
      </c>
      <c r="J182" s="2"/>
      <c r="K182" s="2">
        <v>0</v>
      </c>
      <c r="L182" s="2">
        <v>0</v>
      </c>
      <c r="M182" s="2"/>
      <c r="N182" s="2">
        <v>0</v>
      </c>
      <c r="O182" s="2">
        <v>0</v>
      </c>
      <c r="P182" s="2"/>
      <c r="Q182" s="2"/>
      <c r="R182" s="2">
        <v>0</v>
      </c>
      <c r="S182" s="2">
        <v>0</v>
      </c>
      <c r="T182" s="2"/>
      <c r="U182" s="2">
        <v>0</v>
      </c>
      <c r="V182" s="2">
        <v>7.2</v>
      </c>
      <c r="W182" s="2">
        <v>7.2</v>
      </c>
      <c r="X182" s="2">
        <v>0</v>
      </c>
      <c r="Y182" s="2">
        <v>0</v>
      </c>
      <c r="Z182" s="2">
        <v>0</v>
      </c>
      <c r="AA182" s="2">
        <v>0</v>
      </c>
      <c r="AB182" s="2">
        <v>7.2</v>
      </c>
      <c r="AC182" s="2">
        <v>0</v>
      </c>
      <c r="AD182" s="2"/>
    </row>
    <row r="183" spans="1:30" x14ac:dyDescent="0.2">
      <c r="A183" t="s">
        <v>332</v>
      </c>
      <c r="B183" s="2">
        <v>26</v>
      </c>
      <c r="C183" t="s">
        <v>32</v>
      </c>
      <c r="D183" s="2" t="s">
        <v>42</v>
      </c>
      <c r="E183" s="2">
        <v>9</v>
      </c>
      <c r="F183" s="2">
        <v>8</v>
      </c>
      <c r="G183" s="2">
        <v>267</v>
      </c>
      <c r="H183" s="2">
        <v>6.2</v>
      </c>
      <c r="I183" s="2">
        <v>11.2</v>
      </c>
      <c r="J183" s="2">
        <v>0.55400000000000005</v>
      </c>
      <c r="K183" s="2">
        <v>0</v>
      </c>
      <c r="L183" s="2">
        <v>0.5</v>
      </c>
      <c r="M183" s="2">
        <v>0</v>
      </c>
      <c r="N183" s="2">
        <v>6.2</v>
      </c>
      <c r="O183" s="2">
        <v>10.7</v>
      </c>
      <c r="P183" s="2">
        <v>0.58199999999999996</v>
      </c>
      <c r="Q183" s="2">
        <v>0.55400000000000005</v>
      </c>
      <c r="R183" s="2">
        <v>1.6</v>
      </c>
      <c r="S183" s="2">
        <v>2.8</v>
      </c>
      <c r="T183" s="2">
        <v>0.57099999999999995</v>
      </c>
      <c r="U183" s="2">
        <v>4</v>
      </c>
      <c r="V183" s="2">
        <v>11.5</v>
      </c>
      <c r="W183" s="2">
        <v>15.5</v>
      </c>
      <c r="X183" s="2">
        <v>5.3</v>
      </c>
      <c r="Y183" s="2">
        <v>0.9</v>
      </c>
      <c r="Z183" s="2">
        <v>1.5</v>
      </c>
      <c r="AA183" s="2">
        <v>2.6</v>
      </c>
      <c r="AB183" s="2">
        <v>4</v>
      </c>
      <c r="AC183" s="2">
        <v>14</v>
      </c>
      <c r="AD183" s="2"/>
    </row>
    <row r="184" spans="1:30" x14ac:dyDescent="0.2">
      <c r="A184" t="s">
        <v>425</v>
      </c>
      <c r="B184" s="2">
        <v>23</v>
      </c>
      <c r="C184" t="s">
        <v>82</v>
      </c>
      <c r="D184" s="2" t="s">
        <v>42</v>
      </c>
      <c r="E184" s="2">
        <v>5</v>
      </c>
      <c r="F184" s="2">
        <v>1</v>
      </c>
      <c r="G184" s="2">
        <v>84</v>
      </c>
      <c r="H184" s="2">
        <v>6</v>
      </c>
      <c r="I184" s="2">
        <v>9.9</v>
      </c>
      <c r="J184" s="2">
        <v>0.60899999999999999</v>
      </c>
      <c r="K184" s="2">
        <v>0</v>
      </c>
      <c r="L184" s="2">
        <v>0</v>
      </c>
      <c r="M184" s="2"/>
      <c r="N184" s="2">
        <v>6</v>
      </c>
      <c r="O184" s="2">
        <v>9.9</v>
      </c>
      <c r="P184" s="2">
        <v>0.60899999999999999</v>
      </c>
      <c r="Q184" s="2">
        <v>0.60899999999999999</v>
      </c>
      <c r="R184" s="2">
        <v>3</v>
      </c>
      <c r="S184" s="2">
        <v>6</v>
      </c>
      <c r="T184" s="2">
        <v>0.5</v>
      </c>
      <c r="U184" s="2">
        <v>4.7</v>
      </c>
      <c r="V184" s="2">
        <v>7.3</v>
      </c>
      <c r="W184" s="2">
        <v>12</v>
      </c>
      <c r="X184" s="2">
        <v>2.1</v>
      </c>
      <c r="Y184" s="2">
        <v>1.3</v>
      </c>
      <c r="Z184" s="2">
        <v>3.4</v>
      </c>
      <c r="AA184" s="2">
        <v>2.1</v>
      </c>
      <c r="AB184" s="2">
        <v>6</v>
      </c>
      <c r="AC184" s="2">
        <v>15</v>
      </c>
      <c r="AD184" s="2"/>
    </row>
    <row r="185" spans="1:30" x14ac:dyDescent="0.2">
      <c r="A185" t="s">
        <v>232</v>
      </c>
      <c r="B185" s="2">
        <v>25</v>
      </c>
      <c r="C185" t="s">
        <v>32</v>
      </c>
      <c r="D185" s="2" t="s">
        <v>52</v>
      </c>
      <c r="E185" s="2">
        <v>22</v>
      </c>
      <c r="F185" s="2">
        <v>9</v>
      </c>
      <c r="G185" s="2">
        <v>473</v>
      </c>
      <c r="H185" s="2">
        <v>5.3</v>
      </c>
      <c r="I185" s="2">
        <v>12.9</v>
      </c>
      <c r="J185" s="2">
        <v>0.41199999999999998</v>
      </c>
      <c r="K185" s="2">
        <v>4</v>
      </c>
      <c r="L185" s="2">
        <v>10.4</v>
      </c>
      <c r="M185" s="2">
        <v>0.38200000000000001</v>
      </c>
      <c r="N185" s="2">
        <v>1.4</v>
      </c>
      <c r="O185" s="2">
        <v>2.6</v>
      </c>
      <c r="P185" s="2">
        <v>0.52900000000000003</v>
      </c>
      <c r="Q185" s="2">
        <v>0.56499999999999995</v>
      </c>
      <c r="R185" s="2">
        <v>0.5</v>
      </c>
      <c r="S185" s="2">
        <v>0.8</v>
      </c>
      <c r="T185" s="2">
        <v>0.7</v>
      </c>
      <c r="U185" s="2">
        <v>0.9</v>
      </c>
      <c r="V185" s="2">
        <v>3.7</v>
      </c>
      <c r="W185" s="2">
        <v>4.5999999999999996</v>
      </c>
      <c r="X185" s="2">
        <v>2.9</v>
      </c>
      <c r="Y185" s="2">
        <v>1.1000000000000001</v>
      </c>
      <c r="Z185" s="2">
        <v>0.4</v>
      </c>
      <c r="AA185" s="2">
        <v>0.8</v>
      </c>
      <c r="AB185" s="2">
        <v>3</v>
      </c>
      <c r="AC185" s="2">
        <v>15.1</v>
      </c>
      <c r="AD185" s="2"/>
    </row>
    <row r="186" spans="1:30" x14ac:dyDescent="0.2">
      <c r="A186" t="s">
        <v>272</v>
      </c>
      <c r="B186" s="2">
        <v>23</v>
      </c>
      <c r="C186" t="s">
        <v>75</v>
      </c>
      <c r="D186" s="2" t="s">
        <v>42</v>
      </c>
      <c r="E186" s="2">
        <v>26</v>
      </c>
      <c r="F186" s="2">
        <v>3</v>
      </c>
      <c r="G186" s="2">
        <v>572</v>
      </c>
      <c r="H186" s="2">
        <v>3.9</v>
      </c>
      <c r="I186" s="2">
        <v>7</v>
      </c>
      <c r="J186" s="2">
        <v>0.55400000000000005</v>
      </c>
      <c r="K186" s="2">
        <v>0.3</v>
      </c>
      <c r="L186" s="2">
        <v>1.3</v>
      </c>
      <c r="M186" s="2">
        <v>0.25</v>
      </c>
      <c r="N186" s="2">
        <v>3.6</v>
      </c>
      <c r="O186" s="2">
        <v>5.8</v>
      </c>
      <c r="P186" s="2">
        <v>0.62</v>
      </c>
      <c r="Q186" s="2">
        <v>0.57599999999999996</v>
      </c>
      <c r="R186" s="2">
        <v>1.8</v>
      </c>
      <c r="S186" s="2">
        <v>2.1</v>
      </c>
      <c r="T186" s="2">
        <v>0.879</v>
      </c>
      <c r="U186" s="2">
        <v>3.8</v>
      </c>
      <c r="V186" s="2">
        <v>6.2</v>
      </c>
      <c r="W186" s="2">
        <v>9.9</v>
      </c>
      <c r="X186" s="2">
        <v>3</v>
      </c>
      <c r="Y186" s="2">
        <v>0.8</v>
      </c>
      <c r="Z186" s="2">
        <v>2.1</v>
      </c>
      <c r="AA186" s="2">
        <v>1.8</v>
      </c>
      <c r="AB186" s="2">
        <v>4.5999999999999996</v>
      </c>
      <c r="AC186" s="2">
        <v>9.9</v>
      </c>
      <c r="AD186" s="2"/>
    </row>
    <row r="187" spans="1:30" x14ac:dyDescent="0.2">
      <c r="A187" t="s">
        <v>478</v>
      </c>
      <c r="B187" s="2">
        <v>24</v>
      </c>
      <c r="C187" t="s">
        <v>59</v>
      </c>
      <c r="D187" s="2" t="s">
        <v>52</v>
      </c>
      <c r="E187" s="2">
        <v>2</v>
      </c>
      <c r="F187" s="2">
        <v>0</v>
      </c>
      <c r="G187" s="2">
        <v>29</v>
      </c>
      <c r="H187" s="2">
        <v>6.2</v>
      </c>
      <c r="I187" s="2">
        <v>13.7</v>
      </c>
      <c r="J187" s="2">
        <v>0.45500000000000002</v>
      </c>
      <c r="K187" s="2">
        <v>1.2</v>
      </c>
      <c r="L187" s="2">
        <v>2.5</v>
      </c>
      <c r="M187" s="2">
        <v>0.5</v>
      </c>
      <c r="N187" s="2">
        <v>5</v>
      </c>
      <c r="O187" s="2">
        <v>11.2</v>
      </c>
      <c r="P187" s="2">
        <v>0.44400000000000001</v>
      </c>
      <c r="Q187" s="2">
        <v>0.5</v>
      </c>
      <c r="R187" s="2">
        <v>8.6999999999999993</v>
      </c>
      <c r="S187" s="2">
        <v>9.9</v>
      </c>
      <c r="T187" s="2">
        <v>0.875</v>
      </c>
      <c r="U187" s="2">
        <v>3.7</v>
      </c>
      <c r="V187" s="2">
        <v>2.5</v>
      </c>
      <c r="W187" s="2">
        <v>6.2</v>
      </c>
      <c r="X187" s="2">
        <v>5</v>
      </c>
      <c r="Y187" s="2">
        <v>2.5</v>
      </c>
      <c r="Z187" s="2">
        <v>0</v>
      </c>
      <c r="AA187" s="2">
        <v>3.7</v>
      </c>
      <c r="AB187" s="2">
        <v>6.2</v>
      </c>
      <c r="AC187" s="2">
        <v>22.3</v>
      </c>
      <c r="AD187" s="2"/>
    </row>
    <row r="188" spans="1:30" x14ac:dyDescent="0.2">
      <c r="A188" t="s">
        <v>126</v>
      </c>
      <c r="B188" s="2">
        <v>27</v>
      </c>
      <c r="C188" t="s">
        <v>77</v>
      </c>
      <c r="D188" s="2" t="s">
        <v>42</v>
      </c>
      <c r="E188" s="2">
        <v>25</v>
      </c>
      <c r="F188" s="2">
        <v>25</v>
      </c>
      <c r="G188" s="2">
        <v>811</v>
      </c>
      <c r="H188" s="2">
        <v>7.3</v>
      </c>
      <c r="I188" s="2">
        <v>12.2</v>
      </c>
      <c r="J188" s="2">
        <v>0.60199999999999998</v>
      </c>
      <c r="K188" s="2">
        <v>0</v>
      </c>
      <c r="L188" s="2">
        <v>0</v>
      </c>
      <c r="M188" s="2"/>
      <c r="N188" s="2">
        <v>7.3</v>
      </c>
      <c r="O188" s="2">
        <v>12.2</v>
      </c>
      <c r="P188" s="2">
        <v>0.60199999999999998</v>
      </c>
      <c r="Q188" s="2">
        <v>0.60199999999999998</v>
      </c>
      <c r="R188" s="2">
        <v>1.7</v>
      </c>
      <c r="S188" s="2">
        <v>3.2</v>
      </c>
      <c r="T188" s="2">
        <v>0.53400000000000003</v>
      </c>
      <c r="U188" s="2">
        <v>4.4000000000000004</v>
      </c>
      <c r="V188" s="2">
        <v>9.1</v>
      </c>
      <c r="W188" s="2">
        <v>13.5</v>
      </c>
      <c r="X188" s="2">
        <v>2.6</v>
      </c>
      <c r="Y188" s="2">
        <v>0.6</v>
      </c>
      <c r="Z188" s="2">
        <v>1.2</v>
      </c>
      <c r="AA188" s="2">
        <v>2.2000000000000002</v>
      </c>
      <c r="AB188" s="2">
        <v>2.2999999999999998</v>
      </c>
      <c r="AC188" s="2">
        <v>16.399999999999999</v>
      </c>
      <c r="AD188" s="2"/>
    </row>
    <row r="189" spans="1:30" x14ac:dyDescent="0.2">
      <c r="A189" t="s">
        <v>151</v>
      </c>
      <c r="B189" s="2">
        <v>25</v>
      </c>
      <c r="C189" t="s">
        <v>80</v>
      </c>
      <c r="D189" s="2" t="s">
        <v>33</v>
      </c>
      <c r="E189" s="2">
        <v>14</v>
      </c>
      <c r="F189" s="2">
        <v>14</v>
      </c>
      <c r="G189" s="2">
        <v>394</v>
      </c>
      <c r="H189" s="2">
        <v>9.3000000000000007</v>
      </c>
      <c r="I189" s="2">
        <v>20.399999999999999</v>
      </c>
      <c r="J189" s="2">
        <v>0.45700000000000002</v>
      </c>
      <c r="K189" s="2">
        <v>1.7</v>
      </c>
      <c r="L189" s="2">
        <v>5.8</v>
      </c>
      <c r="M189" s="2">
        <v>0.30199999999999999</v>
      </c>
      <c r="N189" s="2">
        <v>7.6</v>
      </c>
      <c r="O189" s="2">
        <v>14.6</v>
      </c>
      <c r="P189" s="2">
        <v>0.51900000000000002</v>
      </c>
      <c r="Q189" s="2">
        <v>0.5</v>
      </c>
      <c r="R189" s="2">
        <v>7.4</v>
      </c>
      <c r="S189" s="2">
        <v>8.6999999999999993</v>
      </c>
      <c r="T189" s="2">
        <v>0.85299999999999998</v>
      </c>
      <c r="U189" s="2">
        <v>0.7</v>
      </c>
      <c r="V189" s="2">
        <v>4.8</v>
      </c>
      <c r="W189" s="2">
        <v>5.6</v>
      </c>
      <c r="X189" s="2">
        <v>10.9</v>
      </c>
      <c r="Y189" s="2">
        <v>1.3</v>
      </c>
      <c r="Z189" s="2">
        <v>0.5</v>
      </c>
      <c r="AA189" s="2">
        <v>4.8</v>
      </c>
      <c r="AB189" s="2">
        <v>2.2000000000000002</v>
      </c>
      <c r="AC189" s="2">
        <v>27.8</v>
      </c>
      <c r="AD189" s="2"/>
    </row>
    <row r="190" spans="1:30" x14ac:dyDescent="0.2">
      <c r="A190" t="s">
        <v>359</v>
      </c>
      <c r="B190" s="2">
        <v>20</v>
      </c>
      <c r="C190" t="s">
        <v>66</v>
      </c>
      <c r="D190" s="2" t="s">
        <v>52</v>
      </c>
      <c r="E190" s="2">
        <v>12</v>
      </c>
      <c r="F190" s="2">
        <v>4</v>
      </c>
      <c r="G190" s="2">
        <v>227</v>
      </c>
      <c r="H190" s="2">
        <v>5.2</v>
      </c>
      <c r="I190" s="2">
        <v>14.6</v>
      </c>
      <c r="J190" s="2">
        <v>0.35899999999999999</v>
      </c>
      <c r="K190" s="2">
        <v>1.6</v>
      </c>
      <c r="L190" s="2">
        <v>7.1</v>
      </c>
      <c r="M190" s="2">
        <v>0.222</v>
      </c>
      <c r="N190" s="2">
        <v>3.6</v>
      </c>
      <c r="O190" s="2">
        <v>7.5</v>
      </c>
      <c r="P190" s="2">
        <v>0.48899999999999999</v>
      </c>
      <c r="Q190" s="2">
        <v>0.41299999999999998</v>
      </c>
      <c r="R190" s="2">
        <v>1.6</v>
      </c>
      <c r="S190" s="2">
        <v>2.2000000000000002</v>
      </c>
      <c r="T190" s="2">
        <v>0.71399999999999997</v>
      </c>
      <c r="U190" s="2">
        <v>1.7</v>
      </c>
      <c r="V190" s="2">
        <v>4.3</v>
      </c>
      <c r="W190" s="2">
        <v>6</v>
      </c>
      <c r="X190" s="2">
        <v>2.9</v>
      </c>
      <c r="Y190" s="2">
        <v>1.1000000000000001</v>
      </c>
      <c r="Z190" s="2">
        <v>0.5</v>
      </c>
      <c r="AA190" s="2">
        <v>1.9</v>
      </c>
      <c r="AB190" s="2">
        <v>3.5</v>
      </c>
      <c r="AC190" s="2">
        <v>13.6</v>
      </c>
      <c r="AD190" s="2"/>
    </row>
    <row r="191" spans="1:30" x14ac:dyDescent="0.2">
      <c r="A191" t="s">
        <v>166</v>
      </c>
      <c r="B191" s="2">
        <v>21</v>
      </c>
      <c r="C191" t="s">
        <v>87</v>
      </c>
      <c r="D191" s="2" t="s">
        <v>27</v>
      </c>
      <c r="E191" s="2">
        <v>25</v>
      </c>
      <c r="F191" s="2">
        <v>25</v>
      </c>
      <c r="G191" s="2">
        <v>758</v>
      </c>
      <c r="H191" s="2">
        <v>4.9000000000000004</v>
      </c>
      <c r="I191" s="2">
        <v>11.2</v>
      </c>
      <c r="J191" s="2">
        <v>0.436</v>
      </c>
      <c r="K191" s="2">
        <v>2</v>
      </c>
      <c r="L191" s="2">
        <v>5.8</v>
      </c>
      <c r="M191" s="2">
        <v>0.35199999999999998</v>
      </c>
      <c r="N191" s="2">
        <v>2.8</v>
      </c>
      <c r="O191" s="2">
        <v>5.4</v>
      </c>
      <c r="P191" s="2">
        <v>0.52600000000000002</v>
      </c>
      <c r="Q191" s="2">
        <v>0.52800000000000002</v>
      </c>
      <c r="R191" s="2">
        <v>2</v>
      </c>
      <c r="S191" s="2">
        <v>2.2999999999999998</v>
      </c>
      <c r="T191" s="2">
        <v>0.85699999999999998</v>
      </c>
      <c r="U191" s="2">
        <v>2</v>
      </c>
      <c r="V191" s="2">
        <v>6</v>
      </c>
      <c r="W191" s="2">
        <v>8.1</v>
      </c>
      <c r="X191" s="2">
        <v>1</v>
      </c>
      <c r="Y191" s="2">
        <v>0.3</v>
      </c>
      <c r="Z191" s="2">
        <v>1.1000000000000001</v>
      </c>
      <c r="AA191" s="2">
        <v>0.8</v>
      </c>
      <c r="AB191" s="2">
        <v>2.9</v>
      </c>
      <c r="AC191" s="2">
        <v>13.8</v>
      </c>
      <c r="AD191" s="2"/>
    </row>
    <row r="192" spans="1:30" x14ac:dyDescent="0.2">
      <c r="A192" t="s">
        <v>393</v>
      </c>
      <c r="B192" s="2">
        <v>22</v>
      </c>
      <c r="C192" t="s">
        <v>135</v>
      </c>
      <c r="D192" s="2" t="s">
        <v>49</v>
      </c>
      <c r="E192" s="2">
        <v>19</v>
      </c>
      <c r="F192" s="2">
        <v>0</v>
      </c>
      <c r="G192" s="2">
        <v>204</v>
      </c>
      <c r="H192" s="2">
        <v>3.9</v>
      </c>
      <c r="I192" s="2">
        <v>10.4</v>
      </c>
      <c r="J192" s="2">
        <v>0.373</v>
      </c>
      <c r="K192" s="2">
        <v>0.4</v>
      </c>
      <c r="L192" s="2">
        <v>3</v>
      </c>
      <c r="M192" s="2">
        <v>0.11799999999999999</v>
      </c>
      <c r="N192" s="2">
        <v>3.5</v>
      </c>
      <c r="O192" s="2">
        <v>7.4</v>
      </c>
      <c r="P192" s="2">
        <v>0.47599999999999998</v>
      </c>
      <c r="Q192" s="2">
        <v>0.39</v>
      </c>
      <c r="R192" s="2">
        <v>1.9</v>
      </c>
      <c r="S192" s="2">
        <v>2.2999999999999998</v>
      </c>
      <c r="T192" s="2">
        <v>0.84599999999999997</v>
      </c>
      <c r="U192" s="2">
        <v>3.2</v>
      </c>
      <c r="V192" s="2">
        <v>7.1</v>
      </c>
      <c r="W192" s="2">
        <v>10.199999999999999</v>
      </c>
      <c r="X192" s="2">
        <v>2.2999999999999998</v>
      </c>
      <c r="Y192" s="2">
        <v>1.1000000000000001</v>
      </c>
      <c r="Z192" s="2">
        <v>0.5</v>
      </c>
      <c r="AA192" s="2">
        <v>2.2999999999999998</v>
      </c>
      <c r="AB192" s="2">
        <v>3.9</v>
      </c>
      <c r="AC192" s="2">
        <v>10.1</v>
      </c>
      <c r="AD192" s="2"/>
    </row>
    <row r="193" spans="1:30" x14ac:dyDescent="0.2">
      <c r="A193" t="s">
        <v>503</v>
      </c>
      <c r="B193" s="2">
        <v>28</v>
      </c>
      <c r="C193" t="s">
        <v>87</v>
      </c>
      <c r="D193" s="2" t="s">
        <v>27</v>
      </c>
      <c r="E193" s="2">
        <v>6</v>
      </c>
      <c r="F193" s="2">
        <v>0</v>
      </c>
      <c r="G193" s="2">
        <v>21</v>
      </c>
      <c r="H193" s="2">
        <v>5.0999999999999996</v>
      </c>
      <c r="I193" s="2">
        <v>18.899999999999999</v>
      </c>
      <c r="J193" s="2">
        <v>0.27300000000000002</v>
      </c>
      <c r="K193" s="2">
        <v>3.4</v>
      </c>
      <c r="L193" s="2">
        <v>13.7</v>
      </c>
      <c r="M193" s="2">
        <v>0.25</v>
      </c>
      <c r="N193" s="2">
        <v>1.7</v>
      </c>
      <c r="O193" s="2">
        <v>5.0999999999999996</v>
      </c>
      <c r="P193" s="2">
        <v>0.33300000000000002</v>
      </c>
      <c r="Q193" s="2">
        <v>0.36399999999999999</v>
      </c>
      <c r="R193" s="2">
        <v>0</v>
      </c>
      <c r="S193" s="2">
        <v>0</v>
      </c>
      <c r="T193" s="2"/>
      <c r="U193" s="2">
        <v>1.7</v>
      </c>
      <c r="V193" s="2">
        <v>5.0999999999999996</v>
      </c>
      <c r="W193" s="2">
        <v>6.9</v>
      </c>
      <c r="X193" s="2">
        <v>1.7</v>
      </c>
      <c r="Y193" s="2">
        <v>0</v>
      </c>
      <c r="Z193" s="2">
        <v>1.7</v>
      </c>
      <c r="AA193" s="2">
        <v>1.7</v>
      </c>
      <c r="AB193" s="2">
        <v>1.7</v>
      </c>
      <c r="AC193" s="2">
        <v>13.7</v>
      </c>
      <c r="AD193" s="2"/>
    </row>
    <row r="194" spans="1:30" x14ac:dyDescent="0.2">
      <c r="A194" t="s">
        <v>551</v>
      </c>
      <c r="B194" s="2">
        <v>24</v>
      </c>
      <c r="C194" t="s">
        <v>44</v>
      </c>
      <c r="D194" s="2" t="s">
        <v>49</v>
      </c>
      <c r="E194" s="2">
        <v>7</v>
      </c>
      <c r="F194" s="2">
        <v>0</v>
      </c>
      <c r="G194" s="2">
        <v>21</v>
      </c>
      <c r="H194" s="2">
        <v>1.7</v>
      </c>
      <c r="I194" s="2">
        <v>5.0999999999999996</v>
      </c>
      <c r="J194" s="2">
        <v>0.33300000000000002</v>
      </c>
      <c r="K194" s="2">
        <v>0</v>
      </c>
      <c r="L194" s="2">
        <v>3.4</v>
      </c>
      <c r="M194" s="2">
        <v>0</v>
      </c>
      <c r="N194" s="2">
        <v>1.7</v>
      </c>
      <c r="O194" s="2">
        <v>1.7</v>
      </c>
      <c r="P194" s="2">
        <v>1</v>
      </c>
      <c r="Q194" s="2">
        <v>0.33300000000000002</v>
      </c>
      <c r="R194" s="2">
        <v>0</v>
      </c>
      <c r="S194" s="2">
        <v>0</v>
      </c>
      <c r="T194" s="2"/>
      <c r="U194" s="2">
        <v>0</v>
      </c>
      <c r="V194" s="2">
        <v>5.0999999999999996</v>
      </c>
      <c r="W194" s="2">
        <v>5.0999999999999996</v>
      </c>
      <c r="X194" s="2">
        <v>3.4</v>
      </c>
      <c r="Y194" s="2">
        <v>0</v>
      </c>
      <c r="Z194" s="2">
        <v>0</v>
      </c>
      <c r="AA194" s="2">
        <v>1.7</v>
      </c>
      <c r="AB194" s="2">
        <v>0</v>
      </c>
      <c r="AC194" s="2">
        <v>3.4</v>
      </c>
      <c r="AD194" s="2"/>
    </row>
    <row r="195" spans="1:30" x14ac:dyDescent="0.2">
      <c r="A195" t="s">
        <v>288</v>
      </c>
      <c r="B195" s="2">
        <v>22</v>
      </c>
      <c r="C195" t="s">
        <v>63</v>
      </c>
      <c r="D195" s="2" t="s">
        <v>52</v>
      </c>
      <c r="E195" s="2">
        <v>22</v>
      </c>
      <c r="F195" s="2">
        <v>2</v>
      </c>
      <c r="G195" s="2">
        <v>320</v>
      </c>
      <c r="H195" s="2">
        <v>5.9</v>
      </c>
      <c r="I195" s="2">
        <v>15</v>
      </c>
      <c r="J195" s="2">
        <v>0.39100000000000001</v>
      </c>
      <c r="K195" s="2">
        <v>2</v>
      </c>
      <c r="L195" s="2">
        <v>6.6</v>
      </c>
      <c r="M195" s="2">
        <v>0.30499999999999999</v>
      </c>
      <c r="N195" s="2">
        <v>3.8</v>
      </c>
      <c r="O195" s="2">
        <v>8.3000000000000007</v>
      </c>
      <c r="P195" s="2">
        <v>0.45900000000000002</v>
      </c>
      <c r="Q195" s="2">
        <v>0.45900000000000002</v>
      </c>
      <c r="R195" s="2">
        <v>2.5</v>
      </c>
      <c r="S195" s="2">
        <v>2.8</v>
      </c>
      <c r="T195" s="2">
        <v>0.88</v>
      </c>
      <c r="U195" s="2">
        <v>0.5</v>
      </c>
      <c r="V195" s="2">
        <v>2.9</v>
      </c>
      <c r="W195" s="2">
        <v>3.4</v>
      </c>
      <c r="X195" s="2">
        <v>3</v>
      </c>
      <c r="Y195" s="2">
        <v>1.6</v>
      </c>
      <c r="Z195" s="2">
        <v>0.1</v>
      </c>
      <c r="AA195" s="2">
        <v>3.5</v>
      </c>
      <c r="AB195" s="2">
        <v>3.4</v>
      </c>
      <c r="AC195" s="2">
        <v>16.2</v>
      </c>
      <c r="AD195" s="2"/>
    </row>
    <row r="196" spans="1:30" x14ac:dyDescent="0.2">
      <c r="A196" t="s">
        <v>101</v>
      </c>
      <c r="B196" s="2">
        <v>22</v>
      </c>
      <c r="C196" t="s">
        <v>75</v>
      </c>
      <c r="D196" s="2" t="s">
        <v>52</v>
      </c>
      <c r="E196" s="2">
        <v>25</v>
      </c>
      <c r="F196" s="2">
        <v>25</v>
      </c>
      <c r="G196" s="2">
        <v>759</v>
      </c>
      <c r="H196" s="2">
        <v>7.3</v>
      </c>
      <c r="I196" s="2">
        <v>16.600000000000001</v>
      </c>
      <c r="J196" s="2">
        <v>0.436</v>
      </c>
      <c r="K196" s="2">
        <v>2.2000000000000002</v>
      </c>
      <c r="L196" s="2">
        <v>6.1</v>
      </c>
      <c r="M196" s="2">
        <v>0.36699999999999999</v>
      </c>
      <c r="N196" s="2">
        <v>5</v>
      </c>
      <c r="O196" s="2">
        <v>10.6</v>
      </c>
      <c r="P196" s="2">
        <v>0.47499999999999998</v>
      </c>
      <c r="Q196" s="2">
        <v>0.503</v>
      </c>
      <c r="R196" s="2">
        <v>3.7</v>
      </c>
      <c r="S196" s="2">
        <v>5.0999999999999996</v>
      </c>
      <c r="T196" s="2">
        <v>0.73099999999999998</v>
      </c>
      <c r="U196" s="2">
        <v>1.5</v>
      </c>
      <c r="V196" s="2">
        <v>3.4</v>
      </c>
      <c r="W196" s="2">
        <v>4.9000000000000004</v>
      </c>
      <c r="X196" s="2">
        <v>4.9000000000000004</v>
      </c>
      <c r="Y196" s="2">
        <v>1.1000000000000001</v>
      </c>
      <c r="Z196" s="2">
        <v>0.5</v>
      </c>
      <c r="AA196" s="2">
        <v>3.6</v>
      </c>
      <c r="AB196" s="2">
        <v>2.9</v>
      </c>
      <c r="AC196" s="2">
        <v>20.5</v>
      </c>
      <c r="AD196" s="2"/>
    </row>
    <row r="197" spans="1:30" x14ac:dyDescent="0.2">
      <c r="A197" t="s">
        <v>210</v>
      </c>
      <c r="B197" s="2">
        <v>24</v>
      </c>
      <c r="C197" t="s">
        <v>51</v>
      </c>
      <c r="D197" s="2" t="s">
        <v>27</v>
      </c>
      <c r="E197" s="2">
        <v>23</v>
      </c>
      <c r="F197" s="2">
        <v>23</v>
      </c>
      <c r="G197" s="2">
        <v>691</v>
      </c>
      <c r="H197" s="2">
        <v>4.7</v>
      </c>
      <c r="I197" s="2">
        <v>10.8</v>
      </c>
      <c r="J197" s="2">
        <v>0.44</v>
      </c>
      <c r="K197" s="2">
        <v>1.4</v>
      </c>
      <c r="L197" s="2">
        <v>4.5999999999999996</v>
      </c>
      <c r="M197" s="2">
        <v>0.307</v>
      </c>
      <c r="N197" s="2">
        <v>3.3</v>
      </c>
      <c r="O197" s="2">
        <v>6.2</v>
      </c>
      <c r="P197" s="2">
        <v>0.53800000000000003</v>
      </c>
      <c r="Q197" s="2">
        <v>0.505</v>
      </c>
      <c r="R197" s="2">
        <v>0.9</v>
      </c>
      <c r="S197" s="2">
        <v>1.4</v>
      </c>
      <c r="T197" s="2">
        <v>0.69199999999999995</v>
      </c>
      <c r="U197" s="2">
        <v>1.4</v>
      </c>
      <c r="V197" s="2">
        <v>3</v>
      </c>
      <c r="W197" s="2">
        <v>4.4000000000000004</v>
      </c>
      <c r="X197" s="2">
        <v>2.2000000000000002</v>
      </c>
      <c r="Y197" s="2">
        <v>1.4</v>
      </c>
      <c r="Z197" s="2">
        <v>0.9</v>
      </c>
      <c r="AA197" s="2">
        <v>1.3</v>
      </c>
      <c r="AB197" s="2">
        <v>3.8</v>
      </c>
      <c r="AC197" s="2">
        <v>11.8</v>
      </c>
      <c r="AD197" s="2"/>
    </row>
    <row r="198" spans="1:30" x14ac:dyDescent="0.2">
      <c r="A198" t="s">
        <v>513</v>
      </c>
      <c r="B198" s="2">
        <v>22</v>
      </c>
      <c r="C198" t="s">
        <v>39</v>
      </c>
      <c r="D198" s="2" t="s">
        <v>52</v>
      </c>
      <c r="E198" s="2">
        <v>7</v>
      </c>
      <c r="F198" s="2">
        <v>0</v>
      </c>
      <c r="G198" s="2">
        <v>24</v>
      </c>
      <c r="H198" s="2">
        <v>3</v>
      </c>
      <c r="I198" s="2">
        <v>10.5</v>
      </c>
      <c r="J198" s="2">
        <v>0.28599999999999998</v>
      </c>
      <c r="K198" s="2">
        <v>0</v>
      </c>
      <c r="L198" s="2">
        <v>3</v>
      </c>
      <c r="M198" s="2">
        <v>0</v>
      </c>
      <c r="N198" s="2">
        <v>3</v>
      </c>
      <c r="O198" s="2">
        <v>7.5</v>
      </c>
      <c r="P198" s="2">
        <v>0.4</v>
      </c>
      <c r="Q198" s="2">
        <v>0.28599999999999998</v>
      </c>
      <c r="R198" s="2">
        <v>3</v>
      </c>
      <c r="S198" s="2">
        <v>6</v>
      </c>
      <c r="T198" s="2">
        <v>0.5</v>
      </c>
      <c r="U198" s="2">
        <v>4.5</v>
      </c>
      <c r="V198" s="2">
        <v>4.5</v>
      </c>
      <c r="W198" s="2">
        <v>9</v>
      </c>
      <c r="X198" s="2">
        <v>4.5</v>
      </c>
      <c r="Y198" s="2">
        <v>4.5</v>
      </c>
      <c r="Z198" s="2">
        <v>0</v>
      </c>
      <c r="AA198" s="2">
        <v>1.5</v>
      </c>
      <c r="AB198" s="2">
        <v>4.5</v>
      </c>
      <c r="AC198" s="2">
        <v>9</v>
      </c>
      <c r="AD198" s="2"/>
    </row>
    <row r="199" spans="1:30" x14ac:dyDescent="0.2">
      <c r="A199" t="s">
        <v>465</v>
      </c>
      <c r="B199" s="2">
        <v>34</v>
      </c>
      <c r="C199" t="s">
        <v>37</v>
      </c>
      <c r="D199" s="2" t="s">
        <v>49</v>
      </c>
      <c r="E199" s="2">
        <v>5</v>
      </c>
      <c r="F199" s="2">
        <v>2</v>
      </c>
      <c r="G199" s="2">
        <v>84</v>
      </c>
      <c r="H199" s="2">
        <v>2.6</v>
      </c>
      <c r="I199" s="2">
        <v>7.3</v>
      </c>
      <c r="J199" s="2">
        <v>0.35299999999999998</v>
      </c>
      <c r="K199" s="2">
        <v>1.3</v>
      </c>
      <c r="L199" s="2">
        <v>5.0999999999999996</v>
      </c>
      <c r="M199" s="2">
        <v>0.25</v>
      </c>
      <c r="N199" s="2">
        <v>1.3</v>
      </c>
      <c r="O199" s="2">
        <v>2.1</v>
      </c>
      <c r="P199" s="2">
        <v>0.6</v>
      </c>
      <c r="Q199" s="2">
        <v>0.441</v>
      </c>
      <c r="R199" s="2">
        <v>2.1</v>
      </c>
      <c r="S199" s="2">
        <v>2.6</v>
      </c>
      <c r="T199" s="2">
        <v>0.83299999999999996</v>
      </c>
      <c r="U199" s="2">
        <v>2.1</v>
      </c>
      <c r="V199" s="2">
        <v>4.3</v>
      </c>
      <c r="W199" s="2">
        <v>6.4</v>
      </c>
      <c r="X199" s="2">
        <v>1.7</v>
      </c>
      <c r="Y199" s="2">
        <v>1.3</v>
      </c>
      <c r="Z199" s="2">
        <v>0</v>
      </c>
      <c r="AA199" s="2">
        <v>1.3</v>
      </c>
      <c r="AB199" s="2">
        <v>3.9</v>
      </c>
      <c r="AC199" s="2">
        <v>8.6</v>
      </c>
      <c r="AD199" s="2"/>
    </row>
    <row r="200" spans="1:30" x14ac:dyDescent="0.2">
      <c r="A200" t="s">
        <v>454</v>
      </c>
      <c r="B200" s="2">
        <v>29</v>
      </c>
      <c r="C200" t="s">
        <v>87</v>
      </c>
      <c r="D200" s="2" t="s">
        <v>49</v>
      </c>
      <c r="E200" s="2">
        <v>10</v>
      </c>
      <c r="F200" s="2">
        <v>0</v>
      </c>
      <c r="G200" s="2">
        <v>59</v>
      </c>
      <c r="H200" s="2">
        <v>5.5</v>
      </c>
      <c r="I200" s="2">
        <v>9.8000000000000007</v>
      </c>
      <c r="J200" s="2">
        <v>0.56299999999999994</v>
      </c>
      <c r="K200" s="2">
        <v>0</v>
      </c>
      <c r="L200" s="2">
        <v>1.2</v>
      </c>
      <c r="M200" s="2">
        <v>0</v>
      </c>
      <c r="N200" s="2">
        <v>5.5</v>
      </c>
      <c r="O200" s="2">
        <v>8.5</v>
      </c>
      <c r="P200" s="2">
        <v>0.64300000000000002</v>
      </c>
      <c r="Q200" s="2">
        <v>0.56299999999999994</v>
      </c>
      <c r="R200" s="2">
        <v>3.7</v>
      </c>
      <c r="S200" s="2">
        <v>5.5</v>
      </c>
      <c r="T200" s="2">
        <v>0.66700000000000004</v>
      </c>
      <c r="U200" s="2">
        <v>2.4</v>
      </c>
      <c r="V200" s="2">
        <v>11</v>
      </c>
      <c r="W200" s="2">
        <v>13.4</v>
      </c>
      <c r="X200" s="2">
        <v>3.7</v>
      </c>
      <c r="Y200" s="2">
        <v>3.1</v>
      </c>
      <c r="Z200" s="2">
        <v>0</v>
      </c>
      <c r="AA200" s="2">
        <v>3.7</v>
      </c>
      <c r="AB200" s="2">
        <v>6.1</v>
      </c>
      <c r="AC200" s="2">
        <v>14.6</v>
      </c>
      <c r="AD200" s="2"/>
    </row>
    <row r="201" spans="1:30" x14ac:dyDescent="0.2">
      <c r="A201" t="s">
        <v>270</v>
      </c>
      <c r="B201" s="2">
        <v>23</v>
      </c>
      <c r="C201" t="s">
        <v>61</v>
      </c>
      <c r="D201" s="2" t="s">
        <v>49</v>
      </c>
      <c r="E201" s="2">
        <v>19</v>
      </c>
      <c r="F201" s="2">
        <v>1</v>
      </c>
      <c r="G201" s="2">
        <v>402</v>
      </c>
      <c r="H201" s="2">
        <v>5.5</v>
      </c>
      <c r="I201" s="2">
        <v>13</v>
      </c>
      <c r="J201" s="2">
        <v>0.42099999999999999</v>
      </c>
      <c r="K201" s="2">
        <v>0.9</v>
      </c>
      <c r="L201" s="2">
        <v>3.3</v>
      </c>
      <c r="M201" s="2">
        <v>0.27</v>
      </c>
      <c r="N201" s="2">
        <v>4.5999999999999996</v>
      </c>
      <c r="O201" s="2">
        <v>9.6999999999999993</v>
      </c>
      <c r="P201" s="2">
        <v>0.47199999999999998</v>
      </c>
      <c r="Q201" s="2">
        <v>0.45500000000000002</v>
      </c>
      <c r="R201" s="2">
        <v>2.8</v>
      </c>
      <c r="S201" s="2">
        <v>3.9</v>
      </c>
      <c r="T201" s="2">
        <v>0.70499999999999996</v>
      </c>
      <c r="U201" s="2">
        <v>2.4</v>
      </c>
      <c r="V201" s="2">
        <v>6.1</v>
      </c>
      <c r="W201" s="2">
        <v>8.5</v>
      </c>
      <c r="X201" s="2">
        <v>3.8</v>
      </c>
      <c r="Y201" s="2">
        <v>1.7</v>
      </c>
      <c r="Z201" s="2">
        <v>0.2</v>
      </c>
      <c r="AA201" s="2">
        <v>2.5</v>
      </c>
      <c r="AB201" s="2">
        <v>2.6</v>
      </c>
      <c r="AC201" s="2">
        <v>14.6</v>
      </c>
      <c r="AD201" s="2"/>
    </row>
    <row r="202" spans="1:30" x14ac:dyDescent="0.2">
      <c r="A202" t="s">
        <v>218</v>
      </c>
      <c r="B202" s="2">
        <v>23</v>
      </c>
      <c r="C202" t="s">
        <v>80</v>
      </c>
      <c r="D202" s="2" t="s">
        <v>27</v>
      </c>
      <c r="E202" s="2">
        <v>25</v>
      </c>
      <c r="F202" s="2">
        <v>0</v>
      </c>
      <c r="G202" s="2">
        <v>584</v>
      </c>
      <c r="H202" s="2">
        <v>4.7</v>
      </c>
      <c r="I202" s="2">
        <v>9.3000000000000007</v>
      </c>
      <c r="J202" s="2">
        <v>0.503</v>
      </c>
      <c r="K202" s="2">
        <v>1.4</v>
      </c>
      <c r="L202" s="2">
        <v>3.5</v>
      </c>
      <c r="M202" s="2">
        <v>0.39300000000000002</v>
      </c>
      <c r="N202" s="2">
        <v>3.3</v>
      </c>
      <c r="O202" s="2">
        <v>5.9</v>
      </c>
      <c r="P202" s="2">
        <v>0.56799999999999995</v>
      </c>
      <c r="Q202" s="2">
        <v>0.57599999999999996</v>
      </c>
      <c r="R202" s="2">
        <v>2.5</v>
      </c>
      <c r="S202" s="2">
        <v>3.6</v>
      </c>
      <c r="T202" s="2">
        <v>0.69499999999999995</v>
      </c>
      <c r="U202" s="2">
        <v>2.2000000000000002</v>
      </c>
      <c r="V202" s="2">
        <v>5</v>
      </c>
      <c r="W202" s="2">
        <v>7.2</v>
      </c>
      <c r="X202" s="2">
        <v>5.4</v>
      </c>
      <c r="Y202" s="2">
        <v>1.4</v>
      </c>
      <c r="Z202" s="2">
        <v>1</v>
      </c>
      <c r="AA202" s="2">
        <v>2.2000000000000002</v>
      </c>
      <c r="AB202" s="2">
        <v>3.6</v>
      </c>
      <c r="AC202" s="2">
        <v>13.3</v>
      </c>
      <c r="AD202" s="2"/>
    </row>
    <row r="203" spans="1:30" x14ac:dyDescent="0.2">
      <c r="A203" t="s">
        <v>118</v>
      </c>
      <c r="B203" s="2">
        <v>29</v>
      </c>
      <c r="C203" t="s">
        <v>66</v>
      </c>
      <c r="D203" s="2" t="s">
        <v>42</v>
      </c>
      <c r="E203" s="2">
        <v>25</v>
      </c>
      <c r="F203" s="2">
        <v>24</v>
      </c>
      <c r="G203" s="2">
        <v>813</v>
      </c>
      <c r="H203" s="2">
        <v>7.5</v>
      </c>
      <c r="I203" s="2">
        <v>12.6</v>
      </c>
      <c r="J203" s="2">
        <v>0.59299999999999997</v>
      </c>
      <c r="K203" s="2">
        <v>0</v>
      </c>
      <c r="L203" s="2">
        <v>0.1</v>
      </c>
      <c r="M203" s="2">
        <v>0</v>
      </c>
      <c r="N203" s="2">
        <v>7.5</v>
      </c>
      <c r="O203" s="2">
        <v>12.5</v>
      </c>
      <c r="P203" s="2">
        <v>0.59699999999999998</v>
      </c>
      <c r="Q203" s="2">
        <v>0.59299999999999997</v>
      </c>
      <c r="R203" s="2">
        <v>2.7</v>
      </c>
      <c r="S203" s="2">
        <v>3.9</v>
      </c>
      <c r="T203" s="2">
        <v>0.68200000000000005</v>
      </c>
      <c r="U203" s="2">
        <v>4.5</v>
      </c>
      <c r="V203" s="2">
        <v>8</v>
      </c>
      <c r="W203" s="2">
        <v>12.5</v>
      </c>
      <c r="X203" s="2">
        <v>3</v>
      </c>
      <c r="Y203" s="2">
        <v>1.2</v>
      </c>
      <c r="Z203" s="2">
        <v>1.4</v>
      </c>
      <c r="AA203" s="2">
        <v>2.4</v>
      </c>
      <c r="AB203" s="2">
        <v>4.0999999999999996</v>
      </c>
      <c r="AC203" s="2">
        <v>17.600000000000001</v>
      </c>
      <c r="AD203" s="2"/>
    </row>
    <row r="204" spans="1:30" x14ac:dyDescent="0.2">
      <c r="A204" t="s">
        <v>553</v>
      </c>
      <c r="B204" s="2">
        <v>23</v>
      </c>
      <c r="C204" t="s">
        <v>54</v>
      </c>
      <c r="D204" s="2" t="s">
        <v>49</v>
      </c>
      <c r="E204" s="2">
        <v>2</v>
      </c>
      <c r="F204" s="2">
        <v>0</v>
      </c>
      <c r="G204" s="2">
        <v>11</v>
      </c>
      <c r="H204" s="2">
        <v>0</v>
      </c>
      <c r="I204" s="2">
        <v>6.5</v>
      </c>
      <c r="J204" s="2">
        <v>0</v>
      </c>
      <c r="K204" s="2">
        <v>0</v>
      </c>
      <c r="L204" s="2">
        <v>6.5</v>
      </c>
      <c r="M204" s="2">
        <v>0</v>
      </c>
      <c r="N204" s="2">
        <v>0</v>
      </c>
      <c r="O204" s="2">
        <v>0</v>
      </c>
      <c r="P204" s="2"/>
      <c r="Q204" s="2">
        <v>0</v>
      </c>
      <c r="R204" s="2">
        <v>3.3</v>
      </c>
      <c r="S204" s="2">
        <v>6.5</v>
      </c>
      <c r="T204" s="2">
        <v>0.5</v>
      </c>
      <c r="U204" s="2">
        <v>0</v>
      </c>
      <c r="V204" s="2">
        <v>3.3</v>
      </c>
      <c r="W204" s="2">
        <v>3.3</v>
      </c>
      <c r="X204" s="2">
        <v>0</v>
      </c>
      <c r="Y204" s="2">
        <v>0</v>
      </c>
      <c r="Z204" s="2">
        <v>0</v>
      </c>
      <c r="AA204" s="2">
        <v>6.5</v>
      </c>
      <c r="AB204" s="2">
        <v>0</v>
      </c>
      <c r="AC204" s="2">
        <v>3.3</v>
      </c>
      <c r="AD204" s="2"/>
    </row>
    <row r="205" spans="1:30" x14ac:dyDescent="0.2">
      <c r="A205" t="s">
        <v>43</v>
      </c>
      <c r="B205" s="2">
        <v>28</v>
      </c>
      <c r="C205" t="s">
        <v>44</v>
      </c>
      <c r="D205" s="2" t="s">
        <v>33</v>
      </c>
      <c r="E205" s="2">
        <v>25</v>
      </c>
      <c r="F205" s="2">
        <v>25</v>
      </c>
      <c r="G205" s="2">
        <v>857</v>
      </c>
      <c r="H205" s="2">
        <v>8.9</v>
      </c>
      <c r="I205" s="2">
        <v>18.100000000000001</v>
      </c>
      <c r="J205" s="2">
        <v>0.49099999999999999</v>
      </c>
      <c r="K205" s="2">
        <v>2.8</v>
      </c>
      <c r="L205" s="2">
        <v>6.5</v>
      </c>
      <c r="M205" s="2">
        <v>0.42899999999999999</v>
      </c>
      <c r="N205" s="2">
        <v>6.1</v>
      </c>
      <c r="O205" s="2">
        <v>11.6</v>
      </c>
      <c r="P205" s="2">
        <v>0.52500000000000002</v>
      </c>
      <c r="Q205" s="2">
        <v>0.56699999999999995</v>
      </c>
      <c r="R205" s="2">
        <v>5.5</v>
      </c>
      <c r="S205" s="2">
        <v>6.6</v>
      </c>
      <c r="T205" s="2">
        <v>0.82299999999999995</v>
      </c>
      <c r="U205" s="2">
        <v>0.5</v>
      </c>
      <c r="V205" s="2">
        <v>2.6</v>
      </c>
      <c r="W205" s="2">
        <v>3.1</v>
      </c>
      <c r="X205" s="2">
        <v>8.1999999999999993</v>
      </c>
      <c r="Y205" s="2">
        <v>0.7</v>
      </c>
      <c r="Z205" s="2">
        <v>0.1</v>
      </c>
      <c r="AA205" s="2">
        <v>2.5</v>
      </c>
      <c r="AB205" s="2">
        <v>2.4</v>
      </c>
      <c r="AC205" s="2">
        <v>26</v>
      </c>
      <c r="AD205" s="2"/>
    </row>
    <row r="206" spans="1:30" x14ac:dyDescent="0.2">
      <c r="A206" t="s">
        <v>226</v>
      </c>
      <c r="B206" s="2">
        <v>21</v>
      </c>
      <c r="C206" t="s">
        <v>75</v>
      </c>
      <c r="D206" s="2" t="s">
        <v>42</v>
      </c>
      <c r="E206" s="2">
        <v>23</v>
      </c>
      <c r="F206" s="2">
        <v>23</v>
      </c>
      <c r="G206" s="2">
        <v>550</v>
      </c>
      <c r="H206" s="2">
        <v>5.4</v>
      </c>
      <c r="I206" s="2">
        <v>8</v>
      </c>
      <c r="J206" s="2">
        <v>0.68</v>
      </c>
      <c r="K206" s="2">
        <v>0</v>
      </c>
      <c r="L206" s="2">
        <v>0</v>
      </c>
      <c r="M206" s="2"/>
      <c r="N206" s="2">
        <v>5.4</v>
      </c>
      <c r="O206" s="2">
        <v>8</v>
      </c>
      <c r="P206" s="2">
        <v>0.68</v>
      </c>
      <c r="Q206" s="2">
        <v>0.68</v>
      </c>
      <c r="R206" s="2">
        <v>2.5</v>
      </c>
      <c r="S206" s="2">
        <v>4.3</v>
      </c>
      <c r="T206" s="2">
        <v>0.57599999999999996</v>
      </c>
      <c r="U206" s="2">
        <v>4.5999999999999996</v>
      </c>
      <c r="V206" s="2">
        <v>8.8000000000000007</v>
      </c>
      <c r="W206" s="2">
        <v>13.4</v>
      </c>
      <c r="X206" s="2">
        <v>3.5</v>
      </c>
      <c r="Y206" s="2">
        <v>0.6</v>
      </c>
      <c r="Z206" s="2">
        <v>1.9</v>
      </c>
      <c r="AA206" s="2">
        <v>2.9</v>
      </c>
      <c r="AB206" s="2">
        <v>4.8</v>
      </c>
      <c r="AC206" s="2">
        <v>13.4</v>
      </c>
      <c r="AD206" s="2"/>
    </row>
    <row r="207" spans="1:30" x14ac:dyDescent="0.2">
      <c r="A207" t="s">
        <v>86</v>
      </c>
      <c r="B207" s="2">
        <v>22</v>
      </c>
      <c r="C207" t="s">
        <v>87</v>
      </c>
      <c r="D207" s="2" t="s">
        <v>52</v>
      </c>
      <c r="E207" s="2">
        <v>25</v>
      </c>
      <c r="F207" s="2">
        <v>25</v>
      </c>
      <c r="G207" s="2">
        <v>813</v>
      </c>
      <c r="H207" s="2">
        <v>7.1</v>
      </c>
      <c r="I207" s="2">
        <v>18</v>
      </c>
      <c r="J207" s="2">
        <v>0.39700000000000002</v>
      </c>
      <c r="K207" s="2">
        <v>2.7</v>
      </c>
      <c r="L207" s="2">
        <v>8.5</v>
      </c>
      <c r="M207" s="2">
        <v>0.32100000000000001</v>
      </c>
      <c r="N207" s="2">
        <v>4.4000000000000004</v>
      </c>
      <c r="O207" s="2">
        <v>9.4</v>
      </c>
      <c r="P207" s="2">
        <v>0.46500000000000002</v>
      </c>
      <c r="Q207" s="2">
        <v>0.47299999999999998</v>
      </c>
      <c r="R207" s="2">
        <v>4.3</v>
      </c>
      <c r="S207" s="2">
        <v>4.9000000000000004</v>
      </c>
      <c r="T207" s="2">
        <v>0.874</v>
      </c>
      <c r="U207" s="2">
        <v>0.6</v>
      </c>
      <c r="V207" s="2">
        <v>4.5999999999999996</v>
      </c>
      <c r="W207" s="2">
        <v>5.2</v>
      </c>
      <c r="X207" s="2">
        <v>2.9</v>
      </c>
      <c r="Y207" s="2">
        <v>1.3</v>
      </c>
      <c r="Z207" s="2">
        <v>0.3</v>
      </c>
      <c r="AA207" s="2">
        <v>3</v>
      </c>
      <c r="AB207" s="2">
        <v>1.9</v>
      </c>
      <c r="AC207" s="2">
        <v>21.3</v>
      </c>
      <c r="AD207" s="2"/>
    </row>
    <row r="208" spans="1:30" x14ac:dyDescent="0.2">
      <c r="A208" t="s">
        <v>526</v>
      </c>
      <c r="B208" s="2">
        <v>21</v>
      </c>
      <c r="C208" t="s">
        <v>41</v>
      </c>
      <c r="D208" s="2" t="s">
        <v>52</v>
      </c>
      <c r="E208" s="2">
        <v>2</v>
      </c>
      <c r="F208" s="2">
        <v>0</v>
      </c>
      <c r="G208" s="2">
        <v>14</v>
      </c>
      <c r="H208" s="2">
        <v>2.6</v>
      </c>
      <c r="I208" s="2">
        <v>2.6</v>
      </c>
      <c r="J208" s="2">
        <v>1</v>
      </c>
      <c r="K208" s="2">
        <v>0</v>
      </c>
      <c r="L208" s="2">
        <v>0</v>
      </c>
      <c r="M208" s="2"/>
      <c r="N208" s="2">
        <v>2.6</v>
      </c>
      <c r="O208" s="2">
        <v>2.6</v>
      </c>
      <c r="P208" s="2">
        <v>1</v>
      </c>
      <c r="Q208" s="2">
        <v>1</v>
      </c>
      <c r="R208" s="2">
        <v>5.0999999999999996</v>
      </c>
      <c r="S208" s="2">
        <v>5.0999999999999996</v>
      </c>
      <c r="T208" s="2">
        <v>1</v>
      </c>
      <c r="U208" s="2">
        <v>2.6</v>
      </c>
      <c r="V208" s="2">
        <v>0</v>
      </c>
      <c r="W208" s="2">
        <v>2.6</v>
      </c>
      <c r="X208" s="2">
        <v>2.6</v>
      </c>
      <c r="Y208" s="2">
        <v>0</v>
      </c>
      <c r="Z208" s="2">
        <v>2.6</v>
      </c>
      <c r="AA208" s="2">
        <v>2.6</v>
      </c>
      <c r="AB208" s="2">
        <v>7.7</v>
      </c>
      <c r="AC208" s="2">
        <v>10.3</v>
      </c>
      <c r="AD208" s="2"/>
    </row>
    <row r="209" spans="1:30" x14ac:dyDescent="0.2">
      <c r="A209" t="s">
        <v>89</v>
      </c>
      <c r="B209" s="2">
        <v>23</v>
      </c>
      <c r="C209" t="s">
        <v>72</v>
      </c>
      <c r="D209" s="2" t="s">
        <v>49</v>
      </c>
      <c r="E209" s="2">
        <v>24</v>
      </c>
      <c r="F209" s="2">
        <v>24</v>
      </c>
      <c r="G209" s="2">
        <v>877</v>
      </c>
      <c r="H209" s="2">
        <v>7.8</v>
      </c>
      <c r="I209" s="2">
        <v>15.4</v>
      </c>
      <c r="J209" s="2">
        <v>0.503</v>
      </c>
      <c r="K209" s="2">
        <v>1.6</v>
      </c>
      <c r="L209" s="2">
        <v>4.5</v>
      </c>
      <c r="M209" s="2">
        <v>0.34899999999999998</v>
      </c>
      <c r="N209" s="2">
        <v>6.2</v>
      </c>
      <c r="O209" s="2">
        <v>11</v>
      </c>
      <c r="P209" s="2">
        <v>0.56599999999999995</v>
      </c>
      <c r="Q209" s="2">
        <v>0.55300000000000005</v>
      </c>
      <c r="R209" s="2">
        <v>2.5</v>
      </c>
      <c r="S209" s="2">
        <v>3.3</v>
      </c>
      <c r="T209" s="2">
        <v>0.75</v>
      </c>
      <c r="U209" s="2">
        <v>1.7</v>
      </c>
      <c r="V209" s="2">
        <v>8.3000000000000007</v>
      </c>
      <c r="W209" s="2">
        <v>10</v>
      </c>
      <c r="X209" s="2">
        <v>5.5</v>
      </c>
      <c r="Y209" s="2">
        <v>1.4</v>
      </c>
      <c r="Z209" s="2">
        <v>1.1000000000000001</v>
      </c>
      <c r="AA209" s="2">
        <v>3.3</v>
      </c>
      <c r="AB209" s="2">
        <v>2</v>
      </c>
      <c r="AC209" s="2">
        <v>19.5</v>
      </c>
      <c r="AD209" s="2"/>
    </row>
    <row r="210" spans="1:30" x14ac:dyDescent="0.2">
      <c r="A210" t="s">
        <v>519</v>
      </c>
      <c r="B210" s="2">
        <v>25</v>
      </c>
      <c r="C210" t="s">
        <v>46</v>
      </c>
      <c r="D210" s="2" t="s">
        <v>52</v>
      </c>
      <c r="E210" s="2">
        <v>4</v>
      </c>
      <c r="F210" s="2">
        <v>0</v>
      </c>
      <c r="G210" s="2">
        <v>37</v>
      </c>
      <c r="H210" s="2">
        <v>1.9</v>
      </c>
      <c r="I210" s="2">
        <v>3.9</v>
      </c>
      <c r="J210" s="2">
        <v>0.5</v>
      </c>
      <c r="K210" s="2">
        <v>1</v>
      </c>
      <c r="L210" s="2">
        <v>2.9</v>
      </c>
      <c r="M210" s="2">
        <v>0.33300000000000002</v>
      </c>
      <c r="N210" s="2">
        <v>1</v>
      </c>
      <c r="O210" s="2">
        <v>1</v>
      </c>
      <c r="P210" s="2">
        <v>1</v>
      </c>
      <c r="Q210" s="2">
        <v>0.625</v>
      </c>
      <c r="R210" s="2">
        <v>0</v>
      </c>
      <c r="S210" s="2">
        <v>0</v>
      </c>
      <c r="T210" s="2"/>
      <c r="U210" s="2">
        <v>1</v>
      </c>
      <c r="V210" s="2">
        <v>3.9</v>
      </c>
      <c r="W210" s="2">
        <v>4.9000000000000004</v>
      </c>
      <c r="X210" s="2">
        <v>6.8</v>
      </c>
      <c r="Y210" s="2">
        <v>1</v>
      </c>
      <c r="Z210" s="2">
        <v>0</v>
      </c>
      <c r="AA210" s="2">
        <v>1.9</v>
      </c>
      <c r="AB210" s="2">
        <v>5.8</v>
      </c>
      <c r="AC210" s="2">
        <v>4.9000000000000004</v>
      </c>
      <c r="AD210" s="2"/>
    </row>
    <row r="211" spans="1:30" x14ac:dyDescent="0.2">
      <c r="A211" t="s">
        <v>254</v>
      </c>
      <c r="B211" s="2">
        <v>24</v>
      </c>
      <c r="C211" t="s">
        <v>70</v>
      </c>
      <c r="D211" s="2" t="s">
        <v>42</v>
      </c>
      <c r="E211" s="2">
        <v>22</v>
      </c>
      <c r="F211" s="2">
        <v>0</v>
      </c>
      <c r="G211" s="2">
        <v>325</v>
      </c>
      <c r="H211" s="2">
        <v>6.8</v>
      </c>
      <c r="I211" s="2">
        <v>14.6</v>
      </c>
      <c r="J211" s="2">
        <v>0.46200000000000002</v>
      </c>
      <c r="K211" s="2">
        <v>3</v>
      </c>
      <c r="L211" s="2">
        <v>8.3000000000000007</v>
      </c>
      <c r="M211" s="2">
        <v>0.36</v>
      </c>
      <c r="N211" s="2">
        <v>3.8</v>
      </c>
      <c r="O211" s="2">
        <v>6.3</v>
      </c>
      <c r="P211" s="2">
        <v>0.59599999999999997</v>
      </c>
      <c r="Q211" s="2">
        <v>0.56399999999999995</v>
      </c>
      <c r="R211" s="2">
        <v>3</v>
      </c>
      <c r="S211" s="2">
        <v>3.8</v>
      </c>
      <c r="T211" s="2">
        <v>0.79400000000000004</v>
      </c>
      <c r="U211" s="2">
        <v>3.3</v>
      </c>
      <c r="V211" s="2">
        <v>9.1</v>
      </c>
      <c r="W211" s="2">
        <v>12.4</v>
      </c>
      <c r="X211" s="2">
        <v>1.7</v>
      </c>
      <c r="Y211" s="2">
        <v>0.9</v>
      </c>
      <c r="Z211" s="2">
        <v>1.7</v>
      </c>
      <c r="AA211" s="2">
        <v>1.6</v>
      </c>
      <c r="AB211" s="2">
        <v>3.9</v>
      </c>
      <c r="AC211" s="2">
        <v>19.5</v>
      </c>
      <c r="AD211" s="2"/>
    </row>
    <row r="212" spans="1:30" x14ac:dyDescent="0.2">
      <c r="A212" t="s">
        <v>104</v>
      </c>
      <c r="B212" s="2">
        <v>23</v>
      </c>
      <c r="C212" t="s">
        <v>48</v>
      </c>
      <c r="D212" s="2" t="s">
        <v>33</v>
      </c>
      <c r="E212" s="2">
        <v>26</v>
      </c>
      <c r="F212" s="2">
        <v>26</v>
      </c>
      <c r="G212" s="2">
        <v>789</v>
      </c>
      <c r="H212" s="2">
        <v>6.8</v>
      </c>
      <c r="I212" s="2">
        <v>16.2</v>
      </c>
      <c r="J212" s="2">
        <v>0.41599999999999998</v>
      </c>
      <c r="K212" s="2">
        <v>2.7</v>
      </c>
      <c r="L212" s="2">
        <v>8.6</v>
      </c>
      <c r="M212" s="2">
        <v>0.317</v>
      </c>
      <c r="N212" s="2">
        <v>4</v>
      </c>
      <c r="O212" s="2">
        <v>7.6</v>
      </c>
      <c r="P212" s="2">
        <v>0.52700000000000002</v>
      </c>
      <c r="Q212" s="2">
        <v>0.5</v>
      </c>
      <c r="R212" s="2">
        <v>3.4</v>
      </c>
      <c r="S212" s="2">
        <v>3.7</v>
      </c>
      <c r="T212" s="2">
        <v>0.91500000000000004</v>
      </c>
      <c r="U212" s="2">
        <v>0.8</v>
      </c>
      <c r="V212" s="2">
        <v>4.0999999999999996</v>
      </c>
      <c r="W212" s="2">
        <v>4.9000000000000004</v>
      </c>
      <c r="X212" s="2">
        <v>4.5</v>
      </c>
      <c r="Y212" s="2">
        <v>1.9</v>
      </c>
      <c r="Z212" s="2">
        <v>1.1000000000000001</v>
      </c>
      <c r="AA212" s="2">
        <v>3.4</v>
      </c>
      <c r="AB212" s="2">
        <v>3.2</v>
      </c>
      <c r="AC212" s="2">
        <v>19.7</v>
      </c>
      <c r="AD212" s="2"/>
    </row>
    <row r="213" spans="1:30" x14ac:dyDescent="0.2">
      <c r="A213" t="s">
        <v>73</v>
      </c>
      <c r="B213" s="2">
        <v>23</v>
      </c>
      <c r="C213" t="s">
        <v>32</v>
      </c>
      <c r="D213" s="2" t="s">
        <v>52</v>
      </c>
      <c r="E213" s="2">
        <v>24</v>
      </c>
      <c r="F213" s="2">
        <v>24</v>
      </c>
      <c r="G213" s="2">
        <v>764</v>
      </c>
      <c r="H213" s="2">
        <v>9.6</v>
      </c>
      <c r="I213" s="2">
        <v>19</v>
      </c>
      <c r="J213" s="2">
        <v>0.505</v>
      </c>
      <c r="K213" s="2">
        <v>2.2999999999999998</v>
      </c>
      <c r="L213" s="2">
        <v>5.9</v>
      </c>
      <c r="M213" s="2">
        <v>0.38400000000000001</v>
      </c>
      <c r="N213" s="2">
        <v>7.4</v>
      </c>
      <c r="O213" s="2">
        <v>13.1</v>
      </c>
      <c r="P213" s="2">
        <v>0.55900000000000005</v>
      </c>
      <c r="Q213" s="2">
        <v>0.56399999999999995</v>
      </c>
      <c r="R213" s="2">
        <v>3.2</v>
      </c>
      <c r="S213" s="2">
        <v>3.9</v>
      </c>
      <c r="T213" s="2">
        <v>0.80700000000000005</v>
      </c>
      <c r="U213" s="2">
        <v>1</v>
      </c>
      <c r="V213" s="2">
        <v>5.9</v>
      </c>
      <c r="W213" s="2">
        <v>6.9</v>
      </c>
      <c r="X213" s="2">
        <v>5.7</v>
      </c>
      <c r="Y213" s="2">
        <v>2.2999999999999998</v>
      </c>
      <c r="Z213" s="2">
        <v>0.9</v>
      </c>
      <c r="AA213" s="2">
        <v>2.5</v>
      </c>
      <c r="AB213" s="2">
        <v>3.1</v>
      </c>
      <c r="AC213" s="2">
        <v>24.6</v>
      </c>
      <c r="AD213" s="2"/>
    </row>
    <row r="214" spans="1:30" x14ac:dyDescent="0.2">
      <c r="A214" t="s">
        <v>230</v>
      </c>
      <c r="B214" s="2">
        <v>24</v>
      </c>
      <c r="C214" t="s">
        <v>103</v>
      </c>
      <c r="D214" s="2" t="s">
        <v>27</v>
      </c>
      <c r="E214" s="2">
        <v>23</v>
      </c>
      <c r="F214" s="2">
        <v>6</v>
      </c>
      <c r="G214" s="2">
        <v>575</v>
      </c>
      <c r="H214" s="2">
        <v>4.3</v>
      </c>
      <c r="I214" s="2">
        <v>9.9</v>
      </c>
      <c r="J214" s="2">
        <v>0.43</v>
      </c>
      <c r="K214" s="2">
        <v>1.9</v>
      </c>
      <c r="L214" s="2">
        <v>5.4</v>
      </c>
      <c r="M214" s="2">
        <v>0.34499999999999997</v>
      </c>
      <c r="N214" s="2">
        <v>2.4</v>
      </c>
      <c r="O214" s="2">
        <v>4.4000000000000004</v>
      </c>
      <c r="P214" s="2">
        <v>0.53500000000000003</v>
      </c>
      <c r="Q214" s="2">
        <v>0.52500000000000002</v>
      </c>
      <c r="R214" s="2">
        <v>2.2000000000000002</v>
      </c>
      <c r="S214" s="2">
        <v>2.5</v>
      </c>
      <c r="T214" s="2">
        <v>0.875</v>
      </c>
      <c r="U214" s="2">
        <v>1.5</v>
      </c>
      <c r="V214" s="2">
        <v>3.6</v>
      </c>
      <c r="W214" s="2">
        <v>5.0999999999999996</v>
      </c>
      <c r="X214" s="2">
        <v>2.4</v>
      </c>
      <c r="Y214" s="2">
        <v>0.5</v>
      </c>
      <c r="Z214" s="2">
        <v>0.1</v>
      </c>
      <c r="AA214" s="2">
        <v>1.3</v>
      </c>
      <c r="AB214" s="2">
        <v>3.3</v>
      </c>
      <c r="AC214" s="2">
        <v>12.6</v>
      </c>
      <c r="AD214" s="2"/>
    </row>
    <row r="215" spans="1:30" x14ac:dyDescent="0.2">
      <c r="A215" t="s">
        <v>376</v>
      </c>
      <c r="B215" s="2">
        <v>25</v>
      </c>
      <c r="C215" t="s">
        <v>117</v>
      </c>
      <c r="D215" s="2" t="s">
        <v>49</v>
      </c>
      <c r="E215" s="2">
        <v>15</v>
      </c>
      <c r="F215" s="2">
        <v>0</v>
      </c>
      <c r="G215" s="2">
        <v>217</v>
      </c>
      <c r="H215" s="2">
        <v>4.0999999999999996</v>
      </c>
      <c r="I215" s="2">
        <v>8.8000000000000007</v>
      </c>
      <c r="J215" s="2">
        <v>0.47199999999999998</v>
      </c>
      <c r="K215" s="2">
        <v>1.5</v>
      </c>
      <c r="L215" s="2">
        <v>4.5</v>
      </c>
      <c r="M215" s="2">
        <v>0.33300000000000002</v>
      </c>
      <c r="N215" s="2">
        <v>2.7</v>
      </c>
      <c r="O215" s="2">
        <v>4.3</v>
      </c>
      <c r="P215" s="2">
        <v>0.61499999999999999</v>
      </c>
      <c r="Q215" s="2">
        <v>0.55700000000000005</v>
      </c>
      <c r="R215" s="2">
        <v>1.7</v>
      </c>
      <c r="S215" s="2">
        <v>2.7</v>
      </c>
      <c r="T215" s="2">
        <v>0.625</v>
      </c>
      <c r="U215" s="2">
        <v>2.2000000000000002</v>
      </c>
      <c r="V215" s="2">
        <v>4.5999999999999996</v>
      </c>
      <c r="W215" s="2">
        <v>6.8</v>
      </c>
      <c r="X215" s="2">
        <v>1.7</v>
      </c>
      <c r="Y215" s="2">
        <v>1.3</v>
      </c>
      <c r="Z215" s="2">
        <v>1.2</v>
      </c>
      <c r="AA215" s="2">
        <v>1.2</v>
      </c>
      <c r="AB215" s="2">
        <v>3.3</v>
      </c>
      <c r="AC215" s="2">
        <v>11.4</v>
      </c>
      <c r="AD215" s="2"/>
    </row>
    <row r="216" spans="1:30" x14ac:dyDescent="0.2">
      <c r="A216" t="s">
        <v>154</v>
      </c>
      <c r="B216" s="2">
        <v>27</v>
      </c>
      <c r="C216" t="s">
        <v>46</v>
      </c>
      <c r="D216" s="2" t="s">
        <v>33</v>
      </c>
      <c r="E216" s="2">
        <v>17</v>
      </c>
      <c r="F216" s="2">
        <v>17</v>
      </c>
      <c r="G216" s="2">
        <v>613</v>
      </c>
      <c r="H216" s="2">
        <v>6.3</v>
      </c>
      <c r="I216" s="2">
        <v>15.1</v>
      </c>
      <c r="J216" s="2">
        <v>0.42</v>
      </c>
      <c r="K216" s="2">
        <v>1.9</v>
      </c>
      <c r="L216" s="2">
        <v>5.8</v>
      </c>
      <c r="M216" s="2">
        <v>0.33300000000000002</v>
      </c>
      <c r="N216" s="2">
        <v>4.4000000000000004</v>
      </c>
      <c r="O216" s="2">
        <v>9.3000000000000007</v>
      </c>
      <c r="P216" s="2">
        <v>0.47499999999999998</v>
      </c>
      <c r="Q216" s="2">
        <v>0.48399999999999999</v>
      </c>
      <c r="R216" s="2">
        <v>3.1</v>
      </c>
      <c r="S216" s="2">
        <v>3.9</v>
      </c>
      <c r="T216" s="2">
        <v>0.80300000000000005</v>
      </c>
      <c r="U216" s="2">
        <v>0.5</v>
      </c>
      <c r="V216" s="2">
        <v>3.5</v>
      </c>
      <c r="W216" s="2">
        <v>4</v>
      </c>
      <c r="X216" s="2">
        <v>6.2</v>
      </c>
      <c r="Y216" s="2">
        <v>1.4</v>
      </c>
      <c r="Z216" s="2">
        <v>0.6</v>
      </c>
      <c r="AA216" s="2">
        <v>1.9</v>
      </c>
      <c r="AB216" s="2">
        <v>1.7</v>
      </c>
      <c r="AC216" s="2">
        <v>17.7</v>
      </c>
      <c r="AD216" s="2"/>
    </row>
    <row r="217" spans="1:30" x14ac:dyDescent="0.2">
      <c r="A217" t="s">
        <v>327</v>
      </c>
      <c r="B217" s="2">
        <v>22</v>
      </c>
      <c r="C217" t="s">
        <v>66</v>
      </c>
      <c r="D217" s="2" t="s">
        <v>33</v>
      </c>
      <c r="E217" s="2">
        <v>24</v>
      </c>
      <c r="F217" s="2">
        <v>0</v>
      </c>
      <c r="G217" s="2">
        <v>338</v>
      </c>
      <c r="H217" s="2">
        <v>4.5999999999999996</v>
      </c>
      <c r="I217" s="2">
        <v>12</v>
      </c>
      <c r="J217" s="2">
        <v>0.38100000000000001</v>
      </c>
      <c r="K217" s="2">
        <v>1.5</v>
      </c>
      <c r="L217" s="2">
        <v>4.8</v>
      </c>
      <c r="M217" s="2">
        <v>0.311</v>
      </c>
      <c r="N217" s="2">
        <v>3.1</v>
      </c>
      <c r="O217" s="2">
        <v>7.2</v>
      </c>
      <c r="P217" s="2">
        <v>0.42599999999999999</v>
      </c>
      <c r="Q217" s="2">
        <v>0.442</v>
      </c>
      <c r="R217" s="2">
        <v>1</v>
      </c>
      <c r="S217" s="2">
        <v>1.3</v>
      </c>
      <c r="T217" s="2">
        <v>0.75</v>
      </c>
      <c r="U217" s="2">
        <v>0.2</v>
      </c>
      <c r="V217" s="2">
        <v>2</v>
      </c>
      <c r="W217" s="2">
        <v>2.2000000000000002</v>
      </c>
      <c r="X217" s="2">
        <v>7</v>
      </c>
      <c r="Y217" s="2">
        <v>1.2</v>
      </c>
      <c r="Z217" s="2">
        <v>0.2</v>
      </c>
      <c r="AA217" s="2">
        <v>3.3</v>
      </c>
      <c r="AB217" s="2">
        <v>4.7</v>
      </c>
      <c r="AC217" s="2">
        <v>11.6</v>
      </c>
      <c r="AD217" s="2"/>
    </row>
    <row r="218" spans="1:30" x14ac:dyDescent="0.2">
      <c r="A218" t="s">
        <v>76</v>
      </c>
      <c r="B218" s="2">
        <v>35</v>
      </c>
      <c r="C218" t="s">
        <v>77</v>
      </c>
      <c r="D218" s="2" t="s">
        <v>33</v>
      </c>
      <c r="E218" s="2">
        <v>24</v>
      </c>
      <c r="F218" s="2">
        <v>24</v>
      </c>
      <c r="G218" s="2">
        <v>814</v>
      </c>
      <c r="H218" s="2">
        <v>6.5</v>
      </c>
      <c r="I218" s="2">
        <v>17.3</v>
      </c>
      <c r="J218" s="2">
        <v>0.379</v>
      </c>
      <c r="K218" s="2">
        <v>3</v>
      </c>
      <c r="L218" s="2">
        <v>8.9</v>
      </c>
      <c r="M218" s="2">
        <v>0.33800000000000002</v>
      </c>
      <c r="N218" s="2">
        <v>3.5</v>
      </c>
      <c r="O218" s="2">
        <v>8.4</v>
      </c>
      <c r="P218" s="2">
        <v>0.42099999999999999</v>
      </c>
      <c r="Q218" s="2">
        <v>0.46500000000000002</v>
      </c>
      <c r="R218" s="2">
        <v>6.9</v>
      </c>
      <c r="S218" s="2">
        <v>7.7</v>
      </c>
      <c r="T218" s="2">
        <v>0.89600000000000002</v>
      </c>
      <c r="U218" s="2">
        <v>0.6</v>
      </c>
      <c r="V218" s="2">
        <v>6.5</v>
      </c>
      <c r="W218" s="2">
        <v>7.2</v>
      </c>
      <c r="X218" s="2">
        <v>9.1</v>
      </c>
      <c r="Y218" s="2">
        <v>1.7</v>
      </c>
      <c r="Z218" s="2">
        <v>0.7</v>
      </c>
      <c r="AA218" s="2">
        <v>4.5999999999999996</v>
      </c>
      <c r="AB218" s="2">
        <v>2.1</v>
      </c>
      <c r="AC218" s="2">
        <v>23</v>
      </c>
      <c r="AD218" s="2"/>
    </row>
    <row r="219" spans="1:30" x14ac:dyDescent="0.2">
      <c r="A219" t="s">
        <v>528</v>
      </c>
      <c r="B219" s="2">
        <v>37</v>
      </c>
      <c r="C219" t="s">
        <v>82</v>
      </c>
      <c r="D219" s="2" t="s">
        <v>27</v>
      </c>
      <c r="E219" s="2">
        <v>3</v>
      </c>
      <c r="F219" s="2">
        <v>0</v>
      </c>
      <c r="G219" s="2">
        <v>10</v>
      </c>
      <c r="H219" s="2">
        <v>7.2</v>
      </c>
      <c r="I219" s="2">
        <v>14.4</v>
      </c>
      <c r="J219" s="2">
        <v>0.5</v>
      </c>
      <c r="K219" s="2">
        <v>0</v>
      </c>
      <c r="L219" s="2">
        <v>3.6</v>
      </c>
      <c r="M219" s="2">
        <v>0</v>
      </c>
      <c r="N219" s="2">
        <v>7.2</v>
      </c>
      <c r="O219" s="2">
        <v>10.8</v>
      </c>
      <c r="P219" s="2">
        <v>0.66700000000000004</v>
      </c>
      <c r="Q219" s="2">
        <v>0.5</v>
      </c>
      <c r="R219" s="2">
        <v>0</v>
      </c>
      <c r="S219" s="2">
        <v>0</v>
      </c>
      <c r="T219" s="2"/>
      <c r="U219" s="2">
        <v>0</v>
      </c>
      <c r="V219" s="2">
        <v>7.2</v>
      </c>
      <c r="W219" s="2">
        <v>7.2</v>
      </c>
      <c r="X219" s="2">
        <v>7.2</v>
      </c>
      <c r="Y219" s="2">
        <v>0</v>
      </c>
      <c r="Z219" s="2">
        <v>3.6</v>
      </c>
      <c r="AA219" s="2">
        <v>10.8</v>
      </c>
      <c r="AB219" s="2">
        <v>0</v>
      </c>
      <c r="AC219" s="2">
        <v>14.4</v>
      </c>
      <c r="AD219" s="2"/>
    </row>
    <row r="220" spans="1:30" x14ac:dyDescent="0.2">
      <c r="A220" t="s">
        <v>515</v>
      </c>
      <c r="B220" s="2">
        <v>23</v>
      </c>
      <c r="C220" t="s">
        <v>82</v>
      </c>
      <c r="D220" s="2" t="s">
        <v>42</v>
      </c>
      <c r="E220" s="2">
        <v>1</v>
      </c>
      <c r="F220" s="2">
        <v>0</v>
      </c>
      <c r="G220" s="2">
        <v>5</v>
      </c>
      <c r="H220" s="2">
        <v>14.4</v>
      </c>
      <c r="I220" s="2">
        <v>28.8</v>
      </c>
      <c r="J220" s="2">
        <v>0.5</v>
      </c>
      <c r="K220" s="2">
        <v>0</v>
      </c>
      <c r="L220" s="2">
        <v>7.2</v>
      </c>
      <c r="M220" s="2">
        <v>0</v>
      </c>
      <c r="N220" s="2">
        <v>14.4</v>
      </c>
      <c r="O220" s="2">
        <v>21.6</v>
      </c>
      <c r="P220" s="2">
        <v>0.66700000000000004</v>
      </c>
      <c r="Q220" s="2">
        <v>0.5</v>
      </c>
      <c r="R220" s="2">
        <v>14.4</v>
      </c>
      <c r="S220" s="2">
        <v>14.4</v>
      </c>
      <c r="T220" s="2">
        <v>1</v>
      </c>
      <c r="U220" s="2">
        <v>0</v>
      </c>
      <c r="V220" s="2">
        <v>7.2</v>
      </c>
      <c r="W220" s="2">
        <v>7.2</v>
      </c>
      <c r="X220" s="2">
        <v>0</v>
      </c>
      <c r="Y220" s="2">
        <v>0</v>
      </c>
      <c r="Z220" s="2">
        <v>0</v>
      </c>
      <c r="AA220" s="2">
        <v>0</v>
      </c>
      <c r="AB220" s="2">
        <v>0</v>
      </c>
      <c r="AC220" s="2">
        <v>43.2</v>
      </c>
      <c r="AD220" s="2"/>
    </row>
    <row r="221" spans="1:30" x14ac:dyDescent="0.2">
      <c r="A221" t="s">
        <v>295</v>
      </c>
      <c r="B221" s="2">
        <v>23</v>
      </c>
      <c r="C221" t="s">
        <v>66</v>
      </c>
      <c r="D221" s="2" t="s">
        <v>49</v>
      </c>
      <c r="E221" s="2">
        <v>24</v>
      </c>
      <c r="F221" s="2">
        <v>0</v>
      </c>
      <c r="G221" s="2">
        <v>326</v>
      </c>
      <c r="H221" s="2">
        <v>5.4</v>
      </c>
      <c r="I221" s="2">
        <v>11.2</v>
      </c>
      <c r="J221" s="2">
        <v>0.48499999999999999</v>
      </c>
      <c r="K221" s="2">
        <v>3.6</v>
      </c>
      <c r="L221" s="2">
        <v>8.3000000000000007</v>
      </c>
      <c r="M221" s="2">
        <v>0.44</v>
      </c>
      <c r="N221" s="2">
        <v>1.8</v>
      </c>
      <c r="O221" s="2">
        <v>2.9</v>
      </c>
      <c r="P221" s="2">
        <v>0.61499999999999999</v>
      </c>
      <c r="Q221" s="2">
        <v>0.64900000000000002</v>
      </c>
      <c r="R221" s="2">
        <v>1</v>
      </c>
      <c r="S221" s="2">
        <v>1.2</v>
      </c>
      <c r="T221" s="2">
        <v>0.81799999999999995</v>
      </c>
      <c r="U221" s="2">
        <v>1.5</v>
      </c>
      <c r="V221" s="2">
        <v>3.8</v>
      </c>
      <c r="W221" s="2">
        <v>5.3</v>
      </c>
      <c r="X221" s="2">
        <v>2.4</v>
      </c>
      <c r="Y221" s="2">
        <v>0.3</v>
      </c>
      <c r="Z221" s="2">
        <v>0.4</v>
      </c>
      <c r="AA221" s="2">
        <v>0.9</v>
      </c>
      <c r="AB221" s="2">
        <v>3.1</v>
      </c>
      <c r="AC221" s="2">
        <v>15.5</v>
      </c>
      <c r="AD221" s="2"/>
    </row>
    <row r="222" spans="1:30" x14ac:dyDescent="0.2">
      <c r="A222" t="s">
        <v>294</v>
      </c>
      <c r="B222" s="2">
        <v>21</v>
      </c>
      <c r="C222" t="s">
        <v>82</v>
      </c>
      <c r="D222" s="2" t="s">
        <v>27</v>
      </c>
      <c r="E222" s="2">
        <v>25</v>
      </c>
      <c r="F222" s="2">
        <v>1</v>
      </c>
      <c r="G222" s="2">
        <v>456</v>
      </c>
      <c r="H222" s="2">
        <v>3.9</v>
      </c>
      <c r="I222" s="2">
        <v>8.9</v>
      </c>
      <c r="J222" s="2">
        <v>0.434</v>
      </c>
      <c r="K222" s="2">
        <v>1.9</v>
      </c>
      <c r="L222" s="2">
        <v>4.8</v>
      </c>
      <c r="M222" s="2">
        <v>0.39300000000000002</v>
      </c>
      <c r="N222" s="2">
        <v>2</v>
      </c>
      <c r="O222" s="2">
        <v>4.0999999999999996</v>
      </c>
      <c r="P222" s="2">
        <v>0.48099999999999998</v>
      </c>
      <c r="Q222" s="2">
        <v>0.54</v>
      </c>
      <c r="R222" s="2">
        <v>1.5</v>
      </c>
      <c r="S222" s="2">
        <v>2.4</v>
      </c>
      <c r="T222" s="2">
        <v>0.61299999999999999</v>
      </c>
      <c r="U222" s="2">
        <v>0.9</v>
      </c>
      <c r="V222" s="2">
        <v>6</v>
      </c>
      <c r="W222" s="2">
        <v>6.9</v>
      </c>
      <c r="X222" s="2">
        <v>3.1</v>
      </c>
      <c r="Y222" s="2">
        <v>2.4</v>
      </c>
      <c r="Z222" s="2">
        <v>0.7</v>
      </c>
      <c r="AA222" s="2">
        <v>2.8</v>
      </c>
      <c r="AB222" s="2">
        <v>3.2</v>
      </c>
      <c r="AC222" s="2">
        <v>11.1</v>
      </c>
      <c r="AD222" s="2"/>
    </row>
    <row r="223" spans="1:30" x14ac:dyDescent="0.2">
      <c r="A223" t="s">
        <v>343</v>
      </c>
      <c r="B223" s="2">
        <v>24</v>
      </c>
      <c r="C223" t="s">
        <v>114</v>
      </c>
      <c r="D223" s="2" t="s">
        <v>52</v>
      </c>
      <c r="E223" s="2">
        <v>17</v>
      </c>
      <c r="F223" s="2">
        <v>0</v>
      </c>
      <c r="G223" s="2">
        <v>180</v>
      </c>
      <c r="H223" s="2">
        <v>7.6</v>
      </c>
      <c r="I223" s="2">
        <v>17</v>
      </c>
      <c r="J223" s="2">
        <v>0.44700000000000001</v>
      </c>
      <c r="K223" s="2">
        <v>1</v>
      </c>
      <c r="L223" s="2">
        <v>4.4000000000000004</v>
      </c>
      <c r="M223" s="2">
        <v>0.22700000000000001</v>
      </c>
      <c r="N223" s="2">
        <v>6.6</v>
      </c>
      <c r="O223" s="2">
        <v>12.6</v>
      </c>
      <c r="P223" s="2">
        <v>0.52400000000000002</v>
      </c>
      <c r="Q223" s="2">
        <v>0.47599999999999998</v>
      </c>
      <c r="R223" s="2">
        <v>3.2</v>
      </c>
      <c r="S223" s="2">
        <v>4.4000000000000004</v>
      </c>
      <c r="T223" s="2">
        <v>0.72699999999999998</v>
      </c>
      <c r="U223" s="2">
        <v>0.8</v>
      </c>
      <c r="V223" s="2">
        <v>2.2000000000000002</v>
      </c>
      <c r="W223" s="2">
        <v>3</v>
      </c>
      <c r="X223" s="2">
        <v>9.1999999999999993</v>
      </c>
      <c r="Y223" s="2">
        <v>1.2</v>
      </c>
      <c r="Z223" s="2">
        <v>0.4</v>
      </c>
      <c r="AA223" s="2">
        <v>2.4</v>
      </c>
      <c r="AB223" s="2">
        <v>4</v>
      </c>
      <c r="AC223" s="2">
        <v>19.399999999999999</v>
      </c>
      <c r="AD223" s="2"/>
    </row>
    <row r="224" spans="1:30" x14ac:dyDescent="0.2">
      <c r="A224" t="s">
        <v>133</v>
      </c>
      <c r="B224" s="2">
        <v>20</v>
      </c>
      <c r="C224" t="s">
        <v>122</v>
      </c>
      <c r="D224" s="2" t="s">
        <v>52</v>
      </c>
      <c r="E224" s="2">
        <v>22</v>
      </c>
      <c r="F224" s="2">
        <v>8</v>
      </c>
      <c r="G224" s="2">
        <v>563</v>
      </c>
      <c r="H224" s="2">
        <v>7.9</v>
      </c>
      <c r="I224" s="2">
        <v>17.100000000000001</v>
      </c>
      <c r="J224" s="2">
        <v>0.46300000000000002</v>
      </c>
      <c r="K224" s="2">
        <v>3.2</v>
      </c>
      <c r="L224" s="2">
        <v>8.4</v>
      </c>
      <c r="M224" s="2">
        <v>0.38200000000000001</v>
      </c>
      <c r="N224" s="2">
        <v>4.7</v>
      </c>
      <c r="O224" s="2">
        <v>8.8000000000000007</v>
      </c>
      <c r="P224" s="2">
        <v>0.54</v>
      </c>
      <c r="Q224" s="2">
        <v>0.55600000000000005</v>
      </c>
      <c r="R224" s="2">
        <v>3.1</v>
      </c>
      <c r="S224" s="2">
        <v>3.6</v>
      </c>
      <c r="T224" s="2">
        <v>0.875</v>
      </c>
      <c r="U224" s="2">
        <v>0.8</v>
      </c>
      <c r="V224" s="2">
        <v>2.7</v>
      </c>
      <c r="W224" s="2">
        <v>3.5</v>
      </c>
      <c r="X224" s="2">
        <v>3.6</v>
      </c>
      <c r="Y224" s="2">
        <v>1</v>
      </c>
      <c r="Z224" s="2">
        <v>0</v>
      </c>
      <c r="AA224" s="2">
        <v>2.2000000000000002</v>
      </c>
      <c r="AB224" s="2">
        <v>2</v>
      </c>
      <c r="AC224" s="2">
        <v>22.2</v>
      </c>
      <c r="AD224" s="2"/>
    </row>
    <row r="225" spans="1:30" x14ac:dyDescent="0.2">
      <c r="A225" t="s">
        <v>531</v>
      </c>
      <c r="B225" s="2">
        <v>25</v>
      </c>
      <c r="C225" t="s">
        <v>59</v>
      </c>
      <c r="D225" s="2" t="s">
        <v>52</v>
      </c>
      <c r="E225" s="2">
        <v>4</v>
      </c>
      <c r="F225" s="2">
        <v>0</v>
      </c>
      <c r="G225" s="2">
        <v>12</v>
      </c>
      <c r="H225" s="2">
        <v>6</v>
      </c>
      <c r="I225" s="2">
        <v>24</v>
      </c>
      <c r="J225" s="2">
        <v>0.25</v>
      </c>
      <c r="K225" s="2">
        <v>0</v>
      </c>
      <c r="L225" s="2">
        <v>6</v>
      </c>
      <c r="M225" s="2">
        <v>0</v>
      </c>
      <c r="N225" s="2">
        <v>6</v>
      </c>
      <c r="O225" s="2">
        <v>18</v>
      </c>
      <c r="P225" s="2">
        <v>0.33300000000000002</v>
      </c>
      <c r="Q225" s="2">
        <v>0.25</v>
      </c>
      <c r="R225" s="2">
        <v>0</v>
      </c>
      <c r="S225" s="2">
        <v>0</v>
      </c>
      <c r="T225" s="2"/>
      <c r="U225" s="2">
        <v>6</v>
      </c>
      <c r="V225" s="2">
        <v>6</v>
      </c>
      <c r="W225" s="2">
        <v>12</v>
      </c>
      <c r="X225" s="2">
        <v>6</v>
      </c>
      <c r="Y225" s="2">
        <v>3</v>
      </c>
      <c r="Z225" s="2">
        <v>0</v>
      </c>
      <c r="AA225" s="2">
        <v>3</v>
      </c>
      <c r="AB225" s="2">
        <v>3</v>
      </c>
      <c r="AC225" s="2">
        <v>12</v>
      </c>
      <c r="AD225" s="2"/>
    </row>
    <row r="226" spans="1:30" x14ac:dyDescent="0.2">
      <c r="A226" t="s">
        <v>79</v>
      </c>
      <c r="B226" s="2">
        <v>25</v>
      </c>
      <c r="C226" t="s">
        <v>80</v>
      </c>
      <c r="D226" s="2" t="s">
        <v>42</v>
      </c>
      <c r="E226" s="2">
        <v>23</v>
      </c>
      <c r="F226" s="2">
        <v>23</v>
      </c>
      <c r="G226" s="2">
        <v>645</v>
      </c>
      <c r="H226" s="2">
        <v>10.1</v>
      </c>
      <c r="I226" s="2">
        <v>19.5</v>
      </c>
      <c r="J226" s="2">
        <v>0.51700000000000002</v>
      </c>
      <c r="K226" s="2">
        <v>2.2999999999999998</v>
      </c>
      <c r="L226" s="2">
        <v>6.7</v>
      </c>
      <c r="M226" s="2">
        <v>0.35</v>
      </c>
      <c r="N226" s="2">
        <v>7.8</v>
      </c>
      <c r="O226" s="2">
        <v>12.8</v>
      </c>
      <c r="P226" s="2">
        <v>0.60399999999999998</v>
      </c>
      <c r="Q226" s="2">
        <v>0.57699999999999996</v>
      </c>
      <c r="R226" s="2">
        <v>5.6</v>
      </c>
      <c r="S226" s="2">
        <v>6.9</v>
      </c>
      <c r="T226" s="2">
        <v>0.81299999999999994</v>
      </c>
      <c r="U226" s="2">
        <v>1.7</v>
      </c>
      <c r="V226" s="2">
        <v>5.8</v>
      </c>
      <c r="W226" s="2">
        <v>7.5</v>
      </c>
      <c r="X226" s="2">
        <v>1.6</v>
      </c>
      <c r="Y226" s="2">
        <v>1.8</v>
      </c>
      <c r="Z226" s="2">
        <v>2.5</v>
      </c>
      <c r="AA226" s="2">
        <v>2.7</v>
      </c>
      <c r="AB226" s="2">
        <v>4.2</v>
      </c>
      <c r="AC226" s="2">
        <v>28.1</v>
      </c>
      <c r="AD226" s="2"/>
    </row>
    <row r="227" spans="1:30" x14ac:dyDescent="0.2">
      <c r="A227" t="s">
        <v>143</v>
      </c>
      <c r="B227" s="2">
        <v>26</v>
      </c>
      <c r="C227" t="s">
        <v>57</v>
      </c>
      <c r="D227" s="2" t="s">
        <v>42</v>
      </c>
      <c r="E227" s="2">
        <v>25</v>
      </c>
      <c r="F227" s="2">
        <v>25</v>
      </c>
      <c r="G227" s="2">
        <v>745</v>
      </c>
      <c r="H227" s="2">
        <v>6.6</v>
      </c>
      <c r="I227" s="2">
        <v>9.6</v>
      </c>
      <c r="J227" s="2">
        <v>0.68300000000000005</v>
      </c>
      <c r="K227" s="2">
        <v>0</v>
      </c>
      <c r="L227" s="2">
        <v>0</v>
      </c>
      <c r="M227" s="2">
        <v>0</v>
      </c>
      <c r="N227" s="2">
        <v>6.6</v>
      </c>
      <c r="O227" s="2">
        <v>9.6</v>
      </c>
      <c r="P227" s="2">
        <v>0.68700000000000006</v>
      </c>
      <c r="Q227" s="2">
        <v>0.68300000000000005</v>
      </c>
      <c r="R227" s="2">
        <v>3</v>
      </c>
      <c r="S227" s="2">
        <v>4.0999999999999996</v>
      </c>
      <c r="T227" s="2">
        <v>0.73799999999999999</v>
      </c>
      <c r="U227" s="2">
        <v>2.8</v>
      </c>
      <c r="V227" s="2">
        <v>9.8000000000000007</v>
      </c>
      <c r="W227" s="2">
        <v>12.5</v>
      </c>
      <c r="X227" s="2">
        <v>2.2000000000000002</v>
      </c>
      <c r="Y227" s="2">
        <v>1.1000000000000001</v>
      </c>
      <c r="Z227" s="2">
        <v>1.1000000000000001</v>
      </c>
      <c r="AA227" s="2">
        <v>1.3</v>
      </c>
      <c r="AB227" s="2">
        <v>1.5</v>
      </c>
      <c r="AC227" s="2">
        <v>16.100000000000001</v>
      </c>
      <c r="AD227" s="2"/>
    </row>
    <row r="228" spans="1:30" x14ac:dyDescent="0.2">
      <c r="A228" t="s">
        <v>279</v>
      </c>
      <c r="B228" s="2">
        <v>31</v>
      </c>
      <c r="C228" t="s">
        <v>117</v>
      </c>
      <c r="D228" s="2" t="s">
        <v>52</v>
      </c>
      <c r="E228" s="2">
        <v>24</v>
      </c>
      <c r="F228" s="2">
        <v>12</v>
      </c>
      <c r="G228" s="2">
        <v>560</v>
      </c>
      <c r="H228" s="2">
        <v>3.3</v>
      </c>
      <c r="I228" s="2">
        <v>7.8</v>
      </c>
      <c r="J228" s="2">
        <v>0.42599999999999999</v>
      </c>
      <c r="K228" s="2">
        <v>1.1000000000000001</v>
      </c>
      <c r="L228" s="2">
        <v>3.5</v>
      </c>
      <c r="M228" s="2">
        <v>0.315</v>
      </c>
      <c r="N228" s="2">
        <v>2.2999999999999998</v>
      </c>
      <c r="O228" s="2">
        <v>4.4000000000000004</v>
      </c>
      <c r="P228" s="2">
        <v>0.51500000000000001</v>
      </c>
      <c r="Q228" s="2">
        <v>0.496</v>
      </c>
      <c r="R228" s="2">
        <v>1.9</v>
      </c>
      <c r="S228" s="2">
        <v>2.5</v>
      </c>
      <c r="T228" s="2">
        <v>0.76900000000000002</v>
      </c>
      <c r="U228" s="2">
        <v>1.5</v>
      </c>
      <c r="V228" s="2">
        <v>3.5</v>
      </c>
      <c r="W228" s="2">
        <v>5.0999999999999996</v>
      </c>
      <c r="X228" s="2">
        <v>1.3</v>
      </c>
      <c r="Y228" s="2">
        <v>1.7</v>
      </c>
      <c r="Z228" s="2">
        <v>1.1000000000000001</v>
      </c>
      <c r="AA228" s="2">
        <v>0.9</v>
      </c>
      <c r="AB228" s="2">
        <v>1.9</v>
      </c>
      <c r="AC228" s="2">
        <v>9.6999999999999993</v>
      </c>
      <c r="AD228" s="2"/>
    </row>
    <row r="229" spans="1:30" x14ac:dyDescent="0.2">
      <c r="A229" t="s">
        <v>375</v>
      </c>
      <c r="B229" s="2">
        <v>24</v>
      </c>
      <c r="C229" t="s">
        <v>41</v>
      </c>
      <c r="D229" s="2" t="s">
        <v>42</v>
      </c>
      <c r="E229" s="2">
        <v>11</v>
      </c>
      <c r="F229" s="2">
        <v>1</v>
      </c>
      <c r="G229" s="2">
        <v>192</v>
      </c>
      <c r="H229" s="2">
        <v>4.9000000000000004</v>
      </c>
      <c r="I229" s="2">
        <v>6.8</v>
      </c>
      <c r="J229" s="2">
        <v>0.72199999999999998</v>
      </c>
      <c r="K229" s="2">
        <v>0</v>
      </c>
      <c r="L229" s="2">
        <v>0</v>
      </c>
      <c r="M229" s="2"/>
      <c r="N229" s="2">
        <v>4.9000000000000004</v>
      </c>
      <c r="O229" s="2">
        <v>6.8</v>
      </c>
      <c r="P229" s="2">
        <v>0.72199999999999998</v>
      </c>
      <c r="Q229" s="2">
        <v>0.72199999999999998</v>
      </c>
      <c r="R229" s="2">
        <v>3.4</v>
      </c>
      <c r="S229" s="2">
        <v>4.3</v>
      </c>
      <c r="T229" s="2">
        <v>0.78300000000000003</v>
      </c>
      <c r="U229" s="2">
        <v>3.9</v>
      </c>
      <c r="V229" s="2">
        <v>5.4</v>
      </c>
      <c r="W229" s="2">
        <v>9.4</v>
      </c>
      <c r="X229" s="2">
        <v>1.7</v>
      </c>
      <c r="Y229" s="2">
        <v>0.7</v>
      </c>
      <c r="Z229" s="2">
        <v>1.7</v>
      </c>
      <c r="AA229" s="2">
        <v>1.5</v>
      </c>
      <c r="AB229" s="2">
        <v>5.2</v>
      </c>
      <c r="AC229" s="2">
        <v>13.1</v>
      </c>
      <c r="AD229" s="2"/>
    </row>
    <row r="230" spans="1:30" x14ac:dyDescent="0.2">
      <c r="A230" t="s">
        <v>203</v>
      </c>
      <c r="B230" s="2">
        <v>26</v>
      </c>
      <c r="C230" t="s">
        <v>80</v>
      </c>
      <c r="D230" s="2" t="s">
        <v>42</v>
      </c>
      <c r="E230" s="2">
        <v>25</v>
      </c>
      <c r="F230" s="2">
        <v>1</v>
      </c>
      <c r="G230" s="2">
        <v>392</v>
      </c>
      <c r="H230" s="2">
        <v>7.5</v>
      </c>
      <c r="I230" s="2">
        <v>14.5</v>
      </c>
      <c r="J230" s="2">
        <v>0.51900000000000002</v>
      </c>
      <c r="K230" s="2">
        <v>3.9</v>
      </c>
      <c r="L230" s="2">
        <v>9.6</v>
      </c>
      <c r="M230" s="2">
        <v>0.41299999999999998</v>
      </c>
      <c r="N230" s="2">
        <v>3.6</v>
      </c>
      <c r="O230" s="2">
        <v>5</v>
      </c>
      <c r="P230" s="2">
        <v>0.72199999999999998</v>
      </c>
      <c r="Q230" s="2">
        <v>0.65500000000000003</v>
      </c>
      <c r="R230" s="2">
        <v>2.8</v>
      </c>
      <c r="S230" s="2">
        <v>3.8</v>
      </c>
      <c r="T230" s="2">
        <v>0.75600000000000001</v>
      </c>
      <c r="U230" s="2">
        <v>1.3</v>
      </c>
      <c r="V230" s="2">
        <v>5</v>
      </c>
      <c r="W230" s="2">
        <v>6.2</v>
      </c>
      <c r="X230" s="2">
        <v>1.9</v>
      </c>
      <c r="Y230" s="2">
        <v>0.6</v>
      </c>
      <c r="Z230" s="2">
        <v>2.9</v>
      </c>
      <c r="AA230" s="2">
        <v>1.5</v>
      </c>
      <c r="AB230" s="2">
        <v>3.8</v>
      </c>
      <c r="AC230" s="2">
        <v>21.9</v>
      </c>
      <c r="AD230" s="2"/>
    </row>
    <row r="231" spans="1:30" x14ac:dyDescent="0.2">
      <c r="A231" t="s">
        <v>84</v>
      </c>
      <c r="B231" s="2">
        <v>28</v>
      </c>
      <c r="C231" t="s">
        <v>39</v>
      </c>
      <c r="D231" s="2" t="s">
        <v>49</v>
      </c>
      <c r="E231" s="2">
        <v>20</v>
      </c>
      <c r="F231" s="2">
        <v>20</v>
      </c>
      <c r="G231" s="2">
        <v>716</v>
      </c>
      <c r="H231" s="2">
        <v>8.6</v>
      </c>
      <c r="I231" s="2">
        <v>19.3</v>
      </c>
      <c r="J231" s="2">
        <v>0.44600000000000001</v>
      </c>
      <c r="K231" s="2">
        <v>2.5</v>
      </c>
      <c r="L231" s="2">
        <v>7.3</v>
      </c>
      <c r="M231" s="2">
        <v>0.34200000000000003</v>
      </c>
      <c r="N231" s="2">
        <v>6.1</v>
      </c>
      <c r="O231" s="2">
        <v>11.9</v>
      </c>
      <c r="P231" s="2">
        <v>0.51100000000000001</v>
      </c>
      <c r="Q231" s="2">
        <v>0.51200000000000001</v>
      </c>
      <c r="R231" s="2">
        <v>4.9000000000000004</v>
      </c>
      <c r="S231" s="2">
        <v>6.4</v>
      </c>
      <c r="T231" s="2">
        <v>0.76400000000000001</v>
      </c>
      <c r="U231" s="2">
        <v>1.5</v>
      </c>
      <c r="V231" s="2">
        <v>4.7</v>
      </c>
      <c r="W231" s="2">
        <v>6.2</v>
      </c>
      <c r="X231" s="2">
        <v>4.7</v>
      </c>
      <c r="Y231" s="2">
        <v>1.1000000000000001</v>
      </c>
      <c r="Z231" s="2">
        <v>0.4</v>
      </c>
      <c r="AA231" s="2">
        <v>2.7</v>
      </c>
      <c r="AB231" s="2">
        <v>2.6</v>
      </c>
      <c r="AC231" s="2">
        <v>24.6</v>
      </c>
      <c r="AD231" s="2"/>
    </row>
    <row r="232" spans="1:30" x14ac:dyDescent="0.2">
      <c r="A232" t="s">
        <v>537</v>
      </c>
      <c r="B232" s="2">
        <v>21</v>
      </c>
      <c r="C232" t="s">
        <v>103</v>
      </c>
      <c r="D232" s="2" t="s">
        <v>49</v>
      </c>
      <c r="E232" s="2">
        <v>2</v>
      </c>
      <c r="F232" s="2">
        <v>0</v>
      </c>
      <c r="G232" s="2">
        <v>3</v>
      </c>
      <c r="H232" s="2">
        <v>12</v>
      </c>
      <c r="I232" s="2">
        <v>12</v>
      </c>
      <c r="J232" s="2">
        <v>1</v>
      </c>
      <c r="K232" s="2">
        <v>12</v>
      </c>
      <c r="L232" s="2">
        <v>12</v>
      </c>
      <c r="M232" s="2">
        <v>1</v>
      </c>
      <c r="N232" s="2">
        <v>0</v>
      </c>
      <c r="O232" s="2">
        <v>0</v>
      </c>
      <c r="P232" s="2"/>
      <c r="Q232" s="2">
        <v>1.5</v>
      </c>
      <c r="R232" s="2">
        <v>0</v>
      </c>
      <c r="S232" s="2">
        <v>0</v>
      </c>
      <c r="T232" s="2"/>
      <c r="U232" s="2">
        <v>0</v>
      </c>
      <c r="V232" s="2">
        <v>0</v>
      </c>
      <c r="W232" s="2">
        <v>0</v>
      </c>
      <c r="X232" s="2">
        <v>0</v>
      </c>
      <c r="Y232" s="2">
        <v>0</v>
      </c>
      <c r="Z232" s="2">
        <v>0</v>
      </c>
      <c r="AA232" s="2">
        <v>0</v>
      </c>
      <c r="AB232" s="2">
        <v>12</v>
      </c>
      <c r="AC232" s="2">
        <v>36</v>
      </c>
      <c r="AD232" s="2"/>
    </row>
    <row r="233" spans="1:30" x14ac:dyDescent="0.2">
      <c r="A233" t="s">
        <v>379</v>
      </c>
      <c r="B233" s="2">
        <v>25</v>
      </c>
      <c r="C233" t="s">
        <v>117</v>
      </c>
      <c r="D233" s="2" t="s">
        <v>52</v>
      </c>
      <c r="E233" s="2">
        <v>8</v>
      </c>
      <c r="F233" s="2">
        <v>0</v>
      </c>
      <c r="G233" s="2">
        <v>168</v>
      </c>
      <c r="H233" s="2">
        <v>5.6</v>
      </c>
      <c r="I233" s="2">
        <v>15.6</v>
      </c>
      <c r="J233" s="2">
        <v>0.35599999999999998</v>
      </c>
      <c r="K233" s="2">
        <v>1.7</v>
      </c>
      <c r="L233" s="2">
        <v>5.8</v>
      </c>
      <c r="M233" s="2">
        <v>0.29599999999999999</v>
      </c>
      <c r="N233" s="2">
        <v>3.9</v>
      </c>
      <c r="O233" s="2">
        <v>9.9</v>
      </c>
      <c r="P233" s="2">
        <v>0.39100000000000001</v>
      </c>
      <c r="Q233" s="2">
        <v>0.41099999999999998</v>
      </c>
      <c r="R233" s="2">
        <v>1.5</v>
      </c>
      <c r="S233" s="2">
        <v>2.4</v>
      </c>
      <c r="T233" s="2">
        <v>0.63600000000000001</v>
      </c>
      <c r="U233" s="2">
        <v>1.3</v>
      </c>
      <c r="V233" s="2">
        <v>3</v>
      </c>
      <c r="W233" s="2">
        <v>4.3</v>
      </c>
      <c r="X233" s="2">
        <v>3.9</v>
      </c>
      <c r="Y233" s="2">
        <v>0.2</v>
      </c>
      <c r="Z233" s="2">
        <v>0.9</v>
      </c>
      <c r="AA233" s="2">
        <v>1.7</v>
      </c>
      <c r="AB233" s="2">
        <v>1.9</v>
      </c>
      <c r="AC233" s="2">
        <v>14.4</v>
      </c>
      <c r="AD233" s="2"/>
    </row>
    <row r="234" spans="1:30" x14ac:dyDescent="0.2">
      <c r="A234" t="s">
        <v>168</v>
      </c>
      <c r="B234" s="2">
        <v>21</v>
      </c>
      <c r="C234" t="s">
        <v>80</v>
      </c>
      <c r="D234" s="2" t="s">
        <v>52</v>
      </c>
      <c r="E234" s="2">
        <v>25</v>
      </c>
      <c r="F234" s="2">
        <v>20</v>
      </c>
      <c r="G234" s="2">
        <v>621</v>
      </c>
      <c r="H234" s="2">
        <v>6</v>
      </c>
      <c r="I234" s="2">
        <v>13.2</v>
      </c>
      <c r="J234" s="2">
        <v>0.45200000000000001</v>
      </c>
      <c r="K234" s="2">
        <v>2.7</v>
      </c>
      <c r="L234" s="2">
        <v>7</v>
      </c>
      <c r="M234" s="2">
        <v>0.38300000000000001</v>
      </c>
      <c r="N234" s="2">
        <v>3.3</v>
      </c>
      <c r="O234" s="2">
        <v>6.3</v>
      </c>
      <c r="P234" s="2">
        <v>0.52800000000000002</v>
      </c>
      <c r="Q234" s="2">
        <v>0.55300000000000005</v>
      </c>
      <c r="R234" s="2">
        <v>2.1</v>
      </c>
      <c r="S234" s="2">
        <v>2.6</v>
      </c>
      <c r="T234" s="2">
        <v>0.8</v>
      </c>
      <c r="U234" s="2">
        <v>1.4</v>
      </c>
      <c r="V234" s="2">
        <v>3.4</v>
      </c>
      <c r="W234" s="2">
        <v>4.8</v>
      </c>
      <c r="X234" s="2">
        <v>2.5</v>
      </c>
      <c r="Y234" s="2">
        <v>0.6</v>
      </c>
      <c r="Z234" s="2">
        <v>0.3</v>
      </c>
      <c r="AA234" s="2">
        <v>1.9</v>
      </c>
      <c r="AB234" s="2">
        <v>2.6</v>
      </c>
      <c r="AC234" s="2">
        <v>16.7</v>
      </c>
      <c r="AD234" s="2"/>
    </row>
    <row r="235" spans="1:30" x14ac:dyDescent="0.2">
      <c r="A235" t="s">
        <v>443</v>
      </c>
      <c r="B235" s="2">
        <v>22</v>
      </c>
      <c r="C235" t="s">
        <v>57</v>
      </c>
      <c r="D235" s="2" t="s">
        <v>52</v>
      </c>
      <c r="E235" s="2">
        <v>14</v>
      </c>
      <c r="F235" s="2">
        <v>1</v>
      </c>
      <c r="G235" s="2">
        <v>108</v>
      </c>
      <c r="H235" s="2">
        <v>4</v>
      </c>
      <c r="I235" s="2">
        <v>9</v>
      </c>
      <c r="J235" s="2">
        <v>0.44400000000000001</v>
      </c>
      <c r="K235" s="2">
        <v>1</v>
      </c>
      <c r="L235" s="2">
        <v>3.7</v>
      </c>
      <c r="M235" s="2">
        <v>0.27300000000000002</v>
      </c>
      <c r="N235" s="2">
        <v>3</v>
      </c>
      <c r="O235" s="2">
        <v>5.3</v>
      </c>
      <c r="P235" s="2">
        <v>0.56299999999999994</v>
      </c>
      <c r="Q235" s="2">
        <v>0.5</v>
      </c>
      <c r="R235" s="2">
        <v>1</v>
      </c>
      <c r="S235" s="2">
        <v>2</v>
      </c>
      <c r="T235" s="2">
        <v>0.5</v>
      </c>
      <c r="U235" s="2">
        <v>3.3</v>
      </c>
      <c r="V235" s="2">
        <v>4.7</v>
      </c>
      <c r="W235" s="2">
        <v>8</v>
      </c>
      <c r="X235" s="2">
        <v>3.7</v>
      </c>
      <c r="Y235" s="2">
        <v>1.3</v>
      </c>
      <c r="Z235" s="2">
        <v>0</v>
      </c>
      <c r="AA235" s="2">
        <v>2</v>
      </c>
      <c r="AB235" s="2">
        <v>6</v>
      </c>
      <c r="AC235" s="2">
        <v>10</v>
      </c>
      <c r="AD235" s="2"/>
    </row>
    <row r="236" spans="1:30" x14ac:dyDescent="0.2">
      <c r="A236" t="s">
        <v>38</v>
      </c>
      <c r="B236" s="2">
        <v>26</v>
      </c>
      <c r="C236" t="s">
        <v>39</v>
      </c>
      <c r="D236" s="2" t="s">
        <v>27</v>
      </c>
      <c r="E236" s="2">
        <v>23</v>
      </c>
      <c r="F236" s="2">
        <v>23</v>
      </c>
      <c r="G236" s="2">
        <v>839</v>
      </c>
      <c r="H236" s="2">
        <v>9</v>
      </c>
      <c r="I236" s="2">
        <v>19.899999999999999</v>
      </c>
      <c r="J236" s="2">
        <v>0.45300000000000001</v>
      </c>
      <c r="K236" s="2">
        <v>3.8</v>
      </c>
      <c r="L236" s="2">
        <v>10.4</v>
      </c>
      <c r="M236" s="2">
        <v>0.36399999999999999</v>
      </c>
      <c r="N236" s="2">
        <v>5.2</v>
      </c>
      <c r="O236" s="2">
        <v>9.5</v>
      </c>
      <c r="P236" s="2">
        <v>0.55000000000000004</v>
      </c>
      <c r="Q236" s="2">
        <v>0.54700000000000004</v>
      </c>
      <c r="R236" s="2">
        <v>6</v>
      </c>
      <c r="S236" s="2">
        <v>7.5</v>
      </c>
      <c r="T236" s="2">
        <v>0.8</v>
      </c>
      <c r="U236" s="2">
        <v>0.5</v>
      </c>
      <c r="V236" s="2">
        <v>8.1999999999999993</v>
      </c>
      <c r="W236" s="2">
        <v>8.8000000000000007</v>
      </c>
      <c r="X236" s="2">
        <v>5.7</v>
      </c>
      <c r="Y236" s="2">
        <v>1.2</v>
      </c>
      <c r="Z236" s="2">
        <v>0.5</v>
      </c>
      <c r="AA236" s="2">
        <v>2.7</v>
      </c>
      <c r="AB236" s="2">
        <v>2.4</v>
      </c>
      <c r="AC236" s="2">
        <v>27.8</v>
      </c>
      <c r="AD236" s="2"/>
    </row>
    <row r="237" spans="1:30" x14ac:dyDescent="0.2">
      <c r="A237" t="s">
        <v>502</v>
      </c>
      <c r="B237" s="2">
        <v>21</v>
      </c>
      <c r="C237" t="s">
        <v>63</v>
      </c>
      <c r="D237" s="2" t="s">
        <v>33</v>
      </c>
      <c r="E237" s="2">
        <v>6</v>
      </c>
      <c r="F237" s="2">
        <v>0</v>
      </c>
      <c r="G237" s="2">
        <v>14</v>
      </c>
      <c r="H237" s="2">
        <v>7.7</v>
      </c>
      <c r="I237" s="2">
        <v>12.9</v>
      </c>
      <c r="J237" s="2">
        <v>0.6</v>
      </c>
      <c r="K237" s="2">
        <v>5.0999999999999996</v>
      </c>
      <c r="L237" s="2">
        <v>7.7</v>
      </c>
      <c r="M237" s="2">
        <v>0.66700000000000004</v>
      </c>
      <c r="N237" s="2">
        <v>2.6</v>
      </c>
      <c r="O237" s="2">
        <v>5.0999999999999996</v>
      </c>
      <c r="P237" s="2">
        <v>0.5</v>
      </c>
      <c r="Q237" s="2">
        <v>0.8</v>
      </c>
      <c r="R237" s="2">
        <v>0</v>
      </c>
      <c r="S237" s="2">
        <v>0</v>
      </c>
      <c r="T237" s="2"/>
      <c r="U237" s="2">
        <v>2.6</v>
      </c>
      <c r="V237" s="2">
        <v>0</v>
      </c>
      <c r="W237" s="2">
        <v>2.6</v>
      </c>
      <c r="X237" s="2">
        <v>0</v>
      </c>
      <c r="Y237" s="2">
        <v>0</v>
      </c>
      <c r="Z237" s="2">
        <v>2.6</v>
      </c>
      <c r="AA237" s="2">
        <v>2.6</v>
      </c>
      <c r="AB237" s="2">
        <v>5.0999999999999996</v>
      </c>
      <c r="AC237" s="2">
        <v>20.6</v>
      </c>
      <c r="AD237" s="2"/>
    </row>
    <row r="238" spans="1:30" x14ac:dyDescent="0.2">
      <c r="A238" t="s">
        <v>509</v>
      </c>
      <c r="B238" s="2">
        <v>22</v>
      </c>
      <c r="C238" t="s">
        <v>39</v>
      </c>
      <c r="D238" s="2" t="s">
        <v>33</v>
      </c>
      <c r="E238" s="2">
        <v>5</v>
      </c>
      <c r="F238" s="2">
        <v>0</v>
      </c>
      <c r="G238" s="2">
        <v>24</v>
      </c>
      <c r="H238" s="2">
        <v>3</v>
      </c>
      <c r="I238" s="2">
        <v>7.5</v>
      </c>
      <c r="J238" s="2">
        <v>0.4</v>
      </c>
      <c r="K238" s="2">
        <v>1.5</v>
      </c>
      <c r="L238" s="2">
        <v>4.5</v>
      </c>
      <c r="M238" s="2">
        <v>0.33300000000000002</v>
      </c>
      <c r="N238" s="2">
        <v>1.5</v>
      </c>
      <c r="O238" s="2">
        <v>3</v>
      </c>
      <c r="P238" s="2">
        <v>0.5</v>
      </c>
      <c r="Q238" s="2">
        <v>0.5</v>
      </c>
      <c r="R238" s="2">
        <v>1.5</v>
      </c>
      <c r="S238" s="2">
        <v>3</v>
      </c>
      <c r="T238" s="2">
        <v>0.5</v>
      </c>
      <c r="U238" s="2">
        <v>0</v>
      </c>
      <c r="V238" s="2">
        <v>3</v>
      </c>
      <c r="W238" s="2">
        <v>3</v>
      </c>
      <c r="X238" s="2">
        <v>1.5</v>
      </c>
      <c r="Y238" s="2">
        <v>1.5</v>
      </c>
      <c r="Z238" s="2">
        <v>0</v>
      </c>
      <c r="AA238" s="2">
        <v>9</v>
      </c>
      <c r="AB238" s="2">
        <v>1.5</v>
      </c>
      <c r="AC238" s="2">
        <v>9</v>
      </c>
      <c r="AD238" s="2"/>
    </row>
    <row r="239" spans="1:30" x14ac:dyDescent="0.2">
      <c r="A239" t="s">
        <v>508</v>
      </c>
      <c r="B239" s="2">
        <v>25</v>
      </c>
      <c r="C239" t="s">
        <v>87</v>
      </c>
      <c r="D239" s="2" t="s">
        <v>52</v>
      </c>
      <c r="E239" s="2">
        <v>3</v>
      </c>
      <c r="F239" s="2">
        <v>0</v>
      </c>
      <c r="G239" s="2">
        <v>10</v>
      </c>
      <c r="H239" s="2">
        <v>10.8</v>
      </c>
      <c r="I239" s="2">
        <v>14.4</v>
      </c>
      <c r="J239" s="2">
        <v>0.75</v>
      </c>
      <c r="K239" s="2">
        <v>3.6</v>
      </c>
      <c r="L239" s="2">
        <v>7.2</v>
      </c>
      <c r="M239" s="2">
        <v>0.5</v>
      </c>
      <c r="N239" s="2">
        <v>7.2</v>
      </c>
      <c r="O239" s="2">
        <v>7.2</v>
      </c>
      <c r="P239" s="2">
        <v>1</v>
      </c>
      <c r="Q239" s="2">
        <v>0.875</v>
      </c>
      <c r="R239" s="2">
        <v>0</v>
      </c>
      <c r="S239" s="2">
        <v>0</v>
      </c>
      <c r="T239" s="2"/>
      <c r="U239" s="2">
        <v>0</v>
      </c>
      <c r="V239" s="2">
        <v>10.8</v>
      </c>
      <c r="W239" s="2">
        <v>10.8</v>
      </c>
      <c r="X239" s="2">
        <v>0</v>
      </c>
      <c r="Y239" s="2">
        <v>3.6</v>
      </c>
      <c r="Z239" s="2">
        <v>0</v>
      </c>
      <c r="AA239" s="2">
        <v>0</v>
      </c>
      <c r="AB239" s="2">
        <v>0</v>
      </c>
      <c r="AC239" s="2">
        <v>25.2</v>
      </c>
      <c r="AD239" s="2"/>
    </row>
    <row r="240" spans="1:30" x14ac:dyDescent="0.2">
      <c r="A240" t="s">
        <v>481</v>
      </c>
      <c r="B240" s="2">
        <v>27</v>
      </c>
      <c r="C240" t="s">
        <v>122</v>
      </c>
      <c r="D240" s="2" t="s">
        <v>33</v>
      </c>
      <c r="E240" s="2">
        <v>8</v>
      </c>
      <c r="F240" s="2">
        <v>0</v>
      </c>
      <c r="G240" s="2">
        <v>80</v>
      </c>
      <c r="H240" s="2">
        <v>2.7</v>
      </c>
      <c r="I240" s="2">
        <v>8.6</v>
      </c>
      <c r="J240" s="2">
        <v>0.316</v>
      </c>
      <c r="K240" s="2">
        <v>0.5</v>
      </c>
      <c r="L240" s="2">
        <v>3.6</v>
      </c>
      <c r="M240" s="2">
        <v>0.125</v>
      </c>
      <c r="N240" s="2">
        <v>2.2999999999999998</v>
      </c>
      <c r="O240" s="2">
        <v>5</v>
      </c>
      <c r="P240" s="2">
        <v>0.45500000000000002</v>
      </c>
      <c r="Q240" s="2">
        <v>0.34200000000000003</v>
      </c>
      <c r="R240" s="2">
        <v>1.4</v>
      </c>
      <c r="S240" s="2">
        <v>1.8</v>
      </c>
      <c r="T240" s="2">
        <v>0.75</v>
      </c>
      <c r="U240" s="2">
        <v>0.9</v>
      </c>
      <c r="V240" s="2">
        <v>2.7</v>
      </c>
      <c r="W240" s="2">
        <v>3.6</v>
      </c>
      <c r="X240" s="2">
        <v>4.0999999999999996</v>
      </c>
      <c r="Y240" s="2">
        <v>1.4</v>
      </c>
      <c r="Z240" s="2">
        <v>0</v>
      </c>
      <c r="AA240" s="2">
        <v>0.5</v>
      </c>
      <c r="AB240" s="2">
        <v>2.2999999999999998</v>
      </c>
      <c r="AC240" s="2">
        <v>7.2</v>
      </c>
      <c r="AD240" s="2"/>
    </row>
    <row r="241" spans="1:30" x14ac:dyDescent="0.2">
      <c r="A241" t="s">
        <v>480</v>
      </c>
      <c r="B241" s="2">
        <v>38</v>
      </c>
      <c r="C241" t="s">
        <v>87</v>
      </c>
      <c r="D241" s="2" t="s">
        <v>27</v>
      </c>
      <c r="E241" s="2">
        <v>7</v>
      </c>
      <c r="F241" s="2">
        <v>0</v>
      </c>
      <c r="G241" s="2">
        <v>40</v>
      </c>
      <c r="H241" s="2">
        <v>6.3</v>
      </c>
      <c r="I241" s="2">
        <v>11.7</v>
      </c>
      <c r="J241" s="2">
        <v>0.53800000000000003</v>
      </c>
      <c r="K241" s="2">
        <v>2.7</v>
      </c>
      <c r="L241" s="2">
        <v>7.2</v>
      </c>
      <c r="M241" s="2">
        <v>0.375</v>
      </c>
      <c r="N241" s="2">
        <v>3.6</v>
      </c>
      <c r="O241" s="2">
        <v>4.5</v>
      </c>
      <c r="P241" s="2">
        <v>0.8</v>
      </c>
      <c r="Q241" s="2">
        <v>0.65400000000000003</v>
      </c>
      <c r="R241" s="2">
        <v>0</v>
      </c>
      <c r="S241" s="2">
        <v>0</v>
      </c>
      <c r="T241" s="2"/>
      <c r="U241" s="2">
        <v>0</v>
      </c>
      <c r="V241" s="2">
        <v>3.6</v>
      </c>
      <c r="W241" s="2">
        <v>3.6</v>
      </c>
      <c r="X241" s="2">
        <v>0.9</v>
      </c>
      <c r="Y241" s="2">
        <v>1.8</v>
      </c>
      <c r="Z241" s="2">
        <v>0</v>
      </c>
      <c r="AA241" s="2">
        <v>1.8</v>
      </c>
      <c r="AB241" s="2">
        <v>1.8</v>
      </c>
      <c r="AC241" s="2">
        <v>15.3</v>
      </c>
      <c r="AD241" s="2"/>
    </row>
    <row r="242" spans="1:30" x14ac:dyDescent="0.2">
      <c r="A242" t="s">
        <v>139</v>
      </c>
      <c r="B242" s="2">
        <v>30</v>
      </c>
      <c r="C242" t="s">
        <v>135</v>
      </c>
      <c r="D242" s="2" t="s">
        <v>27</v>
      </c>
      <c r="E242" s="2">
        <v>22</v>
      </c>
      <c r="F242" s="2">
        <v>22</v>
      </c>
      <c r="G242" s="2">
        <v>714</v>
      </c>
      <c r="H242" s="2">
        <v>5.5</v>
      </c>
      <c r="I242" s="2">
        <v>14.5</v>
      </c>
      <c r="J242" s="2">
        <v>0.38</v>
      </c>
      <c r="K242" s="2">
        <v>2.5</v>
      </c>
      <c r="L242" s="2">
        <v>7</v>
      </c>
      <c r="M242" s="2">
        <v>0.35499999999999998</v>
      </c>
      <c r="N242" s="2">
        <v>3</v>
      </c>
      <c r="O242" s="2">
        <v>7.5</v>
      </c>
      <c r="P242" s="2">
        <v>0.40300000000000002</v>
      </c>
      <c r="Q242" s="2">
        <v>0.46500000000000002</v>
      </c>
      <c r="R242" s="2">
        <v>3.5</v>
      </c>
      <c r="S242" s="2">
        <v>4.3</v>
      </c>
      <c r="T242" s="2">
        <v>0.82399999999999995</v>
      </c>
      <c r="U242" s="2">
        <v>0.5</v>
      </c>
      <c r="V242" s="2">
        <v>3.4</v>
      </c>
      <c r="W242" s="2">
        <v>3.9</v>
      </c>
      <c r="X242" s="2">
        <v>2.6</v>
      </c>
      <c r="Y242" s="2">
        <v>1.1000000000000001</v>
      </c>
      <c r="Z242" s="2">
        <v>1.2</v>
      </c>
      <c r="AA242" s="2">
        <v>1.6</v>
      </c>
      <c r="AB242" s="2">
        <v>2.6</v>
      </c>
      <c r="AC242" s="2">
        <v>17</v>
      </c>
      <c r="AD242" s="2"/>
    </row>
    <row r="243" spans="1:30" x14ac:dyDescent="0.2">
      <c r="A243" t="s">
        <v>250</v>
      </c>
      <c r="B243" s="2">
        <v>24</v>
      </c>
      <c r="C243" t="s">
        <v>117</v>
      </c>
      <c r="D243" s="2" t="s">
        <v>27</v>
      </c>
      <c r="E243" s="2">
        <v>25</v>
      </c>
      <c r="F243" s="2">
        <v>4</v>
      </c>
      <c r="G243" s="2">
        <v>507</v>
      </c>
      <c r="H243" s="2">
        <v>4.8</v>
      </c>
      <c r="I243" s="2">
        <v>10.9</v>
      </c>
      <c r="J243" s="2">
        <v>0.438</v>
      </c>
      <c r="K243" s="2">
        <v>1.5</v>
      </c>
      <c r="L243" s="2">
        <v>4.5999999999999996</v>
      </c>
      <c r="M243" s="2">
        <v>0.32300000000000001</v>
      </c>
      <c r="N243" s="2">
        <v>3.3</v>
      </c>
      <c r="O243" s="2">
        <v>6.2</v>
      </c>
      <c r="P243" s="2">
        <v>0.52300000000000002</v>
      </c>
      <c r="Q243" s="2">
        <v>0.50700000000000001</v>
      </c>
      <c r="R243" s="2">
        <v>1.6</v>
      </c>
      <c r="S243" s="2">
        <v>1.8</v>
      </c>
      <c r="T243" s="2">
        <v>0.88500000000000001</v>
      </c>
      <c r="U243" s="2">
        <v>3.8</v>
      </c>
      <c r="V243" s="2">
        <v>5.3</v>
      </c>
      <c r="W243" s="2">
        <v>9</v>
      </c>
      <c r="X243" s="2">
        <v>2.1</v>
      </c>
      <c r="Y243" s="2">
        <v>1.3</v>
      </c>
      <c r="Z243" s="2">
        <v>0.2</v>
      </c>
      <c r="AA243" s="2">
        <v>1.6</v>
      </c>
      <c r="AB243" s="2">
        <v>2.5</v>
      </c>
      <c r="AC243" s="2">
        <v>12.6</v>
      </c>
      <c r="AD243" s="2"/>
    </row>
    <row r="244" spans="1:30" x14ac:dyDescent="0.2">
      <c r="A244" t="s">
        <v>271</v>
      </c>
      <c r="B244" s="2">
        <v>21</v>
      </c>
      <c r="C244" t="s">
        <v>93</v>
      </c>
      <c r="D244" s="2" t="s">
        <v>27</v>
      </c>
      <c r="E244" s="2">
        <v>11</v>
      </c>
      <c r="F244" s="2">
        <v>8</v>
      </c>
      <c r="G244" s="2">
        <v>304</v>
      </c>
      <c r="H244" s="2">
        <v>7.5</v>
      </c>
      <c r="I244" s="2">
        <v>14.9</v>
      </c>
      <c r="J244" s="2">
        <v>0.5</v>
      </c>
      <c r="K244" s="2">
        <v>0.5</v>
      </c>
      <c r="L244" s="2">
        <v>2.2999999999999998</v>
      </c>
      <c r="M244" s="2">
        <v>0.21099999999999999</v>
      </c>
      <c r="N244" s="2">
        <v>7</v>
      </c>
      <c r="O244" s="2">
        <v>12.7</v>
      </c>
      <c r="P244" s="2">
        <v>0.55100000000000005</v>
      </c>
      <c r="Q244" s="2">
        <v>0.51600000000000001</v>
      </c>
      <c r="R244" s="2">
        <v>3.4</v>
      </c>
      <c r="S244" s="2">
        <v>5</v>
      </c>
      <c r="T244" s="2">
        <v>0.69</v>
      </c>
      <c r="U244" s="2">
        <v>3.8</v>
      </c>
      <c r="V244" s="2">
        <v>6.9</v>
      </c>
      <c r="W244" s="2">
        <v>10.7</v>
      </c>
      <c r="X244" s="2">
        <v>3.3</v>
      </c>
      <c r="Y244" s="2">
        <v>1.3</v>
      </c>
      <c r="Z244" s="2">
        <v>0.7</v>
      </c>
      <c r="AA244" s="2">
        <v>2.4</v>
      </c>
      <c r="AB244" s="2">
        <v>3.4</v>
      </c>
      <c r="AC244" s="2">
        <v>18.8</v>
      </c>
      <c r="AD244" s="2"/>
    </row>
    <row r="245" spans="1:30" x14ac:dyDescent="0.2">
      <c r="A245" t="s">
        <v>418</v>
      </c>
      <c r="B245" s="2">
        <v>26</v>
      </c>
      <c r="C245" t="s">
        <v>44</v>
      </c>
      <c r="D245" s="2" t="s">
        <v>42</v>
      </c>
      <c r="E245" s="2">
        <v>24</v>
      </c>
      <c r="F245" s="2">
        <v>2</v>
      </c>
      <c r="G245" s="2">
        <v>299</v>
      </c>
      <c r="H245" s="2">
        <v>2.2999999999999998</v>
      </c>
      <c r="I245" s="2">
        <v>3.3</v>
      </c>
      <c r="J245" s="2">
        <v>0.70399999999999996</v>
      </c>
      <c r="K245" s="2">
        <v>0</v>
      </c>
      <c r="L245" s="2">
        <v>0</v>
      </c>
      <c r="M245" s="2"/>
      <c r="N245" s="2">
        <v>2.2999999999999998</v>
      </c>
      <c r="O245" s="2">
        <v>3.3</v>
      </c>
      <c r="P245" s="2">
        <v>0.70399999999999996</v>
      </c>
      <c r="Q245" s="2">
        <v>0.70399999999999996</v>
      </c>
      <c r="R245" s="2">
        <v>0.5</v>
      </c>
      <c r="S245" s="2">
        <v>0.8</v>
      </c>
      <c r="T245" s="2">
        <v>0.57099999999999995</v>
      </c>
      <c r="U245" s="2">
        <v>3.7</v>
      </c>
      <c r="V245" s="2">
        <v>6.7</v>
      </c>
      <c r="W245" s="2">
        <v>10.5</v>
      </c>
      <c r="X245" s="2">
        <v>1.8</v>
      </c>
      <c r="Y245" s="2">
        <v>0.7</v>
      </c>
      <c r="Z245" s="2">
        <v>1.1000000000000001</v>
      </c>
      <c r="AA245" s="2">
        <v>1.6</v>
      </c>
      <c r="AB245" s="2">
        <v>3.9</v>
      </c>
      <c r="AC245" s="2">
        <v>5.0999999999999996</v>
      </c>
      <c r="AD245" s="2"/>
    </row>
    <row r="246" spans="1:30" x14ac:dyDescent="0.2">
      <c r="A246" t="s">
        <v>333</v>
      </c>
      <c r="B246" s="2">
        <v>21</v>
      </c>
      <c r="C246" t="s">
        <v>48</v>
      </c>
      <c r="D246" s="2" t="s">
        <v>49</v>
      </c>
      <c r="E246" s="2">
        <v>25</v>
      </c>
      <c r="F246" s="2">
        <v>0</v>
      </c>
      <c r="G246" s="2">
        <v>268</v>
      </c>
      <c r="H246" s="2">
        <v>5</v>
      </c>
      <c r="I246" s="2">
        <v>13.2</v>
      </c>
      <c r="J246" s="2">
        <v>0.378</v>
      </c>
      <c r="K246" s="2">
        <v>3.2</v>
      </c>
      <c r="L246" s="2">
        <v>10.1</v>
      </c>
      <c r="M246" s="2">
        <v>0.32</v>
      </c>
      <c r="N246" s="2">
        <v>1.7</v>
      </c>
      <c r="O246" s="2">
        <v>3.1</v>
      </c>
      <c r="P246" s="2">
        <v>0.56499999999999995</v>
      </c>
      <c r="Q246" s="2">
        <v>0.5</v>
      </c>
      <c r="R246" s="2">
        <v>0.8</v>
      </c>
      <c r="S246" s="2">
        <v>0.9</v>
      </c>
      <c r="T246" s="2">
        <v>0.85699999999999998</v>
      </c>
      <c r="U246" s="2">
        <v>1.3</v>
      </c>
      <c r="V246" s="2">
        <v>2.7</v>
      </c>
      <c r="W246" s="2">
        <v>4</v>
      </c>
      <c r="X246" s="2">
        <v>1.6</v>
      </c>
      <c r="Y246" s="2">
        <v>0.7</v>
      </c>
      <c r="Z246" s="2">
        <v>0.8</v>
      </c>
      <c r="AA246" s="2">
        <v>0.9</v>
      </c>
      <c r="AB246" s="2">
        <v>3</v>
      </c>
      <c r="AC246" s="2">
        <v>14</v>
      </c>
      <c r="AD246" s="2"/>
    </row>
    <row r="247" spans="1:30" x14ac:dyDescent="0.2">
      <c r="A247" t="s">
        <v>475</v>
      </c>
      <c r="B247" s="2">
        <v>29</v>
      </c>
      <c r="C247" t="s">
        <v>70</v>
      </c>
      <c r="D247" s="2" t="s">
        <v>33</v>
      </c>
      <c r="E247" s="2">
        <v>11</v>
      </c>
      <c r="F247" s="2">
        <v>0</v>
      </c>
      <c r="G247" s="2">
        <v>53</v>
      </c>
      <c r="H247" s="2">
        <v>4.8</v>
      </c>
      <c r="I247" s="2">
        <v>15.6</v>
      </c>
      <c r="J247" s="2">
        <v>0.30399999999999999</v>
      </c>
      <c r="K247" s="2">
        <v>2.7</v>
      </c>
      <c r="L247" s="2">
        <v>10.9</v>
      </c>
      <c r="M247" s="2">
        <v>0.25</v>
      </c>
      <c r="N247" s="2">
        <v>2</v>
      </c>
      <c r="O247" s="2">
        <v>4.8</v>
      </c>
      <c r="P247" s="2">
        <v>0.42899999999999999</v>
      </c>
      <c r="Q247" s="2">
        <v>0.39100000000000001</v>
      </c>
      <c r="R247" s="2">
        <v>0</v>
      </c>
      <c r="S247" s="2">
        <v>0</v>
      </c>
      <c r="T247" s="2"/>
      <c r="U247" s="2">
        <v>0.7</v>
      </c>
      <c r="V247" s="2">
        <v>4.8</v>
      </c>
      <c r="W247" s="2">
        <v>5.4</v>
      </c>
      <c r="X247" s="2">
        <v>4.0999999999999996</v>
      </c>
      <c r="Y247" s="2">
        <v>2</v>
      </c>
      <c r="Z247" s="2">
        <v>0</v>
      </c>
      <c r="AA247" s="2">
        <v>2.7</v>
      </c>
      <c r="AB247" s="2">
        <v>0.7</v>
      </c>
      <c r="AC247" s="2">
        <v>12.2</v>
      </c>
      <c r="AD247" s="2"/>
    </row>
    <row r="248" spans="1:30" x14ac:dyDescent="0.2">
      <c r="A248" t="s">
        <v>144</v>
      </c>
      <c r="B248" s="2">
        <v>35</v>
      </c>
      <c r="C248" t="s">
        <v>61</v>
      </c>
      <c r="D248" s="2" t="s">
        <v>27</v>
      </c>
      <c r="E248" s="2">
        <v>18</v>
      </c>
      <c r="F248" s="2">
        <v>18</v>
      </c>
      <c r="G248" s="2">
        <v>575</v>
      </c>
      <c r="H248" s="2">
        <v>6.9</v>
      </c>
      <c r="I248" s="2">
        <v>12.5</v>
      </c>
      <c r="J248" s="2">
        <v>0.55000000000000004</v>
      </c>
      <c r="K248" s="2">
        <v>0.6</v>
      </c>
      <c r="L248" s="2">
        <v>1.6</v>
      </c>
      <c r="M248" s="2">
        <v>0.36</v>
      </c>
      <c r="N248" s="2">
        <v>6.3</v>
      </c>
      <c r="O248" s="2">
        <v>11</v>
      </c>
      <c r="P248" s="2">
        <v>0.57699999999999996</v>
      </c>
      <c r="Q248" s="2">
        <v>0.57299999999999995</v>
      </c>
      <c r="R248" s="2">
        <v>6.6</v>
      </c>
      <c r="S248" s="2">
        <v>8.5</v>
      </c>
      <c r="T248" s="2">
        <v>0.77800000000000002</v>
      </c>
      <c r="U248" s="2">
        <v>2.8</v>
      </c>
      <c r="V248" s="2">
        <v>3.3</v>
      </c>
      <c r="W248" s="2">
        <v>6</v>
      </c>
      <c r="X248" s="2">
        <v>5.3</v>
      </c>
      <c r="Y248" s="2">
        <v>1.3</v>
      </c>
      <c r="Z248" s="2">
        <v>0.4</v>
      </c>
      <c r="AA248" s="2">
        <v>1.6</v>
      </c>
      <c r="AB248" s="2">
        <v>1.3</v>
      </c>
      <c r="AC248" s="2">
        <v>20.9</v>
      </c>
      <c r="AD248" s="2"/>
    </row>
    <row r="249" spans="1:30" x14ac:dyDescent="0.2">
      <c r="A249" t="s">
        <v>397</v>
      </c>
      <c r="B249" s="2">
        <v>29</v>
      </c>
      <c r="C249" t="s">
        <v>87</v>
      </c>
      <c r="D249" s="2" t="s">
        <v>42</v>
      </c>
      <c r="E249" s="2">
        <v>14</v>
      </c>
      <c r="F249" s="2">
        <v>0</v>
      </c>
      <c r="G249" s="2">
        <v>156</v>
      </c>
      <c r="H249" s="2">
        <v>4.8</v>
      </c>
      <c r="I249" s="2">
        <v>10.8</v>
      </c>
      <c r="J249" s="2">
        <v>0.44700000000000001</v>
      </c>
      <c r="K249" s="2">
        <v>0.7</v>
      </c>
      <c r="L249" s="2">
        <v>1.4</v>
      </c>
      <c r="M249" s="2">
        <v>0.5</v>
      </c>
      <c r="N249" s="2">
        <v>4.2</v>
      </c>
      <c r="O249" s="2">
        <v>9.5</v>
      </c>
      <c r="P249" s="2">
        <v>0.439</v>
      </c>
      <c r="Q249" s="2">
        <v>0.47899999999999998</v>
      </c>
      <c r="R249" s="2">
        <v>2.2999999999999998</v>
      </c>
      <c r="S249" s="2">
        <v>4.4000000000000004</v>
      </c>
      <c r="T249" s="2">
        <v>0.52600000000000002</v>
      </c>
      <c r="U249" s="2">
        <v>4.5999999999999996</v>
      </c>
      <c r="V249" s="2">
        <v>6</v>
      </c>
      <c r="W249" s="2">
        <v>10.6</v>
      </c>
      <c r="X249" s="2">
        <v>3.2</v>
      </c>
      <c r="Y249" s="2">
        <v>0.7</v>
      </c>
      <c r="Z249" s="2">
        <v>1.4</v>
      </c>
      <c r="AA249" s="2">
        <v>1.6</v>
      </c>
      <c r="AB249" s="2">
        <v>3.2</v>
      </c>
      <c r="AC249" s="2">
        <v>12.7</v>
      </c>
      <c r="AD249" s="2"/>
    </row>
    <row r="250" spans="1:30" x14ac:dyDescent="0.2">
      <c r="A250" t="s">
        <v>558</v>
      </c>
      <c r="B250" s="2">
        <v>37</v>
      </c>
      <c r="C250" t="s">
        <v>51</v>
      </c>
      <c r="D250" s="2" t="s">
        <v>49</v>
      </c>
      <c r="E250" s="2">
        <v>7</v>
      </c>
      <c r="F250" s="2">
        <v>0</v>
      </c>
      <c r="G250" s="2">
        <v>26</v>
      </c>
      <c r="H250" s="2">
        <v>0</v>
      </c>
      <c r="I250" s="2">
        <v>2.8</v>
      </c>
      <c r="J250" s="2">
        <v>0</v>
      </c>
      <c r="K250" s="2">
        <v>0</v>
      </c>
      <c r="L250" s="2">
        <v>2.8</v>
      </c>
      <c r="M250" s="2">
        <v>0</v>
      </c>
      <c r="N250" s="2">
        <v>0</v>
      </c>
      <c r="O250" s="2">
        <v>0</v>
      </c>
      <c r="P250" s="2"/>
      <c r="Q250" s="2">
        <v>0</v>
      </c>
      <c r="R250" s="2">
        <v>0</v>
      </c>
      <c r="S250" s="2">
        <v>0</v>
      </c>
      <c r="T250" s="2"/>
      <c r="U250" s="2">
        <v>2.8</v>
      </c>
      <c r="V250" s="2">
        <v>0</v>
      </c>
      <c r="W250" s="2">
        <v>2.8</v>
      </c>
      <c r="X250" s="2">
        <v>12.5</v>
      </c>
      <c r="Y250" s="2">
        <v>0</v>
      </c>
      <c r="Z250" s="2">
        <v>0</v>
      </c>
      <c r="AA250" s="2">
        <v>1.4</v>
      </c>
      <c r="AB250" s="2">
        <v>6.9</v>
      </c>
      <c r="AC250" s="2">
        <v>0</v>
      </c>
      <c r="AD250" s="2"/>
    </row>
    <row r="251" spans="1:30" x14ac:dyDescent="0.2">
      <c r="A251" t="s">
        <v>324</v>
      </c>
      <c r="B251" s="2">
        <v>30</v>
      </c>
      <c r="C251" t="s">
        <v>122</v>
      </c>
      <c r="D251" s="2" t="s">
        <v>42</v>
      </c>
      <c r="E251" s="2">
        <v>5</v>
      </c>
      <c r="F251" s="2">
        <v>5</v>
      </c>
      <c r="G251" s="2">
        <v>158</v>
      </c>
      <c r="H251" s="2">
        <v>8</v>
      </c>
      <c r="I251" s="2">
        <v>19.600000000000001</v>
      </c>
      <c r="J251" s="2">
        <v>0.40699999999999997</v>
      </c>
      <c r="K251" s="2">
        <v>0.7</v>
      </c>
      <c r="L251" s="2">
        <v>5.2</v>
      </c>
      <c r="M251" s="2">
        <v>0.13</v>
      </c>
      <c r="N251" s="2">
        <v>7.3</v>
      </c>
      <c r="O251" s="2">
        <v>14.4</v>
      </c>
      <c r="P251" s="2">
        <v>0.50800000000000001</v>
      </c>
      <c r="Q251" s="2">
        <v>0.42399999999999999</v>
      </c>
      <c r="R251" s="2">
        <v>8.4</v>
      </c>
      <c r="S251" s="2">
        <v>8.6999999999999993</v>
      </c>
      <c r="T251" s="4">
        <v>0.97399999999999998</v>
      </c>
      <c r="U251" s="2">
        <v>1.8</v>
      </c>
      <c r="V251" s="2">
        <v>7.7</v>
      </c>
      <c r="W251" s="2">
        <v>9.6</v>
      </c>
      <c r="X251" s="2">
        <v>4.0999999999999996</v>
      </c>
      <c r="Y251" s="2">
        <v>0.5</v>
      </c>
      <c r="Z251" s="2">
        <v>1.4</v>
      </c>
      <c r="AA251" s="2">
        <v>4.3</v>
      </c>
      <c r="AB251" s="2">
        <v>3.4</v>
      </c>
      <c r="AC251" s="2">
        <v>25.1</v>
      </c>
      <c r="AD251" s="2"/>
    </row>
    <row r="252" spans="1:30" x14ac:dyDescent="0.2">
      <c r="A252" t="s">
        <v>119</v>
      </c>
      <c r="B252" s="2">
        <v>27</v>
      </c>
      <c r="C252" t="s">
        <v>120</v>
      </c>
      <c r="D252" s="2" t="s">
        <v>27</v>
      </c>
      <c r="E252" s="2">
        <v>22</v>
      </c>
      <c r="F252" s="2">
        <v>13</v>
      </c>
      <c r="G252" s="2">
        <v>634</v>
      </c>
      <c r="H252" s="2">
        <v>8.3000000000000007</v>
      </c>
      <c r="I252" s="2">
        <v>15.6</v>
      </c>
      <c r="J252" s="2">
        <v>0.53500000000000003</v>
      </c>
      <c r="K252" s="2">
        <v>1.7</v>
      </c>
      <c r="L252" s="2">
        <v>3.9</v>
      </c>
      <c r="M252" s="2">
        <v>0.435</v>
      </c>
      <c r="N252" s="2">
        <v>6.6</v>
      </c>
      <c r="O252" s="2">
        <v>11.7</v>
      </c>
      <c r="P252" s="2">
        <v>0.56799999999999995</v>
      </c>
      <c r="Q252" s="2">
        <v>0.58899999999999997</v>
      </c>
      <c r="R252" s="2">
        <v>4</v>
      </c>
      <c r="S252" s="2">
        <v>4.4000000000000004</v>
      </c>
      <c r="T252" s="2">
        <v>0.92200000000000004</v>
      </c>
      <c r="U252" s="2">
        <v>3</v>
      </c>
      <c r="V252" s="2">
        <v>7.4</v>
      </c>
      <c r="W252" s="2">
        <v>10.4</v>
      </c>
      <c r="X252" s="2">
        <v>3.1</v>
      </c>
      <c r="Y252" s="2">
        <v>1.4</v>
      </c>
      <c r="Z252" s="2">
        <v>1</v>
      </c>
      <c r="AA252" s="2">
        <v>3</v>
      </c>
      <c r="AB252" s="2">
        <v>3.6</v>
      </c>
      <c r="AC252" s="2">
        <v>22.4</v>
      </c>
      <c r="AD252" s="2"/>
    </row>
    <row r="253" spans="1:30" x14ac:dyDescent="0.2">
      <c r="A253" t="s">
        <v>435</v>
      </c>
      <c r="B253" s="2">
        <v>28</v>
      </c>
      <c r="C253" t="s">
        <v>80</v>
      </c>
      <c r="D253" s="2" t="s">
        <v>52</v>
      </c>
      <c r="E253" s="2">
        <v>12</v>
      </c>
      <c r="F253" s="2">
        <v>0</v>
      </c>
      <c r="G253" s="2">
        <v>154</v>
      </c>
      <c r="H253" s="2">
        <v>2.6</v>
      </c>
      <c r="I253" s="2">
        <v>5.0999999999999996</v>
      </c>
      <c r="J253" s="2">
        <v>0.5</v>
      </c>
      <c r="K253" s="2">
        <v>1.6</v>
      </c>
      <c r="L253" s="2">
        <v>4.2</v>
      </c>
      <c r="M253" s="2">
        <v>0.38900000000000001</v>
      </c>
      <c r="N253" s="2">
        <v>0.9</v>
      </c>
      <c r="O253" s="2">
        <v>0.9</v>
      </c>
      <c r="P253" s="2">
        <v>1</v>
      </c>
      <c r="Q253" s="2">
        <v>0.65900000000000003</v>
      </c>
      <c r="R253" s="2">
        <v>0.7</v>
      </c>
      <c r="S253" s="2">
        <v>0.9</v>
      </c>
      <c r="T253" s="2">
        <v>0.75</v>
      </c>
      <c r="U253" s="2">
        <v>2.8</v>
      </c>
      <c r="V253" s="2">
        <v>5.8</v>
      </c>
      <c r="W253" s="2">
        <v>8.6</v>
      </c>
      <c r="X253" s="2">
        <v>2.6</v>
      </c>
      <c r="Y253" s="2">
        <v>1.6</v>
      </c>
      <c r="Z253" s="2">
        <v>1.4</v>
      </c>
      <c r="AA253" s="2">
        <v>1.4</v>
      </c>
      <c r="AB253" s="2">
        <v>2.2999999999999998</v>
      </c>
      <c r="AC253" s="2">
        <v>7.5</v>
      </c>
      <c r="AD253" s="2"/>
    </row>
    <row r="254" spans="1:30" x14ac:dyDescent="0.2">
      <c r="A254" t="s">
        <v>399</v>
      </c>
      <c r="B254" s="2">
        <v>22</v>
      </c>
      <c r="C254" t="s">
        <v>114</v>
      </c>
      <c r="D254" s="2" t="s">
        <v>52</v>
      </c>
      <c r="E254" s="2">
        <v>17</v>
      </c>
      <c r="F254" s="2">
        <v>0</v>
      </c>
      <c r="G254" s="2">
        <v>142</v>
      </c>
      <c r="H254" s="2">
        <v>5.6</v>
      </c>
      <c r="I254" s="2">
        <v>11.2</v>
      </c>
      <c r="J254" s="2">
        <v>0.5</v>
      </c>
      <c r="K254" s="2">
        <v>1</v>
      </c>
      <c r="L254" s="2">
        <v>3</v>
      </c>
      <c r="M254" s="2">
        <v>0.33300000000000002</v>
      </c>
      <c r="N254" s="2">
        <v>4.5999999999999996</v>
      </c>
      <c r="O254" s="2">
        <v>8.1</v>
      </c>
      <c r="P254" s="2">
        <v>0.56299999999999994</v>
      </c>
      <c r="Q254" s="2">
        <v>0.54500000000000004</v>
      </c>
      <c r="R254" s="2">
        <v>1.5</v>
      </c>
      <c r="S254" s="2">
        <v>2.2999999999999998</v>
      </c>
      <c r="T254" s="2">
        <v>0.66700000000000004</v>
      </c>
      <c r="U254" s="2">
        <v>1.5</v>
      </c>
      <c r="V254" s="2">
        <v>4.8</v>
      </c>
      <c r="W254" s="2">
        <v>6.3</v>
      </c>
      <c r="X254" s="2">
        <v>1.3</v>
      </c>
      <c r="Y254" s="2">
        <v>2.2999999999999998</v>
      </c>
      <c r="Z254" s="2">
        <v>0.8</v>
      </c>
      <c r="AA254" s="2">
        <v>1</v>
      </c>
      <c r="AB254" s="2">
        <v>3.3</v>
      </c>
      <c r="AC254" s="2">
        <v>13.7</v>
      </c>
      <c r="AD254" s="2"/>
    </row>
    <row r="255" spans="1:30" x14ac:dyDescent="0.2">
      <c r="A255" t="s">
        <v>403</v>
      </c>
      <c r="B255" s="2">
        <v>20</v>
      </c>
      <c r="C255" t="s">
        <v>82</v>
      </c>
      <c r="D255" s="2" t="s">
        <v>52</v>
      </c>
      <c r="E255" s="2">
        <v>15</v>
      </c>
      <c r="F255" s="2">
        <v>0</v>
      </c>
      <c r="G255" s="2">
        <v>150</v>
      </c>
      <c r="H255" s="2">
        <v>4.0999999999999996</v>
      </c>
      <c r="I255" s="2">
        <v>10.1</v>
      </c>
      <c r="J255" s="2">
        <v>0.40500000000000003</v>
      </c>
      <c r="K255" s="2">
        <v>2.4</v>
      </c>
      <c r="L255" s="2">
        <v>5.8</v>
      </c>
      <c r="M255" s="2">
        <v>0.41699999999999998</v>
      </c>
      <c r="N255" s="2">
        <v>1.7</v>
      </c>
      <c r="O255" s="2">
        <v>4.3</v>
      </c>
      <c r="P255" s="2">
        <v>0.38900000000000001</v>
      </c>
      <c r="Q255" s="2">
        <v>0.52400000000000002</v>
      </c>
      <c r="R255" s="2">
        <v>1.7</v>
      </c>
      <c r="S255" s="2">
        <v>1.7</v>
      </c>
      <c r="T255" s="2">
        <v>1</v>
      </c>
      <c r="U255" s="2">
        <v>2.4</v>
      </c>
      <c r="V255" s="2">
        <v>2.9</v>
      </c>
      <c r="W255" s="2">
        <v>5.3</v>
      </c>
      <c r="X255" s="2">
        <v>1.4</v>
      </c>
      <c r="Y255" s="2">
        <v>1.2</v>
      </c>
      <c r="Z255" s="2">
        <v>1</v>
      </c>
      <c r="AA255" s="2">
        <v>1.9</v>
      </c>
      <c r="AB255" s="2">
        <v>2.9</v>
      </c>
      <c r="AC255" s="2">
        <v>12.2</v>
      </c>
      <c r="AD255" s="2"/>
    </row>
    <row r="256" spans="1:30" x14ac:dyDescent="0.2">
      <c r="A256" t="s">
        <v>305</v>
      </c>
      <c r="B256" s="2">
        <v>23</v>
      </c>
      <c r="C256" t="s">
        <v>120</v>
      </c>
      <c r="D256" s="2" t="s">
        <v>52</v>
      </c>
      <c r="E256" s="2">
        <v>19</v>
      </c>
      <c r="F256" s="2">
        <v>0</v>
      </c>
      <c r="G256" s="2">
        <v>328</v>
      </c>
      <c r="H256" s="2">
        <v>4.8</v>
      </c>
      <c r="I256" s="2">
        <v>12.3</v>
      </c>
      <c r="J256" s="2">
        <v>0.39300000000000002</v>
      </c>
      <c r="K256" s="2">
        <v>3.2</v>
      </c>
      <c r="L256" s="2">
        <v>8.8000000000000007</v>
      </c>
      <c r="M256" s="2">
        <v>0.36299999999999999</v>
      </c>
      <c r="N256" s="2">
        <v>1.6</v>
      </c>
      <c r="O256" s="2">
        <v>3.5</v>
      </c>
      <c r="P256" s="2">
        <v>0.46899999999999997</v>
      </c>
      <c r="Q256" s="2">
        <v>0.52200000000000002</v>
      </c>
      <c r="R256" s="2">
        <v>1.2</v>
      </c>
      <c r="S256" s="2">
        <v>1.4</v>
      </c>
      <c r="T256" s="2">
        <v>0.84599999999999997</v>
      </c>
      <c r="U256" s="2">
        <v>1.1000000000000001</v>
      </c>
      <c r="V256" s="2">
        <v>3.4</v>
      </c>
      <c r="W256" s="2">
        <v>4.5</v>
      </c>
      <c r="X256" s="2">
        <v>2.2999999999999998</v>
      </c>
      <c r="Y256" s="2">
        <v>0.8</v>
      </c>
      <c r="Z256" s="2">
        <v>0.4</v>
      </c>
      <c r="AA256" s="2">
        <v>1.2</v>
      </c>
      <c r="AB256" s="2">
        <v>4.0999999999999996</v>
      </c>
      <c r="AC256" s="2">
        <v>14</v>
      </c>
      <c r="AD256" s="2"/>
    </row>
    <row r="257" spans="1:30" x14ac:dyDescent="0.2">
      <c r="A257" t="s">
        <v>175</v>
      </c>
      <c r="B257" s="2">
        <v>32</v>
      </c>
      <c r="C257" t="s">
        <v>114</v>
      </c>
      <c r="D257" s="2" t="s">
        <v>42</v>
      </c>
      <c r="E257" s="2">
        <v>22</v>
      </c>
      <c r="F257" s="2">
        <v>6</v>
      </c>
      <c r="G257" s="2">
        <v>447</v>
      </c>
      <c r="H257" s="2">
        <v>8.9</v>
      </c>
      <c r="I257" s="2">
        <v>15.8</v>
      </c>
      <c r="J257" s="2">
        <v>0.56599999999999995</v>
      </c>
      <c r="K257" s="2">
        <v>0.2</v>
      </c>
      <c r="L257" s="2">
        <v>0.8</v>
      </c>
      <c r="M257" s="2">
        <v>0.2</v>
      </c>
      <c r="N257" s="2">
        <v>8.8000000000000007</v>
      </c>
      <c r="O257" s="2">
        <v>15</v>
      </c>
      <c r="P257" s="2">
        <v>0.58599999999999997</v>
      </c>
      <c r="Q257" s="2">
        <v>0.57099999999999995</v>
      </c>
      <c r="R257" s="2">
        <v>4.3</v>
      </c>
      <c r="S257" s="2">
        <v>4.8</v>
      </c>
      <c r="T257" s="2">
        <v>0.91500000000000004</v>
      </c>
      <c r="U257" s="2">
        <v>4.5</v>
      </c>
      <c r="V257" s="2">
        <v>9.8000000000000007</v>
      </c>
      <c r="W257" s="2">
        <v>14.3</v>
      </c>
      <c r="X257" s="2">
        <v>3.9</v>
      </c>
      <c r="Y257" s="2">
        <v>0.6</v>
      </c>
      <c r="Z257" s="2">
        <v>1.5</v>
      </c>
      <c r="AA257" s="2">
        <v>3.2</v>
      </c>
      <c r="AB257" s="2">
        <v>3</v>
      </c>
      <c r="AC257" s="2">
        <v>22.4</v>
      </c>
      <c r="AD257" s="2"/>
    </row>
    <row r="258" spans="1:30" x14ac:dyDescent="0.2">
      <c r="A258" t="s">
        <v>299</v>
      </c>
      <c r="B258" s="2">
        <v>27</v>
      </c>
      <c r="C258" t="s">
        <v>48</v>
      </c>
      <c r="D258" s="2" t="s">
        <v>27</v>
      </c>
      <c r="E258" s="2">
        <v>21</v>
      </c>
      <c r="F258" s="2">
        <v>0</v>
      </c>
      <c r="G258" s="2">
        <v>355</v>
      </c>
      <c r="H258" s="2">
        <v>5.0999999999999996</v>
      </c>
      <c r="I258" s="2">
        <v>11.5</v>
      </c>
      <c r="J258" s="2">
        <v>0.442</v>
      </c>
      <c r="K258" s="2">
        <v>1.7</v>
      </c>
      <c r="L258" s="2">
        <v>5.9</v>
      </c>
      <c r="M258" s="2">
        <v>0.29299999999999998</v>
      </c>
      <c r="N258" s="2">
        <v>3.3</v>
      </c>
      <c r="O258" s="2">
        <v>5.6</v>
      </c>
      <c r="P258" s="2">
        <v>0.6</v>
      </c>
      <c r="Q258" s="2">
        <v>0.51800000000000002</v>
      </c>
      <c r="R258" s="2">
        <v>1.9</v>
      </c>
      <c r="S258" s="2">
        <v>2.8</v>
      </c>
      <c r="T258" s="2">
        <v>0.67900000000000005</v>
      </c>
      <c r="U258" s="2">
        <v>3.8</v>
      </c>
      <c r="V258" s="2">
        <v>6.3</v>
      </c>
      <c r="W258" s="2">
        <v>10</v>
      </c>
      <c r="X258" s="2">
        <v>0.5</v>
      </c>
      <c r="Y258" s="2">
        <v>1.8</v>
      </c>
      <c r="Z258" s="2">
        <v>3</v>
      </c>
      <c r="AA258" s="2">
        <v>0.9</v>
      </c>
      <c r="AB258" s="2">
        <v>3.1</v>
      </c>
      <c r="AC258" s="2">
        <v>13.8</v>
      </c>
      <c r="AD258" s="2"/>
    </row>
    <row r="259" spans="1:30" x14ac:dyDescent="0.2">
      <c r="A259" t="s">
        <v>141</v>
      </c>
      <c r="B259" s="2">
        <v>22</v>
      </c>
      <c r="C259" t="s">
        <v>100</v>
      </c>
      <c r="D259" s="2" t="s">
        <v>27</v>
      </c>
      <c r="E259" s="2">
        <v>22</v>
      </c>
      <c r="F259" s="2">
        <v>9</v>
      </c>
      <c r="G259" s="2">
        <v>550</v>
      </c>
      <c r="H259" s="2">
        <v>8.4</v>
      </c>
      <c r="I259" s="2">
        <v>18.899999999999999</v>
      </c>
      <c r="J259" s="2">
        <v>0.44400000000000001</v>
      </c>
      <c r="K259" s="2">
        <v>1.7</v>
      </c>
      <c r="L259" s="2">
        <v>5.5</v>
      </c>
      <c r="M259" s="2">
        <v>0.31</v>
      </c>
      <c r="N259" s="2">
        <v>6.7</v>
      </c>
      <c r="O259" s="2">
        <v>13.4</v>
      </c>
      <c r="P259" s="2">
        <v>0.5</v>
      </c>
      <c r="Q259" s="2">
        <v>0.49</v>
      </c>
      <c r="R259" s="2">
        <v>3.5</v>
      </c>
      <c r="S259" s="2">
        <v>6</v>
      </c>
      <c r="T259" s="2">
        <v>0.58199999999999996</v>
      </c>
      <c r="U259" s="2">
        <v>1.8</v>
      </c>
      <c r="V259" s="2">
        <v>4.5999999999999996</v>
      </c>
      <c r="W259" s="2">
        <v>6.4</v>
      </c>
      <c r="X259" s="2">
        <v>2.6</v>
      </c>
      <c r="Y259" s="2">
        <v>1.4</v>
      </c>
      <c r="Z259" s="2">
        <v>0.9</v>
      </c>
      <c r="AA259" s="2">
        <v>2.2000000000000002</v>
      </c>
      <c r="AB259" s="2">
        <v>3</v>
      </c>
      <c r="AC259" s="2">
        <v>21.9</v>
      </c>
      <c r="AD259" s="2"/>
    </row>
    <row r="260" spans="1:30" x14ac:dyDescent="0.2">
      <c r="A260" t="s">
        <v>287</v>
      </c>
      <c r="B260" s="2">
        <v>23</v>
      </c>
      <c r="C260" t="s">
        <v>66</v>
      </c>
      <c r="D260" s="2" t="s">
        <v>27</v>
      </c>
      <c r="E260" s="2">
        <v>26</v>
      </c>
      <c r="F260" s="2">
        <v>2</v>
      </c>
      <c r="G260" s="2">
        <v>439</v>
      </c>
      <c r="H260" s="2">
        <v>4.4000000000000004</v>
      </c>
      <c r="I260" s="2">
        <v>9.3000000000000007</v>
      </c>
      <c r="J260" s="2">
        <v>0.47399999999999998</v>
      </c>
      <c r="K260" s="2">
        <v>0.6</v>
      </c>
      <c r="L260" s="2">
        <v>1.6</v>
      </c>
      <c r="M260" s="2">
        <v>0.35</v>
      </c>
      <c r="N260" s="2">
        <v>3.9</v>
      </c>
      <c r="O260" s="2">
        <v>7.7</v>
      </c>
      <c r="P260" s="2">
        <v>0.5</v>
      </c>
      <c r="Q260" s="2">
        <v>0.504</v>
      </c>
      <c r="R260" s="2">
        <v>2.5</v>
      </c>
      <c r="S260" s="2">
        <v>3.4</v>
      </c>
      <c r="T260" s="2">
        <v>0.71399999999999997</v>
      </c>
      <c r="U260" s="2">
        <v>4.5999999999999996</v>
      </c>
      <c r="V260" s="2">
        <v>5.2</v>
      </c>
      <c r="W260" s="2">
        <v>9.8000000000000007</v>
      </c>
      <c r="X260" s="2">
        <v>3.8</v>
      </c>
      <c r="Y260" s="2">
        <v>1.8</v>
      </c>
      <c r="Z260" s="2">
        <v>0.9</v>
      </c>
      <c r="AA260" s="2">
        <v>1.9</v>
      </c>
      <c r="AB260" s="2">
        <v>3.9</v>
      </c>
      <c r="AC260" s="2">
        <v>11.9</v>
      </c>
      <c r="AD260" s="2"/>
    </row>
    <row r="261" spans="1:30" x14ac:dyDescent="0.2">
      <c r="A261" t="s">
        <v>236</v>
      </c>
      <c r="B261" s="2">
        <v>32</v>
      </c>
      <c r="C261" t="s">
        <v>120</v>
      </c>
      <c r="D261" s="2" t="s">
        <v>52</v>
      </c>
      <c r="E261" s="2">
        <v>13</v>
      </c>
      <c r="F261" s="2">
        <v>2</v>
      </c>
      <c r="G261" s="2">
        <v>338</v>
      </c>
      <c r="H261" s="2">
        <v>7.2</v>
      </c>
      <c r="I261" s="2">
        <v>18.5</v>
      </c>
      <c r="J261" s="2">
        <v>0.39100000000000001</v>
      </c>
      <c r="K261" s="2">
        <v>2.2999999999999998</v>
      </c>
      <c r="L261" s="2">
        <v>8.5</v>
      </c>
      <c r="M261" s="2">
        <v>0.27500000000000002</v>
      </c>
      <c r="N261" s="2">
        <v>4.9000000000000004</v>
      </c>
      <c r="O261" s="2">
        <v>10</v>
      </c>
      <c r="P261" s="2">
        <v>0.48899999999999999</v>
      </c>
      <c r="Q261" s="2">
        <v>0.45400000000000001</v>
      </c>
      <c r="R261" s="2">
        <v>3.9</v>
      </c>
      <c r="S261" s="2">
        <v>4.9000000000000004</v>
      </c>
      <c r="T261" s="2">
        <v>0.80400000000000005</v>
      </c>
      <c r="U261" s="2">
        <v>1.1000000000000001</v>
      </c>
      <c r="V261" s="2">
        <v>4.3</v>
      </c>
      <c r="W261" s="2">
        <v>5.3</v>
      </c>
      <c r="X261" s="2">
        <v>5.3</v>
      </c>
      <c r="Y261" s="2">
        <v>1.2</v>
      </c>
      <c r="Z261" s="2">
        <v>0.1</v>
      </c>
      <c r="AA261" s="2">
        <v>2.8</v>
      </c>
      <c r="AB261" s="2">
        <v>2</v>
      </c>
      <c r="AC261" s="2">
        <v>20.8</v>
      </c>
      <c r="AD261" s="2"/>
    </row>
    <row r="262" spans="1:30" x14ac:dyDescent="0.2">
      <c r="A262" t="s">
        <v>289</v>
      </c>
      <c r="B262" s="2">
        <v>22</v>
      </c>
      <c r="C262" t="s">
        <v>117</v>
      </c>
      <c r="D262" s="2" t="s">
        <v>52</v>
      </c>
      <c r="E262" s="2">
        <v>11</v>
      </c>
      <c r="F262" s="2">
        <v>3</v>
      </c>
      <c r="G262" s="2">
        <v>302</v>
      </c>
      <c r="H262" s="2">
        <v>5.6</v>
      </c>
      <c r="I262" s="2">
        <v>15</v>
      </c>
      <c r="J262" s="2">
        <v>0.373</v>
      </c>
      <c r="K262" s="2">
        <v>2.6</v>
      </c>
      <c r="L262" s="2">
        <v>7.9</v>
      </c>
      <c r="M262" s="2">
        <v>0.33300000000000002</v>
      </c>
      <c r="N262" s="2">
        <v>3</v>
      </c>
      <c r="O262" s="2">
        <v>7.2</v>
      </c>
      <c r="P262" s="2">
        <v>0.41699999999999998</v>
      </c>
      <c r="Q262" s="2">
        <v>0.46</v>
      </c>
      <c r="R262" s="2">
        <v>3.3</v>
      </c>
      <c r="S262" s="2">
        <v>3.7</v>
      </c>
      <c r="T262" s="2">
        <v>0.90300000000000002</v>
      </c>
      <c r="U262" s="2">
        <v>0.6</v>
      </c>
      <c r="V262" s="2">
        <v>4.4000000000000004</v>
      </c>
      <c r="W262" s="2">
        <v>5</v>
      </c>
      <c r="X262" s="2">
        <v>1.7</v>
      </c>
      <c r="Y262" s="2">
        <v>0.4</v>
      </c>
      <c r="Z262" s="2">
        <v>0.5</v>
      </c>
      <c r="AA262" s="2">
        <v>1.7</v>
      </c>
      <c r="AB262" s="2">
        <v>1.4</v>
      </c>
      <c r="AC262" s="2">
        <v>17.2</v>
      </c>
      <c r="AD262" s="2"/>
    </row>
    <row r="263" spans="1:30" x14ac:dyDescent="0.2">
      <c r="A263" t="s">
        <v>412</v>
      </c>
      <c r="B263" s="2">
        <v>28</v>
      </c>
      <c r="C263" t="s">
        <v>37</v>
      </c>
      <c r="D263" s="2" t="s">
        <v>33</v>
      </c>
      <c r="E263" s="2">
        <v>20</v>
      </c>
      <c r="F263" s="2">
        <v>0</v>
      </c>
      <c r="G263" s="2">
        <v>158</v>
      </c>
      <c r="H263" s="2">
        <v>3.2</v>
      </c>
      <c r="I263" s="2">
        <v>8.6999999999999993</v>
      </c>
      <c r="J263" s="2">
        <v>0.36799999999999999</v>
      </c>
      <c r="K263" s="2">
        <v>1.8</v>
      </c>
      <c r="L263" s="2">
        <v>5</v>
      </c>
      <c r="M263" s="2">
        <v>0.36399999999999999</v>
      </c>
      <c r="N263" s="2">
        <v>1.4</v>
      </c>
      <c r="O263" s="2">
        <v>3.6</v>
      </c>
      <c r="P263" s="2">
        <v>0.375</v>
      </c>
      <c r="Q263" s="2">
        <v>0.47399999999999998</v>
      </c>
      <c r="R263" s="2">
        <v>2.2999999999999998</v>
      </c>
      <c r="S263" s="2">
        <v>3.2</v>
      </c>
      <c r="T263" s="2">
        <v>0.71399999999999997</v>
      </c>
      <c r="U263" s="2">
        <v>0.7</v>
      </c>
      <c r="V263" s="2">
        <v>3.6</v>
      </c>
      <c r="W263" s="2">
        <v>4.3</v>
      </c>
      <c r="X263" s="2">
        <v>4.3</v>
      </c>
      <c r="Y263" s="2">
        <v>2.1</v>
      </c>
      <c r="Z263" s="2">
        <v>0</v>
      </c>
      <c r="AA263" s="2">
        <v>1.8</v>
      </c>
      <c r="AB263" s="2">
        <v>2.5</v>
      </c>
      <c r="AC263" s="2">
        <v>10.5</v>
      </c>
      <c r="AD263" s="2"/>
    </row>
    <row r="264" spans="1:30" x14ac:dyDescent="0.2">
      <c r="A264" t="s">
        <v>325</v>
      </c>
      <c r="B264" s="2">
        <v>25</v>
      </c>
      <c r="C264" t="s">
        <v>77</v>
      </c>
      <c r="D264" s="2" t="s">
        <v>49</v>
      </c>
      <c r="E264" s="2">
        <v>14</v>
      </c>
      <c r="F264" s="2">
        <v>0</v>
      </c>
      <c r="G264" s="2">
        <v>228</v>
      </c>
      <c r="H264" s="2">
        <v>6.8</v>
      </c>
      <c r="I264" s="2">
        <v>14.5</v>
      </c>
      <c r="J264" s="2">
        <v>0.46700000000000003</v>
      </c>
      <c r="K264" s="2">
        <v>1.1000000000000001</v>
      </c>
      <c r="L264" s="2">
        <v>3.6</v>
      </c>
      <c r="M264" s="2">
        <v>0.30399999999999999</v>
      </c>
      <c r="N264" s="2">
        <v>5.7</v>
      </c>
      <c r="O264" s="2">
        <v>10.9</v>
      </c>
      <c r="P264" s="2">
        <v>0.52200000000000002</v>
      </c>
      <c r="Q264" s="2">
        <v>0.505</v>
      </c>
      <c r="R264" s="2">
        <v>2.7</v>
      </c>
      <c r="S264" s="2">
        <v>3.5</v>
      </c>
      <c r="T264" s="2">
        <v>0.77300000000000002</v>
      </c>
      <c r="U264" s="2">
        <v>2.7</v>
      </c>
      <c r="V264" s="2">
        <v>2.8</v>
      </c>
      <c r="W264" s="2">
        <v>5.5</v>
      </c>
      <c r="X264" s="2">
        <v>2.8</v>
      </c>
      <c r="Y264" s="2">
        <v>0.8</v>
      </c>
      <c r="Z264" s="2">
        <v>0.3</v>
      </c>
      <c r="AA264" s="2">
        <v>2.2000000000000002</v>
      </c>
      <c r="AB264" s="2">
        <v>2.5</v>
      </c>
      <c r="AC264" s="2">
        <v>17.399999999999999</v>
      </c>
      <c r="AD264" s="2"/>
    </row>
    <row r="265" spans="1:30" x14ac:dyDescent="0.2">
      <c r="A265" t="s">
        <v>113</v>
      </c>
      <c r="B265" s="2">
        <v>25</v>
      </c>
      <c r="C265" t="s">
        <v>114</v>
      </c>
      <c r="D265" s="2" t="s">
        <v>52</v>
      </c>
      <c r="E265" s="2">
        <v>20</v>
      </c>
      <c r="F265" s="2">
        <v>20</v>
      </c>
      <c r="G265" s="2">
        <v>606</v>
      </c>
      <c r="H265" s="2">
        <v>8</v>
      </c>
      <c r="I265" s="2">
        <v>18.2</v>
      </c>
      <c r="J265" s="2">
        <v>0.436</v>
      </c>
      <c r="K265" s="2">
        <v>3.8</v>
      </c>
      <c r="L265" s="2">
        <v>9.3000000000000007</v>
      </c>
      <c r="M265" s="2">
        <v>0.40799999999999997</v>
      </c>
      <c r="N265" s="2">
        <v>4.2</v>
      </c>
      <c r="O265" s="2">
        <v>8.9</v>
      </c>
      <c r="P265" s="2">
        <v>0.46700000000000003</v>
      </c>
      <c r="Q265" s="2">
        <v>0.54100000000000004</v>
      </c>
      <c r="R265" s="2">
        <v>4.5</v>
      </c>
      <c r="S265" s="2">
        <v>5.3</v>
      </c>
      <c r="T265" s="2">
        <v>0.85399999999999998</v>
      </c>
      <c r="U265" s="2">
        <v>0.2</v>
      </c>
      <c r="V265" s="2">
        <v>2.4</v>
      </c>
      <c r="W265" s="2">
        <v>2.6</v>
      </c>
      <c r="X265" s="2">
        <v>5.9</v>
      </c>
      <c r="Y265" s="2">
        <v>1.9</v>
      </c>
      <c r="Z265" s="2">
        <v>0.5</v>
      </c>
      <c r="AA265" s="2">
        <v>4</v>
      </c>
      <c r="AB265" s="2">
        <v>3.9</v>
      </c>
      <c r="AC265" s="2">
        <v>24.2</v>
      </c>
      <c r="AD265" s="2"/>
    </row>
    <row r="266" spans="1:30" x14ac:dyDescent="0.2">
      <c r="A266" t="s">
        <v>457</v>
      </c>
      <c r="B266" s="2">
        <v>20</v>
      </c>
      <c r="C266" t="s">
        <v>39</v>
      </c>
      <c r="D266" s="2" t="s">
        <v>27</v>
      </c>
      <c r="E266" s="2">
        <v>17</v>
      </c>
      <c r="F266" s="2">
        <v>1</v>
      </c>
      <c r="G266" s="2">
        <v>154</v>
      </c>
      <c r="H266" s="2">
        <v>2.1</v>
      </c>
      <c r="I266" s="2">
        <v>6.8</v>
      </c>
      <c r="J266" s="2">
        <v>0.31</v>
      </c>
      <c r="K266" s="2">
        <v>1.2</v>
      </c>
      <c r="L266" s="2">
        <v>5.0999999999999996</v>
      </c>
      <c r="M266" s="2">
        <v>0.22700000000000001</v>
      </c>
      <c r="N266" s="2">
        <v>0.9</v>
      </c>
      <c r="O266" s="2">
        <v>1.6</v>
      </c>
      <c r="P266" s="2">
        <v>0.57099999999999995</v>
      </c>
      <c r="Q266" s="2">
        <v>0.39700000000000002</v>
      </c>
      <c r="R266" s="2">
        <v>0</v>
      </c>
      <c r="S266" s="2">
        <v>0.2</v>
      </c>
      <c r="T266" s="2">
        <v>0</v>
      </c>
      <c r="U266" s="2">
        <v>1.4</v>
      </c>
      <c r="V266" s="2">
        <v>3.3</v>
      </c>
      <c r="W266" s="2">
        <v>4.7</v>
      </c>
      <c r="X266" s="2">
        <v>0.9</v>
      </c>
      <c r="Y266" s="2">
        <v>1.2</v>
      </c>
      <c r="Z266" s="2">
        <v>1.4</v>
      </c>
      <c r="AA266" s="2">
        <v>0.9</v>
      </c>
      <c r="AB266" s="2">
        <v>2.6</v>
      </c>
      <c r="AC266" s="2">
        <v>5.4</v>
      </c>
      <c r="AD266" s="2"/>
    </row>
    <row r="267" spans="1:30" x14ac:dyDescent="0.2">
      <c r="A267" t="s">
        <v>317</v>
      </c>
      <c r="B267" s="2">
        <v>26</v>
      </c>
      <c r="C267" t="s">
        <v>117</v>
      </c>
      <c r="D267" s="2" t="s">
        <v>33</v>
      </c>
      <c r="E267" s="2">
        <v>11</v>
      </c>
      <c r="F267" s="2">
        <v>7</v>
      </c>
      <c r="G267" s="2">
        <v>282</v>
      </c>
      <c r="H267" s="2">
        <v>5.0999999999999996</v>
      </c>
      <c r="I267" s="2">
        <v>12.9</v>
      </c>
      <c r="J267" s="2">
        <v>0.39600000000000002</v>
      </c>
      <c r="K267" s="2">
        <v>3.1</v>
      </c>
      <c r="L267" s="2">
        <v>7.7</v>
      </c>
      <c r="M267" s="2">
        <v>0.4</v>
      </c>
      <c r="N267" s="2">
        <v>2</v>
      </c>
      <c r="O267" s="2">
        <v>5.2</v>
      </c>
      <c r="P267" s="2">
        <v>0.39</v>
      </c>
      <c r="Q267" s="2">
        <v>0.51500000000000001</v>
      </c>
      <c r="R267" s="2">
        <v>1.8</v>
      </c>
      <c r="S267" s="2">
        <v>2.2000000000000002</v>
      </c>
      <c r="T267" s="2">
        <v>0.82399999999999995</v>
      </c>
      <c r="U267" s="2">
        <v>0.8</v>
      </c>
      <c r="V267" s="2">
        <v>2.2999999999999998</v>
      </c>
      <c r="W267" s="2">
        <v>3.1</v>
      </c>
      <c r="X267" s="2">
        <v>6.3</v>
      </c>
      <c r="Y267" s="2">
        <v>2.2000000000000002</v>
      </c>
      <c r="Z267" s="2">
        <v>0.4</v>
      </c>
      <c r="AA267" s="2">
        <v>1.8</v>
      </c>
      <c r="AB267" s="2">
        <v>3.3</v>
      </c>
      <c r="AC267" s="2">
        <v>15.1</v>
      </c>
      <c r="AD267" s="2"/>
    </row>
    <row r="268" spans="1:30" x14ac:dyDescent="0.2">
      <c r="A268" t="s">
        <v>161</v>
      </c>
      <c r="B268" s="2">
        <v>22</v>
      </c>
      <c r="C268" t="s">
        <v>70</v>
      </c>
      <c r="D268" s="2" t="s">
        <v>33</v>
      </c>
      <c r="E268" s="2">
        <v>25</v>
      </c>
      <c r="F268" s="2">
        <v>25</v>
      </c>
      <c r="G268" s="2">
        <v>679</v>
      </c>
      <c r="H268" s="2">
        <v>5.9</v>
      </c>
      <c r="I268" s="2">
        <v>13.4</v>
      </c>
      <c r="J268" s="2">
        <v>0.443</v>
      </c>
      <c r="K268" s="2">
        <v>1.5</v>
      </c>
      <c r="L268" s="2">
        <v>4.8</v>
      </c>
      <c r="M268" s="2">
        <v>0.31900000000000001</v>
      </c>
      <c r="N268" s="2">
        <v>4.4000000000000004</v>
      </c>
      <c r="O268" s="2">
        <v>8.6</v>
      </c>
      <c r="P268" s="2">
        <v>0.51200000000000001</v>
      </c>
      <c r="Q268" s="2">
        <v>0.5</v>
      </c>
      <c r="R268" s="2">
        <v>2.1</v>
      </c>
      <c r="S268" s="2">
        <v>3.1</v>
      </c>
      <c r="T268" s="2">
        <v>0.69</v>
      </c>
      <c r="U268" s="2">
        <v>1.5</v>
      </c>
      <c r="V268" s="2">
        <v>6.7</v>
      </c>
      <c r="W268" s="2">
        <v>8.1999999999999993</v>
      </c>
      <c r="X268" s="2">
        <v>9.1</v>
      </c>
      <c r="Y268" s="2">
        <v>1.1000000000000001</v>
      </c>
      <c r="Z268" s="2">
        <v>0.6</v>
      </c>
      <c r="AA268" s="2">
        <v>3.4</v>
      </c>
      <c r="AB268" s="2">
        <v>2</v>
      </c>
      <c r="AC268" s="2">
        <v>15.5</v>
      </c>
      <c r="AD268" s="2"/>
    </row>
    <row r="269" spans="1:30" x14ac:dyDescent="0.2">
      <c r="A269" t="s">
        <v>264</v>
      </c>
      <c r="B269" s="2">
        <v>24</v>
      </c>
      <c r="C269" t="s">
        <v>59</v>
      </c>
      <c r="D269" s="2" t="s">
        <v>52</v>
      </c>
      <c r="E269" s="2">
        <v>22</v>
      </c>
      <c r="F269" s="2">
        <v>21</v>
      </c>
      <c r="G269" s="2">
        <v>608</v>
      </c>
      <c r="H269" s="2">
        <v>3.6</v>
      </c>
      <c r="I269" s="2">
        <v>8.1</v>
      </c>
      <c r="J269" s="2">
        <v>0.438</v>
      </c>
      <c r="K269" s="2">
        <v>2</v>
      </c>
      <c r="L269" s="2">
        <v>4.3</v>
      </c>
      <c r="M269" s="2">
        <v>0.45200000000000001</v>
      </c>
      <c r="N269" s="2">
        <v>1.6</v>
      </c>
      <c r="O269" s="2">
        <v>3.8</v>
      </c>
      <c r="P269" s="2">
        <v>0.42199999999999999</v>
      </c>
      <c r="Q269" s="2">
        <v>0.55800000000000005</v>
      </c>
      <c r="R269" s="2">
        <v>0.8</v>
      </c>
      <c r="S269" s="2">
        <v>1.3</v>
      </c>
      <c r="T269" s="2">
        <v>0.59099999999999997</v>
      </c>
      <c r="U269" s="2">
        <v>1.2</v>
      </c>
      <c r="V269" s="2">
        <v>2.2000000000000002</v>
      </c>
      <c r="W269" s="2">
        <v>3.4</v>
      </c>
      <c r="X269" s="2">
        <v>2.2000000000000002</v>
      </c>
      <c r="Y269" s="2">
        <v>1.1000000000000001</v>
      </c>
      <c r="Z269" s="2">
        <v>0.4</v>
      </c>
      <c r="AA269" s="2">
        <v>1.1000000000000001</v>
      </c>
      <c r="AB269" s="2">
        <v>3.8</v>
      </c>
      <c r="AC269" s="2">
        <v>9.8000000000000007</v>
      </c>
      <c r="AD269" s="2"/>
    </row>
    <row r="270" spans="1:30" x14ac:dyDescent="0.2">
      <c r="A270" t="s">
        <v>128</v>
      </c>
      <c r="B270" s="2">
        <v>29</v>
      </c>
      <c r="C270" t="s">
        <v>44</v>
      </c>
      <c r="D270" s="2" t="s">
        <v>52</v>
      </c>
      <c r="E270" s="2">
        <v>25</v>
      </c>
      <c r="F270" s="2">
        <v>25</v>
      </c>
      <c r="G270" s="2">
        <v>924</v>
      </c>
      <c r="H270" s="2">
        <v>5.3</v>
      </c>
      <c r="I270" s="2">
        <v>9</v>
      </c>
      <c r="J270" s="2">
        <v>0.59599999999999997</v>
      </c>
      <c r="K270" s="2">
        <v>1.4</v>
      </c>
      <c r="L270" s="2">
        <v>3.4</v>
      </c>
      <c r="M270" s="2">
        <v>0.40699999999999997</v>
      </c>
      <c r="N270" s="2">
        <v>4</v>
      </c>
      <c r="O270" s="2">
        <v>5.6</v>
      </c>
      <c r="P270" s="2">
        <v>0.70799999999999996</v>
      </c>
      <c r="Q270" s="2">
        <v>0.67200000000000004</v>
      </c>
      <c r="R270" s="2">
        <v>1.8</v>
      </c>
      <c r="S270" s="2">
        <v>2.1</v>
      </c>
      <c r="T270" s="2">
        <v>0.84899999999999998</v>
      </c>
      <c r="U270" s="2">
        <v>1.6</v>
      </c>
      <c r="V270" s="2">
        <v>6.5</v>
      </c>
      <c r="W270" s="2">
        <v>8.1</v>
      </c>
      <c r="X270" s="2">
        <v>5.4</v>
      </c>
      <c r="Y270" s="2">
        <v>1.3</v>
      </c>
      <c r="Z270" s="2">
        <v>0.3</v>
      </c>
      <c r="AA270" s="2">
        <v>1.6</v>
      </c>
      <c r="AB270" s="2">
        <v>2.2999999999999998</v>
      </c>
      <c r="AC270" s="2">
        <v>13.8</v>
      </c>
      <c r="AD270" s="2"/>
    </row>
    <row r="271" spans="1:30" x14ac:dyDescent="0.2">
      <c r="A271" t="s">
        <v>446</v>
      </c>
      <c r="B271" s="2">
        <v>22</v>
      </c>
      <c r="C271" t="s">
        <v>51</v>
      </c>
      <c r="D271" s="2" t="s">
        <v>49</v>
      </c>
      <c r="E271" s="2">
        <v>11</v>
      </c>
      <c r="F271" s="2">
        <v>0</v>
      </c>
      <c r="G271" s="2">
        <v>82</v>
      </c>
      <c r="H271" s="2">
        <v>4.8</v>
      </c>
      <c r="I271" s="2">
        <v>8.3000000000000007</v>
      </c>
      <c r="J271" s="2">
        <v>0.57899999999999996</v>
      </c>
      <c r="K271" s="2">
        <v>0.9</v>
      </c>
      <c r="L271" s="2">
        <v>4.4000000000000004</v>
      </c>
      <c r="M271" s="2">
        <v>0.2</v>
      </c>
      <c r="N271" s="2">
        <v>4</v>
      </c>
      <c r="O271" s="2">
        <v>4</v>
      </c>
      <c r="P271" s="2">
        <v>1</v>
      </c>
      <c r="Q271" s="2">
        <v>0.63200000000000001</v>
      </c>
      <c r="R271" s="2">
        <v>1.3</v>
      </c>
      <c r="S271" s="2">
        <v>2.2000000000000002</v>
      </c>
      <c r="T271" s="2">
        <v>0.6</v>
      </c>
      <c r="U271" s="2">
        <v>0.4</v>
      </c>
      <c r="V271" s="2">
        <v>5.7</v>
      </c>
      <c r="W271" s="2">
        <v>6.1</v>
      </c>
      <c r="X271" s="2">
        <v>2.2000000000000002</v>
      </c>
      <c r="Y271" s="2">
        <v>1.3</v>
      </c>
      <c r="Z271" s="2">
        <v>1.3</v>
      </c>
      <c r="AA271" s="2">
        <v>2.2000000000000002</v>
      </c>
      <c r="AB271" s="2">
        <v>5.3</v>
      </c>
      <c r="AC271" s="2">
        <v>11.9</v>
      </c>
      <c r="AD271" s="2"/>
    </row>
    <row r="272" spans="1:30" x14ac:dyDescent="0.2">
      <c r="A272" t="s">
        <v>342</v>
      </c>
      <c r="B272" s="2">
        <v>26</v>
      </c>
      <c r="C272" t="s">
        <v>54</v>
      </c>
      <c r="D272" s="2" t="s">
        <v>52</v>
      </c>
      <c r="E272" s="2">
        <v>13</v>
      </c>
      <c r="F272" s="2">
        <v>1</v>
      </c>
      <c r="G272" s="2">
        <v>194</v>
      </c>
      <c r="H272" s="2">
        <v>6.7</v>
      </c>
      <c r="I272" s="2">
        <v>13</v>
      </c>
      <c r="J272" s="2">
        <v>0.51400000000000001</v>
      </c>
      <c r="K272" s="2">
        <v>1.9</v>
      </c>
      <c r="L272" s="2">
        <v>4.3</v>
      </c>
      <c r="M272" s="2">
        <v>0.435</v>
      </c>
      <c r="N272" s="2">
        <v>4.8</v>
      </c>
      <c r="O272" s="2">
        <v>8.6999999999999993</v>
      </c>
      <c r="P272" s="2">
        <v>0.55300000000000005</v>
      </c>
      <c r="Q272" s="2">
        <v>0.58599999999999997</v>
      </c>
      <c r="R272" s="2">
        <v>3</v>
      </c>
      <c r="S272" s="2">
        <v>4.3</v>
      </c>
      <c r="T272" s="2">
        <v>0.69599999999999995</v>
      </c>
      <c r="U272" s="2">
        <v>3.2</v>
      </c>
      <c r="V272" s="2">
        <v>4.5999999999999996</v>
      </c>
      <c r="W272" s="2">
        <v>7.8</v>
      </c>
      <c r="X272" s="2">
        <v>1.5</v>
      </c>
      <c r="Y272" s="2">
        <v>2.2000000000000002</v>
      </c>
      <c r="Z272" s="2">
        <v>0.7</v>
      </c>
      <c r="AA272" s="2">
        <v>1.9</v>
      </c>
      <c r="AB272" s="2">
        <v>2.8</v>
      </c>
      <c r="AC272" s="2">
        <v>18.2</v>
      </c>
      <c r="AD272" s="2"/>
    </row>
    <row r="273" spans="1:30" x14ac:dyDescent="0.2">
      <c r="A273" t="s">
        <v>437</v>
      </c>
      <c r="B273" s="2">
        <v>31</v>
      </c>
      <c r="C273" t="s">
        <v>61</v>
      </c>
      <c r="D273" s="2" t="s">
        <v>52</v>
      </c>
      <c r="E273" s="2">
        <v>8</v>
      </c>
      <c r="F273" s="2">
        <v>0</v>
      </c>
      <c r="G273" s="2">
        <v>150</v>
      </c>
      <c r="H273" s="2">
        <v>2.6</v>
      </c>
      <c r="I273" s="2">
        <v>9.1</v>
      </c>
      <c r="J273" s="2">
        <v>0.28899999999999998</v>
      </c>
      <c r="K273" s="2">
        <v>1.4</v>
      </c>
      <c r="L273" s="2">
        <v>5.3</v>
      </c>
      <c r="M273" s="2">
        <v>0.27300000000000002</v>
      </c>
      <c r="N273" s="2">
        <v>1.2</v>
      </c>
      <c r="O273" s="2">
        <v>3.8</v>
      </c>
      <c r="P273" s="2">
        <v>0.313</v>
      </c>
      <c r="Q273" s="2">
        <v>0.36799999999999999</v>
      </c>
      <c r="R273" s="2">
        <v>1</v>
      </c>
      <c r="S273" s="2">
        <v>1</v>
      </c>
      <c r="T273" s="2">
        <v>1</v>
      </c>
      <c r="U273" s="2">
        <v>1.4</v>
      </c>
      <c r="V273" s="2">
        <v>1.4</v>
      </c>
      <c r="W273" s="2">
        <v>2.9</v>
      </c>
      <c r="X273" s="2">
        <v>2.9</v>
      </c>
      <c r="Y273" s="2">
        <v>1.9</v>
      </c>
      <c r="Z273" s="2">
        <v>0.2</v>
      </c>
      <c r="AA273" s="2">
        <v>1.9</v>
      </c>
      <c r="AB273" s="2">
        <v>4.0999999999999996</v>
      </c>
      <c r="AC273" s="2">
        <v>7.7</v>
      </c>
      <c r="AD273" s="2"/>
    </row>
    <row r="274" spans="1:30" x14ac:dyDescent="0.2">
      <c r="A274" t="s">
        <v>176</v>
      </c>
      <c r="B274" s="2">
        <v>34</v>
      </c>
      <c r="C274" t="s">
        <v>39</v>
      </c>
      <c r="D274" s="2" t="s">
        <v>33</v>
      </c>
      <c r="E274" s="2">
        <v>22</v>
      </c>
      <c r="F274" s="2">
        <v>22</v>
      </c>
      <c r="G274" s="2">
        <v>681</v>
      </c>
      <c r="H274" s="2">
        <v>5.2</v>
      </c>
      <c r="I274" s="2">
        <v>12</v>
      </c>
      <c r="J274" s="2">
        <v>0.436</v>
      </c>
      <c r="K274" s="2">
        <v>2.2000000000000002</v>
      </c>
      <c r="L274" s="2">
        <v>6.7</v>
      </c>
      <c r="M274" s="2">
        <v>0.33300000000000002</v>
      </c>
      <c r="N274" s="2">
        <v>3</v>
      </c>
      <c r="O274" s="2">
        <v>5.3</v>
      </c>
      <c r="P274" s="2">
        <v>0.56399999999999995</v>
      </c>
      <c r="Q274" s="2">
        <v>0.52900000000000003</v>
      </c>
      <c r="R274" s="2">
        <v>2</v>
      </c>
      <c r="S274" s="2">
        <v>2.2000000000000002</v>
      </c>
      <c r="T274" s="2">
        <v>0.90200000000000002</v>
      </c>
      <c r="U274" s="2">
        <v>1.4</v>
      </c>
      <c r="V274" s="2">
        <v>3.7</v>
      </c>
      <c r="W274" s="2">
        <v>5.0999999999999996</v>
      </c>
      <c r="X274" s="2">
        <v>4.8</v>
      </c>
      <c r="Y274" s="2">
        <v>0.8</v>
      </c>
      <c r="Z274" s="2">
        <v>0.4</v>
      </c>
      <c r="AA274" s="2">
        <v>1.7</v>
      </c>
      <c r="AB274" s="2">
        <v>1.7</v>
      </c>
      <c r="AC274" s="2">
        <v>14.6</v>
      </c>
      <c r="AD274" s="2"/>
    </row>
    <row r="275" spans="1:30" x14ac:dyDescent="0.2">
      <c r="A275" t="s">
        <v>473</v>
      </c>
      <c r="B275" s="2">
        <v>22</v>
      </c>
      <c r="C275" t="s">
        <v>57</v>
      </c>
      <c r="D275" s="2" t="s">
        <v>27</v>
      </c>
      <c r="E275" s="2">
        <v>3</v>
      </c>
      <c r="F275" s="2">
        <v>0</v>
      </c>
      <c r="G275" s="2">
        <v>16</v>
      </c>
      <c r="H275" s="2">
        <v>15.8</v>
      </c>
      <c r="I275" s="2">
        <v>15.8</v>
      </c>
      <c r="J275" s="2">
        <v>1</v>
      </c>
      <c r="K275" s="2">
        <v>6.8</v>
      </c>
      <c r="L275" s="2">
        <v>6.8</v>
      </c>
      <c r="M275" s="2">
        <v>1</v>
      </c>
      <c r="N275" s="2">
        <v>9</v>
      </c>
      <c r="O275" s="2">
        <v>9</v>
      </c>
      <c r="P275" s="2">
        <v>1</v>
      </c>
      <c r="Q275" s="2">
        <v>1.214</v>
      </c>
      <c r="R275" s="2">
        <v>4.5</v>
      </c>
      <c r="S275" s="2">
        <v>4.5</v>
      </c>
      <c r="T275" s="2">
        <v>1</v>
      </c>
      <c r="U275" s="2">
        <v>0</v>
      </c>
      <c r="V275" s="2">
        <v>4.5</v>
      </c>
      <c r="W275" s="2">
        <v>4.5</v>
      </c>
      <c r="X275" s="2">
        <v>0</v>
      </c>
      <c r="Y275" s="2">
        <v>4.5</v>
      </c>
      <c r="Z275" s="2">
        <v>4.5</v>
      </c>
      <c r="AA275" s="2">
        <v>4.5</v>
      </c>
      <c r="AB275" s="2">
        <v>4.5</v>
      </c>
      <c r="AC275" s="2">
        <v>42.8</v>
      </c>
      <c r="AD275" s="2"/>
    </row>
    <row r="276" spans="1:30" x14ac:dyDescent="0.2">
      <c r="A276" t="s">
        <v>153</v>
      </c>
      <c r="B276" s="2">
        <v>23</v>
      </c>
      <c r="C276" t="s">
        <v>93</v>
      </c>
      <c r="D276" s="2" t="s">
        <v>49</v>
      </c>
      <c r="E276" s="2">
        <v>24</v>
      </c>
      <c r="F276" s="2">
        <v>24</v>
      </c>
      <c r="G276" s="2">
        <v>711</v>
      </c>
      <c r="H276" s="2">
        <v>5.2</v>
      </c>
      <c r="I276" s="2">
        <v>12.1</v>
      </c>
      <c r="J276" s="2">
        <v>0.433</v>
      </c>
      <c r="K276" s="2">
        <v>3</v>
      </c>
      <c r="L276" s="2">
        <v>8.6</v>
      </c>
      <c r="M276" s="2">
        <v>0.35499999999999998</v>
      </c>
      <c r="N276" s="2">
        <v>2.2000000000000002</v>
      </c>
      <c r="O276" s="2">
        <v>3.5</v>
      </c>
      <c r="P276" s="2">
        <v>0.623</v>
      </c>
      <c r="Q276" s="2">
        <v>0.55900000000000005</v>
      </c>
      <c r="R276" s="2">
        <v>1.8</v>
      </c>
      <c r="S276" s="2">
        <v>2</v>
      </c>
      <c r="T276" s="2">
        <v>0.92300000000000004</v>
      </c>
      <c r="U276" s="2">
        <v>1.1000000000000001</v>
      </c>
      <c r="V276" s="2">
        <v>5.2</v>
      </c>
      <c r="W276" s="2">
        <v>6.2</v>
      </c>
      <c r="X276" s="2">
        <v>1.8</v>
      </c>
      <c r="Y276" s="2">
        <v>1</v>
      </c>
      <c r="Z276" s="2">
        <v>0.8</v>
      </c>
      <c r="AA276" s="2">
        <v>1.3</v>
      </c>
      <c r="AB276" s="2">
        <v>1.8</v>
      </c>
      <c r="AC276" s="2">
        <v>15.3</v>
      </c>
      <c r="AD276" s="2"/>
    </row>
    <row r="277" spans="1:30" x14ac:dyDescent="0.2">
      <c r="A277" t="s">
        <v>328</v>
      </c>
      <c r="B277" s="2">
        <v>21</v>
      </c>
      <c r="C277" t="s">
        <v>70</v>
      </c>
      <c r="D277" s="2" t="s">
        <v>49</v>
      </c>
      <c r="E277" s="2">
        <v>24</v>
      </c>
      <c r="F277" s="2">
        <v>2</v>
      </c>
      <c r="G277" s="2">
        <v>344</v>
      </c>
      <c r="H277" s="2">
        <v>4</v>
      </c>
      <c r="I277" s="2">
        <v>9.6</v>
      </c>
      <c r="J277" s="2">
        <v>0.41299999999999998</v>
      </c>
      <c r="K277" s="2">
        <v>1.9</v>
      </c>
      <c r="L277" s="2">
        <v>6</v>
      </c>
      <c r="M277" s="2">
        <v>0.316</v>
      </c>
      <c r="N277" s="2">
        <v>2.1</v>
      </c>
      <c r="O277" s="2">
        <v>3.7</v>
      </c>
      <c r="P277" s="2">
        <v>0.57099999999999995</v>
      </c>
      <c r="Q277" s="2">
        <v>0.51100000000000001</v>
      </c>
      <c r="R277" s="2">
        <v>1.4</v>
      </c>
      <c r="S277" s="2">
        <v>2.2000000000000002</v>
      </c>
      <c r="T277" s="2">
        <v>0.61899999999999999</v>
      </c>
      <c r="U277" s="2">
        <v>2</v>
      </c>
      <c r="V277" s="2">
        <v>3.2</v>
      </c>
      <c r="W277" s="2">
        <v>5.2</v>
      </c>
      <c r="X277" s="2">
        <v>1.2</v>
      </c>
      <c r="Y277" s="2">
        <v>1.7</v>
      </c>
      <c r="Z277" s="2">
        <v>0.6</v>
      </c>
      <c r="AA277" s="2">
        <v>1</v>
      </c>
      <c r="AB277" s="2">
        <v>3.3</v>
      </c>
      <c r="AC277" s="2">
        <v>11.2</v>
      </c>
      <c r="AD277" s="2"/>
    </row>
    <row r="278" spans="1:30" x14ac:dyDescent="0.2">
      <c r="A278" t="s">
        <v>233</v>
      </c>
      <c r="B278" s="2">
        <v>22</v>
      </c>
      <c r="C278" t="s">
        <v>46</v>
      </c>
      <c r="D278" s="2" t="s">
        <v>52</v>
      </c>
      <c r="E278" s="2">
        <v>22</v>
      </c>
      <c r="F278" s="2">
        <v>0</v>
      </c>
      <c r="G278" s="2">
        <v>458</v>
      </c>
      <c r="H278" s="2">
        <v>5.4</v>
      </c>
      <c r="I278" s="2">
        <v>11.7</v>
      </c>
      <c r="J278" s="2">
        <v>0.46300000000000002</v>
      </c>
      <c r="K278" s="2">
        <v>2.4</v>
      </c>
      <c r="L278" s="2">
        <v>6</v>
      </c>
      <c r="M278" s="2">
        <v>0.40799999999999997</v>
      </c>
      <c r="N278" s="2">
        <v>3</v>
      </c>
      <c r="O278" s="2">
        <v>5.7</v>
      </c>
      <c r="P278" s="2">
        <v>0.52100000000000002</v>
      </c>
      <c r="Q278" s="2">
        <v>0.56699999999999995</v>
      </c>
      <c r="R278" s="2">
        <v>2.2999999999999998</v>
      </c>
      <c r="S278" s="2">
        <v>2.8</v>
      </c>
      <c r="T278" s="2">
        <v>0.80600000000000005</v>
      </c>
      <c r="U278" s="2">
        <v>0.6</v>
      </c>
      <c r="V278" s="2">
        <v>2.9</v>
      </c>
      <c r="W278" s="2">
        <v>3.5</v>
      </c>
      <c r="X278" s="2">
        <v>2.4</v>
      </c>
      <c r="Y278" s="2">
        <v>1.4</v>
      </c>
      <c r="Z278" s="2">
        <v>0.7</v>
      </c>
      <c r="AA278" s="2">
        <v>1.7</v>
      </c>
      <c r="AB278" s="2">
        <v>4.5999999999999996</v>
      </c>
      <c r="AC278" s="2">
        <v>15.6</v>
      </c>
      <c r="AD278" s="2"/>
    </row>
    <row r="279" spans="1:30" x14ac:dyDescent="0.2">
      <c r="A279" t="s">
        <v>91</v>
      </c>
      <c r="B279" s="2">
        <v>30</v>
      </c>
      <c r="C279" t="s">
        <v>51</v>
      </c>
      <c r="D279" s="2" t="s">
        <v>27</v>
      </c>
      <c r="E279" s="2">
        <v>23</v>
      </c>
      <c r="F279" s="2">
        <v>23</v>
      </c>
      <c r="G279" s="2">
        <v>763</v>
      </c>
      <c r="H279" s="2">
        <v>7.6</v>
      </c>
      <c r="I279" s="2">
        <v>15.5</v>
      </c>
      <c r="J279" s="2">
        <v>0.48899999999999999</v>
      </c>
      <c r="K279" s="2">
        <v>1.9</v>
      </c>
      <c r="L279" s="2">
        <v>5.0999999999999996</v>
      </c>
      <c r="M279" s="2">
        <v>0.36699999999999999</v>
      </c>
      <c r="N279" s="2">
        <v>5.7</v>
      </c>
      <c r="O279" s="2">
        <v>10.4</v>
      </c>
      <c r="P279" s="2">
        <v>0.55000000000000004</v>
      </c>
      <c r="Q279" s="2">
        <v>0.55000000000000004</v>
      </c>
      <c r="R279" s="2">
        <v>5.0999999999999996</v>
      </c>
      <c r="S279" s="2">
        <v>6.2</v>
      </c>
      <c r="T279" s="2">
        <v>0.82399999999999995</v>
      </c>
      <c r="U279" s="2">
        <v>1.9</v>
      </c>
      <c r="V279" s="2">
        <v>5.7</v>
      </c>
      <c r="W279" s="2">
        <v>7.5</v>
      </c>
      <c r="X279" s="2">
        <v>4.4000000000000004</v>
      </c>
      <c r="Y279" s="2">
        <v>0.8</v>
      </c>
      <c r="Z279" s="2">
        <v>0.1</v>
      </c>
      <c r="AA279" s="2">
        <v>2.9</v>
      </c>
      <c r="AB279" s="2">
        <v>2.7</v>
      </c>
      <c r="AC279" s="2">
        <v>22.2</v>
      </c>
      <c r="AD279" s="2"/>
    </row>
    <row r="280" spans="1:30" x14ac:dyDescent="0.2">
      <c r="A280" t="s">
        <v>410</v>
      </c>
      <c r="B280" s="2">
        <v>23</v>
      </c>
      <c r="C280" t="s">
        <v>114</v>
      </c>
      <c r="D280" s="2" t="s">
        <v>49</v>
      </c>
      <c r="E280" s="2">
        <v>5</v>
      </c>
      <c r="F280" s="2">
        <v>2</v>
      </c>
      <c r="G280" s="2">
        <v>105</v>
      </c>
      <c r="H280" s="2">
        <v>6.5</v>
      </c>
      <c r="I280" s="2">
        <v>11.7</v>
      </c>
      <c r="J280" s="2">
        <v>0.55900000000000005</v>
      </c>
      <c r="K280" s="2">
        <v>1.7</v>
      </c>
      <c r="L280" s="2">
        <v>4.0999999999999996</v>
      </c>
      <c r="M280" s="2">
        <v>0.41699999999999998</v>
      </c>
      <c r="N280" s="2">
        <v>4.8</v>
      </c>
      <c r="O280" s="2">
        <v>7.5</v>
      </c>
      <c r="P280" s="2">
        <v>0.63600000000000001</v>
      </c>
      <c r="Q280" s="2">
        <v>0.63200000000000001</v>
      </c>
      <c r="R280" s="2">
        <v>1</v>
      </c>
      <c r="S280" s="2">
        <v>1.7</v>
      </c>
      <c r="T280" s="2">
        <v>0.6</v>
      </c>
      <c r="U280" s="2">
        <v>3.4</v>
      </c>
      <c r="V280" s="2">
        <v>4.5</v>
      </c>
      <c r="W280" s="2">
        <v>7.9</v>
      </c>
      <c r="X280" s="2">
        <v>1.7</v>
      </c>
      <c r="Y280" s="2">
        <v>2.4</v>
      </c>
      <c r="Z280" s="2">
        <v>0.7</v>
      </c>
      <c r="AA280" s="2">
        <v>1.7</v>
      </c>
      <c r="AB280" s="2">
        <v>4.0999999999999996</v>
      </c>
      <c r="AC280" s="2">
        <v>15.8</v>
      </c>
      <c r="AD280" s="2"/>
    </row>
    <row r="281" spans="1:30" x14ac:dyDescent="0.2">
      <c r="A281" t="s">
        <v>524</v>
      </c>
      <c r="B281" s="2">
        <v>21</v>
      </c>
      <c r="C281" t="s">
        <v>122</v>
      </c>
      <c r="D281" s="2" t="s">
        <v>49</v>
      </c>
      <c r="E281" s="2">
        <v>2</v>
      </c>
      <c r="F281" s="2">
        <v>0</v>
      </c>
      <c r="G281" s="2">
        <v>9</v>
      </c>
      <c r="H281" s="2">
        <v>8</v>
      </c>
      <c r="I281" s="2">
        <v>12</v>
      </c>
      <c r="J281" s="2">
        <v>0.66700000000000004</v>
      </c>
      <c r="K281" s="2">
        <v>0</v>
      </c>
      <c r="L281" s="2">
        <v>4</v>
      </c>
      <c r="M281" s="2">
        <v>0</v>
      </c>
      <c r="N281" s="2">
        <v>8</v>
      </c>
      <c r="O281" s="2">
        <v>8</v>
      </c>
      <c r="P281" s="2">
        <v>1</v>
      </c>
      <c r="Q281" s="2">
        <v>0.66700000000000004</v>
      </c>
      <c r="R281" s="2">
        <v>0</v>
      </c>
      <c r="S281" s="2">
        <v>4</v>
      </c>
      <c r="T281" s="2">
        <v>0</v>
      </c>
      <c r="U281" s="2">
        <v>0</v>
      </c>
      <c r="V281" s="2">
        <v>8</v>
      </c>
      <c r="W281" s="2">
        <v>8</v>
      </c>
      <c r="X281" s="2">
        <v>4</v>
      </c>
      <c r="Y281" s="2">
        <v>0</v>
      </c>
      <c r="Z281" s="2">
        <v>0</v>
      </c>
      <c r="AA281" s="2">
        <v>0</v>
      </c>
      <c r="AB281" s="2">
        <v>0</v>
      </c>
      <c r="AC281" s="2">
        <v>16</v>
      </c>
      <c r="AD281" s="2"/>
    </row>
    <row r="282" spans="1:30" x14ac:dyDescent="0.2">
      <c r="A282" t="s">
        <v>564</v>
      </c>
      <c r="B282" s="2">
        <v>25</v>
      </c>
      <c r="C282" t="s">
        <v>135</v>
      </c>
      <c r="D282" s="2" t="s">
        <v>49</v>
      </c>
      <c r="E282" s="2">
        <v>1</v>
      </c>
      <c r="F282" s="2">
        <v>0</v>
      </c>
      <c r="G282" s="2">
        <v>6</v>
      </c>
      <c r="H282" s="2">
        <v>0</v>
      </c>
      <c r="I282" s="2">
        <v>0</v>
      </c>
      <c r="J282" s="2"/>
      <c r="K282" s="2">
        <v>0</v>
      </c>
      <c r="L282" s="2">
        <v>0</v>
      </c>
      <c r="M282" s="2"/>
      <c r="N282" s="2">
        <v>0</v>
      </c>
      <c r="O282" s="2">
        <v>0</v>
      </c>
      <c r="P282" s="2"/>
      <c r="Q282" s="2"/>
      <c r="R282" s="2">
        <v>0</v>
      </c>
      <c r="S282" s="2">
        <v>0</v>
      </c>
      <c r="T282" s="2"/>
      <c r="U282" s="2">
        <v>0</v>
      </c>
      <c r="V282" s="2">
        <v>6</v>
      </c>
      <c r="W282" s="2">
        <v>6</v>
      </c>
      <c r="X282" s="2">
        <v>0</v>
      </c>
      <c r="Y282" s="2">
        <v>0</v>
      </c>
      <c r="Z282" s="2">
        <v>0</v>
      </c>
      <c r="AA282" s="2">
        <v>0</v>
      </c>
      <c r="AB282" s="2">
        <v>6</v>
      </c>
      <c r="AC282" s="2">
        <v>0</v>
      </c>
      <c r="AD282" s="2"/>
    </row>
    <row r="283" spans="1:30" x14ac:dyDescent="0.2">
      <c r="A283" t="s">
        <v>293</v>
      </c>
      <c r="B283" s="2">
        <v>30</v>
      </c>
      <c r="C283" t="s">
        <v>54</v>
      </c>
      <c r="D283" s="2" t="s">
        <v>42</v>
      </c>
      <c r="E283" s="2">
        <v>16</v>
      </c>
      <c r="F283" s="2">
        <v>16</v>
      </c>
      <c r="G283" s="2">
        <v>385</v>
      </c>
      <c r="H283" s="2">
        <v>4.4000000000000004</v>
      </c>
      <c r="I283" s="2">
        <v>10.5</v>
      </c>
      <c r="J283" s="2">
        <v>0.42</v>
      </c>
      <c r="K283" s="2">
        <v>1.3</v>
      </c>
      <c r="L283" s="2">
        <v>4.4000000000000004</v>
      </c>
      <c r="M283" s="2">
        <v>0.29799999999999999</v>
      </c>
      <c r="N283" s="2">
        <v>3.1</v>
      </c>
      <c r="O283" s="2">
        <v>6.1</v>
      </c>
      <c r="P283" s="2">
        <v>0.50800000000000001</v>
      </c>
      <c r="Q283" s="2">
        <v>0.48199999999999998</v>
      </c>
      <c r="R283" s="2">
        <v>3.3</v>
      </c>
      <c r="S283" s="2">
        <v>4.9000000000000004</v>
      </c>
      <c r="T283" s="2">
        <v>0.67300000000000004</v>
      </c>
      <c r="U283" s="2">
        <v>2.7</v>
      </c>
      <c r="V283" s="2">
        <v>12.2</v>
      </c>
      <c r="W283" s="2">
        <v>14.9</v>
      </c>
      <c r="X283" s="2">
        <v>2</v>
      </c>
      <c r="Y283" s="2">
        <v>1.4</v>
      </c>
      <c r="Z283" s="2">
        <v>0.9</v>
      </c>
      <c r="AA283" s="2">
        <v>3.5</v>
      </c>
      <c r="AB283" s="2">
        <v>4.4000000000000004</v>
      </c>
      <c r="AC283" s="2">
        <v>13.4</v>
      </c>
      <c r="AD283" s="2"/>
    </row>
    <row r="284" spans="1:30" x14ac:dyDescent="0.2">
      <c r="A284" t="s">
        <v>423</v>
      </c>
      <c r="B284" s="2">
        <v>24</v>
      </c>
      <c r="C284" t="s">
        <v>77</v>
      </c>
      <c r="D284" s="2" t="s">
        <v>42</v>
      </c>
      <c r="E284" s="2">
        <v>16</v>
      </c>
      <c r="F284" s="2">
        <v>0</v>
      </c>
      <c r="G284" s="2">
        <v>139</v>
      </c>
      <c r="H284" s="2">
        <v>3.9</v>
      </c>
      <c r="I284" s="2">
        <v>5.2</v>
      </c>
      <c r="J284" s="2">
        <v>0.75</v>
      </c>
      <c r="K284" s="2">
        <v>0</v>
      </c>
      <c r="L284" s="2">
        <v>0</v>
      </c>
      <c r="M284" s="2"/>
      <c r="N284" s="2">
        <v>3.9</v>
      </c>
      <c r="O284" s="2">
        <v>5.2</v>
      </c>
      <c r="P284" s="2">
        <v>0.75</v>
      </c>
      <c r="Q284" s="2">
        <v>0.75</v>
      </c>
      <c r="R284" s="2">
        <v>1.8</v>
      </c>
      <c r="S284" s="2">
        <v>2.6</v>
      </c>
      <c r="T284" s="2">
        <v>0.7</v>
      </c>
      <c r="U284" s="2">
        <v>2.8</v>
      </c>
      <c r="V284" s="2">
        <v>5.2</v>
      </c>
      <c r="W284" s="2">
        <v>8</v>
      </c>
      <c r="X284" s="2">
        <v>1.6</v>
      </c>
      <c r="Y284" s="2">
        <v>1</v>
      </c>
      <c r="Z284" s="2">
        <v>2.2999999999999998</v>
      </c>
      <c r="AA284" s="2">
        <v>1.8</v>
      </c>
      <c r="AB284" s="2">
        <v>4.4000000000000004</v>
      </c>
      <c r="AC284" s="2">
        <v>9.6</v>
      </c>
      <c r="AD284" s="2"/>
    </row>
    <row r="285" spans="1:30" x14ac:dyDescent="0.2">
      <c r="A285" t="s">
        <v>55</v>
      </c>
      <c r="B285" s="2">
        <v>29</v>
      </c>
      <c r="C285" t="s">
        <v>44</v>
      </c>
      <c r="D285" s="2" t="s">
        <v>42</v>
      </c>
      <c r="E285" s="2">
        <v>23</v>
      </c>
      <c r="F285" s="2">
        <v>23</v>
      </c>
      <c r="G285" s="2">
        <v>781</v>
      </c>
      <c r="H285" s="2">
        <v>9.4</v>
      </c>
      <c r="I285" s="2">
        <v>17.7</v>
      </c>
      <c r="J285" s="2">
        <v>0.52900000000000003</v>
      </c>
      <c r="K285" s="2">
        <v>2.4</v>
      </c>
      <c r="L285" s="2">
        <v>5.5</v>
      </c>
      <c r="M285" s="2">
        <v>0.442</v>
      </c>
      <c r="N285" s="2">
        <v>6.9</v>
      </c>
      <c r="O285" s="2">
        <v>12.2</v>
      </c>
      <c r="P285" s="2">
        <v>0.56799999999999995</v>
      </c>
      <c r="Q285" s="2">
        <v>0.59799999999999998</v>
      </c>
      <c r="R285" s="2">
        <v>5.2</v>
      </c>
      <c r="S285" s="2">
        <v>6.2</v>
      </c>
      <c r="T285" s="2">
        <v>0.83699999999999997</v>
      </c>
      <c r="U285" s="2">
        <v>3.1</v>
      </c>
      <c r="V285" s="2">
        <v>11.3</v>
      </c>
      <c r="W285" s="2">
        <v>14.4</v>
      </c>
      <c r="X285" s="2">
        <v>3.4</v>
      </c>
      <c r="Y285" s="2">
        <v>1</v>
      </c>
      <c r="Z285" s="2">
        <v>1.1000000000000001</v>
      </c>
      <c r="AA285" s="2">
        <v>2.5</v>
      </c>
      <c r="AB285" s="2">
        <v>3.6</v>
      </c>
      <c r="AC285" s="2">
        <v>26.4</v>
      </c>
      <c r="AD285" s="2"/>
    </row>
    <row r="286" spans="1:30" x14ac:dyDescent="0.2">
      <c r="A286" t="s">
        <v>530</v>
      </c>
      <c r="B286" s="2">
        <v>23</v>
      </c>
      <c r="C286" t="s">
        <v>117</v>
      </c>
      <c r="D286" s="2" t="s">
        <v>27</v>
      </c>
      <c r="E286" s="2">
        <v>5</v>
      </c>
      <c r="F286" s="2">
        <v>0</v>
      </c>
      <c r="G286" s="2">
        <v>39</v>
      </c>
      <c r="H286" s="2">
        <v>1.8</v>
      </c>
      <c r="I286" s="2">
        <v>4.5999999999999996</v>
      </c>
      <c r="J286" s="2">
        <v>0.4</v>
      </c>
      <c r="K286" s="2">
        <v>0</v>
      </c>
      <c r="L286" s="2">
        <v>0</v>
      </c>
      <c r="M286" s="2"/>
      <c r="N286" s="2">
        <v>1.8</v>
      </c>
      <c r="O286" s="2">
        <v>4.5999999999999996</v>
      </c>
      <c r="P286" s="2">
        <v>0.4</v>
      </c>
      <c r="Q286" s="2">
        <v>0.4</v>
      </c>
      <c r="R286" s="2">
        <v>0</v>
      </c>
      <c r="S286" s="2">
        <v>0</v>
      </c>
      <c r="T286" s="2"/>
      <c r="U286" s="2">
        <v>5.5</v>
      </c>
      <c r="V286" s="2">
        <v>3.7</v>
      </c>
      <c r="W286" s="2">
        <v>9.1999999999999993</v>
      </c>
      <c r="X286" s="2">
        <v>0</v>
      </c>
      <c r="Y286" s="2">
        <v>2.8</v>
      </c>
      <c r="Z286" s="2">
        <v>2.8</v>
      </c>
      <c r="AA286" s="2">
        <v>3.7</v>
      </c>
      <c r="AB286" s="2">
        <v>3.7</v>
      </c>
      <c r="AC286" s="2">
        <v>3.7</v>
      </c>
      <c r="AD286" s="2"/>
    </row>
    <row r="287" spans="1:30" x14ac:dyDescent="0.2">
      <c r="A287" t="s">
        <v>396</v>
      </c>
      <c r="B287" s="2">
        <v>25</v>
      </c>
      <c r="C287" t="s">
        <v>72</v>
      </c>
      <c r="D287" s="2" t="s">
        <v>33</v>
      </c>
      <c r="E287" s="2">
        <v>12</v>
      </c>
      <c r="F287" s="2">
        <v>1</v>
      </c>
      <c r="G287" s="2">
        <v>194</v>
      </c>
      <c r="H287" s="2">
        <v>4.0999999999999996</v>
      </c>
      <c r="I287" s="2">
        <v>10.199999999999999</v>
      </c>
      <c r="J287" s="2">
        <v>0.4</v>
      </c>
      <c r="K287" s="2">
        <v>1.5</v>
      </c>
      <c r="L287" s="2">
        <v>4.8</v>
      </c>
      <c r="M287" s="2">
        <v>0.308</v>
      </c>
      <c r="N287" s="2">
        <v>2.6</v>
      </c>
      <c r="O287" s="2">
        <v>5.4</v>
      </c>
      <c r="P287" s="2">
        <v>0.48299999999999998</v>
      </c>
      <c r="Q287" s="2">
        <v>0.47299999999999998</v>
      </c>
      <c r="R287" s="2">
        <v>0.7</v>
      </c>
      <c r="S287" s="2">
        <v>0.7</v>
      </c>
      <c r="T287" s="2">
        <v>1</v>
      </c>
      <c r="U287" s="2">
        <v>0.4</v>
      </c>
      <c r="V287" s="2">
        <v>3</v>
      </c>
      <c r="W287" s="2">
        <v>3.3</v>
      </c>
      <c r="X287" s="2">
        <v>4.0999999999999996</v>
      </c>
      <c r="Y287" s="2">
        <v>1.9</v>
      </c>
      <c r="Z287" s="2">
        <v>1.1000000000000001</v>
      </c>
      <c r="AA287" s="2">
        <v>2.2000000000000002</v>
      </c>
      <c r="AB287" s="2">
        <v>2.4</v>
      </c>
      <c r="AC287" s="2">
        <v>10.4</v>
      </c>
      <c r="AD287" s="2"/>
    </row>
    <row r="288" spans="1:30" x14ac:dyDescent="0.2">
      <c r="A288" t="s">
        <v>147</v>
      </c>
      <c r="B288" s="2">
        <v>24</v>
      </c>
      <c r="C288" t="s">
        <v>37</v>
      </c>
      <c r="D288" s="2" t="s">
        <v>27</v>
      </c>
      <c r="E288" s="2">
        <v>26</v>
      </c>
      <c r="F288" s="2">
        <v>26</v>
      </c>
      <c r="G288" s="2">
        <v>944</v>
      </c>
      <c r="H288" s="2">
        <v>4.8</v>
      </c>
      <c r="I288" s="2">
        <v>11.2</v>
      </c>
      <c r="J288" s="2">
        <v>0.42899999999999999</v>
      </c>
      <c r="K288" s="2">
        <v>1.6</v>
      </c>
      <c r="L288" s="2">
        <v>5.5</v>
      </c>
      <c r="M288" s="2">
        <v>0.29899999999999999</v>
      </c>
      <c r="N288" s="2">
        <v>3.2</v>
      </c>
      <c r="O288" s="2">
        <v>5.7</v>
      </c>
      <c r="P288" s="2">
        <v>0.55300000000000005</v>
      </c>
      <c r="Q288" s="2">
        <v>0.502</v>
      </c>
      <c r="R288" s="2">
        <v>1</v>
      </c>
      <c r="S288" s="2">
        <v>1.2</v>
      </c>
      <c r="T288" s="2">
        <v>0.84399999999999997</v>
      </c>
      <c r="U288" s="2">
        <v>2.4</v>
      </c>
      <c r="V288" s="2">
        <v>5.2</v>
      </c>
      <c r="W288" s="2">
        <v>7.6</v>
      </c>
      <c r="X288" s="2">
        <v>1.5</v>
      </c>
      <c r="Y288" s="2">
        <v>0.7</v>
      </c>
      <c r="Z288" s="2">
        <v>0.8</v>
      </c>
      <c r="AA288" s="2">
        <v>1</v>
      </c>
      <c r="AB288" s="2">
        <v>3.1</v>
      </c>
      <c r="AC288" s="2">
        <v>12.3</v>
      </c>
      <c r="AD288" s="2"/>
    </row>
    <row r="289" spans="1:30" x14ac:dyDescent="0.2">
      <c r="A289" t="s">
        <v>455</v>
      </c>
      <c r="B289" s="2">
        <v>20</v>
      </c>
      <c r="C289" t="s">
        <v>61</v>
      </c>
      <c r="D289" s="2" t="s">
        <v>42</v>
      </c>
      <c r="E289" s="2">
        <v>10</v>
      </c>
      <c r="F289" s="2">
        <v>0</v>
      </c>
      <c r="G289" s="2">
        <v>69</v>
      </c>
      <c r="H289" s="2">
        <v>5.2</v>
      </c>
      <c r="I289" s="2">
        <v>13</v>
      </c>
      <c r="J289" s="2">
        <v>0.4</v>
      </c>
      <c r="K289" s="2">
        <v>1</v>
      </c>
      <c r="L289" s="2">
        <v>3.7</v>
      </c>
      <c r="M289" s="2">
        <v>0.28599999999999998</v>
      </c>
      <c r="N289" s="2">
        <v>4.2</v>
      </c>
      <c r="O289" s="2">
        <v>9.4</v>
      </c>
      <c r="P289" s="2">
        <v>0.44400000000000001</v>
      </c>
      <c r="Q289" s="2">
        <v>0.44</v>
      </c>
      <c r="R289" s="2">
        <v>1</v>
      </c>
      <c r="S289" s="2">
        <v>1</v>
      </c>
      <c r="T289" s="2">
        <v>1</v>
      </c>
      <c r="U289" s="2">
        <v>1</v>
      </c>
      <c r="V289" s="2">
        <v>7.3</v>
      </c>
      <c r="W289" s="2">
        <v>8.3000000000000007</v>
      </c>
      <c r="X289" s="2">
        <v>0.5</v>
      </c>
      <c r="Y289" s="2">
        <v>1.6</v>
      </c>
      <c r="Z289" s="2">
        <v>2.6</v>
      </c>
      <c r="AA289" s="2">
        <v>2.1</v>
      </c>
      <c r="AB289" s="2">
        <v>3.1</v>
      </c>
      <c r="AC289" s="2">
        <v>12.5</v>
      </c>
      <c r="AD289" s="2"/>
    </row>
    <row r="290" spans="1:30" x14ac:dyDescent="0.2">
      <c r="A290" t="s">
        <v>164</v>
      </c>
      <c r="B290" s="2">
        <v>25</v>
      </c>
      <c r="C290" t="s">
        <v>93</v>
      </c>
      <c r="D290" s="2" t="s">
        <v>49</v>
      </c>
      <c r="E290" s="2">
        <v>23</v>
      </c>
      <c r="F290" s="2">
        <v>0</v>
      </c>
      <c r="G290" s="2">
        <v>583</v>
      </c>
      <c r="H290" s="2">
        <v>6.6</v>
      </c>
      <c r="I290" s="2">
        <v>14.8</v>
      </c>
      <c r="J290" s="2">
        <v>0.44800000000000001</v>
      </c>
      <c r="K290" s="2">
        <v>1.6</v>
      </c>
      <c r="L290" s="2">
        <v>5.6</v>
      </c>
      <c r="M290" s="2">
        <v>0.28599999999999998</v>
      </c>
      <c r="N290" s="2">
        <v>5</v>
      </c>
      <c r="O290" s="2">
        <v>9.1</v>
      </c>
      <c r="P290" s="2">
        <v>0.54700000000000004</v>
      </c>
      <c r="Q290" s="2">
        <v>0.502</v>
      </c>
      <c r="R290" s="2">
        <v>3.1</v>
      </c>
      <c r="S290" s="2">
        <v>4.0999999999999996</v>
      </c>
      <c r="T290" s="2">
        <v>0.76100000000000001</v>
      </c>
      <c r="U290" s="2">
        <v>1.6</v>
      </c>
      <c r="V290" s="2">
        <v>6</v>
      </c>
      <c r="W290" s="2">
        <v>7.6</v>
      </c>
      <c r="X290" s="2">
        <v>2.2999999999999998</v>
      </c>
      <c r="Y290" s="2">
        <v>1.1000000000000001</v>
      </c>
      <c r="Z290" s="2">
        <v>0.3</v>
      </c>
      <c r="AA290" s="2">
        <v>1.1000000000000001</v>
      </c>
      <c r="AB290" s="2">
        <v>2.5</v>
      </c>
      <c r="AC290" s="2">
        <v>18</v>
      </c>
      <c r="AD290" s="2"/>
    </row>
    <row r="291" spans="1:30" x14ac:dyDescent="0.2">
      <c r="A291" t="s">
        <v>472</v>
      </c>
      <c r="B291" s="2">
        <v>33</v>
      </c>
      <c r="C291" t="s">
        <v>66</v>
      </c>
      <c r="D291" s="2" t="s">
        <v>42</v>
      </c>
      <c r="E291" s="2">
        <v>3</v>
      </c>
      <c r="F291" s="2">
        <v>0</v>
      </c>
      <c r="G291" s="2">
        <v>41</v>
      </c>
      <c r="H291" s="2">
        <v>5.3</v>
      </c>
      <c r="I291" s="2">
        <v>14.9</v>
      </c>
      <c r="J291" s="2">
        <v>0.35299999999999998</v>
      </c>
      <c r="K291" s="2">
        <v>2.6</v>
      </c>
      <c r="L291" s="2">
        <v>6.1</v>
      </c>
      <c r="M291" s="2">
        <v>0.42899999999999999</v>
      </c>
      <c r="N291" s="2">
        <v>2.6</v>
      </c>
      <c r="O291" s="2">
        <v>8.8000000000000007</v>
      </c>
      <c r="P291" s="2">
        <v>0.3</v>
      </c>
      <c r="Q291" s="2">
        <v>0.441</v>
      </c>
      <c r="R291" s="2">
        <v>3.5</v>
      </c>
      <c r="S291" s="2">
        <v>5.3</v>
      </c>
      <c r="T291" s="2">
        <v>0.66700000000000004</v>
      </c>
      <c r="U291" s="2">
        <v>3.5</v>
      </c>
      <c r="V291" s="2">
        <v>7</v>
      </c>
      <c r="W291" s="2">
        <v>10.5</v>
      </c>
      <c r="X291" s="2">
        <v>3.5</v>
      </c>
      <c r="Y291" s="2">
        <v>4.4000000000000004</v>
      </c>
      <c r="Z291" s="2">
        <v>0.9</v>
      </c>
      <c r="AA291" s="2">
        <v>2.6</v>
      </c>
      <c r="AB291" s="2">
        <v>2.6</v>
      </c>
      <c r="AC291" s="2">
        <v>16.7</v>
      </c>
      <c r="AD291" s="2"/>
    </row>
    <row r="292" spans="1:30" x14ac:dyDescent="0.2">
      <c r="A292" t="s">
        <v>170</v>
      </c>
      <c r="B292" s="2">
        <v>29</v>
      </c>
      <c r="C292" t="s">
        <v>122</v>
      </c>
      <c r="D292" s="2" t="s">
        <v>49</v>
      </c>
      <c r="E292" s="2">
        <v>22</v>
      </c>
      <c r="F292" s="2">
        <v>19</v>
      </c>
      <c r="G292" s="2">
        <v>691</v>
      </c>
      <c r="H292" s="2">
        <v>5.6</v>
      </c>
      <c r="I292" s="2">
        <v>12.7</v>
      </c>
      <c r="J292" s="2">
        <v>0.44400000000000001</v>
      </c>
      <c r="K292" s="2">
        <v>1.6</v>
      </c>
      <c r="L292" s="2">
        <v>5.0999999999999996</v>
      </c>
      <c r="M292" s="2">
        <v>0.32</v>
      </c>
      <c r="N292" s="2">
        <v>4</v>
      </c>
      <c r="O292" s="2">
        <v>7.6</v>
      </c>
      <c r="P292" s="2">
        <v>0.52700000000000002</v>
      </c>
      <c r="Q292" s="2">
        <v>0.50800000000000001</v>
      </c>
      <c r="R292" s="2">
        <v>1.9</v>
      </c>
      <c r="S292" s="2">
        <v>2.5</v>
      </c>
      <c r="T292" s="2">
        <v>0.75</v>
      </c>
      <c r="U292" s="2">
        <v>1.7</v>
      </c>
      <c r="V292" s="2">
        <v>4.4000000000000004</v>
      </c>
      <c r="W292" s="2">
        <v>6.1</v>
      </c>
      <c r="X292" s="2">
        <v>1.6</v>
      </c>
      <c r="Y292" s="2">
        <v>1.5</v>
      </c>
      <c r="Z292" s="2">
        <v>0.6</v>
      </c>
      <c r="AA292" s="2">
        <v>1.5</v>
      </c>
      <c r="AB292" s="2">
        <v>3.5</v>
      </c>
      <c r="AC292" s="2">
        <v>14.7</v>
      </c>
      <c r="AD292" s="2"/>
    </row>
    <row r="293" spans="1:30" x14ac:dyDescent="0.2">
      <c r="A293" t="s">
        <v>364</v>
      </c>
      <c r="B293" s="2">
        <v>30</v>
      </c>
      <c r="C293" t="s">
        <v>32</v>
      </c>
      <c r="D293" s="2" t="s">
        <v>27</v>
      </c>
      <c r="E293" s="2">
        <v>14</v>
      </c>
      <c r="F293" s="2">
        <v>0</v>
      </c>
      <c r="G293" s="2">
        <v>185</v>
      </c>
      <c r="H293" s="2">
        <v>6</v>
      </c>
      <c r="I293" s="2">
        <v>10.9</v>
      </c>
      <c r="J293" s="2">
        <v>0.55400000000000005</v>
      </c>
      <c r="K293" s="2">
        <v>2.5</v>
      </c>
      <c r="L293" s="2">
        <v>6</v>
      </c>
      <c r="M293" s="2">
        <v>0.41899999999999998</v>
      </c>
      <c r="N293" s="2">
        <v>3.5</v>
      </c>
      <c r="O293" s="2">
        <v>4.9000000000000004</v>
      </c>
      <c r="P293" s="2">
        <v>0.72</v>
      </c>
      <c r="Q293" s="2">
        <v>0.67</v>
      </c>
      <c r="R293" s="2">
        <v>1.2</v>
      </c>
      <c r="S293" s="2">
        <v>1.2</v>
      </c>
      <c r="T293" s="2">
        <v>1</v>
      </c>
      <c r="U293" s="2">
        <v>2.2999999999999998</v>
      </c>
      <c r="V293" s="2">
        <v>5.8</v>
      </c>
      <c r="W293" s="2">
        <v>8.1999999999999993</v>
      </c>
      <c r="X293" s="2">
        <v>2.5</v>
      </c>
      <c r="Y293" s="2">
        <v>1.8</v>
      </c>
      <c r="Z293" s="2">
        <v>0.8</v>
      </c>
      <c r="AA293" s="2">
        <v>0.4</v>
      </c>
      <c r="AB293" s="2">
        <v>4.3</v>
      </c>
      <c r="AC293" s="2">
        <v>15.8</v>
      </c>
      <c r="AD293" s="2"/>
    </row>
    <row r="294" spans="1:30" x14ac:dyDescent="0.2">
      <c r="A294" t="s">
        <v>219</v>
      </c>
      <c r="B294" s="2">
        <v>31</v>
      </c>
      <c r="C294" t="s">
        <v>48</v>
      </c>
      <c r="D294" s="2" t="s">
        <v>52</v>
      </c>
      <c r="E294" s="2">
        <v>26</v>
      </c>
      <c r="F294" s="2">
        <v>26</v>
      </c>
      <c r="G294" s="2">
        <v>786</v>
      </c>
      <c r="H294" s="2">
        <v>3.4</v>
      </c>
      <c r="I294" s="2">
        <v>8.5</v>
      </c>
      <c r="J294" s="2">
        <v>0.4</v>
      </c>
      <c r="K294" s="2">
        <v>1.7</v>
      </c>
      <c r="L294" s="2">
        <v>5.7</v>
      </c>
      <c r="M294" s="2">
        <v>0.29799999999999999</v>
      </c>
      <c r="N294" s="2">
        <v>1.7</v>
      </c>
      <c r="O294" s="2">
        <v>2.8</v>
      </c>
      <c r="P294" s="2">
        <v>0.60699999999999998</v>
      </c>
      <c r="Q294" s="2">
        <v>0.5</v>
      </c>
      <c r="R294" s="2">
        <v>1.3</v>
      </c>
      <c r="S294" s="2">
        <v>1.5</v>
      </c>
      <c r="T294" s="2">
        <v>0.879</v>
      </c>
      <c r="U294" s="2">
        <v>0.4</v>
      </c>
      <c r="V294" s="2">
        <v>2.1</v>
      </c>
      <c r="W294" s="2">
        <v>2.5</v>
      </c>
      <c r="X294" s="2">
        <v>2.1</v>
      </c>
      <c r="Y294" s="2">
        <v>2</v>
      </c>
      <c r="Z294" s="2">
        <v>0.6</v>
      </c>
      <c r="AA294" s="2">
        <v>0.9</v>
      </c>
      <c r="AB294" s="2">
        <v>2.5</v>
      </c>
      <c r="AC294" s="2">
        <v>9.8000000000000007</v>
      </c>
      <c r="AD294" s="2"/>
    </row>
    <row r="295" spans="1:30" x14ac:dyDescent="0.2">
      <c r="A295" t="s">
        <v>277</v>
      </c>
      <c r="B295" s="2">
        <v>25</v>
      </c>
      <c r="C295" t="s">
        <v>37</v>
      </c>
      <c r="D295" s="2" t="s">
        <v>52</v>
      </c>
      <c r="E295" s="2">
        <v>24</v>
      </c>
      <c r="F295" s="2">
        <v>4</v>
      </c>
      <c r="G295" s="2">
        <v>491</v>
      </c>
      <c r="H295" s="2">
        <v>3.6</v>
      </c>
      <c r="I295" s="2">
        <v>7.7</v>
      </c>
      <c r="J295" s="2">
        <v>0.46700000000000003</v>
      </c>
      <c r="K295" s="2">
        <v>2.2999999999999998</v>
      </c>
      <c r="L295" s="2">
        <v>5.6</v>
      </c>
      <c r="M295" s="2">
        <v>0.42099999999999999</v>
      </c>
      <c r="N295" s="2">
        <v>1.2</v>
      </c>
      <c r="O295" s="2">
        <v>2.1</v>
      </c>
      <c r="P295" s="2">
        <v>0.58599999999999997</v>
      </c>
      <c r="Q295" s="2">
        <v>0.61899999999999999</v>
      </c>
      <c r="R295" s="2">
        <v>1.6</v>
      </c>
      <c r="S295" s="2">
        <v>2</v>
      </c>
      <c r="T295" s="2">
        <v>0.81499999999999995</v>
      </c>
      <c r="U295" s="2">
        <v>1.3</v>
      </c>
      <c r="V295" s="2">
        <v>2.2999999999999998</v>
      </c>
      <c r="W295" s="2">
        <v>3.7</v>
      </c>
      <c r="X295" s="2">
        <v>2</v>
      </c>
      <c r="Y295" s="2">
        <v>2.1</v>
      </c>
      <c r="Z295" s="2">
        <v>1.4</v>
      </c>
      <c r="AA295" s="2">
        <v>1.5</v>
      </c>
      <c r="AB295" s="2">
        <v>3.5</v>
      </c>
      <c r="AC295" s="2">
        <v>11.1</v>
      </c>
      <c r="AD295" s="2"/>
    </row>
    <row r="296" spans="1:30" x14ac:dyDescent="0.2">
      <c r="A296" t="s">
        <v>309</v>
      </c>
      <c r="B296" s="2">
        <v>22</v>
      </c>
      <c r="C296" t="s">
        <v>103</v>
      </c>
      <c r="D296" s="2" t="s">
        <v>52</v>
      </c>
      <c r="E296" s="2">
        <v>22</v>
      </c>
      <c r="F296" s="2">
        <v>3</v>
      </c>
      <c r="G296" s="2">
        <v>373</v>
      </c>
      <c r="H296" s="2">
        <v>4.4000000000000004</v>
      </c>
      <c r="I296" s="2">
        <v>12.7</v>
      </c>
      <c r="J296" s="2">
        <v>0.34799999999999998</v>
      </c>
      <c r="K296" s="2">
        <v>2.4</v>
      </c>
      <c r="L296" s="2">
        <v>8</v>
      </c>
      <c r="M296" s="2">
        <v>0.30099999999999999</v>
      </c>
      <c r="N296" s="2">
        <v>2</v>
      </c>
      <c r="O296" s="2">
        <v>4.7</v>
      </c>
      <c r="P296" s="2">
        <v>0.42899999999999999</v>
      </c>
      <c r="Q296" s="2">
        <v>0.443</v>
      </c>
      <c r="R296" s="2">
        <v>0.8</v>
      </c>
      <c r="S296" s="2">
        <v>1.1000000000000001</v>
      </c>
      <c r="T296" s="2">
        <v>0.72699999999999998</v>
      </c>
      <c r="U296" s="2">
        <v>1.3</v>
      </c>
      <c r="V296" s="2">
        <v>4.8</v>
      </c>
      <c r="W296" s="2">
        <v>6.1</v>
      </c>
      <c r="X296" s="2">
        <v>2.2999999999999998</v>
      </c>
      <c r="Y296" s="2">
        <v>1.2</v>
      </c>
      <c r="Z296" s="2">
        <v>0.7</v>
      </c>
      <c r="AA296" s="2">
        <v>2</v>
      </c>
      <c r="AB296" s="2">
        <v>4.4000000000000004</v>
      </c>
      <c r="AC296" s="2">
        <v>12.1</v>
      </c>
      <c r="AD296" s="2"/>
    </row>
    <row r="297" spans="1:30" x14ac:dyDescent="0.2">
      <c r="A297" t="s">
        <v>546</v>
      </c>
      <c r="B297" s="2">
        <v>23</v>
      </c>
      <c r="C297" t="s">
        <v>61</v>
      </c>
      <c r="D297" s="2" t="s">
        <v>49</v>
      </c>
      <c r="E297" s="2">
        <v>2</v>
      </c>
      <c r="F297" s="2">
        <v>0</v>
      </c>
      <c r="G297" s="2">
        <v>12</v>
      </c>
      <c r="H297" s="2">
        <v>3</v>
      </c>
      <c r="I297" s="2">
        <v>6</v>
      </c>
      <c r="J297" s="2">
        <v>0.5</v>
      </c>
      <c r="K297" s="2">
        <v>0</v>
      </c>
      <c r="L297" s="2">
        <v>3</v>
      </c>
      <c r="M297" s="2">
        <v>0</v>
      </c>
      <c r="N297" s="2">
        <v>3</v>
      </c>
      <c r="O297" s="2">
        <v>3</v>
      </c>
      <c r="P297" s="2">
        <v>1</v>
      </c>
      <c r="Q297" s="2">
        <v>0.5</v>
      </c>
      <c r="R297" s="2">
        <v>0</v>
      </c>
      <c r="S297" s="2">
        <v>0</v>
      </c>
      <c r="T297" s="2"/>
      <c r="U297" s="2">
        <v>0</v>
      </c>
      <c r="V297" s="2">
        <v>6</v>
      </c>
      <c r="W297" s="2">
        <v>6</v>
      </c>
      <c r="X297" s="2">
        <v>0</v>
      </c>
      <c r="Y297" s="2">
        <v>0</v>
      </c>
      <c r="Z297" s="2">
        <v>0</v>
      </c>
      <c r="AA297" s="2">
        <v>0</v>
      </c>
      <c r="AB297" s="2">
        <v>0</v>
      </c>
      <c r="AC297" s="2">
        <v>6</v>
      </c>
      <c r="AD297" s="2"/>
    </row>
    <row r="298" spans="1:30" x14ac:dyDescent="0.2">
      <c r="A298" t="s">
        <v>557</v>
      </c>
      <c r="B298" s="2">
        <v>24</v>
      </c>
      <c r="C298" t="s">
        <v>63</v>
      </c>
      <c r="D298" s="2" t="s">
        <v>49</v>
      </c>
      <c r="E298" s="2">
        <v>5</v>
      </c>
      <c r="F298" s="2">
        <v>0</v>
      </c>
      <c r="G298" s="2">
        <v>10</v>
      </c>
      <c r="H298" s="2">
        <v>0</v>
      </c>
      <c r="I298" s="2">
        <v>7.2</v>
      </c>
      <c r="J298" s="2">
        <v>0</v>
      </c>
      <c r="K298" s="2">
        <v>0</v>
      </c>
      <c r="L298" s="2">
        <v>7.2</v>
      </c>
      <c r="M298" s="2">
        <v>0</v>
      </c>
      <c r="N298" s="2">
        <v>0</v>
      </c>
      <c r="O298" s="2">
        <v>0</v>
      </c>
      <c r="P298" s="2"/>
      <c r="Q298" s="2">
        <v>0</v>
      </c>
      <c r="R298" s="2">
        <v>0</v>
      </c>
      <c r="S298" s="2">
        <v>0</v>
      </c>
      <c r="T298" s="2"/>
      <c r="U298" s="2">
        <v>0</v>
      </c>
      <c r="V298" s="2">
        <v>0</v>
      </c>
      <c r="W298" s="2">
        <v>0</v>
      </c>
      <c r="X298" s="2">
        <v>0</v>
      </c>
      <c r="Y298" s="2">
        <v>0</v>
      </c>
      <c r="Z298" s="2">
        <v>0</v>
      </c>
      <c r="AA298" s="2">
        <v>3.6</v>
      </c>
      <c r="AB298" s="2">
        <v>7.2</v>
      </c>
      <c r="AC298" s="2">
        <v>0</v>
      </c>
      <c r="AD298" s="2"/>
    </row>
    <row r="299" spans="1:30" x14ac:dyDescent="0.2">
      <c r="A299" t="s">
        <v>140</v>
      </c>
      <c r="B299" s="2">
        <v>36</v>
      </c>
      <c r="C299" t="s">
        <v>54</v>
      </c>
      <c r="D299" s="2" t="s">
        <v>27</v>
      </c>
      <c r="E299" s="2">
        <v>13</v>
      </c>
      <c r="F299" s="2">
        <v>13</v>
      </c>
      <c r="G299" s="2">
        <v>464</v>
      </c>
      <c r="H299" s="2">
        <v>9.3000000000000007</v>
      </c>
      <c r="I299" s="2">
        <v>17.399999999999999</v>
      </c>
      <c r="J299" s="2">
        <v>0.53600000000000003</v>
      </c>
      <c r="K299" s="2">
        <v>2.7</v>
      </c>
      <c r="L299" s="2">
        <v>6.1</v>
      </c>
      <c r="M299" s="2">
        <v>0.44900000000000001</v>
      </c>
      <c r="N299" s="2">
        <v>6.6</v>
      </c>
      <c r="O299" s="2">
        <v>11.3</v>
      </c>
      <c r="P299" s="2">
        <v>0.58199999999999996</v>
      </c>
      <c r="Q299" s="2">
        <v>0.61399999999999999</v>
      </c>
      <c r="R299" s="2">
        <v>4.7</v>
      </c>
      <c r="S299" s="2">
        <v>5.8</v>
      </c>
      <c r="T299" s="2">
        <v>0.8</v>
      </c>
      <c r="U299" s="2">
        <v>0.2</v>
      </c>
      <c r="V299" s="2">
        <v>6.5</v>
      </c>
      <c r="W299" s="2">
        <v>6.8</v>
      </c>
      <c r="X299" s="2">
        <v>3.1</v>
      </c>
      <c r="Y299" s="2">
        <v>0.5</v>
      </c>
      <c r="Z299" s="2">
        <v>1.5</v>
      </c>
      <c r="AA299" s="2">
        <v>3.3</v>
      </c>
      <c r="AB299" s="2">
        <v>1.7</v>
      </c>
      <c r="AC299" s="2">
        <v>26</v>
      </c>
      <c r="AD299" s="2"/>
    </row>
    <row r="300" spans="1:30" x14ac:dyDescent="0.2">
      <c r="A300" t="s">
        <v>208</v>
      </c>
      <c r="B300" s="2">
        <v>26</v>
      </c>
      <c r="C300" t="s">
        <v>37</v>
      </c>
      <c r="D300" s="2" t="s">
        <v>52</v>
      </c>
      <c r="E300" s="2">
        <v>23</v>
      </c>
      <c r="F300" s="2">
        <v>15</v>
      </c>
      <c r="G300" s="2">
        <v>589</v>
      </c>
      <c r="H300" s="2">
        <v>5.3</v>
      </c>
      <c r="I300" s="2">
        <v>12.3</v>
      </c>
      <c r="J300" s="2">
        <v>0.43099999999999999</v>
      </c>
      <c r="K300" s="2">
        <v>2.6</v>
      </c>
      <c r="L300" s="2">
        <v>8.3000000000000007</v>
      </c>
      <c r="M300" s="2">
        <v>0.311</v>
      </c>
      <c r="N300" s="2">
        <v>2.8</v>
      </c>
      <c r="O300" s="2">
        <v>4.0999999999999996</v>
      </c>
      <c r="P300" s="2">
        <v>0.67200000000000004</v>
      </c>
      <c r="Q300" s="2">
        <v>0.53500000000000003</v>
      </c>
      <c r="R300" s="2">
        <v>0.7</v>
      </c>
      <c r="S300" s="2">
        <v>1</v>
      </c>
      <c r="T300" s="2">
        <v>0.70599999999999996</v>
      </c>
      <c r="U300" s="2">
        <v>0.6</v>
      </c>
      <c r="V300" s="2">
        <v>4.3</v>
      </c>
      <c r="W300" s="2">
        <v>4.9000000000000004</v>
      </c>
      <c r="X300" s="2">
        <v>2.9</v>
      </c>
      <c r="Y300" s="2">
        <v>1.5</v>
      </c>
      <c r="Z300" s="2">
        <v>0.7</v>
      </c>
      <c r="AA300" s="2">
        <v>1.3</v>
      </c>
      <c r="AB300" s="2">
        <v>3.2</v>
      </c>
      <c r="AC300" s="2">
        <v>13.9</v>
      </c>
      <c r="AD300" s="2"/>
    </row>
    <row r="301" spans="1:30" x14ac:dyDescent="0.2">
      <c r="A301" t="s">
        <v>358</v>
      </c>
      <c r="B301" s="2">
        <v>36</v>
      </c>
      <c r="C301" t="s">
        <v>61</v>
      </c>
      <c r="D301" s="2" t="s">
        <v>27</v>
      </c>
      <c r="E301" s="2">
        <v>13</v>
      </c>
      <c r="F301" s="2">
        <v>4</v>
      </c>
      <c r="G301" s="2">
        <v>153</v>
      </c>
      <c r="H301" s="2">
        <v>6.8</v>
      </c>
      <c r="I301" s="2">
        <v>18.600000000000001</v>
      </c>
      <c r="J301" s="2">
        <v>0.36699999999999999</v>
      </c>
      <c r="K301" s="2">
        <v>4.2</v>
      </c>
      <c r="L301" s="2">
        <v>11.1</v>
      </c>
      <c r="M301" s="2">
        <v>0.38300000000000001</v>
      </c>
      <c r="N301" s="2">
        <v>2.6</v>
      </c>
      <c r="O301" s="2">
        <v>7.5</v>
      </c>
      <c r="P301" s="2">
        <v>0.34399999999999997</v>
      </c>
      <c r="Q301" s="2">
        <v>0.48099999999999998</v>
      </c>
      <c r="R301" s="2">
        <v>2.4</v>
      </c>
      <c r="S301" s="2">
        <v>3.5</v>
      </c>
      <c r="T301" s="2">
        <v>0.66700000000000004</v>
      </c>
      <c r="U301" s="2">
        <v>3.3</v>
      </c>
      <c r="V301" s="2">
        <v>11.1</v>
      </c>
      <c r="W301" s="2">
        <v>14.4</v>
      </c>
      <c r="X301" s="2">
        <v>4</v>
      </c>
      <c r="Y301" s="2">
        <v>3.1</v>
      </c>
      <c r="Z301" s="2">
        <v>0.5</v>
      </c>
      <c r="AA301" s="2">
        <v>2.1</v>
      </c>
      <c r="AB301" s="2">
        <v>2.6</v>
      </c>
      <c r="AC301" s="2">
        <v>20.2</v>
      </c>
      <c r="AD301" s="2"/>
    </row>
    <row r="302" spans="1:30" x14ac:dyDescent="0.2">
      <c r="A302" t="s">
        <v>227</v>
      </c>
      <c r="B302" s="2">
        <v>24</v>
      </c>
      <c r="C302" t="s">
        <v>77</v>
      </c>
      <c r="D302" s="2" t="s">
        <v>52</v>
      </c>
      <c r="E302" s="2">
        <v>22</v>
      </c>
      <c r="F302" s="2">
        <v>1</v>
      </c>
      <c r="G302" s="2">
        <v>429</v>
      </c>
      <c r="H302" s="2">
        <v>7.1</v>
      </c>
      <c r="I302" s="2">
        <v>17.100000000000001</v>
      </c>
      <c r="J302" s="2">
        <v>0.41699999999999998</v>
      </c>
      <c r="K302" s="2">
        <v>0.9</v>
      </c>
      <c r="L302" s="2">
        <v>4.5</v>
      </c>
      <c r="M302" s="2">
        <v>0.20399999999999999</v>
      </c>
      <c r="N302" s="2">
        <v>6.2</v>
      </c>
      <c r="O302" s="2">
        <v>12.6</v>
      </c>
      <c r="P302" s="2">
        <v>0.49299999999999999</v>
      </c>
      <c r="Q302" s="2">
        <v>0.44400000000000001</v>
      </c>
      <c r="R302" s="2">
        <v>1.9</v>
      </c>
      <c r="S302" s="2">
        <v>3.1</v>
      </c>
      <c r="T302" s="2">
        <v>0.622</v>
      </c>
      <c r="U302" s="2">
        <v>1.2</v>
      </c>
      <c r="V302" s="2">
        <v>5.2</v>
      </c>
      <c r="W302" s="2">
        <v>6.4</v>
      </c>
      <c r="X302" s="2">
        <v>5.4</v>
      </c>
      <c r="Y302" s="2">
        <v>1.7</v>
      </c>
      <c r="Z302" s="2">
        <v>0.6</v>
      </c>
      <c r="AA302" s="2">
        <v>4.2</v>
      </c>
      <c r="AB302" s="2">
        <v>2.6</v>
      </c>
      <c r="AC302" s="2">
        <v>17.100000000000001</v>
      </c>
      <c r="AD302" s="2"/>
    </row>
    <row r="303" spans="1:30" x14ac:dyDescent="0.2">
      <c r="A303" t="s">
        <v>315</v>
      </c>
      <c r="B303" s="2">
        <v>28</v>
      </c>
      <c r="C303" t="s">
        <v>100</v>
      </c>
      <c r="D303" s="2" t="s">
        <v>42</v>
      </c>
      <c r="E303" s="2">
        <v>22</v>
      </c>
      <c r="F303" s="2">
        <v>3</v>
      </c>
      <c r="G303" s="2">
        <v>360</v>
      </c>
      <c r="H303" s="2">
        <v>5.0999999999999996</v>
      </c>
      <c r="I303" s="2">
        <v>9.6</v>
      </c>
      <c r="J303" s="2">
        <v>0.53100000000000003</v>
      </c>
      <c r="K303" s="2">
        <v>0</v>
      </c>
      <c r="L303" s="2">
        <v>0</v>
      </c>
      <c r="M303" s="2"/>
      <c r="N303" s="2">
        <v>5.0999999999999996</v>
      </c>
      <c r="O303" s="2">
        <v>9.6</v>
      </c>
      <c r="P303" s="2">
        <v>0.53100000000000003</v>
      </c>
      <c r="Q303" s="2">
        <v>0.53100000000000003</v>
      </c>
      <c r="R303" s="2">
        <v>1.7</v>
      </c>
      <c r="S303" s="2">
        <v>3.7</v>
      </c>
      <c r="T303" s="2">
        <v>0.45900000000000002</v>
      </c>
      <c r="U303" s="2">
        <v>7.8</v>
      </c>
      <c r="V303" s="2">
        <v>9.5</v>
      </c>
      <c r="W303" s="2">
        <v>17.3</v>
      </c>
      <c r="X303" s="2">
        <v>3.7</v>
      </c>
      <c r="Y303" s="2">
        <v>1.8</v>
      </c>
      <c r="Z303" s="2">
        <v>0.6</v>
      </c>
      <c r="AA303" s="2">
        <v>1.5</v>
      </c>
      <c r="AB303" s="2">
        <v>5.5</v>
      </c>
      <c r="AC303" s="2">
        <v>11.9</v>
      </c>
      <c r="AD303" s="2"/>
    </row>
    <row r="304" spans="1:30" x14ac:dyDescent="0.2">
      <c r="A304" t="s">
        <v>130</v>
      </c>
      <c r="B304" s="2">
        <v>21</v>
      </c>
      <c r="C304" t="s">
        <v>120</v>
      </c>
      <c r="D304" s="2" t="s">
        <v>33</v>
      </c>
      <c r="E304" s="2">
        <v>22</v>
      </c>
      <c r="F304" s="2">
        <v>22</v>
      </c>
      <c r="G304" s="2">
        <v>694</v>
      </c>
      <c r="H304" s="2">
        <v>6.2</v>
      </c>
      <c r="I304" s="2">
        <v>15.7</v>
      </c>
      <c r="J304" s="2">
        <v>0.39400000000000002</v>
      </c>
      <c r="K304" s="2">
        <v>3</v>
      </c>
      <c r="L304" s="2">
        <v>8.8000000000000007</v>
      </c>
      <c r="M304" s="2">
        <v>0.33500000000000002</v>
      </c>
      <c r="N304" s="2">
        <v>3.2</v>
      </c>
      <c r="O304" s="2">
        <v>6.8</v>
      </c>
      <c r="P304" s="2">
        <v>0.47</v>
      </c>
      <c r="Q304" s="2">
        <v>0.48799999999999999</v>
      </c>
      <c r="R304" s="2">
        <v>2.9</v>
      </c>
      <c r="S304" s="2">
        <v>3.5</v>
      </c>
      <c r="T304" s="2">
        <v>0.82099999999999995</v>
      </c>
      <c r="U304" s="2">
        <v>0.6</v>
      </c>
      <c r="V304" s="2">
        <v>3.1</v>
      </c>
      <c r="W304" s="2">
        <v>3.7</v>
      </c>
      <c r="X304" s="2">
        <v>6.4</v>
      </c>
      <c r="Y304" s="2">
        <v>0.9</v>
      </c>
      <c r="Z304" s="2">
        <v>0.1</v>
      </c>
      <c r="AA304" s="2">
        <v>3.7</v>
      </c>
      <c r="AB304" s="2">
        <v>2.1</v>
      </c>
      <c r="AC304" s="2">
        <v>18.2</v>
      </c>
      <c r="AD304" s="2"/>
    </row>
    <row r="305" spans="1:30" x14ac:dyDescent="0.2">
      <c r="A305" t="s">
        <v>459</v>
      </c>
      <c r="B305" s="2">
        <v>33</v>
      </c>
      <c r="C305" t="s">
        <v>35</v>
      </c>
      <c r="D305" s="2" t="s">
        <v>49</v>
      </c>
      <c r="E305" s="2">
        <v>3</v>
      </c>
      <c r="F305" s="2">
        <v>0</v>
      </c>
      <c r="G305" s="2">
        <v>63</v>
      </c>
      <c r="H305" s="2">
        <v>2.9</v>
      </c>
      <c r="I305" s="2">
        <v>11.4</v>
      </c>
      <c r="J305" s="2">
        <v>0.25</v>
      </c>
      <c r="K305" s="2">
        <v>1.1000000000000001</v>
      </c>
      <c r="L305" s="2">
        <v>4</v>
      </c>
      <c r="M305" s="2">
        <v>0.28599999999999998</v>
      </c>
      <c r="N305" s="2">
        <v>1.7</v>
      </c>
      <c r="O305" s="2">
        <v>7.4</v>
      </c>
      <c r="P305" s="2">
        <v>0.23100000000000001</v>
      </c>
      <c r="Q305" s="2">
        <v>0.3</v>
      </c>
      <c r="R305" s="2">
        <v>5.7</v>
      </c>
      <c r="S305" s="2">
        <v>5.7</v>
      </c>
      <c r="T305" s="2">
        <v>1</v>
      </c>
      <c r="U305" s="2">
        <v>0</v>
      </c>
      <c r="V305" s="2">
        <v>5.0999999999999996</v>
      </c>
      <c r="W305" s="2">
        <v>5.0999999999999996</v>
      </c>
      <c r="X305" s="2">
        <v>10.9</v>
      </c>
      <c r="Y305" s="2">
        <v>2.9</v>
      </c>
      <c r="Z305" s="2">
        <v>0.6</v>
      </c>
      <c r="AA305" s="2">
        <v>1.7</v>
      </c>
      <c r="AB305" s="2">
        <v>4</v>
      </c>
      <c r="AC305" s="2">
        <v>12.6</v>
      </c>
      <c r="AD305" s="2"/>
    </row>
    <row r="306" spans="1:30" x14ac:dyDescent="0.2">
      <c r="A306" t="s">
        <v>306</v>
      </c>
      <c r="B306" s="2">
        <v>24</v>
      </c>
      <c r="C306" t="s">
        <v>122</v>
      </c>
      <c r="D306" s="2" t="s">
        <v>27</v>
      </c>
      <c r="E306" s="2">
        <v>19</v>
      </c>
      <c r="F306" s="2">
        <v>3</v>
      </c>
      <c r="G306" s="2">
        <v>359</v>
      </c>
      <c r="H306" s="2">
        <v>4.9000000000000004</v>
      </c>
      <c r="I306" s="2">
        <v>7.6</v>
      </c>
      <c r="J306" s="2">
        <v>0.64500000000000002</v>
      </c>
      <c r="K306" s="2">
        <v>0.5</v>
      </c>
      <c r="L306" s="2">
        <v>1.4</v>
      </c>
      <c r="M306" s="2">
        <v>0.35699999999999998</v>
      </c>
      <c r="N306" s="2">
        <v>4.4000000000000004</v>
      </c>
      <c r="O306" s="2">
        <v>6.2</v>
      </c>
      <c r="P306" s="2">
        <v>0.71</v>
      </c>
      <c r="Q306" s="2">
        <v>0.67800000000000005</v>
      </c>
      <c r="R306" s="2">
        <v>2.2999999999999998</v>
      </c>
      <c r="S306" s="2">
        <v>2.7</v>
      </c>
      <c r="T306" s="2">
        <v>0.85199999999999998</v>
      </c>
      <c r="U306" s="2">
        <v>1.7</v>
      </c>
      <c r="V306" s="2">
        <v>3.4</v>
      </c>
      <c r="W306" s="2">
        <v>5.0999999999999996</v>
      </c>
      <c r="X306" s="2">
        <v>1.7</v>
      </c>
      <c r="Y306" s="2">
        <v>0.7</v>
      </c>
      <c r="Z306" s="2">
        <v>1.4</v>
      </c>
      <c r="AA306" s="2">
        <v>0.7</v>
      </c>
      <c r="AB306" s="2">
        <v>4.5999999999999996</v>
      </c>
      <c r="AC306" s="2">
        <v>12.6</v>
      </c>
      <c r="AD306" s="2"/>
    </row>
    <row r="307" spans="1:30" x14ac:dyDescent="0.2">
      <c r="A307" t="s">
        <v>427</v>
      </c>
      <c r="B307" s="2">
        <v>22</v>
      </c>
      <c r="C307" t="s">
        <v>59</v>
      </c>
      <c r="D307" s="2" t="s">
        <v>33</v>
      </c>
      <c r="E307" s="2">
        <v>8</v>
      </c>
      <c r="F307" s="2">
        <v>0</v>
      </c>
      <c r="G307" s="2">
        <v>116</v>
      </c>
      <c r="H307" s="2">
        <v>3.7</v>
      </c>
      <c r="I307" s="2">
        <v>12.1</v>
      </c>
      <c r="J307" s="2">
        <v>0.308</v>
      </c>
      <c r="K307" s="2">
        <v>0.9</v>
      </c>
      <c r="L307" s="2">
        <v>5.9</v>
      </c>
      <c r="M307" s="2">
        <v>0.158</v>
      </c>
      <c r="N307" s="2">
        <v>2.8</v>
      </c>
      <c r="O307" s="2">
        <v>6.2</v>
      </c>
      <c r="P307" s="2">
        <v>0.45</v>
      </c>
      <c r="Q307" s="2">
        <v>0.34599999999999997</v>
      </c>
      <c r="R307" s="2">
        <v>2.5</v>
      </c>
      <c r="S307" s="2">
        <v>3.1</v>
      </c>
      <c r="T307" s="2">
        <v>0.8</v>
      </c>
      <c r="U307" s="2">
        <v>2.8</v>
      </c>
      <c r="V307" s="2">
        <v>1.9</v>
      </c>
      <c r="W307" s="2">
        <v>4.7</v>
      </c>
      <c r="X307" s="2">
        <v>5.3</v>
      </c>
      <c r="Y307" s="2">
        <v>1.6</v>
      </c>
      <c r="Z307" s="2">
        <v>0.3</v>
      </c>
      <c r="AA307" s="2">
        <v>2.8</v>
      </c>
      <c r="AB307" s="2">
        <v>3.7</v>
      </c>
      <c r="AC307" s="2">
        <v>10.9</v>
      </c>
      <c r="AD307" s="2"/>
    </row>
    <row r="308" spans="1:30" x14ac:dyDescent="0.2">
      <c r="A308" t="s">
        <v>173</v>
      </c>
      <c r="B308" s="2">
        <v>34</v>
      </c>
      <c r="C308" t="s">
        <v>63</v>
      </c>
      <c r="D308" s="2" t="s">
        <v>49</v>
      </c>
      <c r="E308" s="2">
        <v>21</v>
      </c>
      <c r="F308" s="2">
        <v>21</v>
      </c>
      <c r="G308" s="2">
        <v>579</v>
      </c>
      <c r="H308" s="2">
        <v>6.2</v>
      </c>
      <c r="I308" s="2">
        <v>15.7</v>
      </c>
      <c r="J308" s="2">
        <v>0.39500000000000002</v>
      </c>
      <c r="K308" s="2">
        <v>3.8</v>
      </c>
      <c r="L308" s="2">
        <v>10.1</v>
      </c>
      <c r="M308" s="2">
        <v>0.374</v>
      </c>
      <c r="N308" s="2">
        <v>2.4</v>
      </c>
      <c r="O308" s="2">
        <v>5.6</v>
      </c>
      <c r="P308" s="2">
        <v>0.433</v>
      </c>
      <c r="Q308" s="2">
        <v>0.51600000000000001</v>
      </c>
      <c r="R308" s="2">
        <v>1.1000000000000001</v>
      </c>
      <c r="S308" s="2">
        <v>1.2</v>
      </c>
      <c r="T308" s="2">
        <v>0.9</v>
      </c>
      <c r="U308" s="2">
        <v>1</v>
      </c>
      <c r="V308" s="2">
        <v>3.6</v>
      </c>
      <c r="W308" s="2">
        <v>4.5999999999999996</v>
      </c>
      <c r="X308" s="2">
        <v>2.2000000000000002</v>
      </c>
      <c r="Y308" s="2">
        <v>0.8</v>
      </c>
      <c r="Z308" s="2">
        <v>0.4</v>
      </c>
      <c r="AA308" s="2">
        <v>1.4</v>
      </c>
      <c r="AB308" s="2">
        <v>1.7</v>
      </c>
      <c r="AC308" s="2">
        <v>17.3</v>
      </c>
      <c r="AD308" s="2"/>
    </row>
    <row r="309" spans="1:30" x14ac:dyDescent="0.2">
      <c r="A309" t="s">
        <v>464</v>
      </c>
      <c r="B309" s="2">
        <v>25</v>
      </c>
      <c r="C309" t="s">
        <v>77</v>
      </c>
      <c r="D309" s="2" t="s">
        <v>27</v>
      </c>
      <c r="E309" s="2">
        <v>7</v>
      </c>
      <c r="F309" s="2">
        <v>0</v>
      </c>
      <c r="G309" s="2">
        <v>47</v>
      </c>
      <c r="H309" s="2">
        <v>6.9</v>
      </c>
      <c r="I309" s="2">
        <v>15.3</v>
      </c>
      <c r="J309" s="2">
        <v>0.45</v>
      </c>
      <c r="K309" s="2">
        <v>0.8</v>
      </c>
      <c r="L309" s="2">
        <v>4.5999999999999996</v>
      </c>
      <c r="M309" s="2">
        <v>0.16700000000000001</v>
      </c>
      <c r="N309" s="2">
        <v>6.1</v>
      </c>
      <c r="O309" s="2">
        <v>10.7</v>
      </c>
      <c r="P309" s="2">
        <v>0.57099999999999995</v>
      </c>
      <c r="Q309" s="2">
        <v>0.47499999999999998</v>
      </c>
      <c r="R309" s="2">
        <v>0.8</v>
      </c>
      <c r="S309" s="2">
        <v>1.5</v>
      </c>
      <c r="T309" s="2">
        <v>0.5</v>
      </c>
      <c r="U309" s="2">
        <v>3.8</v>
      </c>
      <c r="V309" s="2">
        <v>8.4</v>
      </c>
      <c r="W309" s="2">
        <v>12.3</v>
      </c>
      <c r="X309" s="2">
        <v>3.1</v>
      </c>
      <c r="Y309" s="2">
        <v>0.8</v>
      </c>
      <c r="Z309" s="2">
        <v>0</v>
      </c>
      <c r="AA309" s="2">
        <v>0</v>
      </c>
      <c r="AB309" s="2">
        <v>3.8</v>
      </c>
      <c r="AC309" s="2">
        <v>15.3</v>
      </c>
      <c r="AD309" s="2"/>
    </row>
    <row r="310" spans="1:30" x14ac:dyDescent="0.2">
      <c r="A310" t="s">
        <v>401</v>
      </c>
      <c r="B310" s="2">
        <v>21</v>
      </c>
      <c r="C310" t="s">
        <v>72</v>
      </c>
      <c r="D310" s="2" t="s">
        <v>52</v>
      </c>
      <c r="E310" s="2">
        <v>10</v>
      </c>
      <c r="F310" s="2">
        <v>0</v>
      </c>
      <c r="G310" s="2">
        <v>124</v>
      </c>
      <c r="H310" s="2">
        <v>5.2</v>
      </c>
      <c r="I310" s="2">
        <v>13.6</v>
      </c>
      <c r="J310" s="2">
        <v>0.38300000000000001</v>
      </c>
      <c r="K310" s="2">
        <v>1.2</v>
      </c>
      <c r="L310" s="2">
        <v>5.5</v>
      </c>
      <c r="M310" s="2">
        <v>0.21099999999999999</v>
      </c>
      <c r="N310" s="2">
        <v>4.0999999999999996</v>
      </c>
      <c r="O310" s="2">
        <v>8.1</v>
      </c>
      <c r="P310" s="2">
        <v>0.5</v>
      </c>
      <c r="Q310" s="2">
        <v>0.42599999999999999</v>
      </c>
      <c r="R310" s="2">
        <v>3.8</v>
      </c>
      <c r="S310" s="2">
        <v>5.2</v>
      </c>
      <c r="T310" s="2">
        <v>0.72199999999999998</v>
      </c>
      <c r="U310" s="2">
        <v>1.5</v>
      </c>
      <c r="V310" s="2">
        <v>4.5999999999999996</v>
      </c>
      <c r="W310" s="2">
        <v>6.1</v>
      </c>
      <c r="X310" s="2">
        <v>4.9000000000000004</v>
      </c>
      <c r="Y310" s="2">
        <v>0.9</v>
      </c>
      <c r="Z310" s="2">
        <v>0.6</v>
      </c>
      <c r="AA310" s="2">
        <v>2.2999999999999998</v>
      </c>
      <c r="AB310" s="2">
        <v>2.6</v>
      </c>
      <c r="AC310" s="2">
        <v>15.4</v>
      </c>
      <c r="AD310" s="2"/>
    </row>
    <row r="311" spans="1:30" x14ac:dyDescent="0.2">
      <c r="A311" t="s">
        <v>266</v>
      </c>
      <c r="B311" s="2">
        <v>30</v>
      </c>
      <c r="C311" t="s">
        <v>77</v>
      </c>
      <c r="D311" s="2" t="s">
        <v>33</v>
      </c>
      <c r="E311" s="2">
        <v>25</v>
      </c>
      <c r="F311" s="2">
        <v>14</v>
      </c>
      <c r="G311" s="2">
        <v>565</v>
      </c>
      <c r="H311" s="2">
        <v>4.3</v>
      </c>
      <c r="I311" s="2">
        <v>9.9</v>
      </c>
      <c r="J311" s="2">
        <v>0.439</v>
      </c>
      <c r="K311" s="2">
        <v>1.5</v>
      </c>
      <c r="L311" s="2">
        <v>4.8</v>
      </c>
      <c r="M311" s="2">
        <v>0.32</v>
      </c>
      <c r="N311" s="2">
        <v>2.8</v>
      </c>
      <c r="O311" s="2">
        <v>5.0999999999999996</v>
      </c>
      <c r="P311" s="2">
        <v>0.55000000000000004</v>
      </c>
      <c r="Q311" s="2">
        <v>0.51600000000000001</v>
      </c>
      <c r="R311" s="2">
        <v>0.3</v>
      </c>
      <c r="S311" s="2">
        <v>0.6</v>
      </c>
      <c r="T311" s="2">
        <v>0.5</v>
      </c>
      <c r="U311" s="2">
        <v>1.2</v>
      </c>
      <c r="V311" s="2">
        <v>4.8</v>
      </c>
      <c r="W311" s="2">
        <v>6</v>
      </c>
      <c r="X311" s="2">
        <v>4.0999999999999996</v>
      </c>
      <c r="Y311" s="2">
        <v>2.6</v>
      </c>
      <c r="Z311" s="2">
        <v>0.4</v>
      </c>
      <c r="AA311" s="2">
        <v>1.7</v>
      </c>
      <c r="AB311" s="2">
        <v>4.3</v>
      </c>
      <c r="AC311" s="2">
        <v>10.5</v>
      </c>
      <c r="AD311" s="2"/>
    </row>
    <row r="312" spans="1:30" x14ac:dyDescent="0.2">
      <c r="A312" t="s">
        <v>345</v>
      </c>
      <c r="B312" s="2">
        <v>24</v>
      </c>
      <c r="C312" t="s">
        <v>135</v>
      </c>
      <c r="D312" s="2" t="s">
        <v>49</v>
      </c>
      <c r="E312" s="2">
        <v>21</v>
      </c>
      <c r="F312" s="2">
        <v>0</v>
      </c>
      <c r="G312" s="2">
        <v>267</v>
      </c>
      <c r="H312" s="2">
        <v>5.0999999999999996</v>
      </c>
      <c r="I312" s="2">
        <v>10.8</v>
      </c>
      <c r="J312" s="2">
        <v>0.47499999999999998</v>
      </c>
      <c r="K312" s="2">
        <v>1.5</v>
      </c>
      <c r="L312" s="2">
        <v>4.4000000000000004</v>
      </c>
      <c r="M312" s="2">
        <v>0.33300000000000002</v>
      </c>
      <c r="N312" s="2">
        <v>3.6</v>
      </c>
      <c r="O312" s="2">
        <v>6.3</v>
      </c>
      <c r="P312" s="2">
        <v>0.57399999999999995</v>
      </c>
      <c r="Q312" s="2">
        <v>0.54400000000000004</v>
      </c>
      <c r="R312" s="2">
        <v>1.1000000000000001</v>
      </c>
      <c r="S312" s="2">
        <v>2.7</v>
      </c>
      <c r="T312" s="2">
        <v>0.4</v>
      </c>
      <c r="U312" s="2">
        <v>3</v>
      </c>
      <c r="V312" s="2">
        <v>3.5</v>
      </c>
      <c r="W312" s="2">
        <v>6.5</v>
      </c>
      <c r="X312" s="2">
        <v>1.9</v>
      </c>
      <c r="Y312" s="2">
        <v>1.2</v>
      </c>
      <c r="Z312" s="2">
        <v>0.4</v>
      </c>
      <c r="AA312" s="2">
        <v>1.6</v>
      </c>
      <c r="AB312" s="2">
        <v>2.8</v>
      </c>
      <c r="AC312" s="2">
        <v>12.8</v>
      </c>
      <c r="AD312" s="2"/>
    </row>
    <row r="313" spans="1:30" x14ac:dyDescent="0.2">
      <c r="A313" t="s">
        <v>313</v>
      </c>
      <c r="B313" s="2">
        <v>29</v>
      </c>
      <c r="C313" t="s">
        <v>39</v>
      </c>
      <c r="D313" s="2" t="s">
        <v>42</v>
      </c>
      <c r="E313" s="2">
        <v>6</v>
      </c>
      <c r="F313" s="2">
        <v>6</v>
      </c>
      <c r="G313" s="2">
        <v>173</v>
      </c>
      <c r="H313" s="2">
        <v>8.6999999999999993</v>
      </c>
      <c r="I313" s="2">
        <v>19.100000000000001</v>
      </c>
      <c r="J313" s="2">
        <v>0.45700000000000002</v>
      </c>
      <c r="K313" s="2">
        <v>2.9</v>
      </c>
      <c r="L313" s="2">
        <v>8.6999999999999993</v>
      </c>
      <c r="M313" s="2">
        <v>0.33300000000000002</v>
      </c>
      <c r="N313" s="2">
        <v>5.8</v>
      </c>
      <c r="O313" s="2">
        <v>10.4</v>
      </c>
      <c r="P313" s="2">
        <v>0.56000000000000005</v>
      </c>
      <c r="Q313" s="2">
        <v>0.53300000000000003</v>
      </c>
      <c r="R313" s="2">
        <v>5</v>
      </c>
      <c r="S313" s="2">
        <v>6.5</v>
      </c>
      <c r="T313" s="2">
        <v>0.77400000000000002</v>
      </c>
      <c r="U313" s="2">
        <v>2.1</v>
      </c>
      <c r="V313" s="2">
        <v>7.7</v>
      </c>
      <c r="W313" s="2">
        <v>9.8000000000000007</v>
      </c>
      <c r="X313" s="2">
        <v>2.2999999999999998</v>
      </c>
      <c r="Y313" s="2">
        <v>1.2</v>
      </c>
      <c r="Z313" s="2">
        <v>1.9</v>
      </c>
      <c r="AA313" s="2">
        <v>1</v>
      </c>
      <c r="AB313" s="2">
        <v>2.7</v>
      </c>
      <c r="AC313" s="2">
        <v>25.4</v>
      </c>
      <c r="AD313" s="2"/>
    </row>
    <row r="314" spans="1:30" x14ac:dyDescent="0.2">
      <c r="A314" t="s">
        <v>322</v>
      </c>
      <c r="B314" s="2">
        <v>31</v>
      </c>
      <c r="C314" t="s">
        <v>100</v>
      </c>
      <c r="D314" s="2" t="s">
        <v>27</v>
      </c>
      <c r="E314" s="2">
        <v>23</v>
      </c>
      <c r="F314" s="2">
        <v>0</v>
      </c>
      <c r="G314" s="2">
        <v>327</v>
      </c>
      <c r="H314" s="2">
        <v>4.8</v>
      </c>
      <c r="I314" s="2">
        <v>11.8</v>
      </c>
      <c r="J314" s="2">
        <v>0.41099999999999998</v>
      </c>
      <c r="K314" s="2">
        <v>1.1000000000000001</v>
      </c>
      <c r="L314" s="2">
        <v>3.9</v>
      </c>
      <c r="M314" s="2">
        <v>0.28599999999999998</v>
      </c>
      <c r="N314" s="2">
        <v>3.7</v>
      </c>
      <c r="O314" s="2">
        <v>7.9</v>
      </c>
      <c r="P314" s="2">
        <v>0.47199999999999998</v>
      </c>
      <c r="Q314" s="2">
        <v>0.45800000000000002</v>
      </c>
      <c r="R314" s="2">
        <v>1.4</v>
      </c>
      <c r="S314" s="2">
        <v>2.2000000000000002</v>
      </c>
      <c r="T314" s="2">
        <v>0.65</v>
      </c>
      <c r="U314" s="2">
        <v>1.2</v>
      </c>
      <c r="V314" s="2">
        <v>6.2</v>
      </c>
      <c r="W314" s="2">
        <v>7.4</v>
      </c>
      <c r="X314" s="2">
        <v>5.7</v>
      </c>
      <c r="Y314" s="2">
        <v>2</v>
      </c>
      <c r="Z314" s="2">
        <v>1.1000000000000001</v>
      </c>
      <c r="AA314" s="2">
        <v>1.3</v>
      </c>
      <c r="AB314" s="2">
        <v>2.5</v>
      </c>
      <c r="AC314" s="2">
        <v>12.2</v>
      </c>
      <c r="AD314" s="2"/>
    </row>
    <row r="315" spans="1:30" x14ac:dyDescent="0.2">
      <c r="A315" t="s">
        <v>331</v>
      </c>
      <c r="B315" s="2">
        <v>21</v>
      </c>
      <c r="C315" t="s">
        <v>120</v>
      </c>
      <c r="D315" s="2" t="s">
        <v>42</v>
      </c>
      <c r="E315" s="2">
        <v>15</v>
      </c>
      <c r="F315" s="2">
        <v>8</v>
      </c>
      <c r="G315" s="2">
        <v>276</v>
      </c>
      <c r="H315" s="2">
        <v>5.2</v>
      </c>
      <c r="I315" s="2">
        <v>10.3</v>
      </c>
      <c r="J315" s="2">
        <v>0.50600000000000001</v>
      </c>
      <c r="K315" s="2">
        <v>1.2</v>
      </c>
      <c r="L315" s="2">
        <v>4</v>
      </c>
      <c r="M315" s="2">
        <v>0.28999999999999998</v>
      </c>
      <c r="N315" s="2">
        <v>4</v>
      </c>
      <c r="O315" s="2">
        <v>6.3</v>
      </c>
      <c r="P315" s="2">
        <v>0.64600000000000002</v>
      </c>
      <c r="Q315" s="2">
        <v>0.56299999999999994</v>
      </c>
      <c r="R315" s="2">
        <v>2.1</v>
      </c>
      <c r="S315" s="2">
        <v>3.9</v>
      </c>
      <c r="T315" s="2">
        <v>0.53300000000000003</v>
      </c>
      <c r="U315" s="2">
        <v>1.8</v>
      </c>
      <c r="V315" s="2">
        <v>6.9</v>
      </c>
      <c r="W315" s="2">
        <v>8.6999999999999993</v>
      </c>
      <c r="X315" s="2">
        <v>3.9</v>
      </c>
      <c r="Y315" s="2">
        <v>1</v>
      </c>
      <c r="Z315" s="2">
        <v>0.3</v>
      </c>
      <c r="AA315" s="2">
        <v>2</v>
      </c>
      <c r="AB315" s="2">
        <v>3.4</v>
      </c>
      <c r="AC315" s="2">
        <v>13.7</v>
      </c>
      <c r="AD315" s="2"/>
    </row>
    <row r="316" spans="1:30" x14ac:dyDescent="0.2">
      <c r="A316" t="s">
        <v>241</v>
      </c>
      <c r="B316" s="2">
        <v>29</v>
      </c>
      <c r="C316" t="s">
        <v>114</v>
      </c>
      <c r="D316" s="2" t="s">
        <v>27</v>
      </c>
      <c r="E316" s="2">
        <v>12</v>
      </c>
      <c r="F316" s="2">
        <v>12</v>
      </c>
      <c r="G316" s="2">
        <v>330</v>
      </c>
      <c r="H316" s="2">
        <v>8.3000000000000007</v>
      </c>
      <c r="I316" s="2">
        <v>19.7</v>
      </c>
      <c r="J316" s="2">
        <v>0.42</v>
      </c>
      <c r="K316" s="2">
        <v>1.7</v>
      </c>
      <c r="L316" s="2">
        <v>6.3</v>
      </c>
      <c r="M316" s="2">
        <v>0.27600000000000002</v>
      </c>
      <c r="N316" s="2">
        <v>6.5</v>
      </c>
      <c r="O316" s="2">
        <v>13.4</v>
      </c>
      <c r="P316" s="2">
        <v>0.48799999999999999</v>
      </c>
      <c r="Q316" s="2">
        <v>0.46400000000000002</v>
      </c>
      <c r="R316" s="2">
        <v>2.4</v>
      </c>
      <c r="S316" s="2">
        <v>3.5</v>
      </c>
      <c r="T316" s="2">
        <v>0.68799999999999994</v>
      </c>
      <c r="U316" s="2">
        <v>0.9</v>
      </c>
      <c r="V316" s="2">
        <v>6.4</v>
      </c>
      <c r="W316" s="2">
        <v>7.3</v>
      </c>
      <c r="X316" s="2">
        <v>2.5</v>
      </c>
      <c r="Y316" s="2">
        <v>0.5</v>
      </c>
      <c r="Z316" s="2">
        <v>0.3</v>
      </c>
      <c r="AA316" s="2">
        <v>3.2</v>
      </c>
      <c r="AB316" s="2">
        <v>2.5</v>
      </c>
      <c r="AC316" s="2">
        <v>20.7</v>
      </c>
      <c r="AD316" s="2"/>
    </row>
    <row r="317" spans="1:30" x14ac:dyDescent="0.2">
      <c r="A317" t="s">
        <v>362</v>
      </c>
      <c r="B317" s="2">
        <v>38</v>
      </c>
      <c r="C317" t="s">
        <v>122</v>
      </c>
      <c r="D317" s="2" t="s">
        <v>33</v>
      </c>
      <c r="E317" s="2">
        <v>16</v>
      </c>
      <c r="F317" s="2">
        <v>10</v>
      </c>
      <c r="G317" s="2">
        <v>350</v>
      </c>
      <c r="H317" s="2">
        <v>2.6</v>
      </c>
      <c r="I317" s="2">
        <v>6.9</v>
      </c>
      <c r="J317" s="2">
        <v>0.373</v>
      </c>
      <c r="K317" s="2">
        <v>1.9</v>
      </c>
      <c r="L317" s="2">
        <v>5.2</v>
      </c>
      <c r="M317" s="2">
        <v>0.35299999999999998</v>
      </c>
      <c r="N317" s="2">
        <v>0.7</v>
      </c>
      <c r="O317" s="2">
        <v>1.6</v>
      </c>
      <c r="P317" s="2">
        <v>0.438</v>
      </c>
      <c r="Q317" s="2">
        <v>0.50700000000000001</v>
      </c>
      <c r="R317" s="2">
        <v>1.5</v>
      </c>
      <c r="S317" s="2">
        <v>2</v>
      </c>
      <c r="T317" s="2">
        <v>0.78900000000000003</v>
      </c>
      <c r="U317" s="2">
        <v>0.6</v>
      </c>
      <c r="V317" s="2">
        <v>2.8</v>
      </c>
      <c r="W317" s="2">
        <v>3.4</v>
      </c>
      <c r="X317" s="2">
        <v>4.8</v>
      </c>
      <c r="Y317" s="2">
        <v>1.7</v>
      </c>
      <c r="Z317" s="2">
        <v>0.5</v>
      </c>
      <c r="AA317" s="2">
        <v>1.3</v>
      </c>
      <c r="AB317" s="2">
        <v>3.1</v>
      </c>
      <c r="AC317" s="2">
        <v>8.5</v>
      </c>
      <c r="AD317" s="2"/>
    </row>
    <row r="318" spans="1:30" x14ac:dyDescent="0.2">
      <c r="A318" t="s">
        <v>62</v>
      </c>
      <c r="B318" s="2">
        <v>32</v>
      </c>
      <c r="C318" t="s">
        <v>63</v>
      </c>
      <c r="D318" s="2" t="s">
        <v>52</v>
      </c>
      <c r="E318" s="2">
        <v>23</v>
      </c>
      <c r="F318" s="2">
        <v>23</v>
      </c>
      <c r="G318" s="2">
        <v>813</v>
      </c>
      <c r="H318" s="2">
        <v>9.1</v>
      </c>
      <c r="I318" s="2">
        <v>18</v>
      </c>
      <c r="J318" s="2">
        <v>0.504</v>
      </c>
      <c r="K318" s="2">
        <v>3.2</v>
      </c>
      <c r="L318" s="2">
        <v>6.8</v>
      </c>
      <c r="M318" s="2">
        <v>0.47399999999999998</v>
      </c>
      <c r="N318" s="2">
        <v>5.8</v>
      </c>
      <c r="O318" s="2">
        <v>11.2</v>
      </c>
      <c r="P318" s="2">
        <v>0.52200000000000002</v>
      </c>
      <c r="Q318" s="2">
        <v>0.59299999999999997</v>
      </c>
      <c r="R318" s="2">
        <v>3.1</v>
      </c>
      <c r="S318" s="2">
        <v>3.5</v>
      </c>
      <c r="T318" s="2">
        <v>0.88500000000000001</v>
      </c>
      <c r="U318" s="2">
        <v>1.2</v>
      </c>
      <c r="V318" s="2">
        <v>3.7</v>
      </c>
      <c r="W318" s="2">
        <v>4.9000000000000004</v>
      </c>
      <c r="X318" s="2">
        <v>5.3</v>
      </c>
      <c r="Y318" s="2">
        <v>1.3</v>
      </c>
      <c r="Z318" s="2">
        <v>0.3</v>
      </c>
      <c r="AA318" s="2">
        <v>2.2000000000000002</v>
      </c>
      <c r="AB318" s="2">
        <v>2.4</v>
      </c>
      <c r="AC318" s="2">
        <v>24.4</v>
      </c>
      <c r="AD318" s="2"/>
    </row>
    <row r="319" spans="1:30" x14ac:dyDescent="0.2">
      <c r="A319" t="s">
        <v>292</v>
      </c>
      <c r="B319" s="2">
        <v>21</v>
      </c>
      <c r="C319" t="s">
        <v>114</v>
      </c>
      <c r="D319" s="2" t="s">
        <v>52</v>
      </c>
      <c r="E319" s="2">
        <v>19</v>
      </c>
      <c r="F319" s="2">
        <v>6</v>
      </c>
      <c r="G319" s="2">
        <v>497</v>
      </c>
      <c r="H319" s="2">
        <v>3.6</v>
      </c>
      <c r="I319" s="2">
        <v>10.8</v>
      </c>
      <c r="J319" s="2">
        <v>0.33600000000000002</v>
      </c>
      <c r="K319" s="2">
        <v>1.7</v>
      </c>
      <c r="L319" s="2">
        <v>7</v>
      </c>
      <c r="M319" s="2">
        <v>0.247</v>
      </c>
      <c r="N319" s="2">
        <v>1.9</v>
      </c>
      <c r="O319" s="2">
        <v>3.8</v>
      </c>
      <c r="P319" s="2">
        <v>0.5</v>
      </c>
      <c r="Q319" s="2">
        <v>0.41599999999999998</v>
      </c>
      <c r="R319" s="2">
        <v>1.4</v>
      </c>
      <c r="S319" s="2">
        <v>1.9</v>
      </c>
      <c r="T319" s="2">
        <v>0.73099999999999998</v>
      </c>
      <c r="U319" s="2">
        <v>0.9</v>
      </c>
      <c r="V319" s="2">
        <v>4.7</v>
      </c>
      <c r="W319" s="2">
        <v>5.6</v>
      </c>
      <c r="X319" s="2">
        <v>3.6</v>
      </c>
      <c r="Y319" s="2">
        <v>0.9</v>
      </c>
      <c r="Z319" s="2">
        <v>0.9</v>
      </c>
      <c r="AA319" s="2">
        <v>1.4</v>
      </c>
      <c r="AB319" s="2">
        <v>4.3</v>
      </c>
      <c r="AC319" s="2">
        <v>10.4</v>
      </c>
      <c r="AD319" s="2"/>
    </row>
    <row r="320" spans="1:30" x14ac:dyDescent="0.2">
      <c r="A320" t="s">
        <v>58</v>
      </c>
      <c r="B320" s="2">
        <v>23</v>
      </c>
      <c r="C320" t="s">
        <v>59</v>
      </c>
      <c r="D320" s="2" t="s">
        <v>33</v>
      </c>
      <c r="E320" s="2">
        <v>18</v>
      </c>
      <c r="F320" s="2">
        <v>18</v>
      </c>
      <c r="G320" s="2">
        <v>614</v>
      </c>
      <c r="H320" s="2">
        <v>11.3</v>
      </c>
      <c r="I320" s="2">
        <v>26.3</v>
      </c>
      <c r="J320" s="2">
        <v>0.43</v>
      </c>
      <c r="K320" s="2">
        <v>4.9000000000000004</v>
      </c>
      <c r="L320" s="2">
        <v>13.8</v>
      </c>
      <c r="M320" s="2">
        <v>0.35599999999999998</v>
      </c>
      <c r="N320" s="2">
        <v>6.4</v>
      </c>
      <c r="O320" s="2">
        <v>12.5</v>
      </c>
      <c r="P320" s="2">
        <v>0.51200000000000001</v>
      </c>
      <c r="Q320" s="2">
        <v>0.52300000000000002</v>
      </c>
      <c r="R320" s="2">
        <v>5.2</v>
      </c>
      <c r="S320" s="2">
        <v>6.2</v>
      </c>
      <c r="T320" s="2">
        <v>0.84799999999999998</v>
      </c>
      <c r="U320" s="2">
        <v>1</v>
      </c>
      <c r="V320" s="2">
        <v>4.7</v>
      </c>
      <c r="W320" s="2">
        <v>5.7</v>
      </c>
      <c r="X320" s="2">
        <v>7.3</v>
      </c>
      <c r="Y320" s="2">
        <v>1.2</v>
      </c>
      <c r="Z320" s="2">
        <v>0.2</v>
      </c>
      <c r="AA320" s="2">
        <v>4.7</v>
      </c>
      <c r="AB320" s="2">
        <v>4.3</v>
      </c>
      <c r="AC320" s="2">
        <v>32.799999999999997</v>
      </c>
      <c r="AD320" s="2"/>
    </row>
    <row r="321" spans="1:30" x14ac:dyDescent="0.2">
      <c r="A321" t="s">
        <v>357</v>
      </c>
      <c r="B321" s="2">
        <v>32</v>
      </c>
      <c r="C321" t="s">
        <v>72</v>
      </c>
      <c r="D321" s="2" t="s">
        <v>27</v>
      </c>
      <c r="E321" s="2">
        <v>10</v>
      </c>
      <c r="F321" s="2">
        <v>2</v>
      </c>
      <c r="G321" s="2">
        <v>165</v>
      </c>
      <c r="H321" s="2">
        <v>7.4</v>
      </c>
      <c r="I321" s="2">
        <v>11.8</v>
      </c>
      <c r="J321" s="2">
        <v>0.63</v>
      </c>
      <c r="K321" s="2">
        <v>3.5</v>
      </c>
      <c r="L321" s="2">
        <v>6.3</v>
      </c>
      <c r="M321" s="2">
        <v>0.55200000000000005</v>
      </c>
      <c r="N321" s="2">
        <v>3.9</v>
      </c>
      <c r="O321" s="2">
        <v>5.5</v>
      </c>
      <c r="P321" s="2">
        <v>0.72</v>
      </c>
      <c r="Q321" s="2">
        <v>0.77800000000000002</v>
      </c>
      <c r="R321" s="2">
        <v>0.7</v>
      </c>
      <c r="S321" s="2">
        <v>0.9</v>
      </c>
      <c r="T321" s="2">
        <v>0.75</v>
      </c>
      <c r="U321" s="2">
        <v>2.2000000000000002</v>
      </c>
      <c r="V321" s="2">
        <v>3.5</v>
      </c>
      <c r="W321" s="2">
        <v>5.7</v>
      </c>
      <c r="X321" s="2">
        <v>3.1</v>
      </c>
      <c r="Y321" s="2">
        <v>2</v>
      </c>
      <c r="Z321" s="2">
        <v>0.7</v>
      </c>
      <c r="AA321" s="2">
        <v>0.9</v>
      </c>
      <c r="AB321" s="2">
        <v>2.8</v>
      </c>
      <c r="AC321" s="2">
        <v>19</v>
      </c>
      <c r="AD321" s="2"/>
    </row>
    <row r="322" spans="1:30" x14ac:dyDescent="0.2">
      <c r="A322" t="s">
        <v>142</v>
      </c>
      <c r="B322" s="2">
        <v>27</v>
      </c>
      <c r="C322" t="s">
        <v>120</v>
      </c>
      <c r="D322" s="2" t="s">
        <v>27</v>
      </c>
      <c r="E322" s="2">
        <v>18</v>
      </c>
      <c r="F322" s="2">
        <v>18</v>
      </c>
      <c r="G322" s="2">
        <v>572</v>
      </c>
      <c r="H322" s="2">
        <v>6.6</v>
      </c>
      <c r="I322" s="2">
        <v>14.9</v>
      </c>
      <c r="J322" s="2">
        <v>0.443</v>
      </c>
      <c r="K322" s="2">
        <v>2.8</v>
      </c>
      <c r="L322" s="2">
        <v>7.6</v>
      </c>
      <c r="M322" s="2">
        <v>0.372</v>
      </c>
      <c r="N322" s="2">
        <v>3.8</v>
      </c>
      <c r="O322" s="2">
        <v>7.3</v>
      </c>
      <c r="P322" s="2">
        <v>0.51700000000000002</v>
      </c>
      <c r="Q322" s="2">
        <v>0.53800000000000003</v>
      </c>
      <c r="R322" s="2">
        <v>5</v>
      </c>
      <c r="S322" s="2">
        <v>5.9</v>
      </c>
      <c r="T322" s="2">
        <v>0.86</v>
      </c>
      <c r="U322" s="2">
        <v>1.8</v>
      </c>
      <c r="V322" s="2">
        <v>5.3</v>
      </c>
      <c r="W322" s="2">
        <v>7.1</v>
      </c>
      <c r="X322" s="2">
        <v>2.6</v>
      </c>
      <c r="Y322" s="2">
        <v>0.8</v>
      </c>
      <c r="Z322" s="2">
        <v>0.1</v>
      </c>
      <c r="AA322" s="2">
        <v>1.6</v>
      </c>
      <c r="AB322" s="2">
        <v>2</v>
      </c>
      <c r="AC322" s="2">
        <v>21.1</v>
      </c>
      <c r="AD322" s="2"/>
    </row>
    <row r="323" spans="1:30" x14ac:dyDescent="0.2">
      <c r="A323" t="s">
        <v>68</v>
      </c>
      <c r="B323" s="2">
        <v>40</v>
      </c>
      <c r="C323" t="s">
        <v>41</v>
      </c>
      <c r="D323" s="2" t="s">
        <v>49</v>
      </c>
      <c r="E323" s="2">
        <v>23</v>
      </c>
      <c r="F323" s="2">
        <v>23</v>
      </c>
      <c r="G323" s="2">
        <v>806</v>
      </c>
      <c r="H323" s="2">
        <v>9</v>
      </c>
      <c r="I323" s="2">
        <v>18.100000000000001</v>
      </c>
      <c r="J323" s="2">
        <v>0.495</v>
      </c>
      <c r="K323" s="2">
        <v>2.1</v>
      </c>
      <c r="L323" s="2">
        <v>5.9</v>
      </c>
      <c r="M323" s="2">
        <v>0.35899999999999999</v>
      </c>
      <c r="N323" s="2">
        <v>6.9</v>
      </c>
      <c r="O323" s="2">
        <v>12.3</v>
      </c>
      <c r="P323" s="2">
        <v>0.56000000000000005</v>
      </c>
      <c r="Q323" s="2">
        <v>0.55300000000000005</v>
      </c>
      <c r="R323" s="2">
        <v>3.6</v>
      </c>
      <c r="S323" s="2">
        <v>4.7</v>
      </c>
      <c r="T323" s="2">
        <v>0.76200000000000001</v>
      </c>
      <c r="U323" s="2">
        <v>0.9</v>
      </c>
      <c r="V323" s="2">
        <v>7.3</v>
      </c>
      <c r="W323" s="2">
        <v>8.1999999999999993</v>
      </c>
      <c r="X323" s="2">
        <v>9.4</v>
      </c>
      <c r="Y323" s="2">
        <v>0.7</v>
      </c>
      <c r="Z323" s="2">
        <v>0.6</v>
      </c>
      <c r="AA323" s="2">
        <v>4.2</v>
      </c>
      <c r="AB323" s="2">
        <v>1.3</v>
      </c>
      <c r="AC323" s="2">
        <v>23.6</v>
      </c>
      <c r="AD323" s="2"/>
    </row>
    <row r="324" spans="1:30" x14ac:dyDescent="0.2">
      <c r="A324" t="s">
        <v>500</v>
      </c>
      <c r="B324" s="2">
        <v>24</v>
      </c>
      <c r="C324" t="s">
        <v>122</v>
      </c>
      <c r="D324" s="2" t="s">
        <v>52</v>
      </c>
      <c r="E324" s="2">
        <v>4</v>
      </c>
      <c r="F324" s="2">
        <v>0</v>
      </c>
      <c r="G324" s="2">
        <v>17</v>
      </c>
      <c r="H324" s="2">
        <v>8.5</v>
      </c>
      <c r="I324" s="2">
        <v>16.899999999999999</v>
      </c>
      <c r="J324" s="2">
        <v>0.5</v>
      </c>
      <c r="K324" s="2">
        <v>0</v>
      </c>
      <c r="L324" s="2">
        <v>6.4</v>
      </c>
      <c r="M324" s="2">
        <v>0</v>
      </c>
      <c r="N324" s="2">
        <v>8.5</v>
      </c>
      <c r="O324" s="2">
        <v>10.6</v>
      </c>
      <c r="P324" s="2">
        <v>0.8</v>
      </c>
      <c r="Q324" s="2">
        <v>0.5</v>
      </c>
      <c r="R324" s="2">
        <v>2.1</v>
      </c>
      <c r="S324" s="2">
        <v>2.1</v>
      </c>
      <c r="T324" s="2">
        <v>1</v>
      </c>
      <c r="U324" s="2">
        <v>6.4</v>
      </c>
      <c r="V324" s="2">
        <v>2.1</v>
      </c>
      <c r="W324" s="2">
        <v>8.5</v>
      </c>
      <c r="X324" s="2">
        <v>2.1</v>
      </c>
      <c r="Y324" s="2">
        <v>0</v>
      </c>
      <c r="Z324" s="2">
        <v>0</v>
      </c>
      <c r="AA324" s="2">
        <v>8.5</v>
      </c>
      <c r="AB324" s="2">
        <v>0</v>
      </c>
      <c r="AC324" s="2">
        <v>19.100000000000001</v>
      </c>
      <c r="AD324" s="2"/>
    </row>
    <row r="325" spans="1:30" x14ac:dyDescent="0.2">
      <c r="A325" t="s">
        <v>520</v>
      </c>
      <c r="B325" s="2">
        <v>25</v>
      </c>
      <c r="C325" t="s">
        <v>35</v>
      </c>
      <c r="D325" s="2" t="s">
        <v>42</v>
      </c>
      <c r="E325" s="2">
        <v>5</v>
      </c>
      <c r="F325" s="2">
        <v>0</v>
      </c>
      <c r="G325" s="2">
        <v>20</v>
      </c>
      <c r="H325" s="2">
        <v>3.6</v>
      </c>
      <c r="I325" s="2">
        <v>5.4</v>
      </c>
      <c r="J325" s="2">
        <v>0.66700000000000004</v>
      </c>
      <c r="K325" s="2">
        <v>0</v>
      </c>
      <c r="L325" s="2">
        <v>1.8</v>
      </c>
      <c r="M325" s="2">
        <v>0</v>
      </c>
      <c r="N325" s="2">
        <v>3.6</v>
      </c>
      <c r="O325" s="2">
        <v>3.6</v>
      </c>
      <c r="P325" s="2">
        <v>1</v>
      </c>
      <c r="Q325" s="2">
        <v>0.66700000000000004</v>
      </c>
      <c r="R325" s="2">
        <v>1.8</v>
      </c>
      <c r="S325" s="2">
        <v>7.2</v>
      </c>
      <c r="T325" s="2">
        <v>0.25</v>
      </c>
      <c r="U325" s="2">
        <v>3.6</v>
      </c>
      <c r="V325" s="2">
        <v>1.8</v>
      </c>
      <c r="W325" s="2">
        <v>5.4</v>
      </c>
      <c r="X325" s="2">
        <v>0</v>
      </c>
      <c r="Y325" s="2">
        <v>0</v>
      </c>
      <c r="Z325" s="2">
        <v>0</v>
      </c>
      <c r="AA325" s="2">
        <v>0</v>
      </c>
      <c r="AB325" s="2">
        <v>5.4</v>
      </c>
      <c r="AC325" s="2">
        <v>9</v>
      </c>
      <c r="AD325" s="2"/>
    </row>
    <row r="326" spans="1:30" x14ac:dyDescent="0.2">
      <c r="A326" t="s">
        <v>319</v>
      </c>
      <c r="B326" s="2">
        <v>27</v>
      </c>
      <c r="C326" t="s">
        <v>100</v>
      </c>
      <c r="D326" s="2" t="s">
        <v>52</v>
      </c>
      <c r="E326" s="2">
        <v>20</v>
      </c>
      <c r="F326" s="2">
        <v>8</v>
      </c>
      <c r="G326" s="2">
        <v>356</v>
      </c>
      <c r="H326" s="2">
        <v>4.2</v>
      </c>
      <c r="I326" s="2">
        <v>10.9</v>
      </c>
      <c r="J326" s="2">
        <v>0.38900000000000001</v>
      </c>
      <c r="K326" s="2">
        <v>2.6</v>
      </c>
      <c r="L326" s="2">
        <v>7.7</v>
      </c>
      <c r="M326" s="2">
        <v>0.34200000000000003</v>
      </c>
      <c r="N326" s="2">
        <v>1.6</v>
      </c>
      <c r="O326" s="2">
        <v>3.2</v>
      </c>
      <c r="P326" s="2">
        <v>0.5</v>
      </c>
      <c r="Q326" s="2">
        <v>0.50900000000000001</v>
      </c>
      <c r="R326" s="2">
        <v>0.4</v>
      </c>
      <c r="S326" s="2">
        <v>0.5</v>
      </c>
      <c r="T326" s="2">
        <v>0.8</v>
      </c>
      <c r="U326" s="2">
        <v>0.9</v>
      </c>
      <c r="V326" s="2">
        <v>4.2</v>
      </c>
      <c r="W326" s="2">
        <v>5.2</v>
      </c>
      <c r="X326" s="2">
        <v>2.7</v>
      </c>
      <c r="Y326" s="2">
        <v>1</v>
      </c>
      <c r="Z326" s="2">
        <v>0.5</v>
      </c>
      <c r="AA326" s="2">
        <v>0.8</v>
      </c>
      <c r="AB326" s="2">
        <v>3.2</v>
      </c>
      <c r="AC326" s="2">
        <v>11.5</v>
      </c>
      <c r="AD326" s="2"/>
    </row>
    <row r="327" spans="1:30" x14ac:dyDescent="0.2">
      <c r="A327" t="s">
        <v>421</v>
      </c>
      <c r="B327" s="2">
        <v>27</v>
      </c>
      <c r="C327" t="s">
        <v>70</v>
      </c>
      <c r="D327" s="2" t="s">
        <v>33</v>
      </c>
      <c r="E327" s="2">
        <v>8</v>
      </c>
      <c r="F327" s="2">
        <v>0</v>
      </c>
      <c r="G327" s="2">
        <v>134</v>
      </c>
      <c r="H327" s="2">
        <v>3.8</v>
      </c>
      <c r="I327" s="2">
        <v>10.199999999999999</v>
      </c>
      <c r="J327" s="2">
        <v>0.36799999999999999</v>
      </c>
      <c r="K327" s="2">
        <v>3</v>
      </c>
      <c r="L327" s="2">
        <v>8.3000000000000007</v>
      </c>
      <c r="M327" s="2">
        <v>0.35499999999999998</v>
      </c>
      <c r="N327" s="2">
        <v>0.8</v>
      </c>
      <c r="O327" s="2">
        <v>1.9</v>
      </c>
      <c r="P327" s="2">
        <v>0.42899999999999999</v>
      </c>
      <c r="Q327" s="2">
        <v>0.51300000000000001</v>
      </c>
      <c r="R327" s="2">
        <v>0</v>
      </c>
      <c r="S327" s="2">
        <v>0</v>
      </c>
      <c r="T327" s="2"/>
      <c r="U327" s="2">
        <v>0.3</v>
      </c>
      <c r="V327" s="2">
        <v>4.8</v>
      </c>
      <c r="W327" s="2">
        <v>5.0999999999999996</v>
      </c>
      <c r="X327" s="2">
        <v>7.3</v>
      </c>
      <c r="Y327" s="2">
        <v>2.4</v>
      </c>
      <c r="Z327" s="2">
        <v>1.1000000000000001</v>
      </c>
      <c r="AA327" s="2">
        <v>1.3</v>
      </c>
      <c r="AB327" s="2">
        <v>2.1</v>
      </c>
      <c r="AC327" s="2">
        <v>10.5</v>
      </c>
      <c r="AD327" s="2"/>
    </row>
    <row r="328" spans="1:30" x14ac:dyDescent="0.2">
      <c r="A328" t="s">
        <v>204</v>
      </c>
      <c r="B328" s="2">
        <v>25</v>
      </c>
      <c r="C328" t="s">
        <v>32</v>
      </c>
      <c r="D328" s="2" t="s">
        <v>49</v>
      </c>
      <c r="E328" s="2">
        <v>24</v>
      </c>
      <c r="F328" s="2">
        <v>24</v>
      </c>
      <c r="G328" s="2">
        <v>705</v>
      </c>
      <c r="H328" s="2">
        <v>4.0999999999999996</v>
      </c>
      <c r="I328" s="2">
        <v>10.1</v>
      </c>
      <c r="J328" s="2">
        <v>0.40899999999999997</v>
      </c>
      <c r="K328" s="2">
        <v>2.6</v>
      </c>
      <c r="L328" s="2">
        <v>6.6</v>
      </c>
      <c r="M328" s="2">
        <v>0.39200000000000002</v>
      </c>
      <c r="N328" s="2">
        <v>1.5</v>
      </c>
      <c r="O328" s="2">
        <v>3.5</v>
      </c>
      <c r="P328" s="2">
        <v>0.441</v>
      </c>
      <c r="Q328" s="2">
        <v>0.53800000000000003</v>
      </c>
      <c r="R328" s="2">
        <v>1.2</v>
      </c>
      <c r="S328" s="2">
        <v>1.5</v>
      </c>
      <c r="T328" s="2">
        <v>0.82799999999999996</v>
      </c>
      <c r="U328" s="2">
        <v>1.8</v>
      </c>
      <c r="V328" s="2">
        <v>3.8</v>
      </c>
      <c r="W328" s="2">
        <v>5.7</v>
      </c>
      <c r="X328" s="2">
        <v>2.2000000000000002</v>
      </c>
      <c r="Y328" s="2">
        <v>1.4</v>
      </c>
      <c r="Z328" s="2">
        <v>1.1000000000000001</v>
      </c>
      <c r="AA328" s="2">
        <v>0.7</v>
      </c>
      <c r="AB328" s="2">
        <v>3.7</v>
      </c>
      <c r="AC328" s="2">
        <v>12.1</v>
      </c>
      <c r="AD328" s="2"/>
    </row>
    <row r="329" spans="1:30" x14ac:dyDescent="0.2">
      <c r="A329" t="s">
        <v>67</v>
      </c>
      <c r="B329" s="2">
        <v>25</v>
      </c>
      <c r="C329" t="s">
        <v>63</v>
      </c>
      <c r="D329" s="2" t="s">
        <v>33</v>
      </c>
      <c r="E329" s="2">
        <v>19</v>
      </c>
      <c r="F329" s="2">
        <v>19</v>
      </c>
      <c r="G329" s="2">
        <v>701</v>
      </c>
      <c r="H329" s="2">
        <v>9.5</v>
      </c>
      <c r="I329" s="2">
        <v>21.3</v>
      </c>
      <c r="J329" s="2">
        <v>0.44600000000000001</v>
      </c>
      <c r="K329" s="2">
        <v>3.3</v>
      </c>
      <c r="L329" s="2">
        <v>9.6999999999999993</v>
      </c>
      <c r="M329" s="2">
        <v>0.34399999999999997</v>
      </c>
      <c r="N329" s="2">
        <v>6.2</v>
      </c>
      <c r="O329" s="2">
        <v>11.6</v>
      </c>
      <c r="P329" s="2">
        <v>0.53100000000000003</v>
      </c>
      <c r="Q329" s="2">
        <v>0.52400000000000002</v>
      </c>
      <c r="R329" s="2">
        <v>5</v>
      </c>
      <c r="S329" s="2">
        <v>6.6</v>
      </c>
      <c r="T329" s="2">
        <v>0.76600000000000001</v>
      </c>
      <c r="U329" s="2">
        <v>0.6</v>
      </c>
      <c r="V329" s="2">
        <v>7.6</v>
      </c>
      <c r="W329" s="2">
        <v>8.1999999999999993</v>
      </c>
      <c r="X329" s="2">
        <v>7.7</v>
      </c>
      <c r="Y329" s="2">
        <v>2</v>
      </c>
      <c r="Z329" s="2">
        <v>0.4</v>
      </c>
      <c r="AA329" s="2">
        <v>3.4</v>
      </c>
      <c r="AB329" s="2">
        <v>2.8</v>
      </c>
      <c r="AC329" s="2">
        <v>27.4</v>
      </c>
      <c r="AD329" s="2"/>
    </row>
    <row r="330" spans="1:30" x14ac:dyDescent="0.2">
      <c r="A330" t="s">
        <v>448</v>
      </c>
      <c r="B330" s="2">
        <v>26</v>
      </c>
      <c r="C330" t="s">
        <v>51</v>
      </c>
      <c r="D330" s="2" t="s">
        <v>42</v>
      </c>
      <c r="E330" s="2">
        <v>7</v>
      </c>
      <c r="F330" s="2">
        <v>0</v>
      </c>
      <c r="G330" s="2">
        <v>33</v>
      </c>
      <c r="H330" s="2">
        <v>12</v>
      </c>
      <c r="I330" s="2">
        <v>21.8</v>
      </c>
      <c r="J330" s="2">
        <v>0.55000000000000004</v>
      </c>
      <c r="K330" s="2">
        <v>1.1000000000000001</v>
      </c>
      <c r="L330" s="2">
        <v>6.5</v>
      </c>
      <c r="M330" s="2">
        <v>0.16700000000000001</v>
      </c>
      <c r="N330" s="2">
        <v>10.9</v>
      </c>
      <c r="O330" s="2">
        <v>15.3</v>
      </c>
      <c r="P330" s="2">
        <v>0.71399999999999997</v>
      </c>
      <c r="Q330" s="2">
        <v>0.57499999999999996</v>
      </c>
      <c r="R330" s="2">
        <v>3.3</v>
      </c>
      <c r="S330" s="2">
        <v>6.5</v>
      </c>
      <c r="T330" s="2">
        <v>0.5</v>
      </c>
      <c r="U330" s="2">
        <v>4.4000000000000004</v>
      </c>
      <c r="V330" s="2">
        <v>5.5</v>
      </c>
      <c r="W330" s="2">
        <v>9.8000000000000007</v>
      </c>
      <c r="X330" s="2">
        <v>0</v>
      </c>
      <c r="Y330" s="2">
        <v>1.1000000000000001</v>
      </c>
      <c r="Z330" s="2">
        <v>0</v>
      </c>
      <c r="AA330" s="2">
        <v>2.2000000000000002</v>
      </c>
      <c r="AB330" s="2">
        <v>3.3</v>
      </c>
      <c r="AC330" s="2">
        <v>28.4</v>
      </c>
      <c r="AD330" s="2"/>
    </row>
    <row r="331" spans="1:30" x14ac:dyDescent="0.2">
      <c r="A331" t="s">
        <v>346</v>
      </c>
      <c r="B331" s="2">
        <v>28</v>
      </c>
      <c r="C331" t="s">
        <v>80</v>
      </c>
      <c r="D331" s="2" t="s">
        <v>52</v>
      </c>
      <c r="E331" s="2">
        <v>14</v>
      </c>
      <c r="F331" s="2">
        <v>0</v>
      </c>
      <c r="G331" s="2">
        <v>276</v>
      </c>
      <c r="H331" s="2">
        <v>4</v>
      </c>
      <c r="I331" s="2">
        <v>9.4</v>
      </c>
      <c r="J331" s="2">
        <v>0.43099999999999999</v>
      </c>
      <c r="K331" s="2">
        <v>2.7</v>
      </c>
      <c r="L331" s="2">
        <v>6.8</v>
      </c>
      <c r="M331" s="2">
        <v>0.40400000000000003</v>
      </c>
      <c r="N331" s="2">
        <v>1.3</v>
      </c>
      <c r="O331" s="2">
        <v>2.6</v>
      </c>
      <c r="P331" s="2">
        <v>0.5</v>
      </c>
      <c r="Q331" s="2">
        <v>0.57599999999999996</v>
      </c>
      <c r="R331" s="2">
        <v>1.4</v>
      </c>
      <c r="S331" s="2">
        <v>1.8</v>
      </c>
      <c r="T331" s="2">
        <v>0.78600000000000003</v>
      </c>
      <c r="U331" s="2">
        <v>0.9</v>
      </c>
      <c r="V331" s="2">
        <v>3.5</v>
      </c>
      <c r="W331" s="2">
        <v>4.4000000000000004</v>
      </c>
      <c r="X331" s="2">
        <v>5.3</v>
      </c>
      <c r="Y331" s="2">
        <v>1</v>
      </c>
      <c r="Z331" s="2">
        <v>0.3</v>
      </c>
      <c r="AA331" s="2">
        <v>1.3</v>
      </c>
      <c r="AB331" s="2">
        <v>1.2</v>
      </c>
      <c r="AC331" s="2">
        <v>12.3</v>
      </c>
      <c r="AD331" s="2"/>
    </row>
    <row r="332" spans="1:30" x14ac:dyDescent="0.2">
      <c r="A332" t="s">
        <v>350</v>
      </c>
      <c r="B332" s="2">
        <v>29</v>
      </c>
      <c r="C332" t="s">
        <v>39</v>
      </c>
      <c r="D332" s="2" t="s">
        <v>42</v>
      </c>
      <c r="E332" s="2">
        <v>19</v>
      </c>
      <c r="F332" s="2">
        <v>3</v>
      </c>
      <c r="G332" s="2">
        <v>320</v>
      </c>
      <c r="H332" s="2">
        <v>3.9</v>
      </c>
      <c r="I332" s="2">
        <v>6</v>
      </c>
      <c r="J332" s="2">
        <v>0.66</v>
      </c>
      <c r="K332" s="2">
        <v>0</v>
      </c>
      <c r="L332" s="2">
        <v>0</v>
      </c>
      <c r="M332" s="2"/>
      <c r="N332" s="2">
        <v>3.9</v>
      </c>
      <c r="O332" s="2">
        <v>6</v>
      </c>
      <c r="P332" s="2">
        <v>0.66</v>
      </c>
      <c r="Q332" s="2">
        <v>0.66</v>
      </c>
      <c r="R332" s="2">
        <v>2.5</v>
      </c>
      <c r="S332" s="2">
        <v>2.9</v>
      </c>
      <c r="T332" s="2">
        <v>0.84599999999999997</v>
      </c>
      <c r="U332" s="2">
        <v>3.9</v>
      </c>
      <c r="V332" s="2">
        <v>5.5</v>
      </c>
      <c r="W332" s="2">
        <v>9.5</v>
      </c>
      <c r="X332" s="2">
        <v>3.2</v>
      </c>
      <c r="Y332" s="2">
        <v>1.1000000000000001</v>
      </c>
      <c r="Z332" s="2">
        <v>2.4</v>
      </c>
      <c r="AA332" s="2">
        <v>0.9</v>
      </c>
      <c r="AB332" s="2">
        <v>2.9</v>
      </c>
      <c r="AC332" s="2">
        <v>10.4</v>
      </c>
      <c r="AD332" s="2"/>
    </row>
    <row r="333" spans="1:30" x14ac:dyDescent="0.2">
      <c r="A333" t="s">
        <v>504</v>
      </c>
      <c r="B333" s="2">
        <v>23</v>
      </c>
      <c r="C333" t="s">
        <v>57</v>
      </c>
      <c r="D333" s="2" t="s">
        <v>52</v>
      </c>
      <c r="E333" s="2">
        <v>6</v>
      </c>
      <c r="F333" s="2">
        <v>0</v>
      </c>
      <c r="G333" s="2">
        <v>42</v>
      </c>
      <c r="H333" s="2">
        <v>2.6</v>
      </c>
      <c r="I333" s="2">
        <v>6</v>
      </c>
      <c r="J333" s="2">
        <v>0.42899999999999999</v>
      </c>
      <c r="K333" s="2">
        <v>0</v>
      </c>
      <c r="L333" s="2">
        <v>2.6</v>
      </c>
      <c r="M333" s="2">
        <v>0</v>
      </c>
      <c r="N333" s="2">
        <v>2.6</v>
      </c>
      <c r="O333" s="2">
        <v>3.4</v>
      </c>
      <c r="P333" s="2">
        <v>0.75</v>
      </c>
      <c r="Q333" s="2">
        <v>0.42899999999999999</v>
      </c>
      <c r="R333" s="2">
        <v>1.7</v>
      </c>
      <c r="S333" s="2">
        <v>1.7</v>
      </c>
      <c r="T333" s="2">
        <v>1</v>
      </c>
      <c r="U333" s="2">
        <v>0.9</v>
      </c>
      <c r="V333" s="2">
        <v>4.3</v>
      </c>
      <c r="W333" s="2">
        <v>5.0999999999999996</v>
      </c>
      <c r="X333" s="2">
        <v>4.3</v>
      </c>
      <c r="Y333" s="2">
        <v>0.9</v>
      </c>
      <c r="Z333" s="2">
        <v>0.9</v>
      </c>
      <c r="AA333" s="2">
        <v>1.7</v>
      </c>
      <c r="AB333" s="2">
        <v>2.6</v>
      </c>
      <c r="AC333" s="2">
        <v>6.9</v>
      </c>
      <c r="AD333" s="2"/>
    </row>
    <row r="334" spans="1:30" x14ac:dyDescent="0.2">
      <c r="A334" t="s">
        <v>563</v>
      </c>
      <c r="B334" s="2">
        <v>26</v>
      </c>
      <c r="C334" t="s">
        <v>48</v>
      </c>
      <c r="D334" s="2" t="s">
        <v>52</v>
      </c>
      <c r="E334" s="2">
        <v>1</v>
      </c>
      <c r="F334" s="2">
        <v>0</v>
      </c>
      <c r="G334" s="2">
        <v>5</v>
      </c>
      <c r="H334" s="2">
        <v>0</v>
      </c>
      <c r="I334" s="2">
        <v>0</v>
      </c>
      <c r="J334" s="2"/>
      <c r="K334" s="2">
        <v>0</v>
      </c>
      <c r="L334" s="2">
        <v>0</v>
      </c>
      <c r="M334" s="2"/>
      <c r="N334" s="2">
        <v>0</v>
      </c>
      <c r="O334" s="2">
        <v>0</v>
      </c>
      <c r="P334" s="2"/>
      <c r="Q334" s="2"/>
      <c r="R334" s="2">
        <v>0</v>
      </c>
      <c r="S334" s="2">
        <v>0</v>
      </c>
      <c r="T334" s="2"/>
      <c r="U334" s="2">
        <v>0</v>
      </c>
      <c r="V334" s="2">
        <v>7.2</v>
      </c>
      <c r="W334" s="2">
        <v>7.2</v>
      </c>
      <c r="X334" s="2">
        <v>14.4</v>
      </c>
      <c r="Y334" s="2">
        <v>0</v>
      </c>
      <c r="Z334" s="2">
        <v>0</v>
      </c>
      <c r="AA334" s="2">
        <v>0</v>
      </c>
      <c r="AB334" s="2">
        <v>0</v>
      </c>
      <c r="AC334" s="2">
        <v>0</v>
      </c>
      <c r="AD334" s="2"/>
    </row>
    <row r="335" spans="1:30" x14ac:dyDescent="0.2">
      <c r="A335" t="s">
        <v>314</v>
      </c>
      <c r="B335" s="2">
        <v>21</v>
      </c>
      <c r="C335" t="s">
        <v>93</v>
      </c>
      <c r="D335" s="2" t="s">
        <v>52</v>
      </c>
      <c r="E335" s="2">
        <v>18</v>
      </c>
      <c r="F335" s="2">
        <v>0</v>
      </c>
      <c r="G335" s="2">
        <v>233</v>
      </c>
      <c r="H335" s="2">
        <v>6.6</v>
      </c>
      <c r="I335" s="2">
        <v>14.8</v>
      </c>
      <c r="J335" s="2">
        <v>0.44800000000000001</v>
      </c>
      <c r="K335" s="2">
        <v>2.6</v>
      </c>
      <c r="L335" s="2">
        <v>6.3</v>
      </c>
      <c r="M335" s="2">
        <v>0.41499999999999998</v>
      </c>
      <c r="N335" s="2">
        <v>4</v>
      </c>
      <c r="O335" s="2">
        <v>8.5</v>
      </c>
      <c r="P335" s="2">
        <v>0.47299999999999998</v>
      </c>
      <c r="Q335" s="2">
        <v>0.53600000000000003</v>
      </c>
      <c r="R335" s="2">
        <v>2.6</v>
      </c>
      <c r="S335" s="2">
        <v>3.1</v>
      </c>
      <c r="T335" s="2">
        <v>0.85</v>
      </c>
      <c r="U335" s="2">
        <v>0.5</v>
      </c>
      <c r="V335" s="2">
        <v>4</v>
      </c>
      <c r="W335" s="2">
        <v>4.5</v>
      </c>
      <c r="X335" s="2">
        <v>3.2</v>
      </c>
      <c r="Y335" s="2">
        <v>1.1000000000000001</v>
      </c>
      <c r="Z335" s="2">
        <v>0.3</v>
      </c>
      <c r="AA335" s="2">
        <v>3.6</v>
      </c>
      <c r="AB335" s="2">
        <v>2</v>
      </c>
      <c r="AC335" s="2">
        <v>18.5</v>
      </c>
      <c r="AD335" s="2"/>
    </row>
    <row r="336" spans="1:30" x14ac:dyDescent="0.2">
      <c r="A336" t="s">
        <v>310</v>
      </c>
      <c r="B336" s="2">
        <v>32</v>
      </c>
      <c r="C336" t="s">
        <v>114</v>
      </c>
      <c r="D336" s="2" t="s">
        <v>33</v>
      </c>
      <c r="E336" s="2">
        <v>9</v>
      </c>
      <c r="F336" s="2">
        <v>8</v>
      </c>
      <c r="G336" s="2">
        <v>214</v>
      </c>
      <c r="H336" s="2">
        <v>7.6</v>
      </c>
      <c r="I336" s="2">
        <v>15.3</v>
      </c>
      <c r="J336" s="2">
        <v>0.495</v>
      </c>
      <c r="K336" s="2">
        <v>1.2</v>
      </c>
      <c r="L336" s="2">
        <v>3.5</v>
      </c>
      <c r="M336" s="2">
        <v>0.33300000000000002</v>
      </c>
      <c r="N336" s="2">
        <v>6.4</v>
      </c>
      <c r="O336" s="2">
        <v>11.8</v>
      </c>
      <c r="P336" s="2">
        <v>0.54300000000000004</v>
      </c>
      <c r="Q336" s="2">
        <v>0.53300000000000003</v>
      </c>
      <c r="R336" s="2">
        <v>4.5</v>
      </c>
      <c r="S336" s="2">
        <v>5.4</v>
      </c>
      <c r="T336" s="2">
        <v>0.84399999999999997</v>
      </c>
      <c r="U336" s="2">
        <v>1.5</v>
      </c>
      <c r="V336" s="2">
        <v>5</v>
      </c>
      <c r="W336" s="2">
        <v>6.6</v>
      </c>
      <c r="X336" s="2">
        <v>3.9</v>
      </c>
      <c r="Y336" s="2">
        <v>0.7</v>
      </c>
      <c r="Z336" s="2">
        <v>0.5</v>
      </c>
      <c r="AA336" s="2">
        <v>2.4</v>
      </c>
      <c r="AB336" s="2">
        <v>3.2</v>
      </c>
      <c r="AC336" s="2">
        <v>20.9</v>
      </c>
      <c r="AD336" s="2"/>
    </row>
    <row r="337" spans="1:30" x14ac:dyDescent="0.2">
      <c r="A337" t="s">
        <v>547</v>
      </c>
      <c r="B337" s="2">
        <v>25</v>
      </c>
      <c r="C337" t="s">
        <v>32</v>
      </c>
      <c r="D337" s="2" t="s">
        <v>49</v>
      </c>
      <c r="E337" s="2">
        <v>6</v>
      </c>
      <c r="F337" s="2">
        <v>0</v>
      </c>
      <c r="G337" s="2">
        <v>21</v>
      </c>
      <c r="H337" s="2">
        <v>0</v>
      </c>
      <c r="I337" s="2">
        <v>3.4</v>
      </c>
      <c r="J337" s="2">
        <v>0</v>
      </c>
      <c r="K337" s="2">
        <v>0</v>
      </c>
      <c r="L337" s="2">
        <v>1.7</v>
      </c>
      <c r="M337" s="2">
        <v>0</v>
      </c>
      <c r="N337" s="2">
        <v>0</v>
      </c>
      <c r="O337" s="2">
        <v>1.7</v>
      </c>
      <c r="P337" s="2">
        <v>0</v>
      </c>
      <c r="Q337" s="2">
        <v>0</v>
      </c>
      <c r="R337" s="2">
        <v>3.4</v>
      </c>
      <c r="S337" s="2">
        <v>6.9</v>
      </c>
      <c r="T337" s="2">
        <v>0.5</v>
      </c>
      <c r="U337" s="2">
        <v>1.7</v>
      </c>
      <c r="V337" s="2">
        <v>3.4</v>
      </c>
      <c r="W337" s="2">
        <v>5.0999999999999996</v>
      </c>
      <c r="X337" s="2">
        <v>1.7</v>
      </c>
      <c r="Y337" s="2">
        <v>0</v>
      </c>
      <c r="Z337" s="2">
        <v>0</v>
      </c>
      <c r="AA337" s="2">
        <v>1.7</v>
      </c>
      <c r="AB337" s="2">
        <v>6.9</v>
      </c>
      <c r="AC337" s="2">
        <v>3.4</v>
      </c>
      <c r="AD337" s="2"/>
    </row>
    <row r="338" spans="1:30" x14ac:dyDescent="0.2">
      <c r="A338" t="s">
        <v>115</v>
      </c>
      <c r="B338" s="2">
        <v>28</v>
      </c>
      <c r="C338" t="s">
        <v>75</v>
      </c>
      <c r="D338" s="2" t="s">
        <v>52</v>
      </c>
      <c r="E338" s="2">
        <v>26</v>
      </c>
      <c r="F338" s="2">
        <v>7</v>
      </c>
      <c r="G338" s="2">
        <v>727</v>
      </c>
      <c r="H338" s="2">
        <v>7.1</v>
      </c>
      <c r="I338" s="2">
        <v>16.3</v>
      </c>
      <c r="J338" s="2">
        <v>0.433</v>
      </c>
      <c r="K338" s="2">
        <v>4.5999999999999996</v>
      </c>
      <c r="L338" s="2">
        <v>11.2</v>
      </c>
      <c r="M338" s="2">
        <v>0.40699999999999997</v>
      </c>
      <c r="N338" s="2">
        <v>2.5</v>
      </c>
      <c r="O338" s="2">
        <v>5.0999999999999996</v>
      </c>
      <c r="P338" s="2">
        <v>0.49</v>
      </c>
      <c r="Q338" s="2">
        <v>0.57299999999999995</v>
      </c>
      <c r="R338" s="2">
        <v>1.3</v>
      </c>
      <c r="S338" s="2">
        <v>1.8</v>
      </c>
      <c r="T338" s="2">
        <v>0.72199999999999998</v>
      </c>
      <c r="U338" s="2">
        <v>0.8</v>
      </c>
      <c r="V338" s="2">
        <v>3.2</v>
      </c>
      <c r="W338" s="2">
        <v>4</v>
      </c>
      <c r="X338" s="2">
        <v>2.4</v>
      </c>
      <c r="Y338" s="2">
        <v>0.9</v>
      </c>
      <c r="Z338" s="2">
        <v>0</v>
      </c>
      <c r="AA338" s="2">
        <v>1.4</v>
      </c>
      <c r="AB338" s="2">
        <v>1.7</v>
      </c>
      <c r="AC338" s="2">
        <v>20</v>
      </c>
      <c r="AD338" s="2"/>
    </row>
    <row r="339" spans="1:30" x14ac:dyDescent="0.2">
      <c r="A339" t="s">
        <v>156</v>
      </c>
      <c r="B339" s="2">
        <v>26</v>
      </c>
      <c r="C339" t="s">
        <v>37</v>
      </c>
      <c r="D339" s="2" t="s">
        <v>52</v>
      </c>
      <c r="E339" s="2">
        <v>19</v>
      </c>
      <c r="F339" s="2">
        <v>6</v>
      </c>
      <c r="G339" s="2">
        <v>545</v>
      </c>
      <c r="H339" s="2">
        <v>7</v>
      </c>
      <c r="I339" s="2">
        <v>15.5</v>
      </c>
      <c r="J339" s="2">
        <v>0.45300000000000001</v>
      </c>
      <c r="K339" s="2">
        <v>2.9</v>
      </c>
      <c r="L339" s="2">
        <v>7.7</v>
      </c>
      <c r="M339" s="2">
        <v>0.376</v>
      </c>
      <c r="N339" s="2">
        <v>4.0999999999999996</v>
      </c>
      <c r="O339" s="2">
        <v>7.7</v>
      </c>
      <c r="P339" s="2">
        <v>0.53</v>
      </c>
      <c r="Q339" s="2">
        <v>0.54700000000000004</v>
      </c>
      <c r="R339" s="2">
        <v>2.8</v>
      </c>
      <c r="S339" s="2">
        <v>3.3</v>
      </c>
      <c r="T339" s="2">
        <v>0.84</v>
      </c>
      <c r="U339" s="2">
        <v>0.3</v>
      </c>
      <c r="V339" s="2">
        <v>4.0999999999999996</v>
      </c>
      <c r="W339" s="2">
        <v>4.4000000000000004</v>
      </c>
      <c r="X339" s="2">
        <v>5.9</v>
      </c>
      <c r="Y339" s="2">
        <v>1</v>
      </c>
      <c r="Z339" s="2">
        <v>0.6</v>
      </c>
      <c r="AA339" s="2">
        <v>1.6</v>
      </c>
      <c r="AB339" s="2">
        <v>2.8</v>
      </c>
      <c r="AC339" s="2">
        <v>19.7</v>
      </c>
      <c r="AD339" s="2"/>
    </row>
    <row r="340" spans="1:30" x14ac:dyDescent="0.2">
      <c r="A340" t="s">
        <v>326</v>
      </c>
      <c r="B340" s="2">
        <v>24</v>
      </c>
      <c r="C340" t="s">
        <v>75</v>
      </c>
      <c r="D340" s="2" t="s">
        <v>33</v>
      </c>
      <c r="E340" s="2">
        <v>17</v>
      </c>
      <c r="F340" s="2">
        <v>0</v>
      </c>
      <c r="G340" s="2">
        <v>227</v>
      </c>
      <c r="H340" s="2">
        <v>7.1</v>
      </c>
      <c r="I340" s="2">
        <v>13.2</v>
      </c>
      <c r="J340" s="2">
        <v>0.54200000000000004</v>
      </c>
      <c r="K340" s="2">
        <v>2.2000000000000002</v>
      </c>
      <c r="L340" s="2">
        <v>5.7</v>
      </c>
      <c r="M340" s="2">
        <v>0.38900000000000001</v>
      </c>
      <c r="N340" s="2">
        <v>4.9000000000000004</v>
      </c>
      <c r="O340" s="2">
        <v>7.5</v>
      </c>
      <c r="P340" s="2">
        <v>0.66</v>
      </c>
      <c r="Q340" s="2">
        <v>0.627</v>
      </c>
      <c r="R340" s="2">
        <v>1</v>
      </c>
      <c r="S340" s="2">
        <v>1</v>
      </c>
      <c r="T340" s="2">
        <v>1</v>
      </c>
      <c r="U340" s="2">
        <v>1.1000000000000001</v>
      </c>
      <c r="V340" s="2">
        <v>1.7</v>
      </c>
      <c r="W340" s="2">
        <v>2.9</v>
      </c>
      <c r="X340" s="2">
        <v>4.4000000000000004</v>
      </c>
      <c r="Y340" s="2">
        <v>2.4</v>
      </c>
      <c r="Z340" s="2">
        <v>0.5</v>
      </c>
      <c r="AA340" s="2">
        <v>2.1</v>
      </c>
      <c r="AB340" s="2">
        <v>2.1</v>
      </c>
      <c r="AC340" s="2">
        <v>17.399999999999999</v>
      </c>
      <c r="AD340" s="2"/>
    </row>
    <row r="341" spans="1:30" x14ac:dyDescent="0.2">
      <c r="A341" t="s">
        <v>291</v>
      </c>
      <c r="B341" s="2">
        <v>30</v>
      </c>
      <c r="C341" t="s">
        <v>80</v>
      </c>
      <c r="D341" s="2" t="s">
        <v>33</v>
      </c>
      <c r="E341" s="2">
        <v>15</v>
      </c>
      <c r="F341" s="2">
        <v>6</v>
      </c>
      <c r="G341" s="2">
        <v>320</v>
      </c>
      <c r="H341" s="2">
        <v>5.0999999999999996</v>
      </c>
      <c r="I341" s="2">
        <v>13.7</v>
      </c>
      <c r="J341" s="2">
        <v>0.36899999999999999</v>
      </c>
      <c r="K341" s="2">
        <v>2.8</v>
      </c>
      <c r="L341" s="2">
        <v>8.6999999999999993</v>
      </c>
      <c r="M341" s="2">
        <v>0.32500000000000001</v>
      </c>
      <c r="N341" s="2">
        <v>2.2999999999999998</v>
      </c>
      <c r="O341" s="2">
        <v>5.0999999999999996</v>
      </c>
      <c r="P341" s="2">
        <v>0.44400000000000001</v>
      </c>
      <c r="Q341" s="2">
        <v>0.47099999999999997</v>
      </c>
      <c r="R341" s="2">
        <v>3.3</v>
      </c>
      <c r="S341" s="2">
        <v>3.9</v>
      </c>
      <c r="T341" s="2">
        <v>0.82899999999999996</v>
      </c>
      <c r="U341" s="2">
        <v>1.5</v>
      </c>
      <c r="V341" s="2">
        <v>2.8</v>
      </c>
      <c r="W341" s="2">
        <v>4.3</v>
      </c>
      <c r="X341" s="2">
        <v>6.9</v>
      </c>
      <c r="Y341" s="2">
        <v>2.5</v>
      </c>
      <c r="Z341" s="2">
        <v>0.7</v>
      </c>
      <c r="AA341" s="2">
        <v>3.6</v>
      </c>
      <c r="AB341" s="2">
        <v>2.9</v>
      </c>
      <c r="AC341" s="2">
        <v>16.2</v>
      </c>
      <c r="AD341" s="2"/>
    </row>
    <row r="342" spans="1:30" x14ac:dyDescent="0.2">
      <c r="A342" t="s">
        <v>474</v>
      </c>
      <c r="B342" s="2">
        <v>24</v>
      </c>
      <c r="C342" t="s">
        <v>35</v>
      </c>
      <c r="D342" s="2" t="s">
        <v>49</v>
      </c>
      <c r="E342" s="2">
        <v>11</v>
      </c>
      <c r="F342" s="2">
        <v>0</v>
      </c>
      <c r="G342" s="2">
        <v>35</v>
      </c>
      <c r="H342" s="2">
        <v>6.2</v>
      </c>
      <c r="I342" s="2">
        <v>16.5</v>
      </c>
      <c r="J342" s="2">
        <v>0.375</v>
      </c>
      <c r="K342" s="2">
        <v>2.1</v>
      </c>
      <c r="L342" s="2">
        <v>8.1999999999999993</v>
      </c>
      <c r="M342" s="2">
        <v>0.25</v>
      </c>
      <c r="N342" s="2">
        <v>4.0999999999999996</v>
      </c>
      <c r="O342" s="2">
        <v>8.1999999999999993</v>
      </c>
      <c r="P342" s="2">
        <v>0.5</v>
      </c>
      <c r="Q342" s="2">
        <v>0.438</v>
      </c>
      <c r="R342" s="2">
        <v>4.0999999999999996</v>
      </c>
      <c r="S342" s="2">
        <v>4.0999999999999996</v>
      </c>
      <c r="T342" s="2">
        <v>1</v>
      </c>
      <c r="U342" s="2">
        <v>2.1</v>
      </c>
      <c r="V342" s="2">
        <v>7.2</v>
      </c>
      <c r="W342" s="2">
        <v>9.3000000000000007</v>
      </c>
      <c r="X342" s="2">
        <v>1</v>
      </c>
      <c r="Y342" s="2">
        <v>1</v>
      </c>
      <c r="Z342" s="2">
        <v>0</v>
      </c>
      <c r="AA342" s="2">
        <v>7.2</v>
      </c>
      <c r="AB342" s="2">
        <v>3.1</v>
      </c>
      <c r="AC342" s="2">
        <v>18.5</v>
      </c>
      <c r="AD342" s="2"/>
    </row>
    <row r="343" spans="1:30" x14ac:dyDescent="0.2">
      <c r="A343" t="s">
        <v>460</v>
      </c>
      <c r="B343" s="2">
        <v>23</v>
      </c>
      <c r="C343" t="s">
        <v>59</v>
      </c>
      <c r="D343" s="2" t="s">
        <v>42</v>
      </c>
      <c r="E343" s="2">
        <v>3</v>
      </c>
      <c r="F343" s="2">
        <v>0</v>
      </c>
      <c r="G343" s="2">
        <v>30</v>
      </c>
      <c r="H343" s="2">
        <v>10.8</v>
      </c>
      <c r="I343" s="2">
        <v>18</v>
      </c>
      <c r="J343" s="2">
        <v>0.6</v>
      </c>
      <c r="K343" s="2">
        <v>0</v>
      </c>
      <c r="L343" s="2">
        <v>0</v>
      </c>
      <c r="M343" s="2"/>
      <c r="N343" s="2">
        <v>10.8</v>
      </c>
      <c r="O343" s="2">
        <v>18</v>
      </c>
      <c r="P343" s="2">
        <v>0.6</v>
      </c>
      <c r="Q343" s="2">
        <v>0.6</v>
      </c>
      <c r="R343" s="2">
        <v>4.8</v>
      </c>
      <c r="S343" s="2">
        <v>6</v>
      </c>
      <c r="T343" s="2">
        <v>0.8</v>
      </c>
      <c r="U343" s="2">
        <v>7.2</v>
      </c>
      <c r="V343" s="2">
        <v>8.4</v>
      </c>
      <c r="W343" s="2">
        <v>15.6</v>
      </c>
      <c r="X343" s="2">
        <v>3.6</v>
      </c>
      <c r="Y343" s="2">
        <v>1.2</v>
      </c>
      <c r="Z343" s="2">
        <v>1.2</v>
      </c>
      <c r="AA343" s="2">
        <v>2.4</v>
      </c>
      <c r="AB343" s="2">
        <v>2.4</v>
      </c>
      <c r="AC343" s="2">
        <v>26.4</v>
      </c>
      <c r="AD343" s="2"/>
    </row>
    <row r="344" spans="1:30" x14ac:dyDescent="0.2">
      <c r="A344" t="s">
        <v>518</v>
      </c>
      <c r="B344" s="2">
        <v>35</v>
      </c>
      <c r="C344" t="s">
        <v>63</v>
      </c>
      <c r="D344" s="2" t="s">
        <v>27</v>
      </c>
      <c r="E344" s="2">
        <v>3</v>
      </c>
      <c r="F344" s="2">
        <v>0</v>
      </c>
      <c r="G344" s="2">
        <v>18</v>
      </c>
      <c r="H344" s="2">
        <v>4</v>
      </c>
      <c r="I344" s="2">
        <v>18</v>
      </c>
      <c r="J344" s="2">
        <v>0.222</v>
      </c>
      <c r="K344" s="2">
        <v>2</v>
      </c>
      <c r="L344" s="2">
        <v>6</v>
      </c>
      <c r="M344" s="2">
        <v>0.33300000000000002</v>
      </c>
      <c r="N344" s="2">
        <v>2</v>
      </c>
      <c r="O344" s="2">
        <v>12</v>
      </c>
      <c r="P344" s="2">
        <v>0.16700000000000001</v>
      </c>
      <c r="Q344" s="2">
        <v>0.27800000000000002</v>
      </c>
      <c r="R344" s="2">
        <v>0</v>
      </c>
      <c r="S344" s="2">
        <v>0</v>
      </c>
      <c r="T344" s="2"/>
      <c r="U344" s="2">
        <v>0</v>
      </c>
      <c r="V344" s="2">
        <v>10</v>
      </c>
      <c r="W344" s="2">
        <v>10</v>
      </c>
      <c r="X344" s="2">
        <v>4</v>
      </c>
      <c r="Y344" s="2">
        <v>0</v>
      </c>
      <c r="Z344" s="2">
        <v>2</v>
      </c>
      <c r="AA344" s="2">
        <v>4</v>
      </c>
      <c r="AB344" s="2">
        <v>0</v>
      </c>
      <c r="AC344" s="2">
        <v>10</v>
      </c>
      <c r="AD344" s="2"/>
    </row>
    <row r="345" spans="1:30" x14ac:dyDescent="0.2">
      <c r="A345" t="s">
        <v>366</v>
      </c>
      <c r="B345" s="2">
        <v>25</v>
      </c>
      <c r="C345" t="s">
        <v>114</v>
      </c>
      <c r="D345" s="2" t="s">
        <v>42</v>
      </c>
      <c r="E345" s="2">
        <v>16</v>
      </c>
      <c r="F345" s="2">
        <v>1</v>
      </c>
      <c r="G345" s="2">
        <v>135</v>
      </c>
      <c r="H345" s="2">
        <v>8.8000000000000007</v>
      </c>
      <c r="I345" s="2">
        <v>16.3</v>
      </c>
      <c r="J345" s="2">
        <v>0.54100000000000004</v>
      </c>
      <c r="K345" s="2">
        <v>0.5</v>
      </c>
      <c r="L345" s="2">
        <v>2.7</v>
      </c>
      <c r="M345" s="2">
        <v>0.2</v>
      </c>
      <c r="N345" s="2">
        <v>8.3000000000000007</v>
      </c>
      <c r="O345" s="2">
        <v>13.6</v>
      </c>
      <c r="P345" s="2">
        <v>0.60799999999999998</v>
      </c>
      <c r="Q345" s="2">
        <v>0.55700000000000005</v>
      </c>
      <c r="R345" s="2">
        <v>2.7</v>
      </c>
      <c r="S345" s="2">
        <v>4</v>
      </c>
      <c r="T345" s="2">
        <v>0.66700000000000004</v>
      </c>
      <c r="U345" s="2">
        <v>5.6</v>
      </c>
      <c r="V345" s="2">
        <v>6.1</v>
      </c>
      <c r="W345" s="2">
        <v>11.7</v>
      </c>
      <c r="X345" s="2">
        <v>1.6</v>
      </c>
      <c r="Y345" s="2">
        <v>1.3</v>
      </c>
      <c r="Z345" s="2">
        <v>1.3</v>
      </c>
      <c r="AA345" s="2">
        <v>2.7</v>
      </c>
      <c r="AB345" s="2">
        <v>2.7</v>
      </c>
      <c r="AC345" s="2">
        <v>20.8</v>
      </c>
      <c r="AD345" s="2"/>
    </row>
    <row r="346" spans="1:30" x14ac:dyDescent="0.2">
      <c r="A346" t="s">
        <v>561</v>
      </c>
      <c r="B346" s="2">
        <v>26</v>
      </c>
      <c r="C346" t="s">
        <v>37</v>
      </c>
      <c r="D346" s="2" t="s">
        <v>52</v>
      </c>
      <c r="E346" s="2">
        <v>3</v>
      </c>
      <c r="F346" s="2">
        <v>0</v>
      </c>
      <c r="G346" s="2">
        <v>13</v>
      </c>
      <c r="H346" s="2">
        <v>0</v>
      </c>
      <c r="I346" s="2">
        <v>5.5</v>
      </c>
      <c r="J346" s="2">
        <v>0</v>
      </c>
      <c r="K346" s="2">
        <v>0</v>
      </c>
      <c r="L346" s="2">
        <v>5.5</v>
      </c>
      <c r="M346" s="2">
        <v>0</v>
      </c>
      <c r="N346" s="2">
        <v>0</v>
      </c>
      <c r="O346" s="2">
        <v>0</v>
      </c>
      <c r="P346" s="2"/>
      <c r="Q346" s="2">
        <v>0</v>
      </c>
      <c r="R346" s="2">
        <v>0</v>
      </c>
      <c r="S346" s="2">
        <v>0</v>
      </c>
      <c r="T346" s="2"/>
      <c r="U346" s="2">
        <v>2.8</v>
      </c>
      <c r="V346" s="2">
        <v>8.3000000000000007</v>
      </c>
      <c r="W346" s="2">
        <v>11.1</v>
      </c>
      <c r="X346" s="2">
        <v>19.399999999999999</v>
      </c>
      <c r="Y346" s="2">
        <v>0</v>
      </c>
      <c r="Z346" s="2">
        <v>0</v>
      </c>
      <c r="AA346" s="2">
        <v>0</v>
      </c>
      <c r="AB346" s="2">
        <v>2.8</v>
      </c>
      <c r="AC346" s="2">
        <v>0</v>
      </c>
      <c r="AD346" s="2"/>
    </row>
    <row r="347" spans="1:30" x14ac:dyDescent="0.2">
      <c r="A347" t="s">
        <v>335</v>
      </c>
      <c r="B347" s="2">
        <v>34</v>
      </c>
      <c r="C347" t="s">
        <v>54</v>
      </c>
      <c r="D347" s="2" t="s">
        <v>42</v>
      </c>
      <c r="E347" s="2">
        <v>22</v>
      </c>
      <c r="F347" s="2">
        <v>7</v>
      </c>
      <c r="G347" s="2">
        <v>397</v>
      </c>
      <c r="H347" s="2">
        <v>3.5</v>
      </c>
      <c r="I347" s="2">
        <v>6.3</v>
      </c>
      <c r="J347" s="2">
        <v>0.55700000000000005</v>
      </c>
      <c r="K347" s="2">
        <v>0</v>
      </c>
      <c r="L347" s="2">
        <v>0</v>
      </c>
      <c r="M347" s="2"/>
      <c r="N347" s="2">
        <v>3.5</v>
      </c>
      <c r="O347" s="2">
        <v>6.3</v>
      </c>
      <c r="P347" s="2">
        <v>0.55700000000000005</v>
      </c>
      <c r="Q347" s="2">
        <v>0.55700000000000005</v>
      </c>
      <c r="R347" s="2">
        <v>2.1</v>
      </c>
      <c r="S347" s="2">
        <v>3.8</v>
      </c>
      <c r="T347" s="2">
        <v>0.54800000000000004</v>
      </c>
      <c r="U347" s="2">
        <v>3.1</v>
      </c>
      <c r="V347" s="2">
        <v>9.1</v>
      </c>
      <c r="W347" s="2">
        <v>12.2</v>
      </c>
      <c r="X347" s="2">
        <v>3.4</v>
      </c>
      <c r="Y347" s="2">
        <v>0.7</v>
      </c>
      <c r="Z347" s="2">
        <v>1.6</v>
      </c>
      <c r="AA347" s="2">
        <v>1.8</v>
      </c>
      <c r="AB347" s="2">
        <v>4</v>
      </c>
      <c r="AC347" s="2">
        <v>9.1999999999999993</v>
      </c>
      <c r="AD347" s="2"/>
    </row>
    <row r="348" spans="1:30" x14ac:dyDescent="0.2">
      <c r="A348" t="s">
        <v>304</v>
      </c>
      <c r="B348" s="2">
        <v>20</v>
      </c>
      <c r="C348" t="s">
        <v>70</v>
      </c>
      <c r="D348" s="2" t="s">
        <v>49</v>
      </c>
      <c r="E348" s="2">
        <v>24</v>
      </c>
      <c r="F348" s="2">
        <v>0</v>
      </c>
      <c r="G348" s="2">
        <v>304</v>
      </c>
      <c r="H348" s="2">
        <v>5.2</v>
      </c>
      <c r="I348" s="2">
        <v>13</v>
      </c>
      <c r="J348" s="2">
        <v>0.4</v>
      </c>
      <c r="K348" s="2">
        <v>2.5</v>
      </c>
      <c r="L348" s="2">
        <v>6.9</v>
      </c>
      <c r="M348" s="2">
        <v>0.36199999999999999</v>
      </c>
      <c r="N348" s="2">
        <v>2.7</v>
      </c>
      <c r="O348" s="2">
        <v>6.2</v>
      </c>
      <c r="P348" s="2">
        <v>0.442</v>
      </c>
      <c r="Q348" s="2">
        <v>0.495</v>
      </c>
      <c r="R348" s="2">
        <v>2.2999999999999998</v>
      </c>
      <c r="S348" s="2">
        <v>2.8</v>
      </c>
      <c r="T348" s="2">
        <v>0.79200000000000004</v>
      </c>
      <c r="U348" s="2">
        <v>1.3</v>
      </c>
      <c r="V348" s="2">
        <v>5.9</v>
      </c>
      <c r="W348" s="2">
        <v>7.2</v>
      </c>
      <c r="X348" s="2">
        <v>1.1000000000000001</v>
      </c>
      <c r="Y348" s="2">
        <v>0.9</v>
      </c>
      <c r="Z348" s="2">
        <v>2</v>
      </c>
      <c r="AA348" s="2">
        <v>2</v>
      </c>
      <c r="AB348" s="2">
        <v>4.0999999999999996</v>
      </c>
      <c r="AC348" s="2">
        <v>15.2</v>
      </c>
      <c r="AD348" s="2"/>
    </row>
    <row r="349" spans="1:30" x14ac:dyDescent="0.2">
      <c r="A349" t="s">
        <v>495</v>
      </c>
      <c r="B349" s="2">
        <v>27</v>
      </c>
      <c r="C349" t="s">
        <v>44</v>
      </c>
      <c r="D349" s="2" t="s">
        <v>49</v>
      </c>
      <c r="E349" s="2">
        <v>8</v>
      </c>
      <c r="F349" s="2">
        <v>0</v>
      </c>
      <c r="G349" s="2">
        <v>41</v>
      </c>
      <c r="H349" s="2">
        <v>3.5</v>
      </c>
      <c r="I349" s="2">
        <v>14</v>
      </c>
      <c r="J349" s="2">
        <v>0.25</v>
      </c>
      <c r="K349" s="2">
        <v>2.6</v>
      </c>
      <c r="L349" s="2">
        <v>10.5</v>
      </c>
      <c r="M349" s="2">
        <v>0.25</v>
      </c>
      <c r="N349" s="2">
        <v>0.9</v>
      </c>
      <c r="O349" s="2">
        <v>3.5</v>
      </c>
      <c r="P349" s="2">
        <v>0.25</v>
      </c>
      <c r="Q349" s="2">
        <v>0.34399999999999997</v>
      </c>
      <c r="R349" s="2">
        <v>0</v>
      </c>
      <c r="S349" s="2">
        <v>0</v>
      </c>
      <c r="T349" s="2"/>
      <c r="U349" s="2">
        <v>0</v>
      </c>
      <c r="V349" s="2">
        <v>0.9</v>
      </c>
      <c r="W349" s="2">
        <v>0.9</v>
      </c>
      <c r="X349" s="2">
        <v>0</v>
      </c>
      <c r="Y349" s="2">
        <v>0</v>
      </c>
      <c r="Z349" s="2">
        <v>0</v>
      </c>
      <c r="AA349" s="2">
        <v>2.6</v>
      </c>
      <c r="AB349" s="2">
        <v>0</v>
      </c>
      <c r="AC349" s="2">
        <v>9.6999999999999993</v>
      </c>
      <c r="AD349" s="2"/>
    </row>
    <row r="350" spans="1:30" x14ac:dyDescent="0.2">
      <c r="A350" t="s">
        <v>302</v>
      </c>
      <c r="B350" s="2">
        <v>21</v>
      </c>
      <c r="C350" t="s">
        <v>41</v>
      </c>
      <c r="D350" s="2" t="s">
        <v>52</v>
      </c>
      <c r="E350" s="2">
        <v>23</v>
      </c>
      <c r="F350" s="2">
        <v>2</v>
      </c>
      <c r="G350" s="2">
        <v>442</v>
      </c>
      <c r="H350" s="2">
        <v>3.4</v>
      </c>
      <c r="I350" s="2">
        <v>8.4</v>
      </c>
      <c r="J350" s="2">
        <v>0.40799999999999997</v>
      </c>
      <c r="K350" s="2">
        <v>1.1000000000000001</v>
      </c>
      <c r="L350" s="2">
        <v>3.9</v>
      </c>
      <c r="M350" s="2">
        <v>0.29199999999999998</v>
      </c>
      <c r="N350" s="2">
        <v>2.2999999999999998</v>
      </c>
      <c r="O350" s="2">
        <v>4.5</v>
      </c>
      <c r="P350" s="2">
        <v>0.50900000000000001</v>
      </c>
      <c r="Q350" s="2">
        <v>0.47599999999999998</v>
      </c>
      <c r="R350" s="2">
        <v>2.8</v>
      </c>
      <c r="S350" s="2">
        <v>3.3</v>
      </c>
      <c r="T350" s="2">
        <v>0.82899999999999996</v>
      </c>
      <c r="U350" s="2">
        <v>1.1000000000000001</v>
      </c>
      <c r="V350" s="2">
        <v>2.9</v>
      </c>
      <c r="W350" s="2">
        <v>4.0999999999999996</v>
      </c>
      <c r="X350" s="2">
        <v>2.4</v>
      </c>
      <c r="Y350" s="2">
        <v>1.5</v>
      </c>
      <c r="Z350" s="2">
        <v>0.7</v>
      </c>
      <c r="AA350" s="2">
        <v>1.2</v>
      </c>
      <c r="AB350" s="2">
        <v>2.4</v>
      </c>
      <c r="AC350" s="2">
        <v>10.8</v>
      </c>
      <c r="AD350" s="2"/>
    </row>
    <row r="351" spans="1:30" x14ac:dyDescent="0.2">
      <c r="A351" t="s">
        <v>453</v>
      </c>
      <c r="B351" s="2">
        <v>33</v>
      </c>
      <c r="C351" t="s">
        <v>63</v>
      </c>
      <c r="D351" s="2" t="s">
        <v>27</v>
      </c>
      <c r="E351" s="2">
        <v>14</v>
      </c>
      <c r="F351" s="2">
        <v>2</v>
      </c>
      <c r="G351" s="2">
        <v>238</v>
      </c>
      <c r="H351" s="2">
        <v>1.4</v>
      </c>
      <c r="I351" s="2">
        <v>3.9</v>
      </c>
      <c r="J351" s="2">
        <v>0.34599999999999997</v>
      </c>
      <c r="K351" s="2">
        <v>0.3</v>
      </c>
      <c r="L351" s="2">
        <v>1.4</v>
      </c>
      <c r="M351" s="2">
        <v>0.222</v>
      </c>
      <c r="N351" s="2">
        <v>1.1000000000000001</v>
      </c>
      <c r="O351" s="2">
        <v>2.6</v>
      </c>
      <c r="P351" s="2">
        <v>0.41199999999999998</v>
      </c>
      <c r="Q351" s="2">
        <v>0.38500000000000001</v>
      </c>
      <c r="R351" s="2">
        <v>0.6</v>
      </c>
      <c r="S351" s="2">
        <v>0.9</v>
      </c>
      <c r="T351" s="2">
        <v>0.66700000000000004</v>
      </c>
      <c r="U351" s="2">
        <v>0.9</v>
      </c>
      <c r="V351" s="2">
        <v>5.4</v>
      </c>
      <c r="W351" s="2">
        <v>6.4</v>
      </c>
      <c r="X351" s="2">
        <v>1.2</v>
      </c>
      <c r="Y351" s="2">
        <v>0.3</v>
      </c>
      <c r="Z351" s="2">
        <v>1.1000000000000001</v>
      </c>
      <c r="AA351" s="2">
        <v>1.5</v>
      </c>
      <c r="AB351" s="2">
        <v>4.4000000000000004</v>
      </c>
      <c r="AC351" s="2">
        <v>3.6</v>
      </c>
      <c r="AD351" s="2"/>
    </row>
    <row r="352" spans="1:30" x14ac:dyDescent="0.2">
      <c r="A352" t="s">
        <v>529</v>
      </c>
      <c r="B352" s="2">
        <v>22</v>
      </c>
      <c r="C352" t="s">
        <v>41</v>
      </c>
      <c r="D352" s="2" t="s">
        <v>49</v>
      </c>
      <c r="E352" s="2">
        <v>7</v>
      </c>
      <c r="F352" s="2">
        <v>0</v>
      </c>
      <c r="G352" s="2">
        <v>29</v>
      </c>
      <c r="H352" s="2">
        <v>2.5</v>
      </c>
      <c r="I352" s="2">
        <v>7.4</v>
      </c>
      <c r="J352" s="2">
        <v>0.33300000000000002</v>
      </c>
      <c r="K352" s="2">
        <v>0</v>
      </c>
      <c r="L352" s="2">
        <v>0</v>
      </c>
      <c r="M352" s="2"/>
      <c r="N352" s="2">
        <v>2.5</v>
      </c>
      <c r="O352" s="2">
        <v>7.4</v>
      </c>
      <c r="P352" s="2">
        <v>0.33300000000000002</v>
      </c>
      <c r="Q352" s="2">
        <v>0.33300000000000002</v>
      </c>
      <c r="R352" s="2">
        <v>0</v>
      </c>
      <c r="S352" s="2">
        <v>0</v>
      </c>
      <c r="T352" s="2"/>
      <c r="U352" s="2">
        <v>2.5</v>
      </c>
      <c r="V352" s="2">
        <v>0</v>
      </c>
      <c r="W352" s="2">
        <v>2.5</v>
      </c>
      <c r="X352" s="2">
        <v>2.5</v>
      </c>
      <c r="Y352" s="2">
        <v>1.2</v>
      </c>
      <c r="Z352" s="2">
        <v>0</v>
      </c>
      <c r="AA352" s="2">
        <v>2.5</v>
      </c>
      <c r="AB352" s="2">
        <v>1.2</v>
      </c>
      <c r="AC352" s="2">
        <v>5</v>
      </c>
      <c r="AD352" s="2"/>
    </row>
    <row r="353" spans="1:30" x14ac:dyDescent="0.2">
      <c r="A353" t="s">
        <v>468</v>
      </c>
      <c r="B353" s="2">
        <v>26</v>
      </c>
      <c r="C353" t="s">
        <v>120</v>
      </c>
      <c r="D353" s="2" t="s">
        <v>42</v>
      </c>
      <c r="E353" s="2">
        <v>5</v>
      </c>
      <c r="F353" s="2">
        <v>1</v>
      </c>
      <c r="G353" s="2">
        <v>101</v>
      </c>
      <c r="H353" s="2">
        <v>2.5</v>
      </c>
      <c r="I353" s="2">
        <v>6.8</v>
      </c>
      <c r="J353" s="2">
        <v>0.36799999999999999</v>
      </c>
      <c r="K353" s="2">
        <v>2.1</v>
      </c>
      <c r="L353" s="2">
        <v>5.7</v>
      </c>
      <c r="M353" s="2">
        <v>0.375</v>
      </c>
      <c r="N353" s="2">
        <v>0.4</v>
      </c>
      <c r="O353" s="2">
        <v>1.1000000000000001</v>
      </c>
      <c r="P353" s="2">
        <v>0.33300000000000002</v>
      </c>
      <c r="Q353" s="2">
        <v>0.52600000000000002</v>
      </c>
      <c r="R353" s="2">
        <v>0</v>
      </c>
      <c r="S353" s="2">
        <v>0</v>
      </c>
      <c r="T353" s="2"/>
      <c r="U353" s="2">
        <v>3.6</v>
      </c>
      <c r="V353" s="2">
        <v>8.1999999999999993</v>
      </c>
      <c r="W353" s="2">
        <v>11.8</v>
      </c>
      <c r="X353" s="2">
        <v>1.8</v>
      </c>
      <c r="Y353" s="2">
        <v>0.4</v>
      </c>
      <c r="Z353" s="2">
        <v>1.1000000000000001</v>
      </c>
      <c r="AA353" s="2">
        <v>1.8</v>
      </c>
      <c r="AB353" s="2">
        <v>2.1</v>
      </c>
      <c r="AC353" s="2">
        <v>7.1</v>
      </c>
      <c r="AD353" s="2"/>
    </row>
    <row r="354" spans="1:30" x14ac:dyDescent="0.2">
      <c r="A354" t="s">
        <v>109</v>
      </c>
      <c r="B354" s="2">
        <v>26</v>
      </c>
      <c r="C354" t="s">
        <v>46</v>
      </c>
      <c r="D354" s="2" t="s">
        <v>49</v>
      </c>
      <c r="E354" s="2">
        <v>22</v>
      </c>
      <c r="F354" s="2">
        <v>22</v>
      </c>
      <c r="G354" s="2">
        <v>784</v>
      </c>
      <c r="H354" s="2">
        <v>7.6</v>
      </c>
      <c r="I354" s="2">
        <v>14.8</v>
      </c>
      <c r="J354" s="2">
        <v>0.51200000000000001</v>
      </c>
      <c r="K354" s="2">
        <v>2.4</v>
      </c>
      <c r="L354" s="2">
        <v>6.2</v>
      </c>
      <c r="M354" s="2">
        <v>0.38800000000000001</v>
      </c>
      <c r="N354" s="2">
        <v>5.2</v>
      </c>
      <c r="O354" s="2">
        <v>8.6</v>
      </c>
      <c r="P354" s="2">
        <v>0.60099999999999998</v>
      </c>
      <c r="Q354" s="2">
        <v>0.59299999999999997</v>
      </c>
      <c r="R354" s="2">
        <v>1.6</v>
      </c>
      <c r="S354" s="2">
        <v>2.4</v>
      </c>
      <c r="T354" s="2">
        <v>0.67300000000000004</v>
      </c>
      <c r="U354" s="2">
        <v>1.6</v>
      </c>
      <c r="V354" s="2">
        <v>5.6</v>
      </c>
      <c r="W354" s="2">
        <v>7.2</v>
      </c>
      <c r="X354" s="2">
        <v>2.9</v>
      </c>
      <c r="Y354" s="2">
        <v>0.9</v>
      </c>
      <c r="Z354" s="2">
        <v>0.4</v>
      </c>
      <c r="AA354" s="2">
        <v>1.3</v>
      </c>
      <c r="AB354" s="2">
        <v>2.2999999999999998</v>
      </c>
      <c r="AC354" s="2">
        <v>19.100000000000001</v>
      </c>
      <c r="AD354" s="2"/>
    </row>
    <row r="355" spans="1:30" x14ac:dyDescent="0.2">
      <c r="A355" t="s">
        <v>105</v>
      </c>
      <c r="B355" s="2">
        <v>28</v>
      </c>
      <c r="C355" t="s">
        <v>44</v>
      </c>
      <c r="D355" s="2" t="s">
        <v>49</v>
      </c>
      <c r="E355" s="2">
        <v>25</v>
      </c>
      <c r="F355" s="2">
        <v>25</v>
      </c>
      <c r="G355" s="2">
        <v>958</v>
      </c>
      <c r="H355" s="2">
        <v>6.7</v>
      </c>
      <c r="I355" s="2">
        <v>13.8</v>
      </c>
      <c r="J355" s="2">
        <v>0.48099999999999998</v>
      </c>
      <c r="K355" s="2">
        <v>2.2000000000000002</v>
      </c>
      <c r="L355" s="2">
        <v>6.4</v>
      </c>
      <c r="M355" s="2">
        <v>0.33900000000000002</v>
      </c>
      <c r="N355" s="2">
        <v>4.5</v>
      </c>
      <c r="O355" s="2">
        <v>7.4</v>
      </c>
      <c r="P355" s="2">
        <v>0.60399999999999998</v>
      </c>
      <c r="Q355" s="2">
        <v>0.56000000000000005</v>
      </c>
      <c r="R355" s="2">
        <v>0.5</v>
      </c>
      <c r="S355" s="2">
        <v>0.8</v>
      </c>
      <c r="T355" s="2">
        <v>0.61899999999999999</v>
      </c>
      <c r="U355" s="2">
        <v>0.9</v>
      </c>
      <c r="V355" s="2">
        <v>2.5</v>
      </c>
      <c r="W355" s="2">
        <v>3.4</v>
      </c>
      <c r="X355" s="2">
        <v>3.1</v>
      </c>
      <c r="Y355" s="2">
        <v>1</v>
      </c>
      <c r="Z355" s="2">
        <v>0.5</v>
      </c>
      <c r="AA355" s="2">
        <v>1.4</v>
      </c>
      <c r="AB355" s="2">
        <v>1.2</v>
      </c>
      <c r="AC355" s="2">
        <v>16</v>
      </c>
      <c r="AD355" s="2"/>
    </row>
    <row r="356" spans="1:30" x14ac:dyDescent="0.2">
      <c r="A356" t="s">
        <v>258</v>
      </c>
      <c r="B356" s="2">
        <v>37</v>
      </c>
      <c r="C356" t="s">
        <v>51</v>
      </c>
      <c r="D356" s="2" t="s">
        <v>33</v>
      </c>
      <c r="E356" s="2">
        <v>19</v>
      </c>
      <c r="F356" s="2">
        <v>19</v>
      </c>
      <c r="G356" s="2">
        <v>485</v>
      </c>
      <c r="H356" s="2">
        <v>3.9</v>
      </c>
      <c r="I356" s="2">
        <v>10.8</v>
      </c>
      <c r="J356" s="2">
        <v>0.36299999999999999</v>
      </c>
      <c r="K356" s="2">
        <v>2.8</v>
      </c>
      <c r="L356" s="2">
        <v>7.6</v>
      </c>
      <c r="M356" s="2">
        <v>0.36899999999999999</v>
      </c>
      <c r="N356" s="2">
        <v>1.1000000000000001</v>
      </c>
      <c r="O356" s="2">
        <v>3.2</v>
      </c>
      <c r="P356" s="2">
        <v>0.34899999999999998</v>
      </c>
      <c r="Q356" s="2">
        <v>0.49299999999999999</v>
      </c>
      <c r="R356" s="2">
        <v>2.1</v>
      </c>
      <c r="S356" s="2">
        <v>2.2999999999999998</v>
      </c>
      <c r="T356" s="2">
        <v>0.90300000000000002</v>
      </c>
      <c r="U356" s="2">
        <v>0.7</v>
      </c>
      <c r="V356" s="2">
        <v>3.5</v>
      </c>
      <c r="W356" s="2">
        <v>4.2</v>
      </c>
      <c r="X356" s="2">
        <v>6.2</v>
      </c>
      <c r="Y356" s="2">
        <v>2.2000000000000002</v>
      </c>
      <c r="Z356" s="2">
        <v>0.3</v>
      </c>
      <c r="AA356" s="2">
        <v>2</v>
      </c>
      <c r="AB356" s="2">
        <v>2.4</v>
      </c>
      <c r="AC356" s="2">
        <v>12.8</v>
      </c>
      <c r="AD356" s="2"/>
    </row>
    <row r="357" spans="1:30" x14ac:dyDescent="0.2">
      <c r="A357" t="s">
        <v>252</v>
      </c>
      <c r="B357" s="2">
        <v>26</v>
      </c>
      <c r="C357" t="s">
        <v>59</v>
      </c>
      <c r="D357" s="2" t="s">
        <v>27</v>
      </c>
      <c r="E357" s="2">
        <v>11</v>
      </c>
      <c r="F357" s="2">
        <v>11</v>
      </c>
      <c r="G357" s="2">
        <v>331</v>
      </c>
      <c r="H357" s="2">
        <v>6.7</v>
      </c>
      <c r="I357" s="2">
        <v>15.9</v>
      </c>
      <c r="J357" s="2">
        <v>0.42499999999999999</v>
      </c>
      <c r="K357" s="2">
        <v>2.6</v>
      </c>
      <c r="L357" s="2">
        <v>7.5</v>
      </c>
      <c r="M357" s="2">
        <v>0.34799999999999998</v>
      </c>
      <c r="N357" s="2">
        <v>4.0999999999999996</v>
      </c>
      <c r="O357" s="2">
        <v>8.4</v>
      </c>
      <c r="P357" s="2">
        <v>0.49399999999999999</v>
      </c>
      <c r="Q357" s="2">
        <v>0.50700000000000001</v>
      </c>
      <c r="R357" s="2">
        <v>3</v>
      </c>
      <c r="S357" s="2">
        <v>3.6</v>
      </c>
      <c r="T357" s="2">
        <v>0.84799999999999998</v>
      </c>
      <c r="U357" s="2">
        <v>0.9</v>
      </c>
      <c r="V357" s="2">
        <v>7</v>
      </c>
      <c r="W357" s="2">
        <v>7.8</v>
      </c>
      <c r="X357" s="2">
        <v>3.6</v>
      </c>
      <c r="Y357" s="2">
        <v>0.8</v>
      </c>
      <c r="Z357" s="2">
        <v>0.5</v>
      </c>
      <c r="AA357" s="2">
        <v>1.6</v>
      </c>
      <c r="AB357" s="2">
        <v>1.6</v>
      </c>
      <c r="AC357" s="2">
        <v>19.100000000000001</v>
      </c>
      <c r="AD357" s="2"/>
    </row>
    <row r="358" spans="1:30" x14ac:dyDescent="0.2">
      <c r="A358" t="s">
        <v>220</v>
      </c>
      <c r="B358" s="2">
        <v>24</v>
      </c>
      <c r="C358" t="s">
        <v>44</v>
      </c>
      <c r="D358" s="2" t="s">
        <v>33</v>
      </c>
      <c r="E358" s="2">
        <v>20</v>
      </c>
      <c r="F358" s="2">
        <v>0</v>
      </c>
      <c r="G358" s="2">
        <v>508</v>
      </c>
      <c r="H358" s="2">
        <v>5.3</v>
      </c>
      <c r="I358" s="2">
        <v>11.8</v>
      </c>
      <c r="J358" s="2">
        <v>0.45200000000000001</v>
      </c>
      <c r="K358" s="2">
        <v>2.9</v>
      </c>
      <c r="L358" s="2">
        <v>7.1</v>
      </c>
      <c r="M358" s="2">
        <v>0.41</v>
      </c>
      <c r="N358" s="2">
        <v>2.4</v>
      </c>
      <c r="O358" s="2">
        <v>4.7</v>
      </c>
      <c r="P358" s="2">
        <v>0.51500000000000001</v>
      </c>
      <c r="Q358" s="2">
        <v>0.57499999999999996</v>
      </c>
      <c r="R358" s="2">
        <v>1.5</v>
      </c>
      <c r="S358" s="2">
        <v>1.7</v>
      </c>
      <c r="T358" s="2">
        <v>0.875</v>
      </c>
      <c r="U358" s="2">
        <v>0.8</v>
      </c>
      <c r="V358" s="2">
        <v>2.8</v>
      </c>
      <c r="W358" s="2">
        <v>3.6</v>
      </c>
      <c r="X358" s="2">
        <v>4</v>
      </c>
      <c r="Y358" s="2">
        <v>1.3</v>
      </c>
      <c r="Z358" s="2">
        <v>0.4</v>
      </c>
      <c r="AA358" s="2">
        <v>1.5</v>
      </c>
      <c r="AB358" s="2">
        <v>2.4</v>
      </c>
      <c r="AC358" s="2">
        <v>15</v>
      </c>
      <c r="AD358" s="2"/>
    </row>
    <row r="359" spans="1:30" x14ac:dyDescent="0.2">
      <c r="A359" t="s">
        <v>405</v>
      </c>
      <c r="B359" s="2">
        <v>26</v>
      </c>
      <c r="C359" t="s">
        <v>77</v>
      </c>
      <c r="D359" s="2" t="s">
        <v>42</v>
      </c>
      <c r="E359" s="2">
        <v>10</v>
      </c>
      <c r="F359" s="2">
        <v>0</v>
      </c>
      <c r="G359" s="2">
        <v>136</v>
      </c>
      <c r="H359" s="2">
        <v>5</v>
      </c>
      <c r="I359" s="2">
        <v>11.4</v>
      </c>
      <c r="J359" s="2">
        <v>0.442</v>
      </c>
      <c r="K359" s="2">
        <v>1.3</v>
      </c>
      <c r="L359" s="2">
        <v>5.3</v>
      </c>
      <c r="M359" s="2">
        <v>0.25</v>
      </c>
      <c r="N359" s="2">
        <v>3.7</v>
      </c>
      <c r="O359" s="2">
        <v>6.1</v>
      </c>
      <c r="P359" s="2">
        <v>0.60899999999999999</v>
      </c>
      <c r="Q359" s="2">
        <v>0.5</v>
      </c>
      <c r="R359" s="2">
        <v>1.6</v>
      </c>
      <c r="S359" s="2">
        <v>2.4</v>
      </c>
      <c r="T359" s="2">
        <v>0.66700000000000004</v>
      </c>
      <c r="U359" s="2">
        <v>1.9</v>
      </c>
      <c r="V359" s="2">
        <v>8.5</v>
      </c>
      <c r="W359" s="2">
        <v>10.3</v>
      </c>
      <c r="X359" s="2">
        <v>2.1</v>
      </c>
      <c r="Y359" s="2">
        <v>1.9</v>
      </c>
      <c r="Z359" s="2">
        <v>3.2</v>
      </c>
      <c r="AA359" s="2">
        <v>1.9</v>
      </c>
      <c r="AB359" s="2">
        <v>5.8</v>
      </c>
      <c r="AC359" s="2">
        <v>13</v>
      </c>
      <c r="AD359" s="2"/>
    </row>
    <row r="360" spans="1:30" x14ac:dyDescent="0.2">
      <c r="A360" t="s">
        <v>341</v>
      </c>
      <c r="B360" s="2">
        <v>29</v>
      </c>
      <c r="C360" t="s">
        <v>54</v>
      </c>
      <c r="D360" s="2" t="s">
        <v>33</v>
      </c>
      <c r="E360" s="2">
        <v>18</v>
      </c>
      <c r="F360" s="2">
        <v>0</v>
      </c>
      <c r="G360" s="2">
        <v>214</v>
      </c>
      <c r="H360" s="2">
        <v>5.9</v>
      </c>
      <c r="I360" s="2">
        <v>12.6</v>
      </c>
      <c r="J360" s="2">
        <v>0.46700000000000003</v>
      </c>
      <c r="K360" s="2">
        <v>2.4</v>
      </c>
      <c r="L360" s="2">
        <v>6.4</v>
      </c>
      <c r="M360" s="2">
        <v>0.36799999999999999</v>
      </c>
      <c r="N360" s="2">
        <v>3.5</v>
      </c>
      <c r="O360" s="2">
        <v>6.2</v>
      </c>
      <c r="P360" s="2">
        <v>0.56799999999999995</v>
      </c>
      <c r="Q360" s="2">
        <v>0.56000000000000005</v>
      </c>
      <c r="R360" s="2">
        <v>2.4</v>
      </c>
      <c r="S360" s="2">
        <v>2.7</v>
      </c>
      <c r="T360" s="2">
        <v>0.875</v>
      </c>
      <c r="U360" s="2">
        <v>0.7</v>
      </c>
      <c r="V360" s="2">
        <v>3.5</v>
      </c>
      <c r="W360" s="2">
        <v>4.2</v>
      </c>
      <c r="X360" s="2">
        <v>5</v>
      </c>
      <c r="Y360" s="2">
        <v>1.2</v>
      </c>
      <c r="Z360" s="2">
        <v>0.5</v>
      </c>
      <c r="AA360" s="2">
        <v>1.3</v>
      </c>
      <c r="AB360" s="2">
        <v>1.7</v>
      </c>
      <c r="AC360" s="2">
        <v>16.5</v>
      </c>
      <c r="AD360" s="2"/>
    </row>
    <row r="361" spans="1:30" x14ac:dyDescent="0.2">
      <c r="A361" t="s">
        <v>136</v>
      </c>
      <c r="B361" s="2">
        <v>27</v>
      </c>
      <c r="C361" t="s">
        <v>48</v>
      </c>
      <c r="D361" s="2" t="s">
        <v>42</v>
      </c>
      <c r="E361" s="4">
        <v>27</v>
      </c>
      <c r="F361" s="2">
        <v>1</v>
      </c>
      <c r="G361" s="2">
        <v>518</v>
      </c>
      <c r="H361" s="2">
        <v>8.8000000000000007</v>
      </c>
      <c r="I361" s="2">
        <v>15.8</v>
      </c>
      <c r="J361" s="2">
        <v>0.55500000000000005</v>
      </c>
      <c r="K361" s="2">
        <v>1.6</v>
      </c>
      <c r="L361" s="2">
        <v>4.7</v>
      </c>
      <c r="M361" s="2">
        <v>0.34300000000000003</v>
      </c>
      <c r="N361" s="2">
        <v>7.2</v>
      </c>
      <c r="O361" s="2">
        <v>11.1</v>
      </c>
      <c r="P361" s="2">
        <v>0.64400000000000002</v>
      </c>
      <c r="Q361" s="2">
        <v>0.60599999999999998</v>
      </c>
      <c r="R361" s="2">
        <v>4.8</v>
      </c>
      <c r="S361" s="2">
        <v>6.6</v>
      </c>
      <c r="T361" s="2">
        <v>0.72599999999999998</v>
      </c>
      <c r="U361" s="2">
        <v>2.8</v>
      </c>
      <c r="V361" s="2">
        <v>7.1</v>
      </c>
      <c r="W361" s="2">
        <v>9.9</v>
      </c>
      <c r="X361" s="2">
        <v>2.7</v>
      </c>
      <c r="Y361" s="2">
        <v>1.5</v>
      </c>
      <c r="Z361" s="2">
        <v>0.8</v>
      </c>
      <c r="AA361" s="2">
        <v>3.1</v>
      </c>
      <c r="AB361" s="2">
        <v>3.5</v>
      </c>
      <c r="AC361" s="2">
        <v>23.9</v>
      </c>
      <c r="AD361" s="2"/>
    </row>
    <row r="362" spans="1:30" x14ac:dyDescent="0.2">
      <c r="A362" t="s">
        <v>444</v>
      </c>
      <c r="B362" s="2">
        <v>25</v>
      </c>
      <c r="C362" t="s">
        <v>82</v>
      </c>
      <c r="D362" s="2" t="s">
        <v>42</v>
      </c>
      <c r="E362" s="2">
        <v>9</v>
      </c>
      <c r="F362" s="2">
        <v>0</v>
      </c>
      <c r="G362" s="2">
        <v>46</v>
      </c>
      <c r="H362" s="2">
        <v>10.199999999999999</v>
      </c>
      <c r="I362" s="2">
        <v>15.7</v>
      </c>
      <c r="J362" s="2">
        <v>0.65</v>
      </c>
      <c r="K362" s="2">
        <v>0</v>
      </c>
      <c r="L362" s="2">
        <v>0</v>
      </c>
      <c r="M362" s="2"/>
      <c r="N362" s="2">
        <v>10.199999999999999</v>
      </c>
      <c r="O362" s="2">
        <v>15.7</v>
      </c>
      <c r="P362" s="2">
        <v>0.65</v>
      </c>
      <c r="Q362" s="2">
        <v>0.65</v>
      </c>
      <c r="R362" s="2">
        <v>2.2999999999999998</v>
      </c>
      <c r="S362" s="2">
        <v>3.9</v>
      </c>
      <c r="T362" s="2">
        <v>0.6</v>
      </c>
      <c r="U362" s="2">
        <v>3.1</v>
      </c>
      <c r="V362" s="2">
        <v>7</v>
      </c>
      <c r="W362" s="2">
        <v>10.199999999999999</v>
      </c>
      <c r="X362" s="2">
        <v>0</v>
      </c>
      <c r="Y362" s="2">
        <v>1.6</v>
      </c>
      <c r="Z362" s="2">
        <v>0.8</v>
      </c>
      <c r="AA362" s="2">
        <v>4.7</v>
      </c>
      <c r="AB362" s="2">
        <v>4.7</v>
      </c>
      <c r="AC362" s="2">
        <v>22.7</v>
      </c>
      <c r="AD362" s="2"/>
    </row>
    <row r="363" spans="1:30" x14ac:dyDescent="0.2">
      <c r="A363" t="s">
        <v>260</v>
      </c>
      <c r="B363" s="2">
        <v>22</v>
      </c>
      <c r="C363" t="s">
        <v>100</v>
      </c>
      <c r="D363" s="2" t="s">
        <v>52</v>
      </c>
      <c r="E363" s="2">
        <v>23</v>
      </c>
      <c r="F363" s="2">
        <v>4</v>
      </c>
      <c r="G363" s="2">
        <v>358</v>
      </c>
      <c r="H363" s="2">
        <v>5.8</v>
      </c>
      <c r="I363" s="2">
        <v>13.9</v>
      </c>
      <c r="J363" s="2">
        <v>0.42</v>
      </c>
      <c r="K363" s="2">
        <v>3</v>
      </c>
      <c r="L363" s="2">
        <v>8.1999999999999993</v>
      </c>
      <c r="M363" s="2">
        <v>0.36599999999999999</v>
      </c>
      <c r="N363" s="2">
        <v>2.8</v>
      </c>
      <c r="O363" s="2">
        <v>5.6</v>
      </c>
      <c r="P363" s="2">
        <v>0.5</v>
      </c>
      <c r="Q363" s="2">
        <v>0.52900000000000003</v>
      </c>
      <c r="R363" s="2">
        <v>2.5</v>
      </c>
      <c r="S363" s="2">
        <v>3.5</v>
      </c>
      <c r="T363" s="2">
        <v>0.71399999999999997</v>
      </c>
      <c r="U363" s="2">
        <v>1</v>
      </c>
      <c r="V363" s="2">
        <v>3.3</v>
      </c>
      <c r="W363" s="2">
        <v>4.3</v>
      </c>
      <c r="X363" s="2">
        <v>2</v>
      </c>
      <c r="Y363" s="2">
        <v>0.6</v>
      </c>
      <c r="Z363" s="2">
        <v>0.6</v>
      </c>
      <c r="AA363" s="2">
        <v>1.8</v>
      </c>
      <c r="AB363" s="2">
        <v>2.6</v>
      </c>
      <c r="AC363" s="2">
        <v>17.2</v>
      </c>
      <c r="AD363" s="2"/>
    </row>
    <row r="364" spans="1:30" x14ac:dyDescent="0.2">
      <c r="A364" t="s">
        <v>545</v>
      </c>
      <c r="B364" s="2">
        <v>22</v>
      </c>
      <c r="C364" t="s">
        <v>72</v>
      </c>
      <c r="D364" s="2" t="s">
        <v>27</v>
      </c>
      <c r="E364" s="2">
        <v>2</v>
      </c>
      <c r="F364" s="2">
        <v>0</v>
      </c>
      <c r="G364" s="2">
        <v>11</v>
      </c>
      <c r="H364" s="2">
        <v>3.3</v>
      </c>
      <c r="I364" s="2">
        <v>13.1</v>
      </c>
      <c r="J364" s="2">
        <v>0.25</v>
      </c>
      <c r="K364" s="2">
        <v>0</v>
      </c>
      <c r="L364" s="2">
        <v>6.5</v>
      </c>
      <c r="M364" s="2">
        <v>0</v>
      </c>
      <c r="N364" s="2">
        <v>3.3</v>
      </c>
      <c r="O364" s="2">
        <v>6.5</v>
      </c>
      <c r="P364" s="2">
        <v>0.5</v>
      </c>
      <c r="Q364" s="2">
        <v>0.25</v>
      </c>
      <c r="R364" s="2">
        <v>0</v>
      </c>
      <c r="S364" s="2">
        <v>0</v>
      </c>
      <c r="T364" s="2"/>
      <c r="U364" s="2">
        <v>0</v>
      </c>
      <c r="V364" s="2">
        <v>6.5</v>
      </c>
      <c r="W364" s="2">
        <v>6.5</v>
      </c>
      <c r="X364" s="2">
        <v>0</v>
      </c>
      <c r="Y364" s="2">
        <v>0</v>
      </c>
      <c r="Z364" s="2">
        <v>0</v>
      </c>
      <c r="AA364" s="2">
        <v>3.3</v>
      </c>
      <c r="AB364" s="2">
        <v>0</v>
      </c>
      <c r="AC364" s="2">
        <v>6.5</v>
      </c>
      <c r="AD364" s="2"/>
    </row>
    <row r="365" spans="1:30" x14ac:dyDescent="0.2">
      <c r="A365" t="s">
        <v>377</v>
      </c>
      <c r="B365" s="2">
        <v>23</v>
      </c>
      <c r="C365" t="s">
        <v>59</v>
      </c>
      <c r="D365" s="2" t="s">
        <v>42</v>
      </c>
      <c r="E365" s="2">
        <v>22</v>
      </c>
      <c r="F365" s="2">
        <v>4</v>
      </c>
      <c r="G365" s="2">
        <v>439</v>
      </c>
      <c r="H365" s="2">
        <v>2.6</v>
      </c>
      <c r="I365" s="2">
        <v>4.8</v>
      </c>
      <c r="J365" s="2">
        <v>0.55200000000000005</v>
      </c>
      <c r="K365" s="2">
        <v>0</v>
      </c>
      <c r="L365" s="2">
        <v>0</v>
      </c>
      <c r="M365" s="2"/>
      <c r="N365" s="2">
        <v>2.6</v>
      </c>
      <c r="O365" s="2">
        <v>4.8</v>
      </c>
      <c r="P365" s="2">
        <v>0.55200000000000005</v>
      </c>
      <c r="Q365" s="2">
        <v>0.55200000000000005</v>
      </c>
      <c r="R365" s="2">
        <v>0.4</v>
      </c>
      <c r="S365" s="2">
        <v>1.2</v>
      </c>
      <c r="T365" s="2">
        <v>0.33300000000000002</v>
      </c>
      <c r="U365" s="2">
        <v>6.5</v>
      </c>
      <c r="V365" s="2">
        <v>7.5</v>
      </c>
      <c r="W365" s="2">
        <v>14</v>
      </c>
      <c r="X365" s="2">
        <v>1.3</v>
      </c>
      <c r="Y365" s="2">
        <v>1.2</v>
      </c>
      <c r="Z365" s="2">
        <v>1.7</v>
      </c>
      <c r="AA365" s="2">
        <v>1.7</v>
      </c>
      <c r="AB365" s="2">
        <v>3.3</v>
      </c>
      <c r="AC365" s="2">
        <v>5.7</v>
      </c>
      <c r="AD365" s="2"/>
    </row>
    <row r="366" spans="1:30" x14ac:dyDescent="0.2">
      <c r="A366" t="s">
        <v>129</v>
      </c>
      <c r="B366" s="2">
        <v>28</v>
      </c>
      <c r="C366" t="s">
        <v>82</v>
      </c>
      <c r="D366" s="2" t="s">
        <v>42</v>
      </c>
      <c r="E366" s="2">
        <v>23</v>
      </c>
      <c r="F366" s="2">
        <v>23</v>
      </c>
      <c r="G366" s="2">
        <v>734</v>
      </c>
      <c r="H366" s="2">
        <v>6.2</v>
      </c>
      <c r="I366" s="2">
        <v>13.1</v>
      </c>
      <c r="J366" s="2">
        <v>0.47399999999999998</v>
      </c>
      <c r="K366" s="2">
        <v>2.4</v>
      </c>
      <c r="L366" s="2">
        <v>5.7</v>
      </c>
      <c r="M366" s="2">
        <v>0.41899999999999998</v>
      </c>
      <c r="N366" s="2">
        <v>3.8</v>
      </c>
      <c r="O366" s="2">
        <v>7.4</v>
      </c>
      <c r="P366" s="2">
        <v>0.51700000000000002</v>
      </c>
      <c r="Q366" s="2">
        <v>0.56499999999999995</v>
      </c>
      <c r="R366" s="2">
        <v>2.4</v>
      </c>
      <c r="S366" s="2">
        <v>3.3</v>
      </c>
      <c r="T366" s="2">
        <v>0.71599999999999997</v>
      </c>
      <c r="U366" s="2">
        <v>1.4</v>
      </c>
      <c r="V366" s="2">
        <v>6.6</v>
      </c>
      <c r="W366" s="2">
        <v>8</v>
      </c>
      <c r="X366" s="2">
        <v>1.8</v>
      </c>
      <c r="Y366" s="2">
        <v>0.9</v>
      </c>
      <c r="Z366" s="2">
        <v>2.2999999999999998</v>
      </c>
      <c r="AA366" s="2">
        <v>2.9</v>
      </c>
      <c r="AB366" s="2">
        <v>3.4</v>
      </c>
      <c r="AC366" s="2">
        <v>17.2</v>
      </c>
      <c r="AD366" s="2"/>
    </row>
    <row r="367" spans="1:30" x14ac:dyDescent="0.2">
      <c r="A367" t="s">
        <v>189</v>
      </c>
      <c r="B367" s="2">
        <v>27</v>
      </c>
      <c r="C367" t="s">
        <v>63</v>
      </c>
      <c r="D367" s="2" t="s">
        <v>49</v>
      </c>
      <c r="E367" s="2">
        <v>21</v>
      </c>
      <c r="F367" s="2">
        <v>7</v>
      </c>
      <c r="G367" s="2">
        <v>511</v>
      </c>
      <c r="H367" s="2">
        <v>7</v>
      </c>
      <c r="I367" s="2">
        <v>12.8</v>
      </c>
      <c r="J367" s="2">
        <v>0.54900000000000004</v>
      </c>
      <c r="K367" s="2">
        <v>1.2</v>
      </c>
      <c r="L367" s="2">
        <v>3.9</v>
      </c>
      <c r="M367" s="2">
        <v>0.309</v>
      </c>
      <c r="N367" s="2">
        <v>5.8</v>
      </c>
      <c r="O367" s="2">
        <v>8.9</v>
      </c>
      <c r="P367" s="2">
        <v>0.65400000000000003</v>
      </c>
      <c r="Q367" s="2">
        <v>0.59599999999999997</v>
      </c>
      <c r="R367" s="2">
        <v>2.2999999999999998</v>
      </c>
      <c r="S367" s="2">
        <v>2.7</v>
      </c>
      <c r="T367" s="2">
        <v>0.86799999999999999</v>
      </c>
      <c r="U367" s="2">
        <v>1.6</v>
      </c>
      <c r="V367" s="2">
        <v>3.4</v>
      </c>
      <c r="W367" s="2">
        <v>5</v>
      </c>
      <c r="X367" s="2">
        <v>3.5</v>
      </c>
      <c r="Y367" s="2">
        <v>1.4</v>
      </c>
      <c r="Z367" s="2">
        <v>0.1</v>
      </c>
      <c r="AA367" s="2">
        <v>2.2000000000000002</v>
      </c>
      <c r="AB367" s="2">
        <v>2.2999999999999998</v>
      </c>
      <c r="AC367" s="2">
        <v>17.600000000000001</v>
      </c>
      <c r="AD367" s="2"/>
    </row>
    <row r="368" spans="1:30" x14ac:dyDescent="0.2">
      <c r="A368" t="s">
        <v>162</v>
      </c>
      <c r="B368" s="2">
        <v>25</v>
      </c>
      <c r="C368" t="s">
        <v>51</v>
      </c>
      <c r="D368" s="2" t="s">
        <v>42</v>
      </c>
      <c r="E368" s="2">
        <v>23</v>
      </c>
      <c r="F368" s="2">
        <v>0</v>
      </c>
      <c r="G368" s="2">
        <v>568</v>
      </c>
      <c r="H368" s="2">
        <v>6.7</v>
      </c>
      <c r="I368" s="2">
        <v>14.2</v>
      </c>
      <c r="J368" s="2">
        <v>0.47299999999999998</v>
      </c>
      <c r="K368" s="2">
        <v>2.6</v>
      </c>
      <c r="L368" s="2">
        <v>7.4</v>
      </c>
      <c r="M368" s="2">
        <v>0.35</v>
      </c>
      <c r="N368" s="2">
        <v>4.0999999999999996</v>
      </c>
      <c r="O368" s="2">
        <v>6.8</v>
      </c>
      <c r="P368" s="2">
        <v>0.60699999999999998</v>
      </c>
      <c r="Q368" s="2">
        <v>0.56499999999999995</v>
      </c>
      <c r="R368" s="2">
        <v>2.5</v>
      </c>
      <c r="S368" s="2">
        <v>2.9</v>
      </c>
      <c r="T368" s="2">
        <v>0.86699999999999999</v>
      </c>
      <c r="U368" s="2">
        <v>1</v>
      </c>
      <c r="V368" s="2">
        <v>6.7</v>
      </c>
      <c r="W368" s="2">
        <v>7.6</v>
      </c>
      <c r="X368" s="2">
        <v>2.2999999999999998</v>
      </c>
      <c r="Y368" s="2">
        <v>1.2</v>
      </c>
      <c r="Z368" s="2">
        <v>1.2</v>
      </c>
      <c r="AA368" s="2">
        <v>1.8</v>
      </c>
      <c r="AB368" s="2">
        <v>3.2</v>
      </c>
      <c r="AC368" s="2">
        <v>18.5</v>
      </c>
      <c r="AD368" s="2"/>
    </row>
    <row r="369" spans="1:30" x14ac:dyDescent="0.2">
      <c r="A369" t="s">
        <v>311</v>
      </c>
      <c r="B369" s="2">
        <v>25</v>
      </c>
      <c r="C369" t="s">
        <v>39</v>
      </c>
      <c r="D369" s="2" t="s">
        <v>42</v>
      </c>
      <c r="E369" s="2">
        <v>21</v>
      </c>
      <c r="F369" s="2">
        <v>5</v>
      </c>
      <c r="G369" s="2">
        <v>375</v>
      </c>
      <c r="H369" s="2">
        <v>5.0999999999999996</v>
      </c>
      <c r="I369" s="2">
        <v>7.9</v>
      </c>
      <c r="J369" s="2">
        <v>0.64600000000000002</v>
      </c>
      <c r="K369" s="2">
        <v>0</v>
      </c>
      <c r="L369" s="2">
        <v>0.2</v>
      </c>
      <c r="M369" s="2">
        <v>0</v>
      </c>
      <c r="N369" s="2">
        <v>5.0999999999999996</v>
      </c>
      <c r="O369" s="2">
        <v>7.7</v>
      </c>
      <c r="P369" s="2">
        <v>0.66300000000000003</v>
      </c>
      <c r="Q369" s="2">
        <v>0.64600000000000002</v>
      </c>
      <c r="R369" s="2">
        <v>1.7</v>
      </c>
      <c r="S369" s="2">
        <v>2.2999999999999998</v>
      </c>
      <c r="T369" s="2">
        <v>0.75</v>
      </c>
      <c r="U369" s="2">
        <v>3.6</v>
      </c>
      <c r="V369" s="2">
        <v>6.6</v>
      </c>
      <c r="W369" s="2">
        <v>10.199999999999999</v>
      </c>
      <c r="X369" s="2">
        <v>1.5</v>
      </c>
      <c r="Y369" s="2">
        <v>0.5</v>
      </c>
      <c r="Z369" s="2">
        <v>2</v>
      </c>
      <c r="AA369" s="2">
        <v>1.4</v>
      </c>
      <c r="AB369" s="2">
        <v>4.3</v>
      </c>
      <c r="AC369" s="2">
        <v>11.9</v>
      </c>
      <c r="AD369" s="2"/>
    </row>
    <row r="370" spans="1:30" x14ac:dyDescent="0.2">
      <c r="A370" t="s">
        <v>253</v>
      </c>
      <c r="B370" s="2">
        <v>25</v>
      </c>
      <c r="C370" t="s">
        <v>103</v>
      </c>
      <c r="D370" s="2" t="s">
        <v>42</v>
      </c>
      <c r="E370" s="2">
        <v>18</v>
      </c>
      <c r="F370" s="2">
        <v>10</v>
      </c>
      <c r="G370" s="2">
        <v>455</v>
      </c>
      <c r="H370" s="2">
        <v>6.2</v>
      </c>
      <c r="I370" s="2">
        <v>9.5</v>
      </c>
      <c r="J370" s="2">
        <v>0.65</v>
      </c>
      <c r="K370" s="2">
        <v>0.1</v>
      </c>
      <c r="L370" s="2">
        <v>0.2</v>
      </c>
      <c r="M370" s="2">
        <v>0.33300000000000002</v>
      </c>
      <c r="N370" s="2">
        <v>6.1</v>
      </c>
      <c r="O370" s="2">
        <v>9.3000000000000007</v>
      </c>
      <c r="P370" s="2">
        <v>0.65800000000000003</v>
      </c>
      <c r="Q370" s="2">
        <v>0.65400000000000003</v>
      </c>
      <c r="R370" s="2">
        <v>1.5</v>
      </c>
      <c r="S370" s="2">
        <v>3.2</v>
      </c>
      <c r="T370" s="2">
        <v>0.46300000000000002</v>
      </c>
      <c r="U370" s="2">
        <v>2.8</v>
      </c>
      <c r="V370" s="2">
        <v>8.3000000000000007</v>
      </c>
      <c r="W370" s="2">
        <v>11.1</v>
      </c>
      <c r="X370" s="2">
        <v>3.3</v>
      </c>
      <c r="Y370" s="2">
        <v>1</v>
      </c>
      <c r="Z370" s="2">
        <v>1.8</v>
      </c>
      <c r="AA370" s="2">
        <v>1.7</v>
      </c>
      <c r="AB370" s="2">
        <v>3.6</v>
      </c>
      <c r="AC370" s="2">
        <v>13.9</v>
      </c>
      <c r="AD370" s="2"/>
    </row>
    <row r="371" spans="1:30" x14ac:dyDescent="0.2">
      <c r="A371" t="s">
        <v>334</v>
      </c>
      <c r="B371" s="2">
        <v>27</v>
      </c>
      <c r="C371" t="s">
        <v>59</v>
      </c>
      <c r="D371" s="2" t="s">
        <v>42</v>
      </c>
      <c r="E371" s="2">
        <v>9</v>
      </c>
      <c r="F371" s="2">
        <v>8</v>
      </c>
      <c r="G371" s="2">
        <v>241</v>
      </c>
      <c r="H371" s="2">
        <v>5.4</v>
      </c>
      <c r="I371" s="2">
        <v>8.6999999999999993</v>
      </c>
      <c r="J371" s="2">
        <v>0.621</v>
      </c>
      <c r="K371" s="2">
        <v>0</v>
      </c>
      <c r="L371" s="2">
        <v>0.1</v>
      </c>
      <c r="M371" s="2">
        <v>0</v>
      </c>
      <c r="N371" s="2">
        <v>5.4</v>
      </c>
      <c r="O371" s="2">
        <v>8.5</v>
      </c>
      <c r="P371" s="2">
        <v>0.63200000000000001</v>
      </c>
      <c r="Q371" s="2">
        <v>0.621</v>
      </c>
      <c r="R371" s="2">
        <v>4.8</v>
      </c>
      <c r="S371" s="2">
        <v>6.9</v>
      </c>
      <c r="T371" s="2">
        <v>0.69599999999999995</v>
      </c>
      <c r="U371" s="2">
        <v>4.2</v>
      </c>
      <c r="V371" s="2">
        <v>9.6</v>
      </c>
      <c r="W371" s="2">
        <v>13.7</v>
      </c>
      <c r="X371" s="2">
        <v>2.4</v>
      </c>
      <c r="Y371" s="2">
        <v>0.6</v>
      </c>
      <c r="Z371" s="2">
        <v>2.5</v>
      </c>
      <c r="AA371" s="2">
        <v>2.5</v>
      </c>
      <c r="AB371" s="2">
        <v>4.2</v>
      </c>
      <c r="AC371" s="2">
        <v>15.5</v>
      </c>
      <c r="AD371" s="2"/>
    </row>
    <row r="372" spans="1:30" x14ac:dyDescent="0.2">
      <c r="A372" t="s">
        <v>420</v>
      </c>
      <c r="B372" s="2">
        <v>20</v>
      </c>
      <c r="C372" t="s">
        <v>59</v>
      </c>
      <c r="D372" s="2" t="s">
        <v>52</v>
      </c>
      <c r="E372" s="2">
        <v>13</v>
      </c>
      <c r="F372" s="2">
        <v>0</v>
      </c>
      <c r="G372" s="2">
        <v>121</v>
      </c>
      <c r="H372" s="2">
        <v>4.8</v>
      </c>
      <c r="I372" s="2">
        <v>14.3</v>
      </c>
      <c r="J372" s="2">
        <v>0.33300000000000002</v>
      </c>
      <c r="K372" s="2">
        <v>2.4</v>
      </c>
      <c r="L372" s="2">
        <v>7.7</v>
      </c>
      <c r="M372" s="2">
        <v>0.308</v>
      </c>
      <c r="N372" s="2">
        <v>2.4</v>
      </c>
      <c r="O372" s="2">
        <v>6.5</v>
      </c>
      <c r="P372" s="2">
        <v>0.36399999999999999</v>
      </c>
      <c r="Q372" s="2">
        <v>0.41699999999999998</v>
      </c>
      <c r="R372" s="2">
        <v>0</v>
      </c>
      <c r="S372" s="2">
        <v>0</v>
      </c>
      <c r="T372" s="2"/>
      <c r="U372" s="2">
        <v>0.3</v>
      </c>
      <c r="V372" s="2">
        <v>3</v>
      </c>
      <c r="W372" s="2">
        <v>3.3</v>
      </c>
      <c r="X372" s="2">
        <v>3</v>
      </c>
      <c r="Y372" s="2">
        <v>1.2</v>
      </c>
      <c r="Z372" s="2">
        <v>0.3</v>
      </c>
      <c r="AA372" s="2">
        <v>0.9</v>
      </c>
      <c r="AB372" s="2">
        <v>2.4</v>
      </c>
      <c r="AC372" s="2">
        <v>11.9</v>
      </c>
      <c r="AD372" s="2"/>
    </row>
    <row r="373" spans="1:30" x14ac:dyDescent="0.2">
      <c r="A373" t="s">
        <v>213</v>
      </c>
      <c r="B373" s="2">
        <v>26</v>
      </c>
      <c r="C373" t="s">
        <v>51</v>
      </c>
      <c r="D373" s="2" t="s">
        <v>52</v>
      </c>
      <c r="E373" s="2">
        <v>23</v>
      </c>
      <c r="F373" s="2">
        <v>2</v>
      </c>
      <c r="G373" s="2">
        <v>553</v>
      </c>
      <c r="H373" s="2">
        <v>5.2</v>
      </c>
      <c r="I373" s="2">
        <v>10.1</v>
      </c>
      <c r="J373" s="2">
        <v>0.51600000000000001</v>
      </c>
      <c r="K373" s="2">
        <v>2.6</v>
      </c>
      <c r="L373" s="2">
        <v>5.7</v>
      </c>
      <c r="M373" s="2">
        <v>0.46</v>
      </c>
      <c r="N373" s="2">
        <v>2.6</v>
      </c>
      <c r="O373" s="2">
        <v>4.4000000000000004</v>
      </c>
      <c r="P373" s="2">
        <v>0.58799999999999997</v>
      </c>
      <c r="Q373" s="2">
        <v>0.64500000000000002</v>
      </c>
      <c r="R373" s="2">
        <v>1.4</v>
      </c>
      <c r="S373" s="2">
        <v>2</v>
      </c>
      <c r="T373" s="2">
        <v>0.73299999999999998</v>
      </c>
      <c r="U373" s="2">
        <v>1</v>
      </c>
      <c r="V373" s="2">
        <v>2.9</v>
      </c>
      <c r="W373" s="2">
        <v>4</v>
      </c>
      <c r="X373" s="2">
        <v>3.8</v>
      </c>
      <c r="Y373" s="2">
        <v>1.3</v>
      </c>
      <c r="Z373" s="2">
        <v>0.6</v>
      </c>
      <c r="AA373" s="2">
        <v>2.2000000000000002</v>
      </c>
      <c r="AB373" s="2">
        <v>2.5</v>
      </c>
      <c r="AC373" s="2">
        <v>14.5</v>
      </c>
      <c r="AD373" s="2"/>
    </row>
    <row r="374" spans="1:30" x14ac:dyDescent="0.2">
      <c r="A374" t="s">
        <v>355</v>
      </c>
      <c r="B374" s="2">
        <v>36</v>
      </c>
      <c r="C374" t="s">
        <v>77</v>
      </c>
      <c r="D374" s="2" t="s">
        <v>27</v>
      </c>
      <c r="E374" s="2">
        <v>25</v>
      </c>
      <c r="F374" s="2">
        <v>0</v>
      </c>
      <c r="G374" s="2">
        <v>449</v>
      </c>
      <c r="H374" s="2">
        <v>2.4</v>
      </c>
      <c r="I374" s="2">
        <v>6.6</v>
      </c>
      <c r="J374" s="2">
        <v>0.36599999999999999</v>
      </c>
      <c r="K374" s="2">
        <v>1.8</v>
      </c>
      <c r="L374" s="2">
        <v>5.0999999999999996</v>
      </c>
      <c r="M374" s="2">
        <v>0.35899999999999999</v>
      </c>
      <c r="N374" s="2">
        <v>0.6</v>
      </c>
      <c r="O374" s="2">
        <v>1.4</v>
      </c>
      <c r="P374" s="2">
        <v>0.38900000000000001</v>
      </c>
      <c r="Q374" s="2">
        <v>0.50600000000000001</v>
      </c>
      <c r="R374" s="2">
        <v>0.5</v>
      </c>
      <c r="S374" s="2">
        <v>0.6</v>
      </c>
      <c r="T374" s="2">
        <v>0.75</v>
      </c>
      <c r="U374" s="2">
        <v>1.5</v>
      </c>
      <c r="V374" s="2">
        <v>3.9</v>
      </c>
      <c r="W374" s="2">
        <v>5.5</v>
      </c>
      <c r="X374" s="2">
        <v>3</v>
      </c>
      <c r="Y374" s="2">
        <v>0.6</v>
      </c>
      <c r="Z374" s="2">
        <v>0.9</v>
      </c>
      <c r="AA374" s="2">
        <v>0.8</v>
      </c>
      <c r="AB374" s="2">
        <v>2.6</v>
      </c>
      <c r="AC374" s="2">
        <v>7.1</v>
      </c>
      <c r="AD374" s="2"/>
    </row>
    <row r="375" spans="1:30" x14ac:dyDescent="0.2">
      <c r="A375" t="s">
        <v>45</v>
      </c>
      <c r="B375" s="2">
        <v>29</v>
      </c>
      <c r="C375" t="s">
        <v>46</v>
      </c>
      <c r="D375" s="2" t="s">
        <v>42</v>
      </c>
      <c r="E375" s="2">
        <v>19</v>
      </c>
      <c r="F375" s="2">
        <v>19</v>
      </c>
      <c r="G375" s="2">
        <v>714</v>
      </c>
      <c r="H375" s="2">
        <v>11.7</v>
      </c>
      <c r="I375" s="2">
        <v>20.9</v>
      </c>
      <c r="J375" s="2">
        <v>0.56100000000000005</v>
      </c>
      <c r="K375" s="2">
        <v>2.1</v>
      </c>
      <c r="L375" s="2">
        <v>4.2</v>
      </c>
      <c r="M375" s="2">
        <v>0.5</v>
      </c>
      <c r="N375" s="2">
        <v>9.6</v>
      </c>
      <c r="O375" s="2">
        <v>16.7</v>
      </c>
      <c r="P375" s="2">
        <v>0.57699999999999996</v>
      </c>
      <c r="Q375" s="2">
        <v>0.61199999999999999</v>
      </c>
      <c r="R375" s="2">
        <v>5.3</v>
      </c>
      <c r="S375" s="2">
        <v>6.6</v>
      </c>
      <c r="T375" s="2">
        <v>0.80800000000000005</v>
      </c>
      <c r="U375" s="2">
        <v>3.9</v>
      </c>
      <c r="V375" s="2">
        <v>9.1</v>
      </c>
      <c r="W375" s="2">
        <v>13</v>
      </c>
      <c r="X375" s="2">
        <v>9.6999999999999993</v>
      </c>
      <c r="Y375" s="2">
        <v>1.7</v>
      </c>
      <c r="Z375" s="2">
        <v>0.7</v>
      </c>
      <c r="AA375" s="2">
        <v>3.6</v>
      </c>
      <c r="AB375" s="2">
        <v>2</v>
      </c>
      <c r="AC375" s="2">
        <v>30.9</v>
      </c>
      <c r="AD375" s="2"/>
    </row>
    <row r="376" spans="1:30" x14ac:dyDescent="0.2">
      <c r="A376" t="s">
        <v>312</v>
      </c>
      <c r="B376" s="2">
        <v>21</v>
      </c>
      <c r="C376" t="s">
        <v>61</v>
      </c>
      <c r="D376" s="2" t="s">
        <v>27</v>
      </c>
      <c r="E376" s="2">
        <v>15</v>
      </c>
      <c r="F376" s="2">
        <v>8</v>
      </c>
      <c r="G376" s="2">
        <v>279</v>
      </c>
      <c r="H376" s="2">
        <v>5.5</v>
      </c>
      <c r="I376" s="2">
        <v>11.9</v>
      </c>
      <c r="J376" s="2">
        <v>0.46700000000000003</v>
      </c>
      <c r="K376" s="2">
        <v>2.1</v>
      </c>
      <c r="L376" s="2">
        <v>5.9</v>
      </c>
      <c r="M376" s="2">
        <v>0.34799999999999998</v>
      </c>
      <c r="N376" s="2">
        <v>3.5</v>
      </c>
      <c r="O376" s="2">
        <v>5.9</v>
      </c>
      <c r="P376" s="2">
        <v>0.58699999999999997</v>
      </c>
      <c r="Q376" s="2">
        <v>0.55400000000000005</v>
      </c>
      <c r="R376" s="2">
        <v>2.6</v>
      </c>
      <c r="S376" s="2">
        <v>3.5</v>
      </c>
      <c r="T376" s="2">
        <v>0.74099999999999999</v>
      </c>
      <c r="U376" s="2">
        <v>1</v>
      </c>
      <c r="V376" s="2">
        <v>6.2</v>
      </c>
      <c r="W376" s="2">
        <v>7.2</v>
      </c>
      <c r="X376" s="2">
        <v>2.5</v>
      </c>
      <c r="Y376" s="2">
        <v>1.8</v>
      </c>
      <c r="Z376" s="2">
        <v>0.3</v>
      </c>
      <c r="AA376" s="2">
        <v>1</v>
      </c>
      <c r="AB376" s="2">
        <v>2.7</v>
      </c>
      <c r="AC376" s="2">
        <v>15.7</v>
      </c>
      <c r="AD376" s="2"/>
    </row>
    <row r="377" spans="1:30" x14ac:dyDescent="0.2">
      <c r="A377" t="s">
        <v>69</v>
      </c>
      <c r="B377" s="2">
        <v>34</v>
      </c>
      <c r="C377" t="s">
        <v>70</v>
      </c>
      <c r="D377" s="2" t="s">
        <v>42</v>
      </c>
      <c r="E377" s="2">
        <v>25</v>
      </c>
      <c r="F377" s="2">
        <v>25</v>
      </c>
      <c r="G377" s="2">
        <v>793</v>
      </c>
      <c r="H377" s="2">
        <v>9.5</v>
      </c>
      <c r="I377" s="2">
        <v>16.2</v>
      </c>
      <c r="J377" s="2">
        <v>0.58699999999999997</v>
      </c>
      <c r="K377" s="2">
        <v>2.5</v>
      </c>
      <c r="L377" s="2">
        <v>5.3</v>
      </c>
      <c r="M377" s="2">
        <v>0.47399999999999998</v>
      </c>
      <c r="N377" s="2">
        <v>7</v>
      </c>
      <c r="O377" s="2">
        <v>10.9</v>
      </c>
      <c r="P377" s="2">
        <v>0.64200000000000002</v>
      </c>
      <c r="Q377" s="2">
        <v>0.66400000000000003</v>
      </c>
      <c r="R377" s="2">
        <v>2.4</v>
      </c>
      <c r="S377" s="2">
        <v>2.8</v>
      </c>
      <c r="T377" s="2">
        <v>0.85199999999999998</v>
      </c>
      <c r="U377" s="2">
        <v>2.2000000000000002</v>
      </c>
      <c r="V377" s="2">
        <v>8.9</v>
      </c>
      <c r="W377" s="2">
        <v>11.1</v>
      </c>
      <c r="X377" s="2">
        <v>3.7</v>
      </c>
      <c r="Y377" s="2">
        <v>0.9</v>
      </c>
      <c r="Z377" s="2">
        <v>0.9</v>
      </c>
      <c r="AA377" s="2">
        <v>2</v>
      </c>
      <c r="AB377" s="2">
        <v>2.7</v>
      </c>
      <c r="AC377" s="2">
        <v>23.8</v>
      </c>
      <c r="AD377" s="2"/>
    </row>
    <row r="378" spans="1:30" x14ac:dyDescent="0.2">
      <c r="A378" t="s">
        <v>320</v>
      </c>
      <c r="B378" s="2">
        <v>20</v>
      </c>
      <c r="C378" t="s">
        <v>103</v>
      </c>
      <c r="D378" s="2" t="s">
        <v>27</v>
      </c>
      <c r="E378" s="2">
        <v>15</v>
      </c>
      <c r="F378" s="2">
        <v>1</v>
      </c>
      <c r="G378" s="2">
        <v>248</v>
      </c>
      <c r="H378" s="2">
        <v>5.4</v>
      </c>
      <c r="I378" s="2">
        <v>13.6</v>
      </c>
      <c r="J378" s="2">
        <v>0.39400000000000002</v>
      </c>
      <c r="K378" s="2">
        <v>3.3</v>
      </c>
      <c r="L378" s="2">
        <v>8.9</v>
      </c>
      <c r="M378" s="2">
        <v>0.377</v>
      </c>
      <c r="N378" s="2">
        <v>2</v>
      </c>
      <c r="O378" s="2">
        <v>4.8</v>
      </c>
      <c r="P378" s="2">
        <v>0.42399999999999999</v>
      </c>
      <c r="Q378" s="2">
        <v>0.51600000000000001</v>
      </c>
      <c r="R378" s="2">
        <v>2.2000000000000002</v>
      </c>
      <c r="S378" s="2">
        <v>3</v>
      </c>
      <c r="T378" s="2">
        <v>0.71399999999999997</v>
      </c>
      <c r="U378" s="2">
        <v>2</v>
      </c>
      <c r="V378" s="2">
        <v>4.8</v>
      </c>
      <c r="W378" s="2">
        <v>6.8</v>
      </c>
      <c r="X378" s="2">
        <v>1.5</v>
      </c>
      <c r="Y378" s="2">
        <v>0.7</v>
      </c>
      <c r="Z378" s="2">
        <v>1.3</v>
      </c>
      <c r="AA378" s="2">
        <v>1.6</v>
      </c>
      <c r="AB378" s="2">
        <v>5.2</v>
      </c>
      <c r="AC378" s="2">
        <v>16.3</v>
      </c>
      <c r="AD378" s="2"/>
    </row>
    <row r="379" spans="1:30" x14ac:dyDescent="0.2">
      <c r="A379" t="s">
        <v>106</v>
      </c>
      <c r="B379" s="2">
        <v>31</v>
      </c>
      <c r="C379" t="s">
        <v>77</v>
      </c>
      <c r="D379" s="2" t="s">
        <v>52</v>
      </c>
      <c r="E379" s="2">
        <v>18</v>
      </c>
      <c r="F379" s="2">
        <v>18</v>
      </c>
      <c r="G379" s="2">
        <v>586</v>
      </c>
      <c r="H379" s="2">
        <v>9</v>
      </c>
      <c r="I379" s="2">
        <v>18.2</v>
      </c>
      <c r="J379" s="2">
        <v>0.49199999999999999</v>
      </c>
      <c r="K379" s="2">
        <v>4.2</v>
      </c>
      <c r="L379" s="2">
        <v>8.6999999999999993</v>
      </c>
      <c r="M379" s="2">
        <v>0.48599999999999999</v>
      </c>
      <c r="N379" s="2">
        <v>4.7</v>
      </c>
      <c r="O379" s="2">
        <v>9.5</v>
      </c>
      <c r="P379" s="2">
        <v>0.497</v>
      </c>
      <c r="Q379" s="2">
        <v>0.60799999999999998</v>
      </c>
      <c r="R379" s="2">
        <v>3.9</v>
      </c>
      <c r="S379" s="2">
        <v>4.5999999999999996</v>
      </c>
      <c r="T379" s="2">
        <v>0.84</v>
      </c>
      <c r="U379" s="2">
        <v>0.3</v>
      </c>
      <c r="V379" s="2">
        <v>3</v>
      </c>
      <c r="W379" s="2">
        <v>3.3</v>
      </c>
      <c r="X379" s="2">
        <v>2.8</v>
      </c>
      <c r="Y379" s="2">
        <v>1.2</v>
      </c>
      <c r="Z379" s="2">
        <v>0.2</v>
      </c>
      <c r="AA379" s="2">
        <v>2.2999999999999998</v>
      </c>
      <c r="AB379" s="2">
        <v>2</v>
      </c>
      <c r="AC379" s="2">
        <v>26</v>
      </c>
      <c r="AD379" s="2"/>
    </row>
    <row r="380" spans="1:30" x14ac:dyDescent="0.2">
      <c r="A380" t="s">
        <v>200</v>
      </c>
      <c r="B380" s="2">
        <v>26</v>
      </c>
      <c r="C380" t="s">
        <v>82</v>
      </c>
      <c r="D380" s="2" t="s">
        <v>27</v>
      </c>
      <c r="E380" s="2">
        <v>24</v>
      </c>
      <c r="F380" s="2">
        <v>0</v>
      </c>
      <c r="G380" s="2">
        <v>483</v>
      </c>
      <c r="H380" s="2">
        <v>7.2</v>
      </c>
      <c r="I380" s="2">
        <v>13.4</v>
      </c>
      <c r="J380" s="2">
        <v>0.53300000000000003</v>
      </c>
      <c r="K380" s="2">
        <v>2.1</v>
      </c>
      <c r="L380" s="2">
        <v>6.3</v>
      </c>
      <c r="M380" s="2">
        <v>0.32900000000000001</v>
      </c>
      <c r="N380" s="2">
        <v>5.0999999999999996</v>
      </c>
      <c r="O380" s="2">
        <v>7.1</v>
      </c>
      <c r="P380" s="2">
        <v>0.71599999999999997</v>
      </c>
      <c r="Q380" s="2">
        <v>0.61099999999999999</v>
      </c>
      <c r="R380" s="2">
        <v>1.6</v>
      </c>
      <c r="S380" s="2">
        <v>1.9</v>
      </c>
      <c r="T380" s="2">
        <v>0.88</v>
      </c>
      <c r="U380" s="2">
        <v>1.3</v>
      </c>
      <c r="V380" s="2">
        <v>5.5</v>
      </c>
      <c r="W380" s="2">
        <v>6.8</v>
      </c>
      <c r="X380" s="2">
        <v>3.2</v>
      </c>
      <c r="Y380" s="2">
        <v>1</v>
      </c>
      <c r="Z380" s="2">
        <v>0.7</v>
      </c>
      <c r="AA380" s="2">
        <v>1.3</v>
      </c>
      <c r="AB380" s="2">
        <v>2.5</v>
      </c>
      <c r="AC380" s="2">
        <v>18</v>
      </c>
      <c r="AD380" s="2"/>
    </row>
    <row r="381" spans="1:30" x14ac:dyDescent="0.2">
      <c r="A381" t="s">
        <v>159</v>
      </c>
      <c r="B381" s="2">
        <v>24</v>
      </c>
      <c r="C381" t="s">
        <v>66</v>
      </c>
      <c r="D381" s="2" t="s">
        <v>52</v>
      </c>
      <c r="E381" s="2">
        <v>26</v>
      </c>
      <c r="F381" s="2">
        <v>24</v>
      </c>
      <c r="G381" s="2">
        <v>801</v>
      </c>
      <c r="H381" s="2">
        <v>5.3</v>
      </c>
      <c r="I381" s="2">
        <v>10</v>
      </c>
      <c r="J381" s="2">
        <v>0.52700000000000002</v>
      </c>
      <c r="K381" s="2">
        <v>2.1</v>
      </c>
      <c r="L381" s="2">
        <v>4.5</v>
      </c>
      <c r="M381" s="2">
        <v>0.45500000000000002</v>
      </c>
      <c r="N381" s="2">
        <v>3.2</v>
      </c>
      <c r="O381" s="2">
        <v>5.4</v>
      </c>
      <c r="P381" s="2">
        <v>0.58699999999999997</v>
      </c>
      <c r="Q381" s="2">
        <v>0.63100000000000001</v>
      </c>
      <c r="R381" s="2">
        <v>0.6</v>
      </c>
      <c r="S381" s="2">
        <v>0.9</v>
      </c>
      <c r="T381" s="2">
        <v>0.7</v>
      </c>
      <c r="U381" s="2">
        <v>1.1000000000000001</v>
      </c>
      <c r="V381" s="2">
        <v>3.7</v>
      </c>
      <c r="W381" s="2">
        <v>4.9000000000000004</v>
      </c>
      <c r="X381" s="2">
        <v>2.2999999999999998</v>
      </c>
      <c r="Y381" s="2">
        <v>1.2</v>
      </c>
      <c r="Z381" s="2">
        <v>0.6</v>
      </c>
      <c r="AA381" s="2">
        <v>1</v>
      </c>
      <c r="AB381" s="2">
        <v>2.9</v>
      </c>
      <c r="AC381" s="2">
        <v>13.2</v>
      </c>
      <c r="AD381" s="2"/>
    </row>
    <row r="382" spans="1:30" x14ac:dyDescent="0.2">
      <c r="A382" t="s">
        <v>98</v>
      </c>
      <c r="B382" s="2">
        <v>27</v>
      </c>
      <c r="C382" t="s">
        <v>44</v>
      </c>
      <c r="D382" s="2" t="s">
        <v>27</v>
      </c>
      <c r="E382" s="2">
        <v>25</v>
      </c>
      <c r="F382" s="2">
        <v>25</v>
      </c>
      <c r="G382" s="2">
        <v>920</v>
      </c>
      <c r="H382" s="2">
        <v>6.4</v>
      </c>
      <c r="I382" s="2">
        <v>13.3</v>
      </c>
      <c r="J382" s="2">
        <v>0.47799999999999998</v>
      </c>
      <c r="K382" s="2">
        <v>2.2000000000000002</v>
      </c>
      <c r="L382" s="2">
        <v>6</v>
      </c>
      <c r="M382" s="2">
        <v>0.35699999999999998</v>
      </c>
      <c r="N382" s="2">
        <v>4.2</v>
      </c>
      <c r="O382" s="2">
        <v>7.3</v>
      </c>
      <c r="P382" s="2">
        <v>0.57799999999999996</v>
      </c>
      <c r="Q382" s="2">
        <v>0.55900000000000005</v>
      </c>
      <c r="R382" s="2">
        <v>2.1</v>
      </c>
      <c r="S382" s="2">
        <v>2.6</v>
      </c>
      <c r="T382" s="2">
        <v>0.80300000000000005</v>
      </c>
      <c r="U382" s="2">
        <v>1.1000000000000001</v>
      </c>
      <c r="V382" s="2">
        <v>3.9</v>
      </c>
      <c r="W382" s="2">
        <v>4.9000000000000004</v>
      </c>
      <c r="X382" s="2">
        <v>2</v>
      </c>
      <c r="Y382" s="2">
        <v>1.5</v>
      </c>
      <c r="Z382" s="2">
        <v>1.2</v>
      </c>
      <c r="AA382" s="2">
        <v>1.3</v>
      </c>
      <c r="AB382" s="2">
        <v>2.5</v>
      </c>
      <c r="AC382" s="2">
        <v>17</v>
      </c>
      <c r="AD382" s="2"/>
    </row>
    <row r="383" spans="1:30" x14ac:dyDescent="0.2">
      <c r="A383" t="s">
        <v>442</v>
      </c>
      <c r="B383" s="2">
        <v>22</v>
      </c>
      <c r="C383" t="s">
        <v>63</v>
      </c>
      <c r="D383" s="2" t="s">
        <v>27</v>
      </c>
      <c r="E383" s="2">
        <v>15</v>
      </c>
      <c r="F383" s="2">
        <v>0</v>
      </c>
      <c r="G383" s="2">
        <v>97</v>
      </c>
      <c r="H383" s="2">
        <v>4.0999999999999996</v>
      </c>
      <c r="I383" s="2">
        <v>10.8</v>
      </c>
      <c r="J383" s="2">
        <v>0.379</v>
      </c>
      <c r="K383" s="2">
        <v>1.1000000000000001</v>
      </c>
      <c r="L383" s="2">
        <v>3.3</v>
      </c>
      <c r="M383" s="2">
        <v>0.33300000000000002</v>
      </c>
      <c r="N383" s="2">
        <v>3</v>
      </c>
      <c r="O383" s="2">
        <v>7.4</v>
      </c>
      <c r="P383" s="2">
        <v>0.4</v>
      </c>
      <c r="Q383" s="2">
        <v>0.43099999999999999</v>
      </c>
      <c r="R383" s="2">
        <v>1.9</v>
      </c>
      <c r="S383" s="2">
        <v>3.3</v>
      </c>
      <c r="T383" s="2">
        <v>0.55600000000000005</v>
      </c>
      <c r="U383" s="2">
        <v>4.0999999999999996</v>
      </c>
      <c r="V383" s="2">
        <v>5.6</v>
      </c>
      <c r="W383" s="2">
        <v>9.6</v>
      </c>
      <c r="X383" s="2">
        <v>1.5</v>
      </c>
      <c r="Y383" s="2">
        <v>1.1000000000000001</v>
      </c>
      <c r="Z383" s="2">
        <v>0.7</v>
      </c>
      <c r="AA383" s="2">
        <v>0.4</v>
      </c>
      <c r="AB383" s="2">
        <v>2.6</v>
      </c>
      <c r="AC383" s="2">
        <v>11.1</v>
      </c>
      <c r="AD383" s="2"/>
    </row>
    <row r="384" spans="1:30" x14ac:dyDescent="0.2">
      <c r="A384" t="s">
        <v>179</v>
      </c>
      <c r="B384" s="2">
        <v>24</v>
      </c>
      <c r="C384" t="s">
        <v>72</v>
      </c>
      <c r="D384" s="2" t="s">
        <v>42</v>
      </c>
      <c r="E384" s="2">
        <v>24</v>
      </c>
      <c r="F384" s="2">
        <v>0</v>
      </c>
      <c r="G384" s="2">
        <v>574</v>
      </c>
      <c r="H384" s="2">
        <v>6.8</v>
      </c>
      <c r="I384" s="2">
        <v>12.4</v>
      </c>
      <c r="J384" s="2">
        <v>0.54500000000000004</v>
      </c>
      <c r="K384" s="2">
        <v>0.5</v>
      </c>
      <c r="L384" s="2">
        <v>2.4</v>
      </c>
      <c r="M384" s="2">
        <v>0.20499999999999999</v>
      </c>
      <c r="N384" s="2">
        <v>6.3</v>
      </c>
      <c r="O384" s="2">
        <v>10</v>
      </c>
      <c r="P384" s="2">
        <v>0.629</v>
      </c>
      <c r="Q384" s="2">
        <v>0.56599999999999995</v>
      </c>
      <c r="R384" s="2">
        <v>3.2</v>
      </c>
      <c r="S384" s="2">
        <v>4.0999999999999996</v>
      </c>
      <c r="T384" s="2">
        <v>0.77300000000000002</v>
      </c>
      <c r="U384" s="2">
        <v>4</v>
      </c>
      <c r="V384" s="2">
        <v>6.3</v>
      </c>
      <c r="W384" s="2">
        <v>10.199999999999999</v>
      </c>
      <c r="X384" s="2">
        <v>2.2000000000000002</v>
      </c>
      <c r="Y384" s="2">
        <v>1.1000000000000001</v>
      </c>
      <c r="Z384" s="2">
        <v>1.1000000000000001</v>
      </c>
      <c r="AA384" s="2">
        <v>1.3</v>
      </c>
      <c r="AB384" s="2">
        <v>3.4</v>
      </c>
      <c r="AC384" s="2">
        <v>17.2</v>
      </c>
      <c r="AD384" s="2"/>
    </row>
    <row r="385" spans="1:30" x14ac:dyDescent="0.2">
      <c r="A385" t="s">
        <v>491</v>
      </c>
      <c r="B385" s="2">
        <v>24</v>
      </c>
      <c r="C385" t="s">
        <v>37</v>
      </c>
      <c r="D385" s="2" t="s">
        <v>42</v>
      </c>
      <c r="E385" s="2">
        <v>6</v>
      </c>
      <c r="F385" s="2">
        <v>0</v>
      </c>
      <c r="G385" s="2">
        <v>45</v>
      </c>
      <c r="H385" s="2">
        <v>4</v>
      </c>
      <c r="I385" s="2">
        <v>8.8000000000000007</v>
      </c>
      <c r="J385" s="2">
        <v>0.45500000000000002</v>
      </c>
      <c r="K385" s="2">
        <v>0.8</v>
      </c>
      <c r="L385" s="2">
        <v>3.2</v>
      </c>
      <c r="M385" s="2">
        <v>0.25</v>
      </c>
      <c r="N385" s="2">
        <v>3.2</v>
      </c>
      <c r="O385" s="2">
        <v>5.6</v>
      </c>
      <c r="P385" s="2">
        <v>0.57099999999999995</v>
      </c>
      <c r="Q385" s="2">
        <v>0.5</v>
      </c>
      <c r="R385" s="2">
        <v>2.4</v>
      </c>
      <c r="S385" s="2">
        <v>4.8</v>
      </c>
      <c r="T385" s="2">
        <v>0.5</v>
      </c>
      <c r="U385" s="2">
        <v>1.6</v>
      </c>
      <c r="V385" s="2">
        <v>7.2</v>
      </c>
      <c r="W385" s="2">
        <v>8.8000000000000007</v>
      </c>
      <c r="X385" s="2">
        <v>5.6</v>
      </c>
      <c r="Y385" s="2">
        <v>1.6</v>
      </c>
      <c r="Z385" s="2">
        <v>0.8</v>
      </c>
      <c r="AA385" s="2">
        <v>2.4</v>
      </c>
      <c r="AB385" s="2">
        <v>4.8</v>
      </c>
      <c r="AC385" s="2">
        <v>11.2</v>
      </c>
      <c r="AD385" s="2"/>
    </row>
    <row r="386" spans="1:30" x14ac:dyDescent="0.2">
      <c r="A386" t="s">
        <v>541</v>
      </c>
      <c r="B386" s="2">
        <v>25</v>
      </c>
      <c r="C386" t="s">
        <v>120</v>
      </c>
      <c r="D386" s="2" t="s">
        <v>27</v>
      </c>
      <c r="E386" s="2">
        <v>1</v>
      </c>
      <c r="F386" s="2">
        <v>0</v>
      </c>
      <c r="G386" s="2">
        <v>16</v>
      </c>
      <c r="H386" s="2">
        <v>0</v>
      </c>
      <c r="I386" s="2">
        <v>0</v>
      </c>
      <c r="J386" s="2"/>
      <c r="K386" s="2">
        <v>0</v>
      </c>
      <c r="L386" s="2">
        <v>0</v>
      </c>
      <c r="M386" s="2"/>
      <c r="N386" s="2">
        <v>0</v>
      </c>
      <c r="O386" s="2">
        <v>0</v>
      </c>
      <c r="P386" s="2"/>
      <c r="Q386" s="2"/>
      <c r="R386" s="2">
        <v>6.8</v>
      </c>
      <c r="S386" s="2">
        <v>9</v>
      </c>
      <c r="T386" s="2">
        <v>0.75</v>
      </c>
      <c r="U386" s="2">
        <v>6.8</v>
      </c>
      <c r="V386" s="2">
        <v>13.5</v>
      </c>
      <c r="W386" s="2">
        <v>20.3</v>
      </c>
      <c r="X386" s="2">
        <v>0</v>
      </c>
      <c r="Y386" s="2">
        <v>4.5</v>
      </c>
      <c r="Z386" s="2">
        <v>0</v>
      </c>
      <c r="AA386" s="2">
        <v>2.2999999999999998</v>
      </c>
      <c r="AB386" s="2">
        <v>6.8</v>
      </c>
      <c r="AC386" s="2">
        <v>6.8</v>
      </c>
      <c r="AD386" s="2"/>
    </row>
    <row r="387" spans="1:30" x14ac:dyDescent="0.2">
      <c r="A387" t="s">
        <v>365</v>
      </c>
      <c r="B387" s="2">
        <v>22</v>
      </c>
      <c r="C387" t="s">
        <v>54</v>
      </c>
      <c r="D387" s="2" t="s">
        <v>27</v>
      </c>
      <c r="E387" s="2">
        <v>18</v>
      </c>
      <c r="F387" s="2">
        <v>2</v>
      </c>
      <c r="G387" s="2">
        <v>319</v>
      </c>
      <c r="H387" s="2">
        <v>3.9</v>
      </c>
      <c r="I387" s="2">
        <v>6.4</v>
      </c>
      <c r="J387" s="2">
        <v>0.61399999999999999</v>
      </c>
      <c r="K387" s="2">
        <v>0</v>
      </c>
      <c r="L387" s="2">
        <v>0</v>
      </c>
      <c r="M387" s="2"/>
      <c r="N387" s="2">
        <v>3.9</v>
      </c>
      <c r="O387" s="2">
        <v>6.4</v>
      </c>
      <c r="P387" s="2">
        <v>0.61399999999999999</v>
      </c>
      <c r="Q387" s="2">
        <v>0.61399999999999999</v>
      </c>
      <c r="R387" s="2">
        <v>1.1000000000000001</v>
      </c>
      <c r="S387" s="2">
        <v>1.5</v>
      </c>
      <c r="T387" s="2">
        <v>0.76900000000000002</v>
      </c>
      <c r="U387" s="2">
        <v>2.5</v>
      </c>
      <c r="V387" s="2">
        <v>5.9</v>
      </c>
      <c r="W387" s="2">
        <v>8.4</v>
      </c>
      <c r="X387" s="2">
        <v>2.1</v>
      </c>
      <c r="Y387" s="2">
        <v>0.8</v>
      </c>
      <c r="Z387" s="2">
        <v>0.7</v>
      </c>
      <c r="AA387" s="2">
        <v>1.4</v>
      </c>
      <c r="AB387" s="2">
        <v>3.9</v>
      </c>
      <c r="AC387" s="2">
        <v>9</v>
      </c>
      <c r="AD387" s="2"/>
    </row>
    <row r="388" spans="1:30" x14ac:dyDescent="0.2">
      <c r="A388" t="s">
        <v>395</v>
      </c>
      <c r="B388" s="2">
        <v>21</v>
      </c>
      <c r="C388" t="s">
        <v>32</v>
      </c>
      <c r="D388" s="2" t="s">
        <v>27</v>
      </c>
      <c r="E388" s="2">
        <v>16</v>
      </c>
      <c r="F388" s="2">
        <v>0</v>
      </c>
      <c r="G388" s="2">
        <v>186</v>
      </c>
      <c r="H388" s="2">
        <v>3.9</v>
      </c>
      <c r="I388" s="2">
        <v>11.4</v>
      </c>
      <c r="J388" s="2">
        <v>0.33900000000000002</v>
      </c>
      <c r="K388" s="2">
        <v>1.7</v>
      </c>
      <c r="L388" s="2">
        <v>7</v>
      </c>
      <c r="M388" s="2">
        <v>0.25</v>
      </c>
      <c r="N388" s="2">
        <v>2.1</v>
      </c>
      <c r="O388" s="2">
        <v>4.5</v>
      </c>
      <c r="P388" s="2">
        <v>0.47799999999999998</v>
      </c>
      <c r="Q388" s="2">
        <v>0.41499999999999998</v>
      </c>
      <c r="R388" s="2">
        <v>1.4</v>
      </c>
      <c r="S388" s="2">
        <v>2.1</v>
      </c>
      <c r="T388" s="2">
        <v>0.63600000000000001</v>
      </c>
      <c r="U388" s="2">
        <v>1.7</v>
      </c>
      <c r="V388" s="2">
        <v>6.4</v>
      </c>
      <c r="W388" s="2">
        <v>8.1</v>
      </c>
      <c r="X388" s="2">
        <v>2.5</v>
      </c>
      <c r="Y388" s="2">
        <v>2.1</v>
      </c>
      <c r="Z388" s="2">
        <v>0.8</v>
      </c>
      <c r="AA388" s="2">
        <v>0.8</v>
      </c>
      <c r="AB388" s="2">
        <v>3.5</v>
      </c>
      <c r="AC388" s="2">
        <v>10.8</v>
      </c>
      <c r="AD388" s="2"/>
    </row>
    <row r="389" spans="1:30" x14ac:dyDescent="0.2">
      <c r="A389" t="s">
        <v>201</v>
      </c>
      <c r="B389" s="2">
        <v>26</v>
      </c>
      <c r="C389" t="s">
        <v>63</v>
      </c>
      <c r="D389" s="2" t="s">
        <v>27</v>
      </c>
      <c r="E389" s="2">
        <v>19</v>
      </c>
      <c r="F389" s="2">
        <v>18</v>
      </c>
      <c r="G389" s="2">
        <v>619</v>
      </c>
      <c r="H389" s="2">
        <v>5.0999999999999996</v>
      </c>
      <c r="I389" s="2">
        <v>11.3</v>
      </c>
      <c r="J389" s="2">
        <v>0.45100000000000001</v>
      </c>
      <c r="K389" s="2">
        <v>1.6</v>
      </c>
      <c r="L389" s="2">
        <v>4.4000000000000004</v>
      </c>
      <c r="M389" s="2">
        <v>0.36</v>
      </c>
      <c r="N389" s="2">
        <v>3.5</v>
      </c>
      <c r="O389" s="2">
        <v>7</v>
      </c>
      <c r="P389" s="2">
        <v>0.50800000000000001</v>
      </c>
      <c r="Q389" s="2">
        <v>0.52100000000000002</v>
      </c>
      <c r="R389" s="2">
        <v>2.2000000000000002</v>
      </c>
      <c r="S389" s="2">
        <v>2.9</v>
      </c>
      <c r="T389" s="2">
        <v>0.76</v>
      </c>
      <c r="U389" s="2">
        <v>1.7</v>
      </c>
      <c r="V389" s="2">
        <v>7.4</v>
      </c>
      <c r="W389" s="2">
        <v>9.1999999999999993</v>
      </c>
      <c r="X389" s="2">
        <v>2.7</v>
      </c>
      <c r="Y389" s="2">
        <v>1.5</v>
      </c>
      <c r="Z389" s="2">
        <v>1.3</v>
      </c>
      <c r="AA389" s="2">
        <v>1.8</v>
      </c>
      <c r="AB389" s="2">
        <v>2.2000000000000002</v>
      </c>
      <c r="AC389" s="2">
        <v>14</v>
      </c>
      <c r="AD389" s="2"/>
    </row>
    <row r="390" spans="1:30" x14ac:dyDescent="0.2">
      <c r="A390" t="s">
        <v>470</v>
      </c>
      <c r="B390" s="2">
        <v>19</v>
      </c>
      <c r="C390" t="s">
        <v>44</v>
      </c>
      <c r="D390" s="2" t="s">
        <v>52</v>
      </c>
      <c r="E390" s="2">
        <v>11</v>
      </c>
      <c r="F390" s="2">
        <v>0</v>
      </c>
      <c r="G390" s="2">
        <v>77</v>
      </c>
      <c r="H390" s="2">
        <v>2.8</v>
      </c>
      <c r="I390" s="2">
        <v>8.4</v>
      </c>
      <c r="J390" s="2">
        <v>0.33300000000000002</v>
      </c>
      <c r="K390" s="2">
        <v>2.2999999999999998</v>
      </c>
      <c r="L390" s="2">
        <v>5.6</v>
      </c>
      <c r="M390" s="2">
        <v>0.41699999999999998</v>
      </c>
      <c r="N390" s="2">
        <v>0.5</v>
      </c>
      <c r="O390" s="2">
        <v>2.8</v>
      </c>
      <c r="P390" s="2">
        <v>0.16700000000000001</v>
      </c>
      <c r="Q390" s="2">
        <v>0.47199999999999998</v>
      </c>
      <c r="R390" s="2">
        <v>0.9</v>
      </c>
      <c r="S390" s="2">
        <v>0.9</v>
      </c>
      <c r="T390" s="2">
        <v>1</v>
      </c>
      <c r="U390" s="2">
        <v>0</v>
      </c>
      <c r="V390" s="2">
        <v>6.1</v>
      </c>
      <c r="W390" s="2">
        <v>6.1</v>
      </c>
      <c r="X390" s="2">
        <v>2.2999999999999998</v>
      </c>
      <c r="Y390" s="2">
        <v>0.5</v>
      </c>
      <c r="Z390" s="2">
        <v>0.9</v>
      </c>
      <c r="AA390" s="2">
        <v>0.5</v>
      </c>
      <c r="AB390" s="2">
        <v>2.2999999999999998</v>
      </c>
      <c r="AC390" s="2">
        <v>8.9</v>
      </c>
      <c r="AD390" s="2"/>
    </row>
    <row r="391" spans="1:30" x14ac:dyDescent="0.2">
      <c r="A391" t="s">
        <v>286</v>
      </c>
      <c r="B391" s="2">
        <v>22</v>
      </c>
      <c r="C391" t="s">
        <v>48</v>
      </c>
      <c r="D391" s="2" t="s">
        <v>27</v>
      </c>
      <c r="E391" s="2">
        <v>5</v>
      </c>
      <c r="F391" s="2">
        <v>5</v>
      </c>
      <c r="G391" s="2">
        <v>182</v>
      </c>
      <c r="H391" s="2">
        <v>9.5</v>
      </c>
      <c r="I391" s="2">
        <v>19.2</v>
      </c>
      <c r="J391" s="2">
        <v>0.495</v>
      </c>
      <c r="K391" s="2">
        <v>2.2000000000000002</v>
      </c>
      <c r="L391" s="2">
        <v>6.3</v>
      </c>
      <c r="M391" s="2">
        <v>0.34399999999999997</v>
      </c>
      <c r="N391" s="2">
        <v>7.3</v>
      </c>
      <c r="O391" s="2">
        <v>12.9</v>
      </c>
      <c r="P391" s="2">
        <v>0.56899999999999995</v>
      </c>
      <c r="Q391" s="2">
        <v>0.55200000000000005</v>
      </c>
      <c r="R391" s="2">
        <v>7.5</v>
      </c>
      <c r="S391" s="2">
        <v>11.7</v>
      </c>
      <c r="T391" s="2">
        <v>0.64400000000000002</v>
      </c>
      <c r="U391" s="2">
        <v>2.4</v>
      </c>
      <c r="V391" s="2">
        <v>6.3</v>
      </c>
      <c r="W391" s="2">
        <v>8.6999999999999993</v>
      </c>
      <c r="X391" s="2">
        <v>5.5</v>
      </c>
      <c r="Y391" s="2">
        <v>0.6</v>
      </c>
      <c r="Z391" s="2">
        <v>0.8</v>
      </c>
      <c r="AA391" s="2">
        <v>2.2000000000000002</v>
      </c>
      <c r="AB391" s="2">
        <v>2.6</v>
      </c>
      <c r="AC391" s="2">
        <v>28.7</v>
      </c>
      <c r="AD391" s="2"/>
    </row>
    <row r="392" spans="1:30" x14ac:dyDescent="0.2">
      <c r="A392" t="s">
        <v>81</v>
      </c>
      <c r="B392" s="2">
        <v>30</v>
      </c>
      <c r="C392" t="s">
        <v>82</v>
      </c>
      <c r="D392" s="2" t="s">
        <v>27</v>
      </c>
      <c r="E392" s="2">
        <v>25</v>
      </c>
      <c r="F392" s="2">
        <v>25</v>
      </c>
      <c r="G392" s="2">
        <v>861</v>
      </c>
      <c r="H392" s="2">
        <v>7.9</v>
      </c>
      <c r="I392" s="2">
        <v>15.1</v>
      </c>
      <c r="J392" s="2">
        <v>0.52500000000000002</v>
      </c>
      <c r="K392" s="2">
        <v>1.8</v>
      </c>
      <c r="L392" s="2">
        <v>4.5</v>
      </c>
      <c r="M392" s="2">
        <v>0.41099999999999998</v>
      </c>
      <c r="N392" s="2">
        <v>6.1</v>
      </c>
      <c r="O392" s="2">
        <v>10.6</v>
      </c>
      <c r="P392" s="2">
        <v>0.57299999999999995</v>
      </c>
      <c r="Q392" s="2">
        <v>0.58599999999999997</v>
      </c>
      <c r="R392" s="2">
        <v>3</v>
      </c>
      <c r="S392" s="2">
        <v>3.7</v>
      </c>
      <c r="T392" s="2">
        <v>0.79800000000000004</v>
      </c>
      <c r="U392" s="2">
        <v>1.8</v>
      </c>
      <c r="V392" s="2">
        <v>5</v>
      </c>
      <c r="W392" s="2">
        <v>6.9</v>
      </c>
      <c r="X392" s="2">
        <v>3.7</v>
      </c>
      <c r="Y392" s="2">
        <v>1</v>
      </c>
      <c r="Z392" s="2">
        <v>0.3</v>
      </c>
      <c r="AA392" s="2">
        <v>1.6</v>
      </c>
      <c r="AB392" s="2">
        <v>3.1</v>
      </c>
      <c r="AC392" s="2">
        <v>20.6</v>
      </c>
      <c r="AD392" s="2"/>
    </row>
    <row r="393" spans="1:30" x14ac:dyDescent="0.2">
      <c r="A393" t="s">
        <v>373</v>
      </c>
      <c r="B393" s="2">
        <v>32</v>
      </c>
      <c r="C393" t="s">
        <v>35</v>
      </c>
      <c r="D393" s="2" t="s">
        <v>52</v>
      </c>
      <c r="E393" s="2">
        <v>15</v>
      </c>
      <c r="F393" s="2">
        <v>0</v>
      </c>
      <c r="G393" s="2">
        <v>255</v>
      </c>
      <c r="H393" s="2">
        <v>3.7</v>
      </c>
      <c r="I393" s="2">
        <v>9.9</v>
      </c>
      <c r="J393" s="2">
        <v>0.371</v>
      </c>
      <c r="K393" s="2">
        <v>1.8</v>
      </c>
      <c r="L393" s="2">
        <v>6.2</v>
      </c>
      <c r="M393" s="2">
        <v>0.29499999999999998</v>
      </c>
      <c r="N393" s="2">
        <v>1.8</v>
      </c>
      <c r="O393" s="2">
        <v>3.7</v>
      </c>
      <c r="P393" s="2">
        <v>0.5</v>
      </c>
      <c r="Q393" s="2">
        <v>0.46400000000000002</v>
      </c>
      <c r="R393" s="2">
        <v>1.3</v>
      </c>
      <c r="S393" s="2">
        <v>1.7</v>
      </c>
      <c r="T393" s="2">
        <v>0.75</v>
      </c>
      <c r="U393" s="2">
        <v>1.1000000000000001</v>
      </c>
      <c r="V393" s="2">
        <v>5.2</v>
      </c>
      <c r="W393" s="2">
        <v>6.4</v>
      </c>
      <c r="X393" s="2">
        <v>3.7</v>
      </c>
      <c r="Y393" s="2">
        <v>0.4</v>
      </c>
      <c r="Z393" s="2">
        <v>0.7</v>
      </c>
      <c r="AA393" s="2">
        <v>1.6</v>
      </c>
      <c r="AB393" s="2">
        <v>2.7</v>
      </c>
      <c r="AC393" s="2">
        <v>10.4</v>
      </c>
      <c r="AD393" s="2"/>
    </row>
    <row r="394" spans="1:30" x14ac:dyDescent="0.2">
      <c r="A394" t="s">
        <v>492</v>
      </c>
      <c r="B394" s="2">
        <v>28</v>
      </c>
      <c r="C394" t="s">
        <v>100</v>
      </c>
      <c r="D394" s="2" t="s">
        <v>33</v>
      </c>
      <c r="E394" s="2">
        <v>8</v>
      </c>
      <c r="F394" s="2">
        <v>0</v>
      </c>
      <c r="G394" s="2">
        <v>44</v>
      </c>
      <c r="H394" s="2">
        <v>4.9000000000000004</v>
      </c>
      <c r="I394" s="2">
        <v>13.1</v>
      </c>
      <c r="J394" s="2">
        <v>0.375</v>
      </c>
      <c r="K394" s="2">
        <v>0</v>
      </c>
      <c r="L394" s="2">
        <v>2.5</v>
      </c>
      <c r="M394" s="2">
        <v>0</v>
      </c>
      <c r="N394" s="2">
        <v>4.9000000000000004</v>
      </c>
      <c r="O394" s="2">
        <v>10.6</v>
      </c>
      <c r="P394" s="2">
        <v>0.46200000000000002</v>
      </c>
      <c r="Q394" s="2">
        <v>0.375</v>
      </c>
      <c r="R394" s="2">
        <v>1.6</v>
      </c>
      <c r="S394" s="2">
        <v>1.6</v>
      </c>
      <c r="T394" s="2">
        <v>1</v>
      </c>
      <c r="U394" s="2">
        <v>3.3</v>
      </c>
      <c r="V394" s="2">
        <v>2.5</v>
      </c>
      <c r="W394" s="2">
        <v>5.7</v>
      </c>
      <c r="X394" s="2">
        <v>9.8000000000000007</v>
      </c>
      <c r="Y394" s="2">
        <v>4.0999999999999996</v>
      </c>
      <c r="Z394" s="2">
        <v>0</v>
      </c>
      <c r="AA394" s="2">
        <v>3.3</v>
      </c>
      <c r="AB394" s="2">
        <v>3.3</v>
      </c>
      <c r="AC394" s="2">
        <v>11.5</v>
      </c>
      <c r="AD394" s="2"/>
    </row>
    <row r="395" spans="1:30" x14ac:dyDescent="0.2">
      <c r="A395" t="s">
        <v>452</v>
      </c>
      <c r="B395" s="2">
        <v>22</v>
      </c>
      <c r="C395" t="s">
        <v>114</v>
      </c>
      <c r="D395" s="2" t="s">
        <v>49</v>
      </c>
      <c r="E395" s="2">
        <v>11</v>
      </c>
      <c r="F395" s="2">
        <v>0</v>
      </c>
      <c r="G395" s="2">
        <v>56</v>
      </c>
      <c r="H395" s="2">
        <v>5.8</v>
      </c>
      <c r="I395" s="2">
        <v>12.2</v>
      </c>
      <c r="J395" s="2">
        <v>0.47399999999999998</v>
      </c>
      <c r="K395" s="2">
        <v>3.2</v>
      </c>
      <c r="L395" s="2">
        <v>7.1</v>
      </c>
      <c r="M395" s="2">
        <v>0.45500000000000002</v>
      </c>
      <c r="N395" s="2">
        <v>2.6</v>
      </c>
      <c r="O395" s="2">
        <v>5.0999999999999996</v>
      </c>
      <c r="P395" s="2">
        <v>0.5</v>
      </c>
      <c r="Q395" s="2">
        <v>0.60499999999999998</v>
      </c>
      <c r="R395" s="2">
        <v>1.3</v>
      </c>
      <c r="S395" s="2">
        <v>2.6</v>
      </c>
      <c r="T395" s="2">
        <v>0.5</v>
      </c>
      <c r="U395" s="2">
        <v>1.9</v>
      </c>
      <c r="V395" s="2">
        <v>5.8</v>
      </c>
      <c r="W395" s="2">
        <v>7.7</v>
      </c>
      <c r="X395" s="2">
        <v>0.6</v>
      </c>
      <c r="Y395" s="2">
        <v>1.3</v>
      </c>
      <c r="Z395" s="2">
        <v>1.3</v>
      </c>
      <c r="AA395" s="2">
        <v>1.3</v>
      </c>
      <c r="AB395" s="2">
        <v>2.6</v>
      </c>
      <c r="AC395" s="2">
        <v>16.100000000000001</v>
      </c>
      <c r="AD395" s="2"/>
    </row>
    <row r="396" spans="1:30" x14ac:dyDescent="0.2">
      <c r="A396" t="s">
        <v>283</v>
      </c>
      <c r="B396" s="2">
        <v>23</v>
      </c>
      <c r="C396" t="s">
        <v>70</v>
      </c>
      <c r="D396" s="2" t="s">
        <v>27</v>
      </c>
      <c r="E396" s="2">
        <v>15</v>
      </c>
      <c r="F396" s="2">
        <v>15</v>
      </c>
      <c r="G396" s="2">
        <v>433</v>
      </c>
      <c r="H396" s="2">
        <v>4.2</v>
      </c>
      <c r="I396" s="2">
        <v>11.1</v>
      </c>
      <c r="J396" s="2">
        <v>0.376</v>
      </c>
      <c r="K396" s="2">
        <v>2.2999999999999998</v>
      </c>
      <c r="L396" s="2">
        <v>5.9</v>
      </c>
      <c r="M396" s="2">
        <v>0.39400000000000002</v>
      </c>
      <c r="N396" s="2">
        <v>1.8</v>
      </c>
      <c r="O396" s="2">
        <v>5.2</v>
      </c>
      <c r="P396" s="2">
        <v>0.35499999999999998</v>
      </c>
      <c r="Q396" s="2">
        <v>0.48099999999999998</v>
      </c>
      <c r="R396" s="2">
        <v>1.7</v>
      </c>
      <c r="S396" s="2">
        <v>2.1</v>
      </c>
      <c r="T396" s="2">
        <v>0.84</v>
      </c>
      <c r="U396" s="2">
        <v>1.3</v>
      </c>
      <c r="V396" s="2">
        <v>4.9000000000000004</v>
      </c>
      <c r="W396" s="2">
        <v>6.2</v>
      </c>
      <c r="X396" s="2">
        <v>2.9</v>
      </c>
      <c r="Y396" s="2">
        <v>1.2</v>
      </c>
      <c r="Z396" s="2">
        <v>0.7</v>
      </c>
      <c r="AA396" s="2">
        <v>2.4</v>
      </c>
      <c r="AB396" s="2">
        <v>1.7</v>
      </c>
      <c r="AC396" s="2">
        <v>12.4</v>
      </c>
      <c r="AD396" s="2"/>
    </row>
    <row r="397" spans="1:30" x14ac:dyDescent="0.2">
      <c r="A397" t="s">
        <v>436</v>
      </c>
      <c r="B397" s="2">
        <v>36</v>
      </c>
      <c r="C397" t="s">
        <v>120</v>
      </c>
      <c r="D397" s="2" t="s">
        <v>33</v>
      </c>
      <c r="E397" s="2">
        <v>9</v>
      </c>
      <c r="F397" s="2">
        <v>0</v>
      </c>
      <c r="G397" s="2">
        <v>138</v>
      </c>
      <c r="H397" s="2">
        <v>2.9</v>
      </c>
      <c r="I397" s="2">
        <v>8.1</v>
      </c>
      <c r="J397" s="2">
        <v>0.35499999999999998</v>
      </c>
      <c r="K397" s="2">
        <v>1.8</v>
      </c>
      <c r="L397" s="2">
        <v>6.3</v>
      </c>
      <c r="M397" s="2">
        <v>0.29199999999999998</v>
      </c>
      <c r="N397" s="2">
        <v>1</v>
      </c>
      <c r="O397" s="2">
        <v>1.8</v>
      </c>
      <c r="P397" s="2">
        <v>0.57099999999999995</v>
      </c>
      <c r="Q397" s="2">
        <v>0.46800000000000003</v>
      </c>
      <c r="R397" s="2">
        <v>0.8</v>
      </c>
      <c r="S397" s="2">
        <v>0.8</v>
      </c>
      <c r="T397" s="2">
        <v>1</v>
      </c>
      <c r="U397" s="2">
        <v>0.3</v>
      </c>
      <c r="V397" s="2">
        <v>1.8</v>
      </c>
      <c r="W397" s="2">
        <v>2.1</v>
      </c>
      <c r="X397" s="2">
        <v>3.4</v>
      </c>
      <c r="Y397" s="2">
        <v>1.6</v>
      </c>
      <c r="Z397" s="2">
        <v>0.5</v>
      </c>
      <c r="AA397" s="2">
        <v>2.1</v>
      </c>
      <c r="AB397" s="2">
        <v>2.1</v>
      </c>
      <c r="AC397" s="2">
        <v>8.3000000000000007</v>
      </c>
      <c r="AD397" s="2"/>
    </row>
    <row r="398" spans="1:30" x14ac:dyDescent="0.2">
      <c r="A398" t="s">
        <v>239</v>
      </c>
      <c r="B398" s="2">
        <v>34</v>
      </c>
      <c r="C398" t="s">
        <v>122</v>
      </c>
      <c r="D398" s="2" t="s">
        <v>27</v>
      </c>
      <c r="E398" s="2">
        <v>12</v>
      </c>
      <c r="F398" s="2">
        <v>12</v>
      </c>
      <c r="G398" s="2">
        <v>367</v>
      </c>
      <c r="H398" s="2">
        <v>6.8</v>
      </c>
      <c r="I398" s="2">
        <v>16.399999999999999</v>
      </c>
      <c r="J398" s="2">
        <v>0.41299999999999998</v>
      </c>
      <c r="K398" s="2">
        <v>2.4</v>
      </c>
      <c r="L398" s="2">
        <v>7.6</v>
      </c>
      <c r="M398" s="2">
        <v>0.312</v>
      </c>
      <c r="N398" s="2">
        <v>4.4000000000000004</v>
      </c>
      <c r="O398" s="2">
        <v>8.8000000000000007</v>
      </c>
      <c r="P398" s="2">
        <v>0.5</v>
      </c>
      <c r="Q398" s="2">
        <v>0.48499999999999999</v>
      </c>
      <c r="R398" s="2">
        <v>2.9</v>
      </c>
      <c r="S398" s="2">
        <v>3.6</v>
      </c>
      <c r="T398" s="2">
        <v>0.81100000000000005</v>
      </c>
      <c r="U398" s="2">
        <v>0.9</v>
      </c>
      <c r="V398" s="2">
        <v>5.4</v>
      </c>
      <c r="W398" s="2">
        <v>6.3</v>
      </c>
      <c r="X398" s="2">
        <v>6.1</v>
      </c>
      <c r="Y398" s="2">
        <v>2.2000000000000002</v>
      </c>
      <c r="Z398" s="2">
        <v>0.4</v>
      </c>
      <c r="AA398" s="2">
        <v>3.2</v>
      </c>
      <c r="AB398" s="2">
        <v>2.8</v>
      </c>
      <c r="AC398" s="2">
        <v>18.8</v>
      </c>
      <c r="AD398" s="2"/>
    </row>
    <row r="399" spans="1:30" x14ac:dyDescent="0.2">
      <c r="A399" t="s">
        <v>392</v>
      </c>
      <c r="B399" s="2">
        <v>25</v>
      </c>
      <c r="C399" t="s">
        <v>75</v>
      </c>
      <c r="D399" s="2" t="s">
        <v>42</v>
      </c>
      <c r="E399" s="2">
        <v>12</v>
      </c>
      <c r="F399" s="2">
        <v>0</v>
      </c>
      <c r="G399" s="2">
        <v>125</v>
      </c>
      <c r="H399" s="2">
        <v>6</v>
      </c>
      <c r="I399" s="2">
        <v>11.2</v>
      </c>
      <c r="J399" s="2">
        <v>0.53800000000000003</v>
      </c>
      <c r="K399" s="2">
        <v>1.2</v>
      </c>
      <c r="L399" s="2">
        <v>3.2</v>
      </c>
      <c r="M399" s="2">
        <v>0.36399999999999999</v>
      </c>
      <c r="N399" s="2">
        <v>4.9000000000000004</v>
      </c>
      <c r="O399" s="2">
        <v>8.1</v>
      </c>
      <c r="P399" s="2">
        <v>0.60699999999999998</v>
      </c>
      <c r="Q399" s="2">
        <v>0.59</v>
      </c>
      <c r="R399" s="2">
        <v>3.5</v>
      </c>
      <c r="S399" s="2">
        <v>4.3</v>
      </c>
      <c r="T399" s="2">
        <v>0.8</v>
      </c>
      <c r="U399" s="2">
        <v>2</v>
      </c>
      <c r="V399" s="2">
        <v>4.5999999999999996</v>
      </c>
      <c r="W399" s="2">
        <v>6.6</v>
      </c>
      <c r="X399" s="2">
        <v>2.2999999999999998</v>
      </c>
      <c r="Y399" s="2">
        <v>2.9</v>
      </c>
      <c r="Z399" s="2">
        <v>1.7</v>
      </c>
      <c r="AA399" s="2">
        <v>2.6</v>
      </c>
      <c r="AB399" s="2">
        <v>6</v>
      </c>
      <c r="AC399" s="2">
        <v>16.7</v>
      </c>
      <c r="AD399" s="2"/>
    </row>
    <row r="400" spans="1:30" x14ac:dyDescent="0.2">
      <c r="A400" t="s">
        <v>111</v>
      </c>
      <c r="B400" s="2">
        <v>27</v>
      </c>
      <c r="C400" t="s">
        <v>39</v>
      </c>
      <c r="D400" s="2" t="s">
        <v>33</v>
      </c>
      <c r="E400" s="2">
        <v>25</v>
      </c>
      <c r="F400" s="2">
        <v>0</v>
      </c>
      <c r="G400" s="2">
        <v>709</v>
      </c>
      <c r="H400" s="2">
        <v>7.1</v>
      </c>
      <c r="I400" s="2">
        <v>14.6</v>
      </c>
      <c r="J400" s="2">
        <v>0.48799999999999999</v>
      </c>
      <c r="K400" s="2">
        <v>4.9000000000000004</v>
      </c>
      <c r="L400" s="2">
        <v>11.3</v>
      </c>
      <c r="M400" s="2">
        <v>0.432</v>
      </c>
      <c r="N400" s="2">
        <v>2.2000000000000002</v>
      </c>
      <c r="O400" s="2">
        <v>3.3</v>
      </c>
      <c r="P400" s="2">
        <v>0.67700000000000005</v>
      </c>
      <c r="Q400" s="2">
        <v>0.65500000000000003</v>
      </c>
      <c r="R400" s="2">
        <v>1.9</v>
      </c>
      <c r="S400" s="2">
        <v>2.2000000000000002</v>
      </c>
      <c r="T400" s="2">
        <v>0.84099999999999997</v>
      </c>
      <c r="U400" s="2">
        <v>1.4</v>
      </c>
      <c r="V400" s="2">
        <v>2.8</v>
      </c>
      <c r="W400" s="2">
        <v>4.2</v>
      </c>
      <c r="X400" s="2">
        <v>4</v>
      </c>
      <c r="Y400" s="2">
        <v>1.3</v>
      </c>
      <c r="Z400" s="2">
        <v>0.2</v>
      </c>
      <c r="AA400" s="2">
        <v>1.3</v>
      </c>
      <c r="AB400" s="2">
        <v>2.1</v>
      </c>
      <c r="AC400" s="2">
        <v>21</v>
      </c>
      <c r="AD400" s="2"/>
    </row>
    <row r="401" spans="1:30" x14ac:dyDescent="0.2">
      <c r="A401" t="s">
        <v>354</v>
      </c>
      <c r="B401" s="2">
        <v>23</v>
      </c>
      <c r="C401" t="s">
        <v>61</v>
      </c>
      <c r="D401" s="2" t="s">
        <v>52</v>
      </c>
      <c r="E401" s="2">
        <v>15</v>
      </c>
      <c r="F401" s="2">
        <v>0</v>
      </c>
      <c r="G401" s="2">
        <v>245</v>
      </c>
      <c r="H401" s="2">
        <v>5</v>
      </c>
      <c r="I401" s="2">
        <v>9.3000000000000007</v>
      </c>
      <c r="J401" s="2">
        <v>0.54</v>
      </c>
      <c r="K401" s="2">
        <v>1.6</v>
      </c>
      <c r="L401" s="2">
        <v>4.3</v>
      </c>
      <c r="M401" s="2">
        <v>0.379</v>
      </c>
      <c r="N401" s="2">
        <v>3.4</v>
      </c>
      <c r="O401" s="2">
        <v>5</v>
      </c>
      <c r="P401" s="2">
        <v>0.67600000000000005</v>
      </c>
      <c r="Q401" s="2">
        <v>0.627</v>
      </c>
      <c r="R401" s="2">
        <v>1.6</v>
      </c>
      <c r="S401" s="2">
        <v>2.9</v>
      </c>
      <c r="T401" s="2">
        <v>0.55000000000000004</v>
      </c>
      <c r="U401" s="2">
        <v>1.5</v>
      </c>
      <c r="V401" s="2">
        <v>2.9</v>
      </c>
      <c r="W401" s="2">
        <v>4.4000000000000004</v>
      </c>
      <c r="X401" s="2">
        <v>3.2</v>
      </c>
      <c r="Y401" s="2">
        <v>1.3</v>
      </c>
      <c r="Z401" s="2">
        <v>0</v>
      </c>
      <c r="AA401" s="2">
        <v>1.2</v>
      </c>
      <c r="AB401" s="2">
        <v>4.7</v>
      </c>
      <c r="AC401" s="2">
        <v>13.2</v>
      </c>
      <c r="AD401" s="2"/>
    </row>
    <row r="402" spans="1:30" x14ac:dyDescent="0.2">
      <c r="A402" t="s">
        <v>238</v>
      </c>
      <c r="B402" s="2">
        <v>22</v>
      </c>
      <c r="C402" t="s">
        <v>46</v>
      </c>
      <c r="D402" s="2" t="s">
        <v>49</v>
      </c>
      <c r="E402" s="2">
        <v>22</v>
      </c>
      <c r="F402" s="2">
        <v>12</v>
      </c>
      <c r="G402" s="2">
        <v>547</v>
      </c>
      <c r="H402" s="2">
        <v>4.7</v>
      </c>
      <c r="I402" s="2">
        <v>9.8000000000000007</v>
      </c>
      <c r="J402" s="2">
        <v>0.48299999999999998</v>
      </c>
      <c r="K402" s="2">
        <v>1.2</v>
      </c>
      <c r="L402" s="2">
        <v>3.3</v>
      </c>
      <c r="M402" s="2">
        <v>0.36</v>
      </c>
      <c r="N402" s="2">
        <v>3.6</v>
      </c>
      <c r="O402" s="2">
        <v>6.5</v>
      </c>
      <c r="P402" s="2">
        <v>0.54500000000000004</v>
      </c>
      <c r="Q402" s="2">
        <v>0.54400000000000004</v>
      </c>
      <c r="R402" s="2">
        <v>2.2000000000000002</v>
      </c>
      <c r="S402" s="2">
        <v>2.8</v>
      </c>
      <c r="T402" s="2">
        <v>0.76700000000000002</v>
      </c>
      <c r="U402" s="2">
        <v>1.3</v>
      </c>
      <c r="V402" s="2">
        <v>3.4</v>
      </c>
      <c r="W402" s="2">
        <v>4.7</v>
      </c>
      <c r="X402" s="2">
        <v>1.8</v>
      </c>
      <c r="Y402" s="2">
        <v>1.2</v>
      </c>
      <c r="Z402" s="2">
        <v>1.4</v>
      </c>
      <c r="AA402" s="2">
        <v>1.2</v>
      </c>
      <c r="AB402" s="2">
        <v>3.2</v>
      </c>
      <c r="AC402" s="2">
        <v>12.8</v>
      </c>
      <c r="AD402" s="2"/>
    </row>
    <row r="403" spans="1:30" x14ac:dyDescent="0.2">
      <c r="A403" t="s">
        <v>506</v>
      </c>
      <c r="B403" s="2">
        <v>28</v>
      </c>
      <c r="C403" t="s">
        <v>51</v>
      </c>
      <c r="D403" s="2" t="s">
        <v>52</v>
      </c>
      <c r="E403" s="2">
        <v>7</v>
      </c>
      <c r="F403" s="2">
        <v>0</v>
      </c>
      <c r="G403" s="2">
        <v>30</v>
      </c>
      <c r="H403" s="2">
        <v>2.4</v>
      </c>
      <c r="I403" s="2">
        <v>3.6</v>
      </c>
      <c r="J403" s="2">
        <v>0.66700000000000004</v>
      </c>
      <c r="K403" s="2">
        <v>2.4</v>
      </c>
      <c r="L403" s="2">
        <v>3.6</v>
      </c>
      <c r="M403" s="2">
        <v>0.66700000000000004</v>
      </c>
      <c r="N403" s="2">
        <v>0</v>
      </c>
      <c r="O403" s="2">
        <v>0</v>
      </c>
      <c r="P403" s="2"/>
      <c r="Q403" s="2">
        <v>1</v>
      </c>
      <c r="R403" s="2">
        <v>1.2</v>
      </c>
      <c r="S403" s="2">
        <v>7.2</v>
      </c>
      <c r="T403" s="2">
        <v>0.16700000000000001</v>
      </c>
      <c r="U403" s="2">
        <v>1.2</v>
      </c>
      <c r="V403" s="2">
        <v>4.8</v>
      </c>
      <c r="W403" s="2">
        <v>6</v>
      </c>
      <c r="X403" s="2">
        <v>6</v>
      </c>
      <c r="Y403" s="2">
        <v>1.2</v>
      </c>
      <c r="Z403" s="2">
        <v>0</v>
      </c>
      <c r="AA403" s="2">
        <v>1.2</v>
      </c>
      <c r="AB403" s="2">
        <v>3.6</v>
      </c>
      <c r="AC403" s="2">
        <v>8.4</v>
      </c>
      <c r="AD403" s="2"/>
    </row>
    <row r="404" spans="1:30" x14ac:dyDescent="0.2">
      <c r="A404" t="s">
        <v>525</v>
      </c>
      <c r="B404" s="2">
        <v>22</v>
      </c>
      <c r="C404" t="s">
        <v>46</v>
      </c>
      <c r="D404" s="2" t="s">
        <v>42</v>
      </c>
      <c r="E404" s="2">
        <v>5</v>
      </c>
      <c r="F404" s="2">
        <v>0</v>
      </c>
      <c r="G404" s="2">
        <v>11</v>
      </c>
      <c r="H404" s="2">
        <v>6.5</v>
      </c>
      <c r="I404" s="2">
        <v>16.399999999999999</v>
      </c>
      <c r="J404" s="2">
        <v>0.4</v>
      </c>
      <c r="K404" s="2">
        <v>0</v>
      </c>
      <c r="L404" s="2">
        <v>6.5</v>
      </c>
      <c r="M404" s="2">
        <v>0</v>
      </c>
      <c r="N404" s="2">
        <v>6.5</v>
      </c>
      <c r="O404" s="2">
        <v>9.8000000000000007</v>
      </c>
      <c r="P404" s="2">
        <v>0.66700000000000004</v>
      </c>
      <c r="Q404" s="2">
        <v>0.4</v>
      </c>
      <c r="R404" s="2">
        <v>0</v>
      </c>
      <c r="S404" s="2">
        <v>0</v>
      </c>
      <c r="T404" s="2"/>
      <c r="U404" s="2">
        <v>0</v>
      </c>
      <c r="V404" s="2">
        <v>3.3</v>
      </c>
      <c r="W404" s="2">
        <v>3.3</v>
      </c>
      <c r="X404" s="2">
        <v>0</v>
      </c>
      <c r="Y404" s="2">
        <v>0</v>
      </c>
      <c r="Z404" s="2">
        <v>0</v>
      </c>
      <c r="AA404" s="2">
        <v>0</v>
      </c>
      <c r="AB404" s="2">
        <v>3.3</v>
      </c>
      <c r="AC404" s="2">
        <v>13.1</v>
      </c>
      <c r="AD404" s="2"/>
    </row>
    <row r="405" spans="1:30" x14ac:dyDescent="0.2">
      <c r="A405" t="s">
        <v>479</v>
      </c>
      <c r="B405" s="2">
        <v>25</v>
      </c>
      <c r="C405" t="s">
        <v>44</v>
      </c>
      <c r="D405" s="2" t="s">
        <v>27</v>
      </c>
      <c r="E405" s="2">
        <v>4</v>
      </c>
      <c r="F405" s="2">
        <v>0</v>
      </c>
      <c r="G405" s="2">
        <v>75</v>
      </c>
      <c r="H405" s="2">
        <v>3.4</v>
      </c>
      <c r="I405" s="2">
        <v>7.7</v>
      </c>
      <c r="J405" s="2">
        <v>0.438</v>
      </c>
      <c r="K405" s="2">
        <v>0</v>
      </c>
      <c r="L405" s="2">
        <v>1</v>
      </c>
      <c r="M405" s="2">
        <v>0</v>
      </c>
      <c r="N405" s="2">
        <v>3.4</v>
      </c>
      <c r="O405" s="2">
        <v>6.7</v>
      </c>
      <c r="P405" s="2">
        <v>0.5</v>
      </c>
      <c r="Q405" s="2">
        <v>0.438</v>
      </c>
      <c r="R405" s="2">
        <v>1.4</v>
      </c>
      <c r="S405" s="2">
        <v>3.8</v>
      </c>
      <c r="T405" s="2">
        <v>0.375</v>
      </c>
      <c r="U405" s="2">
        <v>2.9</v>
      </c>
      <c r="V405" s="2">
        <v>9.1</v>
      </c>
      <c r="W405" s="2">
        <v>12</v>
      </c>
      <c r="X405" s="2">
        <v>2.9</v>
      </c>
      <c r="Y405" s="2">
        <v>1.4</v>
      </c>
      <c r="Z405" s="2">
        <v>2.4</v>
      </c>
      <c r="AA405" s="2">
        <v>1.9</v>
      </c>
      <c r="AB405" s="2">
        <v>1.9</v>
      </c>
      <c r="AC405" s="2">
        <v>8.1999999999999993</v>
      </c>
      <c r="AD405" s="2"/>
    </row>
    <row r="406" spans="1:30" x14ac:dyDescent="0.2">
      <c r="A406" t="s">
        <v>237</v>
      </c>
      <c r="B406" s="2">
        <v>24</v>
      </c>
      <c r="C406" t="s">
        <v>63</v>
      </c>
      <c r="D406" s="2" t="s">
        <v>52</v>
      </c>
      <c r="E406" s="2">
        <v>23</v>
      </c>
      <c r="F406" s="2">
        <v>8</v>
      </c>
      <c r="G406" s="2">
        <v>468</v>
      </c>
      <c r="H406" s="2">
        <v>5.2</v>
      </c>
      <c r="I406" s="2">
        <v>10.8</v>
      </c>
      <c r="J406" s="2">
        <v>0.47899999999999998</v>
      </c>
      <c r="K406" s="2">
        <v>2.5</v>
      </c>
      <c r="L406" s="2">
        <v>6.2</v>
      </c>
      <c r="M406" s="2">
        <v>0.40699999999999997</v>
      </c>
      <c r="N406" s="2">
        <v>2.6</v>
      </c>
      <c r="O406" s="2">
        <v>4.5</v>
      </c>
      <c r="P406" s="2">
        <v>0.57599999999999996</v>
      </c>
      <c r="Q406" s="2">
        <v>0.59599999999999997</v>
      </c>
      <c r="R406" s="2">
        <v>2.2000000000000002</v>
      </c>
      <c r="S406" s="2">
        <v>3.1</v>
      </c>
      <c r="T406" s="2">
        <v>0.7</v>
      </c>
      <c r="U406" s="2">
        <v>1.1000000000000001</v>
      </c>
      <c r="V406" s="2">
        <v>5.2</v>
      </c>
      <c r="W406" s="2">
        <v>6.3</v>
      </c>
      <c r="X406" s="2">
        <v>2.6</v>
      </c>
      <c r="Y406" s="2">
        <v>1.3</v>
      </c>
      <c r="Z406" s="2">
        <v>0.4</v>
      </c>
      <c r="AA406" s="2">
        <v>2.2000000000000002</v>
      </c>
      <c r="AB406" s="2">
        <v>3.2</v>
      </c>
      <c r="AC406" s="2">
        <v>15</v>
      </c>
      <c r="AD406" s="2"/>
    </row>
    <row r="407" spans="1:30" x14ac:dyDescent="0.2">
      <c r="A407" t="s">
        <v>344</v>
      </c>
      <c r="B407" s="2">
        <v>26</v>
      </c>
      <c r="C407" t="s">
        <v>82</v>
      </c>
      <c r="D407" s="2" t="s">
        <v>33</v>
      </c>
      <c r="E407" s="2">
        <v>14</v>
      </c>
      <c r="F407" s="2">
        <v>7</v>
      </c>
      <c r="G407" s="2">
        <v>240</v>
      </c>
      <c r="H407" s="2">
        <v>5.7</v>
      </c>
      <c r="I407" s="2">
        <v>10.9</v>
      </c>
      <c r="J407" s="2">
        <v>0.52100000000000002</v>
      </c>
      <c r="K407" s="2">
        <v>1.4</v>
      </c>
      <c r="L407" s="2">
        <v>3.4</v>
      </c>
      <c r="M407" s="2">
        <v>0.39100000000000001</v>
      </c>
      <c r="N407" s="2">
        <v>4.3</v>
      </c>
      <c r="O407" s="2">
        <v>7.5</v>
      </c>
      <c r="P407" s="2">
        <v>0.57999999999999996</v>
      </c>
      <c r="Q407" s="2">
        <v>0.58199999999999996</v>
      </c>
      <c r="R407" s="2">
        <v>1.8</v>
      </c>
      <c r="S407" s="2">
        <v>2.5</v>
      </c>
      <c r="T407" s="2">
        <v>0.70599999999999996</v>
      </c>
      <c r="U407" s="2">
        <v>1.5</v>
      </c>
      <c r="V407" s="2">
        <v>2.6</v>
      </c>
      <c r="W407" s="2">
        <v>4.0999999999999996</v>
      </c>
      <c r="X407" s="2">
        <v>4.2</v>
      </c>
      <c r="Y407" s="2">
        <v>1.4</v>
      </c>
      <c r="Z407" s="2">
        <v>0.7</v>
      </c>
      <c r="AA407" s="2">
        <v>1.6</v>
      </c>
      <c r="AB407" s="2">
        <v>4.2</v>
      </c>
      <c r="AC407" s="2">
        <v>14.5</v>
      </c>
      <c r="AD407" s="2"/>
    </row>
    <row r="408" spans="1:30" x14ac:dyDescent="0.2">
      <c r="A408" t="s">
        <v>539</v>
      </c>
      <c r="B408" s="2">
        <v>23</v>
      </c>
      <c r="C408" t="s">
        <v>41</v>
      </c>
      <c r="D408" s="2" t="s">
        <v>33</v>
      </c>
      <c r="E408" s="2">
        <v>1</v>
      </c>
      <c r="F408" s="2">
        <v>0</v>
      </c>
      <c r="G408" s="2">
        <v>8</v>
      </c>
      <c r="H408" s="2">
        <v>4.5</v>
      </c>
      <c r="I408" s="2">
        <v>13.5</v>
      </c>
      <c r="J408" s="2">
        <v>0.33300000000000002</v>
      </c>
      <c r="K408" s="2">
        <v>4.5</v>
      </c>
      <c r="L408" s="2">
        <v>13.5</v>
      </c>
      <c r="M408" s="2">
        <v>0.33300000000000002</v>
      </c>
      <c r="N408" s="2">
        <v>0</v>
      </c>
      <c r="O408" s="2">
        <v>0</v>
      </c>
      <c r="P408" s="2"/>
      <c r="Q408" s="2">
        <v>0.5</v>
      </c>
      <c r="R408" s="2">
        <v>0</v>
      </c>
      <c r="S408" s="2">
        <v>0</v>
      </c>
      <c r="T408" s="2"/>
      <c r="U408" s="2">
        <v>0</v>
      </c>
      <c r="V408" s="2">
        <v>0</v>
      </c>
      <c r="W408" s="2">
        <v>0</v>
      </c>
      <c r="X408" s="2">
        <v>0</v>
      </c>
      <c r="Y408" s="2">
        <v>0</v>
      </c>
      <c r="Z408" s="2">
        <v>0</v>
      </c>
      <c r="AA408" s="2">
        <v>4.5</v>
      </c>
      <c r="AB408" s="2">
        <v>0</v>
      </c>
      <c r="AC408" s="2">
        <v>13.5</v>
      </c>
      <c r="AD408" s="2"/>
    </row>
    <row r="409" spans="1:30" x14ac:dyDescent="0.2">
      <c r="A409" t="s">
        <v>374</v>
      </c>
      <c r="B409" s="2">
        <v>20</v>
      </c>
      <c r="C409" t="s">
        <v>135</v>
      </c>
      <c r="D409" s="2" t="s">
        <v>52</v>
      </c>
      <c r="E409" s="2">
        <v>21</v>
      </c>
      <c r="F409" s="2">
        <v>0</v>
      </c>
      <c r="G409" s="2">
        <v>223</v>
      </c>
      <c r="H409" s="2">
        <v>4.5</v>
      </c>
      <c r="I409" s="2">
        <v>10.3</v>
      </c>
      <c r="J409" s="2">
        <v>0.438</v>
      </c>
      <c r="K409" s="2">
        <v>1.5</v>
      </c>
      <c r="L409" s="2">
        <v>4.7</v>
      </c>
      <c r="M409" s="2">
        <v>0.31</v>
      </c>
      <c r="N409" s="2">
        <v>3.1</v>
      </c>
      <c r="O409" s="2">
        <v>5.7</v>
      </c>
      <c r="P409" s="2">
        <v>0.54300000000000004</v>
      </c>
      <c r="Q409" s="2">
        <v>0.50800000000000001</v>
      </c>
      <c r="R409" s="2">
        <v>1.3</v>
      </c>
      <c r="S409" s="2">
        <v>1.9</v>
      </c>
      <c r="T409" s="2">
        <v>0.66700000000000004</v>
      </c>
      <c r="U409" s="2">
        <v>2.7</v>
      </c>
      <c r="V409" s="2">
        <v>2.7</v>
      </c>
      <c r="W409" s="2">
        <v>5.5</v>
      </c>
      <c r="X409" s="2">
        <v>1.8</v>
      </c>
      <c r="Y409" s="2">
        <v>1.1000000000000001</v>
      </c>
      <c r="Z409" s="2">
        <v>0.3</v>
      </c>
      <c r="AA409" s="2">
        <v>1.9</v>
      </c>
      <c r="AB409" s="2">
        <v>2.6</v>
      </c>
      <c r="AC409" s="2">
        <v>11.8</v>
      </c>
      <c r="AD409" s="2"/>
    </row>
    <row r="410" spans="1:30" x14ac:dyDescent="0.2">
      <c r="A410" t="s">
        <v>543</v>
      </c>
      <c r="B410" s="2">
        <v>23</v>
      </c>
      <c r="C410" t="s">
        <v>100</v>
      </c>
      <c r="D410" s="2" t="s">
        <v>33</v>
      </c>
      <c r="E410" s="2">
        <v>2</v>
      </c>
      <c r="F410" s="2">
        <v>0</v>
      </c>
      <c r="G410" s="2">
        <v>4</v>
      </c>
      <c r="H410" s="2">
        <v>9</v>
      </c>
      <c r="I410" s="2">
        <v>9</v>
      </c>
      <c r="J410" s="2">
        <v>1</v>
      </c>
      <c r="K410" s="2">
        <v>0</v>
      </c>
      <c r="L410" s="2">
        <v>0</v>
      </c>
      <c r="M410" s="2"/>
      <c r="N410" s="2">
        <v>9</v>
      </c>
      <c r="O410" s="2">
        <v>9</v>
      </c>
      <c r="P410" s="2">
        <v>1</v>
      </c>
      <c r="Q410" s="2">
        <v>1</v>
      </c>
      <c r="R410" s="2">
        <v>0</v>
      </c>
      <c r="S410" s="2">
        <v>0</v>
      </c>
      <c r="T410" s="2"/>
      <c r="U410" s="2">
        <v>9</v>
      </c>
      <c r="V410" s="2">
        <v>0</v>
      </c>
      <c r="W410" s="2">
        <v>9</v>
      </c>
      <c r="X410" s="2">
        <v>9</v>
      </c>
      <c r="Y410" s="2">
        <v>9</v>
      </c>
      <c r="Z410" s="2">
        <v>0</v>
      </c>
      <c r="AA410" s="2">
        <v>0</v>
      </c>
      <c r="AB410" s="2">
        <v>9</v>
      </c>
      <c r="AC410" s="2">
        <v>18</v>
      </c>
      <c r="AD410" s="2"/>
    </row>
    <row r="411" spans="1:30" x14ac:dyDescent="0.2">
      <c r="A411" t="s">
        <v>352</v>
      </c>
      <c r="B411" s="2">
        <v>20</v>
      </c>
      <c r="C411" t="s">
        <v>87</v>
      </c>
      <c r="D411" s="2" t="s">
        <v>33</v>
      </c>
      <c r="E411" s="2">
        <v>24</v>
      </c>
      <c r="F411" s="2">
        <v>0</v>
      </c>
      <c r="G411" s="2">
        <v>282</v>
      </c>
      <c r="H411" s="2">
        <v>4.5</v>
      </c>
      <c r="I411" s="2">
        <v>12.5</v>
      </c>
      <c r="J411" s="2">
        <v>0.35699999999999998</v>
      </c>
      <c r="K411" s="2">
        <v>2.2000000000000002</v>
      </c>
      <c r="L411" s="2">
        <v>7.1</v>
      </c>
      <c r="M411" s="2">
        <v>0.30399999999999999</v>
      </c>
      <c r="N411" s="2">
        <v>2.2999999999999998</v>
      </c>
      <c r="O411" s="2">
        <v>5.4</v>
      </c>
      <c r="P411" s="2">
        <v>0.42899999999999999</v>
      </c>
      <c r="Q411" s="2">
        <v>0.44400000000000001</v>
      </c>
      <c r="R411" s="2">
        <v>0.5</v>
      </c>
      <c r="S411" s="2">
        <v>0.5</v>
      </c>
      <c r="T411" s="2">
        <v>1</v>
      </c>
      <c r="U411" s="2">
        <v>0.9</v>
      </c>
      <c r="V411" s="2">
        <v>2.2999999999999998</v>
      </c>
      <c r="W411" s="2">
        <v>3.2</v>
      </c>
      <c r="X411" s="2">
        <v>4</v>
      </c>
      <c r="Y411" s="2">
        <v>1.5</v>
      </c>
      <c r="Z411" s="2">
        <v>1</v>
      </c>
      <c r="AA411" s="2">
        <v>1.8</v>
      </c>
      <c r="AB411" s="2">
        <v>2.9</v>
      </c>
      <c r="AC411" s="2">
        <v>11.6</v>
      </c>
      <c r="AD411" s="2"/>
    </row>
    <row r="412" spans="1:30" x14ac:dyDescent="0.2">
      <c r="A412" t="s">
        <v>416</v>
      </c>
      <c r="B412" s="2">
        <v>34</v>
      </c>
      <c r="C412" t="s">
        <v>122</v>
      </c>
      <c r="D412" s="2" t="s">
        <v>33</v>
      </c>
      <c r="E412" s="2">
        <v>10</v>
      </c>
      <c r="F412" s="2">
        <v>0</v>
      </c>
      <c r="G412" s="2">
        <v>119</v>
      </c>
      <c r="H412" s="2">
        <v>4.8</v>
      </c>
      <c r="I412" s="2">
        <v>11.8</v>
      </c>
      <c r="J412" s="2">
        <v>0.41</v>
      </c>
      <c r="K412" s="2">
        <v>3.3</v>
      </c>
      <c r="L412" s="2">
        <v>7.6</v>
      </c>
      <c r="M412" s="2">
        <v>0.44</v>
      </c>
      <c r="N412" s="2">
        <v>1.5</v>
      </c>
      <c r="O412" s="2">
        <v>4.2</v>
      </c>
      <c r="P412" s="2">
        <v>0.35699999999999998</v>
      </c>
      <c r="Q412" s="2">
        <v>0.55100000000000005</v>
      </c>
      <c r="R412" s="2">
        <v>0</v>
      </c>
      <c r="S412" s="2">
        <v>0</v>
      </c>
      <c r="T412" s="2"/>
      <c r="U412" s="2">
        <v>0.3</v>
      </c>
      <c r="V412" s="2">
        <v>2.4</v>
      </c>
      <c r="W412" s="2">
        <v>2.7</v>
      </c>
      <c r="X412" s="2">
        <v>6.4</v>
      </c>
      <c r="Y412" s="2">
        <v>1.8</v>
      </c>
      <c r="Z412" s="2">
        <v>0.9</v>
      </c>
      <c r="AA412" s="2">
        <v>2.1</v>
      </c>
      <c r="AB412" s="2">
        <v>2.4</v>
      </c>
      <c r="AC412" s="2">
        <v>13</v>
      </c>
      <c r="AD412" s="2"/>
    </row>
    <row r="413" spans="1:30" x14ac:dyDescent="0.2">
      <c r="A413" t="s">
        <v>493</v>
      </c>
      <c r="B413" s="2">
        <v>31</v>
      </c>
      <c r="C413" t="s">
        <v>114</v>
      </c>
      <c r="D413" s="2" t="s">
        <v>27</v>
      </c>
      <c r="E413" s="2">
        <v>3</v>
      </c>
      <c r="F413" s="2">
        <v>0</v>
      </c>
      <c r="G413" s="2">
        <v>20</v>
      </c>
      <c r="H413" s="2">
        <v>9</v>
      </c>
      <c r="I413" s="2">
        <v>18</v>
      </c>
      <c r="J413" s="2">
        <v>0.5</v>
      </c>
      <c r="K413" s="2">
        <v>0</v>
      </c>
      <c r="L413" s="2">
        <v>1.8</v>
      </c>
      <c r="M413" s="2">
        <v>0</v>
      </c>
      <c r="N413" s="2">
        <v>9</v>
      </c>
      <c r="O413" s="2">
        <v>16.2</v>
      </c>
      <c r="P413" s="2">
        <v>0.55600000000000005</v>
      </c>
      <c r="Q413" s="2">
        <v>0.5</v>
      </c>
      <c r="R413" s="2">
        <v>3.6</v>
      </c>
      <c r="S413" s="2">
        <v>3.6</v>
      </c>
      <c r="T413" s="2">
        <v>1</v>
      </c>
      <c r="U413" s="2">
        <v>3.6</v>
      </c>
      <c r="V413" s="2">
        <v>5.4</v>
      </c>
      <c r="W413" s="2">
        <v>9</v>
      </c>
      <c r="X413" s="2">
        <v>0</v>
      </c>
      <c r="Y413" s="2">
        <v>0</v>
      </c>
      <c r="Z413" s="2">
        <v>3.6</v>
      </c>
      <c r="AA413" s="2">
        <v>3.6</v>
      </c>
      <c r="AB413" s="2">
        <v>1.8</v>
      </c>
      <c r="AC413" s="2">
        <v>21.6</v>
      </c>
      <c r="AD413" s="2"/>
    </row>
    <row r="414" spans="1:30" x14ac:dyDescent="0.2">
      <c r="A414" t="s">
        <v>369</v>
      </c>
      <c r="B414" s="2">
        <v>23</v>
      </c>
      <c r="C414" t="s">
        <v>122</v>
      </c>
      <c r="D414" s="2" t="s">
        <v>49</v>
      </c>
      <c r="E414" s="2">
        <v>17</v>
      </c>
      <c r="F414" s="2">
        <v>0</v>
      </c>
      <c r="G414" s="2">
        <v>200</v>
      </c>
      <c r="H414" s="2">
        <v>4.5</v>
      </c>
      <c r="I414" s="2">
        <v>11</v>
      </c>
      <c r="J414" s="2">
        <v>0.41</v>
      </c>
      <c r="K414" s="2">
        <v>1.3</v>
      </c>
      <c r="L414" s="2">
        <v>4.9000000000000004</v>
      </c>
      <c r="M414" s="2">
        <v>0.25900000000000001</v>
      </c>
      <c r="N414" s="2">
        <v>3.2</v>
      </c>
      <c r="O414" s="2">
        <v>6.1</v>
      </c>
      <c r="P414" s="2">
        <v>0.52900000000000003</v>
      </c>
      <c r="Q414" s="2">
        <v>0.46700000000000003</v>
      </c>
      <c r="R414" s="2">
        <v>3.2</v>
      </c>
      <c r="S414" s="2">
        <v>3.8</v>
      </c>
      <c r="T414" s="2">
        <v>0.85699999999999998</v>
      </c>
      <c r="U414" s="2">
        <v>0.9</v>
      </c>
      <c r="V414" s="2">
        <v>3.8</v>
      </c>
      <c r="W414" s="2">
        <v>4.7</v>
      </c>
      <c r="X414" s="2">
        <v>2.5</v>
      </c>
      <c r="Y414" s="2">
        <v>0.5</v>
      </c>
      <c r="Z414" s="2">
        <v>0.5</v>
      </c>
      <c r="AA414" s="2">
        <v>0.7</v>
      </c>
      <c r="AB414" s="2">
        <v>2.2000000000000002</v>
      </c>
      <c r="AC414" s="2">
        <v>13.5</v>
      </c>
      <c r="AD414" s="2"/>
    </row>
    <row r="415" spans="1:30" x14ac:dyDescent="0.2">
      <c r="A415" t="s">
        <v>565</v>
      </c>
      <c r="B415" s="2">
        <v>24</v>
      </c>
      <c r="C415" t="s">
        <v>93</v>
      </c>
      <c r="D415" s="2" t="s">
        <v>49</v>
      </c>
      <c r="E415" s="2">
        <v>1</v>
      </c>
      <c r="F415" s="2">
        <v>0</v>
      </c>
      <c r="G415" s="2">
        <v>7</v>
      </c>
      <c r="H415" s="2">
        <v>0</v>
      </c>
      <c r="I415" s="2">
        <v>5.0999999999999996</v>
      </c>
      <c r="J415" s="2">
        <v>0</v>
      </c>
      <c r="K415" s="2">
        <v>0</v>
      </c>
      <c r="L415" s="2">
        <v>5.0999999999999996</v>
      </c>
      <c r="M415" s="2">
        <v>0</v>
      </c>
      <c r="N415" s="2">
        <v>0</v>
      </c>
      <c r="O415" s="2">
        <v>0</v>
      </c>
      <c r="P415" s="2"/>
      <c r="Q415" s="2">
        <v>0</v>
      </c>
      <c r="R415" s="2">
        <v>0</v>
      </c>
      <c r="S415" s="2">
        <v>0</v>
      </c>
      <c r="T415" s="2"/>
      <c r="U415" s="2">
        <v>0</v>
      </c>
      <c r="V415" s="2">
        <v>10.3</v>
      </c>
      <c r="W415" s="2">
        <v>10.3</v>
      </c>
      <c r="X415" s="2">
        <v>0</v>
      </c>
      <c r="Y415" s="2">
        <v>0</v>
      </c>
      <c r="Z415" s="2">
        <v>0</v>
      </c>
      <c r="AA415" s="2">
        <v>0</v>
      </c>
      <c r="AB415" s="2">
        <v>0</v>
      </c>
      <c r="AC415" s="2">
        <v>0</v>
      </c>
      <c r="AD415" s="2"/>
    </row>
    <row r="416" spans="1:30" x14ac:dyDescent="0.2">
      <c r="A416" t="s">
        <v>65</v>
      </c>
      <c r="B416" s="2">
        <v>24</v>
      </c>
      <c r="C416" t="s">
        <v>66</v>
      </c>
      <c r="D416" s="2" t="s">
        <v>52</v>
      </c>
      <c r="E416" s="2">
        <v>23</v>
      </c>
      <c r="F416" s="2">
        <v>23</v>
      </c>
      <c r="G416" s="2">
        <v>787</v>
      </c>
      <c r="H416" s="2">
        <v>9</v>
      </c>
      <c r="I416" s="2">
        <v>19.7</v>
      </c>
      <c r="J416" s="2">
        <v>0.45500000000000002</v>
      </c>
      <c r="K416" s="2">
        <v>2.1</v>
      </c>
      <c r="L416" s="2">
        <v>6.1</v>
      </c>
      <c r="M416" s="2">
        <v>0.34599999999999997</v>
      </c>
      <c r="N416" s="2">
        <v>6.9</v>
      </c>
      <c r="O416" s="2">
        <v>13.6</v>
      </c>
      <c r="P416" s="2">
        <v>0.503</v>
      </c>
      <c r="Q416" s="2">
        <v>0.50800000000000001</v>
      </c>
      <c r="R416" s="2">
        <v>4.3</v>
      </c>
      <c r="S416" s="2">
        <v>6.1</v>
      </c>
      <c r="T416" s="2">
        <v>0.71399999999999997</v>
      </c>
      <c r="U416" s="2">
        <v>1</v>
      </c>
      <c r="V416" s="2">
        <v>6.2</v>
      </c>
      <c r="W416" s="2">
        <v>7.2</v>
      </c>
      <c r="X416" s="2">
        <v>6.3</v>
      </c>
      <c r="Y416" s="2">
        <v>0.8</v>
      </c>
      <c r="Z416" s="2">
        <v>0.4</v>
      </c>
      <c r="AA416" s="2">
        <v>3.5</v>
      </c>
      <c r="AB416" s="2">
        <v>2.8</v>
      </c>
      <c r="AC416" s="2">
        <v>24.4</v>
      </c>
      <c r="AD416" s="2"/>
    </row>
    <row r="417" spans="1:30" x14ac:dyDescent="0.2">
      <c r="A417" t="s">
        <v>417</v>
      </c>
      <c r="B417" s="2">
        <v>20</v>
      </c>
      <c r="C417" t="s">
        <v>51</v>
      </c>
      <c r="D417" s="2" t="s">
        <v>33</v>
      </c>
      <c r="E417" s="2">
        <v>11</v>
      </c>
      <c r="F417" s="2">
        <v>0</v>
      </c>
      <c r="G417" s="2">
        <v>92</v>
      </c>
      <c r="H417" s="2">
        <v>7</v>
      </c>
      <c r="I417" s="2">
        <v>14.1</v>
      </c>
      <c r="J417" s="2">
        <v>0.5</v>
      </c>
      <c r="K417" s="2">
        <v>2.2999999999999998</v>
      </c>
      <c r="L417" s="2">
        <v>4.7</v>
      </c>
      <c r="M417" s="2">
        <v>0.5</v>
      </c>
      <c r="N417" s="2">
        <v>4.7</v>
      </c>
      <c r="O417" s="2">
        <v>9.4</v>
      </c>
      <c r="P417" s="2">
        <v>0.5</v>
      </c>
      <c r="Q417" s="2">
        <v>0.58299999999999996</v>
      </c>
      <c r="R417" s="2">
        <v>0</v>
      </c>
      <c r="S417" s="2">
        <v>0</v>
      </c>
      <c r="T417" s="2"/>
      <c r="U417" s="2">
        <v>0.4</v>
      </c>
      <c r="V417" s="2">
        <v>3.1</v>
      </c>
      <c r="W417" s="2">
        <v>3.5</v>
      </c>
      <c r="X417" s="2">
        <v>6.3</v>
      </c>
      <c r="Y417" s="2">
        <v>0</v>
      </c>
      <c r="Z417" s="2">
        <v>0</v>
      </c>
      <c r="AA417" s="2">
        <v>4.7</v>
      </c>
      <c r="AB417" s="2">
        <v>1.6</v>
      </c>
      <c r="AC417" s="2">
        <v>16.399999999999999</v>
      </c>
      <c r="AD417" s="2"/>
    </row>
    <row r="418" spans="1:30" x14ac:dyDescent="0.2">
      <c r="A418" t="s">
        <v>381</v>
      </c>
      <c r="B418" s="2">
        <v>27</v>
      </c>
      <c r="C418" t="s">
        <v>135</v>
      </c>
      <c r="D418" s="2" t="s">
        <v>42</v>
      </c>
      <c r="E418" s="2">
        <v>7</v>
      </c>
      <c r="F418" s="2">
        <v>1</v>
      </c>
      <c r="G418" s="2">
        <v>131</v>
      </c>
      <c r="H418" s="2">
        <v>7.4</v>
      </c>
      <c r="I418" s="2">
        <v>10.4</v>
      </c>
      <c r="J418" s="2">
        <v>0.71099999999999997</v>
      </c>
      <c r="K418" s="2">
        <v>0.3</v>
      </c>
      <c r="L418" s="2">
        <v>0.5</v>
      </c>
      <c r="M418" s="2">
        <v>0.5</v>
      </c>
      <c r="N418" s="2">
        <v>7.1</v>
      </c>
      <c r="O418" s="2">
        <v>9.9</v>
      </c>
      <c r="P418" s="2">
        <v>0.72199999999999998</v>
      </c>
      <c r="Q418" s="2">
        <v>0.72399999999999998</v>
      </c>
      <c r="R418" s="2">
        <v>3.3</v>
      </c>
      <c r="S418" s="2">
        <v>3.6</v>
      </c>
      <c r="T418" s="2">
        <v>0.92300000000000004</v>
      </c>
      <c r="U418" s="2">
        <v>4.0999999999999996</v>
      </c>
      <c r="V418" s="2">
        <v>7.4</v>
      </c>
      <c r="W418" s="2">
        <v>11.5</v>
      </c>
      <c r="X418" s="2">
        <v>2.7</v>
      </c>
      <c r="Y418" s="2">
        <v>2.2000000000000002</v>
      </c>
      <c r="Z418" s="2">
        <v>3.6</v>
      </c>
      <c r="AA418" s="2">
        <v>1.9</v>
      </c>
      <c r="AB418" s="2">
        <v>1.9</v>
      </c>
      <c r="AC418" s="2">
        <v>18.399999999999999</v>
      </c>
      <c r="AD418" s="2"/>
    </row>
    <row r="419" spans="1:30" x14ac:dyDescent="0.2">
      <c r="A419" t="s">
        <v>267</v>
      </c>
      <c r="B419" s="2">
        <v>19</v>
      </c>
      <c r="C419" t="s">
        <v>75</v>
      </c>
      <c r="D419" s="2" t="s">
        <v>49</v>
      </c>
      <c r="E419" s="2">
        <v>26</v>
      </c>
      <c r="F419" s="2">
        <v>1</v>
      </c>
      <c r="G419" s="2">
        <v>418</v>
      </c>
      <c r="H419" s="2">
        <v>5.6</v>
      </c>
      <c r="I419" s="2">
        <v>12.1</v>
      </c>
      <c r="J419" s="2">
        <v>0.46100000000000002</v>
      </c>
      <c r="K419" s="2">
        <v>0.9</v>
      </c>
      <c r="L419" s="2">
        <v>4.7</v>
      </c>
      <c r="M419" s="2">
        <v>0.2</v>
      </c>
      <c r="N419" s="2">
        <v>4.7</v>
      </c>
      <c r="O419" s="2">
        <v>7.4</v>
      </c>
      <c r="P419" s="2">
        <v>0.628</v>
      </c>
      <c r="Q419" s="2">
        <v>0.5</v>
      </c>
      <c r="R419" s="2">
        <v>2.1</v>
      </c>
      <c r="S419" s="2">
        <v>2.6</v>
      </c>
      <c r="T419" s="2">
        <v>0.8</v>
      </c>
      <c r="U419" s="2">
        <v>1.3</v>
      </c>
      <c r="V419" s="2">
        <v>5.5</v>
      </c>
      <c r="W419" s="2">
        <v>6.8</v>
      </c>
      <c r="X419" s="2">
        <v>1.6</v>
      </c>
      <c r="Y419" s="2">
        <v>1</v>
      </c>
      <c r="Z419" s="2">
        <v>0.4</v>
      </c>
      <c r="AA419" s="2">
        <v>2.2999999999999998</v>
      </c>
      <c r="AB419" s="2">
        <v>3.6</v>
      </c>
      <c r="AC419" s="2">
        <v>14.2</v>
      </c>
      <c r="AD419" s="2"/>
    </row>
    <row r="420" spans="1:30" x14ac:dyDescent="0.2">
      <c r="A420" t="s">
        <v>190</v>
      </c>
      <c r="B420" s="2">
        <v>31</v>
      </c>
      <c r="C420" t="s">
        <v>54</v>
      </c>
      <c r="D420" s="2" t="s">
        <v>49</v>
      </c>
      <c r="E420" s="2">
        <v>23</v>
      </c>
      <c r="F420" s="2">
        <v>5</v>
      </c>
      <c r="G420" s="2">
        <v>595</v>
      </c>
      <c r="H420" s="2">
        <v>5.3</v>
      </c>
      <c r="I420" s="2">
        <v>11.9</v>
      </c>
      <c r="J420" s="2">
        <v>0.44900000000000001</v>
      </c>
      <c r="K420" s="2">
        <v>3.4</v>
      </c>
      <c r="L420" s="2">
        <v>7.7</v>
      </c>
      <c r="M420" s="2">
        <v>0.44900000000000001</v>
      </c>
      <c r="N420" s="2">
        <v>1.9</v>
      </c>
      <c r="O420" s="2">
        <v>4.2</v>
      </c>
      <c r="P420" s="2">
        <v>0.44900000000000001</v>
      </c>
      <c r="Q420" s="2">
        <v>0.59399999999999997</v>
      </c>
      <c r="R420" s="2">
        <v>1</v>
      </c>
      <c r="S420" s="2">
        <v>1.3</v>
      </c>
      <c r="T420" s="2">
        <v>0.76200000000000001</v>
      </c>
      <c r="U420" s="2">
        <v>1.8</v>
      </c>
      <c r="V420" s="2">
        <v>6.7</v>
      </c>
      <c r="W420" s="2">
        <v>8.5</v>
      </c>
      <c r="X420" s="2">
        <v>2.8</v>
      </c>
      <c r="Y420" s="2">
        <v>1.3</v>
      </c>
      <c r="Z420" s="2">
        <v>0.8</v>
      </c>
      <c r="AA420" s="2">
        <v>1.5</v>
      </c>
      <c r="AB420" s="2">
        <v>3.1</v>
      </c>
      <c r="AC420" s="2">
        <v>15.1</v>
      </c>
      <c r="AD420" s="2"/>
    </row>
    <row r="421" spans="1:30" x14ac:dyDescent="0.2">
      <c r="A421" t="s">
        <v>197</v>
      </c>
      <c r="B421" s="2">
        <v>32</v>
      </c>
      <c r="C421" t="s">
        <v>51</v>
      </c>
      <c r="D421" s="2" t="s">
        <v>42</v>
      </c>
      <c r="E421" s="2">
        <v>23</v>
      </c>
      <c r="F421" s="2">
        <v>23</v>
      </c>
      <c r="G421" s="2">
        <v>788</v>
      </c>
      <c r="H421" s="2">
        <v>4.0999999999999996</v>
      </c>
      <c r="I421" s="2">
        <v>6.4</v>
      </c>
      <c r="J421" s="2">
        <v>0.64700000000000002</v>
      </c>
      <c r="K421" s="2">
        <v>0</v>
      </c>
      <c r="L421" s="2">
        <v>0</v>
      </c>
      <c r="M421" s="2"/>
      <c r="N421" s="2">
        <v>4.0999999999999996</v>
      </c>
      <c r="O421" s="2">
        <v>6.4</v>
      </c>
      <c r="P421" s="2">
        <v>0.64700000000000002</v>
      </c>
      <c r="Q421" s="2">
        <v>0.64700000000000002</v>
      </c>
      <c r="R421" s="2">
        <v>2.9</v>
      </c>
      <c r="S421" s="2">
        <v>3.7</v>
      </c>
      <c r="T421" s="2">
        <v>0.78800000000000003</v>
      </c>
      <c r="U421" s="2">
        <v>3.4</v>
      </c>
      <c r="V421" s="2">
        <v>8.1</v>
      </c>
      <c r="W421" s="2">
        <v>11.6</v>
      </c>
      <c r="X421" s="2">
        <v>2.1</v>
      </c>
      <c r="Y421" s="2">
        <v>0.7</v>
      </c>
      <c r="Z421" s="2">
        <v>1.6</v>
      </c>
      <c r="AA421" s="2">
        <v>1.8</v>
      </c>
      <c r="AB421" s="2">
        <v>3.1</v>
      </c>
      <c r="AC421" s="2">
        <v>11.1</v>
      </c>
      <c r="AD421" s="2"/>
    </row>
    <row r="422" spans="1:30" x14ac:dyDescent="0.2">
      <c r="A422" t="s">
        <v>202</v>
      </c>
      <c r="B422" s="2">
        <v>26</v>
      </c>
      <c r="C422" t="s">
        <v>41</v>
      </c>
      <c r="D422" s="2" t="s">
        <v>27</v>
      </c>
      <c r="E422" s="2">
        <v>19</v>
      </c>
      <c r="F422" s="2">
        <v>19</v>
      </c>
      <c r="G422" s="2">
        <v>616</v>
      </c>
      <c r="H422" s="2">
        <v>5.3</v>
      </c>
      <c r="I422" s="2">
        <v>10.5</v>
      </c>
      <c r="J422" s="2">
        <v>0.5</v>
      </c>
      <c r="K422" s="2">
        <v>1.8</v>
      </c>
      <c r="L422" s="2">
        <v>3.9</v>
      </c>
      <c r="M422" s="2">
        <v>0.46300000000000002</v>
      </c>
      <c r="N422" s="2">
        <v>3.4</v>
      </c>
      <c r="O422" s="2">
        <v>6.6</v>
      </c>
      <c r="P422" s="2">
        <v>0.52200000000000002</v>
      </c>
      <c r="Q422" s="2">
        <v>0.58599999999999997</v>
      </c>
      <c r="R422" s="2">
        <v>1.7</v>
      </c>
      <c r="S422" s="2">
        <v>2</v>
      </c>
      <c r="T422" s="2">
        <v>0.85299999999999998</v>
      </c>
      <c r="U422" s="2">
        <v>2</v>
      </c>
      <c r="V422" s="2">
        <v>3.9</v>
      </c>
      <c r="W422" s="2">
        <v>6</v>
      </c>
      <c r="X422" s="2">
        <v>1.9</v>
      </c>
      <c r="Y422" s="2">
        <v>1.1000000000000001</v>
      </c>
      <c r="Z422" s="2">
        <v>0.7</v>
      </c>
      <c r="AA422" s="2">
        <v>0.7</v>
      </c>
      <c r="AB422" s="2">
        <v>2.2000000000000002</v>
      </c>
      <c r="AC422" s="2">
        <v>14</v>
      </c>
      <c r="AD422" s="2"/>
    </row>
    <row r="423" spans="1:30" x14ac:dyDescent="0.2">
      <c r="A423" t="s">
        <v>191</v>
      </c>
      <c r="B423" s="2">
        <v>36</v>
      </c>
      <c r="C423" t="s">
        <v>46</v>
      </c>
      <c r="D423" s="2" t="s">
        <v>33</v>
      </c>
      <c r="E423" s="2">
        <v>22</v>
      </c>
      <c r="F423" s="2">
        <v>5</v>
      </c>
      <c r="G423" s="2">
        <v>545</v>
      </c>
      <c r="H423" s="2">
        <v>5.6</v>
      </c>
      <c r="I423" s="2">
        <v>14.1</v>
      </c>
      <c r="J423" s="2">
        <v>0.39900000000000002</v>
      </c>
      <c r="K423" s="2">
        <v>1.8</v>
      </c>
      <c r="L423" s="2">
        <v>5.3</v>
      </c>
      <c r="M423" s="2">
        <v>0.35</v>
      </c>
      <c r="N423" s="2">
        <v>3.8</v>
      </c>
      <c r="O423" s="2">
        <v>8.8000000000000007</v>
      </c>
      <c r="P423" s="2">
        <v>0.42899999999999999</v>
      </c>
      <c r="Q423" s="2">
        <v>0.46500000000000002</v>
      </c>
      <c r="R423" s="2">
        <v>3.4</v>
      </c>
      <c r="S423" s="2">
        <v>5.3</v>
      </c>
      <c r="T423" s="2">
        <v>0.63800000000000001</v>
      </c>
      <c r="U423" s="2">
        <v>1.1000000000000001</v>
      </c>
      <c r="V423" s="2">
        <v>4.7</v>
      </c>
      <c r="W423" s="2">
        <v>5.8</v>
      </c>
      <c r="X423" s="2">
        <v>9.1999999999999993</v>
      </c>
      <c r="Y423" s="2">
        <v>2.2000000000000002</v>
      </c>
      <c r="Z423" s="2">
        <v>0.9</v>
      </c>
      <c r="AA423" s="2">
        <v>3.5</v>
      </c>
      <c r="AB423" s="2">
        <v>3.6</v>
      </c>
      <c r="AC423" s="2">
        <v>16.399999999999999</v>
      </c>
      <c r="AD423" s="2"/>
    </row>
    <row r="424" spans="1:30" x14ac:dyDescent="0.2">
      <c r="A424" t="s">
        <v>318</v>
      </c>
      <c r="B424" s="2">
        <v>22</v>
      </c>
      <c r="C424" t="s">
        <v>54</v>
      </c>
      <c r="D424" s="2" t="s">
        <v>49</v>
      </c>
      <c r="E424" s="2">
        <v>19</v>
      </c>
      <c r="F424" s="2">
        <v>9</v>
      </c>
      <c r="G424" s="2">
        <v>339</v>
      </c>
      <c r="H424" s="2">
        <v>4.8</v>
      </c>
      <c r="I424" s="2">
        <v>11.7</v>
      </c>
      <c r="J424" s="2">
        <v>0.40899999999999997</v>
      </c>
      <c r="K424" s="2">
        <v>2.2999999999999998</v>
      </c>
      <c r="L424" s="2">
        <v>7.5</v>
      </c>
      <c r="M424" s="2">
        <v>0.31</v>
      </c>
      <c r="N424" s="2">
        <v>2.4</v>
      </c>
      <c r="O424" s="2">
        <v>4.0999999999999996</v>
      </c>
      <c r="P424" s="2">
        <v>0.59</v>
      </c>
      <c r="Q424" s="2">
        <v>0.50900000000000001</v>
      </c>
      <c r="R424" s="2">
        <v>0.2</v>
      </c>
      <c r="S424" s="2">
        <v>0.8</v>
      </c>
      <c r="T424" s="2">
        <v>0.25</v>
      </c>
      <c r="U424" s="2">
        <v>1.3</v>
      </c>
      <c r="V424" s="2">
        <v>4.0999999999999996</v>
      </c>
      <c r="W424" s="2">
        <v>5.4</v>
      </c>
      <c r="X424" s="2">
        <v>1.6</v>
      </c>
      <c r="Y424" s="2">
        <v>1.1000000000000001</v>
      </c>
      <c r="Z424" s="2">
        <v>1.1000000000000001</v>
      </c>
      <c r="AA424" s="2">
        <v>1.1000000000000001</v>
      </c>
      <c r="AB424" s="2">
        <v>5</v>
      </c>
      <c r="AC424" s="2">
        <v>12.1</v>
      </c>
      <c r="AD424" s="2"/>
    </row>
    <row r="425" spans="1:30" x14ac:dyDescent="0.2">
      <c r="A425" t="s">
        <v>439</v>
      </c>
      <c r="B425" s="2">
        <v>22</v>
      </c>
      <c r="C425" t="s">
        <v>35</v>
      </c>
      <c r="D425" s="2" t="s">
        <v>33</v>
      </c>
      <c r="E425" s="2">
        <v>11</v>
      </c>
      <c r="F425" s="2">
        <v>1</v>
      </c>
      <c r="G425" s="2">
        <v>72</v>
      </c>
      <c r="H425" s="2">
        <v>5</v>
      </c>
      <c r="I425" s="2">
        <v>12.5</v>
      </c>
      <c r="J425" s="2">
        <v>0.4</v>
      </c>
      <c r="K425" s="2">
        <v>3</v>
      </c>
      <c r="L425" s="2">
        <v>6</v>
      </c>
      <c r="M425" s="2">
        <v>0.5</v>
      </c>
      <c r="N425" s="2">
        <v>2</v>
      </c>
      <c r="O425" s="2">
        <v>6.5</v>
      </c>
      <c r="P425" s="2">
        <v>0.308</v>
      </c>
      <c r="Q425" s="2">
        <v>0.52</v>
      </c>
      <c r="R425" s="2">
        <v>2.5</v>
      </c>
      <c r="S425" s="2">
        <v>3</v>
      </c>
      <c r="T425" s="2">
        <v>0.83299999999999996</v>
      </c>
      <c r="U425" s="2">
        <v>1.5</v>
      </c>
      <c r="V425" s="2">
        <v>4</v>
      </c>
      <c r="W425" s="2">
        <v>5.5</v>
      </c>
      <c r="X425" s="2">
        <v>4.5</v>
      </c>
      <c r="Y425" s="2">
        <v>3.5</v>
      </c>
      <c r="Z425" s="2">
        <v>2</v>
      </c>
      <c r="AA425" s="2">
        <v>3.5</v>
      </c>
      <c r="AB425" s="2">
        <v>5</v>
      </c>
      <c r="AC425" s="2">
        <v>15.5</v>
      </c>
      <c r="AD425" s="2"/>
    </row>
    <row r="426" spans="1:30" x14ac:dyDescent="0.2">
      <c r="A426" t="s">
        <v>262</v>
      </c>
      <c r="B426" s="2">
        <v>27</v>
      </c>
      <c r="C426" t="s">
        <v>39</v>
      </c>
      <c r="D426" s="2" t="s">
        <v>27</v>
      </c>
      <c r="E426" s="2">
        <v>20</v>
      </c>
      <c r="F426" s="2">
        <v>2</v>
      </c>
      <c r="G426" s="2">
        <v>443</v>
      </c>
      <c r="H426" s="2">
        <v>5</v>
      </c>
      <c r="I426" s="2">
        <v>11.5</v>
      </c>
      <c r="J426" s="2">
        <v>0.44</v>
      </c>
      <c r="K426" s="2">
        <v>3.5</v>
      </c>
      <c r="L426" s="2">
        <v>9.5</v>
      </c>
      <c r="M426" s="2">
        <v>0.36799999999999999</v>
      </c>
      <c r="N426" s="2">
        <v>1.5</v>
      </c>
      <c r="O426" s="2">
        <v>2</v>
      </c>
      <c r="P426" s="2">
        <v>0.79200000000000004</v>
      </c>
      <c r="Q426" s="2">
        <v>0.59199999999999997</v>
      </c>
      <c r="R426" s="2">
        <v>0.2</v>
      </c>
      <c r="S426" s="2">
        <v>0.2</v>
      </c>
      <c r="T426" s="2">
        <v>1</v>
      </c>
      <c r="U426" s="2">
        <v>1.3</v>
      </c>
      <c r="V426" s="2">
        <v>4.0999999999999996</v>
      </c>
      <c r="W426" s="2">
        <v>5.4</v>
      </c>
      <c r="X426" s="2">
        <v>1.7</v>
      </c>
      <c r="Y426" s="2">
        <v>1.3</v>
      </c>
      <c r="Z426" s="2">
        <v>0.4</v>
      </c>
      <c r="AA426" s="2">
        <v>0.7</v>
      </c>
      <c r="AB426" s="2">
        <v>2</v>
      </c>
      <c r="AC426" s="2">
        <v>13.7</v>
      </c>
      <c r="AD426" s="2"/>
    </row>
    <row r="427" spans="1:30" x14ac:dyDescent="0.2">
      <c r="A427" t="s">
        <v>281</v>
      </c>
      <c r="B427" s="2">
        <v>28</v>
      </c>
      <c r="C427" t="s">
        <v>57</v>
      </c>
      <c r="D427" s="2" t="s">
        <v>52</v>
      </c>
      <c r="E427" s="2">
        <v>21</v>
      </c>
      <c r="F427" s="2">
        <v>1</v>
      </c>
      <c r="G427" s="2">
        <v>417</v>
      </c>
      <c r="H427" s="2">
        <v>4.3</v>
      </c>
      <c r="I427" s="2">
        <v>10.9</v>
      </c>
      <c r="J427" s="2">
        <v>0.39700000000000002</v>
      </c>
      <c r="K427" s="2">
        <v>3.3</v>
      </c>
      <c r="L427" s="2">
        <v>9.4</v>
      </c>
      <c r="M427" s="2">
        <v>0.34899999999999998</v>
      </c>
      <c r="N427" s="2">
        <v>1</v>
      </c>
      <c r="O427" s="2">
        <v>1.5</v>
      </c>
      <c r="P427" s="2">
        <v>0.70599999999999996</v>
      </c>
      <c r="Q427" s="2">
        <v>0.54800000000000004</v>
      </c>
      <c r="R427" s="2">
        <v>0.9</v>
      </c>
      <c r="S427" s="2">
        <v>1</v>
      </c>
      <c r="T427" s="2">
        <v>0.91700000000000004</v>
      </c>
      <c r="U427" s="2">
        <v>0.5</v>
      </c>
      <c r="V427" s="2">
        <v>2.7</v>
      </c>
      <c r="W427" s="2">
        <v>3.2</v>
      </c>
      <c r="X427" s="2">
        <v>3.1</v>
      </c>
      <c r="Y427" s="2">
        <v>1</v>
      </c>
      <c r="Z427" s="2">
        <v>0.4</v>
      </c>
      <c r="AA427" s="2">
        <v>0.9</v>
      </c>
      <c r="AB427" s="2">
        <v>3.7</v>
      </c>
      <c r="AC427" s="2">
        <v>12.9</v>
      </c>
      <c r="AD427" s="2"/>
    </row>
    <row r="428" spans="1:30" x14ac:dyDescent="0.2">
      <c r="A428" t="s">
        <v>360</v>
      </c>
      <c r="B428" s="2">
        <v>25</v>
      </c>
      <c r="C428" t="s">
        <v>93</v>
      </c>
      <c r="D428" s="2" t="s">
        <v>27</v>
      </c>
      <c r="E428" s="2">
        <v>17</v>
      </c>
      <c r="F428" s="2">
        <v>0</v>
      </c>
      <c r="G428" s="2">
        <v>160</v>
      </c>
      <c r="H428" s="2">
        <v>6.5</v>
      </c>
      <c r="I428" s="2">
        <v>11.5</v>
      </c>
      <c r="J428" s="2">
        <v>0.56899999999999995</v>
      </c>
      <c r="K428" s="2">
        <v>3.6</v>
      </c>
      <c r="L428" s="2">
        <v>7.9</v>
      </c>
      <c r="M428" s="2">
        <v>0.45700000000000002</v>
      </c>
      <c r="N428" s="2">
        <v>2.9</v>
      </c>
      <c r="O428" s="2">
        <v>3.6</v>
      </c>
      <c r="P428" s="2">
        <v>0.81299999999999994</v>
      </c>
      <c r="Q428" s="2">
        <v>0.72499999999999998</v>
      </c>
      <c r="R428" s="2">
        <v>2.5</v>
      </c>
      <c r="S428" s="2">
        <v>3.4</v>
      </c>
      <c r="T428" s="2">
        <v>0.73299999999999998</v>
      </c>
      <c r="U428" s="2">
        <v>2.2999999999999998</v>
      </c>
      <c r="V428" s="2">
        <v>8.8000000000000007</v>
      </c>
      <c r="W428" s="2">
        <v>11</v>
      </c>
      <c r="X428" s="2">
        <v>1.4</v>
      </c>
      <c r="Y428" s="2">
        <v>0.7</v>
      </c>
      <c r="Z428" s="2">
        <v>1.1000000000000001</v>
      </c>
      <c r="AA428" s="2">
        <v>2</v>
      </c>
      <c r="AB428" s="2">
        <v>2.5</v>
      </c>
      <c r="AC428" s="2">
        <v>19.100000000000001</v>
      </c>
      <c r="AD428" s="2"/>
    </row>
    <row r="429" spans="1:30" x14ac:dyDescent="0.2">
      <c r="A429" t="s">
        <v>145</v>
      </c>
      <c r="B429" s="2">
        <v>24</v>
      </c>
      <c r="C429" t="s">
        <v>80</v>
      </c>
      <c r="D429" s="2" t="s">
        <v>27</v>
      </c>
      <c r="E429" s="2">
        <v>25</v>
      </c>
      <c r="F429" s="2">
        <v>11</v>
      </c>
      <c r="G429" s="2">
        <v>672</v>
      </c>
      <c r="H429" s="2">
        <v>7.2</v>
      </c>
      <c r="I429" s="2">
        <v>13.7</v>
      </c>
      <c r="J429" s="2">
        <v>0.52500000000000002</v>
      </c>
      <c r="K429" s="2">
        <v>2.1</v>
      </c>
      <c r="L429" s="2">
        <v>5.6</v>
      </c>
      <c r="M429" s="2">
        <v>0.375</v>
      </c>
      <c r="N429" s="2">
        <v>5.0999999999999996</v>
      </c>
      <c r="O429" s="2">
        <v>8.1</v>
      </c>
      <c r="P429" s="2">
        <v>0.629</v>
      </c>
      <c r="Q429" s="2">
        <v>0.60199999999999998</v>
      </c>
      <c r="R429" s="2">
        <v>1.3</v>
      </c>
      <c r="S429" s="2">
        <v>1.7</v>
      </c>
      <c r="T429" s="2">
        <v>0.77400000000000002</v>
      </c>
      <c r="U429" s="2">
        <v>2.2999999999999998</v>
      </c>
      <c r="V429" s="2">
        <v>7.8</v>
      </c>
      <c r="W429" s="2">
        <v>10</v>
      </c>
      <c r="X429" s="2">
        <v>4.3</v>
      </c>
      <c r="Y429" s="2">
        <v>1.2</v>
      </c>
      <c r="Z429" s="2">
        <v>0.7</v>
      </c>
      <c r="AA429" s="2">
        <v>1.7</v>
      </c>
      <c r="AB429" s="2">
        <v>1.6</v>
      </c>
      <c r="AC429" s="2">
        <v>17.7</v>
      </c>
      <c r="AD429" s="2"/>
    </row>
    <row r="430" spans="1:30" x14ac:dyDescent="0.2">
      <c r="A430" t="s">
        <v>231</v>
      </c>
      <c r="B430" s="2">
        <v>20</v>
      </c>
      <c r="C430" t="s">
        <v>135</v>
      </c>
      <c r="D430" s="2" t="s">
        <v>33</v>
      </c>
      <c r="E430" s="2">
        <v>17</v>
      </c>
      <c r="F430" s="2">
        <v>3</v>
      </c>
      <c r="G430" s="2">
        <v>445</v>
      </c>
      <c r="H430" s="2">
        <v>5.8</v>
      </c>
      <c r="I430" s="2">
        <v>13.9</v>
      </c>
      <c r="J430" s="2">
        <v>0.41899999999999998</v>
      </c>
      <c r="K430" s="2">
        <v>1.4</v>
      </c>
      <c r="L430" s="2">
        <v>4.3</v>
      </c>
      <c r="M430" s="2">
        <v>0.32100000000000001</v>
      </c>
      <c r="N430" s="2">
        <v>4.4000000000000004</v>
      </c>
      <c r="O430" s="2">
        <v>9.6</v>
      </c>
      <c r="P430" s="2">
        <v>0.46200000000000002</v>
      </c>
      <c r="Q430" s="2">
        <v>0.46800000000000003</v>
      </c>
      <c r="R430" s="2">
        <v>3.2</v>
      </c>
      <c r="S430" s="2">
        <v>4</v>
      </c>
      <c r="T430" s="2">
        <v>0.78</v>
      </c>
      <c r="U430" s="2">
        <v>1</v>
      </c>
      <c r="V430" s="2">
        <v>2.9</v>
      </c>
      <c r="W430" s="2">
        <v>3.9</v>
      </c>
      <c r="X430" s="2">
        <v>7</v>
      </c>
      <c r="Y430" s="2">
        <v>1.3</v>
      </c>
      <c r="Z430" s="2">
        <v>0.2</v>
      </c>
      <c r="AA430" s="2">
        <v>4.2</v>
      </c>
      <c r="AB430" s="2">
        <v>3.5</v>
      </c>
      <c r="AC430" s="2">
        <v>16.2</v>
      </c>
      <c r="AD430" s="2"/>
    </row>
    <row r="431" spans="1:30" x14ac:dyDescent="0.2">
      <c r="A431" t="s">
        <v>167</v>
      </c>
      <c r="B431" s="2">
        <v>23</v>
      </c>
      <c r="C431" t="s">
        <v>66</v>
      </c>
      <c r="D431" s="2" t="s">
        <v>27</v>
      </c>
      <c r="E431" s="2">
        <v>14</v>
      </c>
      <c r="F431" s="2">
        <v>14</v>
      </c>
      <c r="G431" s="2">
        <v>465</v>
      </c>
      <c r="H431" s="2">
        <v>8.1999999999999993</v>
      </c>
      <c r="I431" s="2">
        <v>17.8</v>
      </c>
      <c r="J431" s="2">
        <v>0.46100000000000002</v>
      </c>
      <c r="K431" s="2">
        <v>2</v>
      </c>
      <c r="L431" s="2">
        <v>6.5</v>
      </c>
      <c r="M431" s="2">
        <v>0.31</v>
      </c>
      <c r="N431" s="2">
        <v>6.2</v>
      </c>
      <c r="O431" s="2">
        <v>11.3</v>
      </c>
      <c r="P431" s="2">
        <v>0.54800000000000004</v>
      </c>
      <c r="Q431" s="2">
        <v>0.51700000000000002</v>
      </c>
      <c r="R431" s="2">
        <v>3.9</v>
      </c>
      <c r="S431" s="2">
        <v>5.3</v>
      </c>
      <c r="T431" s="2">
        <v>0.72499999999999998</v>
      </c>
      <c r="U431" s="2">
        <v>2.2000000000000002</v>
      </c>
      <c r="V431" s="2">
        <v>6.9</v>
      </c>
      <c r="W431" s="2">
        <v>9.1</v>
      </c>
      <c r="X431" s="2">
        <v>8.1</v>
      </c>
      <c r="Y431" s="2">
        <v>1.4</v>
      </c>
      <c r="Z431" s="2">
        <v>0.8</v>
      </c>
      <c r="AA431" s="2">
        <v>3.9</v>
      </c>
      <c r="AB431" s="2">
        <v>2.1</v>
      </c>
      <c r="AC431" s="2">
        <v>22.3</v>
      </c>
      <c r="AD431" s="2"/>
    </row>
    <row r="432" spans="1:30" x14ac:dyDescent="0.2">
      <c r="A432" t="s">
        <v>181</v>
      </c>
      <c r="B432" s="2">
        <v>24</v>
      </c>
      <c r="C432" t="s">
        <v>80</v>
      </c>
      <c r="D432" s="2" t="s">
        <v>33</v>
      </c>
      <c r="E432" s="2">
        <v>25</v>
      </c>
      <c r="F432" s="2">
        <v>10</v>
      </c>
      <c r="G432" s="2">
        <v>583</v>
      </c>
      <c r="H432" s="2">
        <v>6.4</v>
      </c>
      <c r="I432" s="2">
        <v>13.5</v>
      </c>
      <c r="J432" s="2">
        <v>0.47199999999999998</v>
      </c>
      <c r="K432" s="2">
        <v>1.5</v>
      </c>
      <c r="L432" s="2">
        <v>4.4000000000000004</v>
      </c>
      <c r="M432" s="2">
        <v>0.33300000000000002</v>
      </c>
      <c r="N432" s="2">
        <v>4.9000000000000004</v>
      </c>
      <c r="O432" s="2">
        <v>9</v>
      </c>
      <c r="P432" s="2">
        <v>0.54100000000000004</v>
      </c>
      <c r="Q432" s="2">
        <v>0.52800000000000002</v>
      </c>
      <c r="R432" s="2">
        <v>2.2999999999999998</v>
      </c>
      <c r="S432" s="2">
        <v>3.3</v>
      </c>
      <c r="T432" s="2">
        <v>0.71699999999999997</v>
      </c>
      <c r="U432" s="2">
        <v>0.9</v>
      </c>
      <c r="V432" s="2">
        <v>4.5999999999999996</v>
      </c>
      <c r="W432" s="2">
        <v>5.6</v>
      </c>
      <c r="X432" s="2">
        <v>8.4</v>
      </c>
      <c r="Y432" s="2">
        <v>1.7</v>
      </c>
      <c r="Z432" s="2">
        <v>0.5</v>
      </c>
      <c r="AA432" s="2">
        <v>3.1</v>
      </c>
      <c r="AB432" s="2">
        <v>3.9</v>
      </c>
      <c r="AC432" s="2">
        <v>16.5</v>
      </c>
      <c r="AD432" s="2"/>
    </row>
    <row r="433" spans="1:30" x14ac:dyDescent="0.2">
      <c r="A433" t="s">
        <v>323</v>
      </c>
      <c r="B433" s="2">
        <v>34</v>
      </c>
      <c r="C433" t="s">
        <v>59</v>
      </c>
      <c r="D433" s="2" t="s">
        <v>52</v>
      </c>
      <c r="E433" s="2">
        <v>23</v>
      </c>
      <c r="F433" s="2">
        <v>4</v>
      </c>
      <c r="G433" s="2">
        <v>285</v>
      </c>
      <c r="H433" s="2">
        <v>5.2</v>
      </c>
      <c r="I433" s="2">
        <v>10.9</v>
      </c>
      <c r="J433" s="2">
        <v>0.47699999999999998</v>
      </c>
      <c r="K433" s="2">
        <v>2.5</v>
      </c>
      <c r="L433" s="2">
        <v>5.7</v>
      </c>
      <c r="M433" s="2">
        <v>0.44400000000000001</v>
      </c>
      <c r="N433" s="2">
        <v>2.7</v>
      </c>
      <c r="O433" s="2">
        <v>5.2</v>
      </c>
      <c r="P433" s="2">
        <v>0.51200000000000001</v>
      </c>
      <c r="Q433" s="2">
        <v>0.59299999999999997</v>
      </c>
      <c r="R433" s="2">
        <v>1.1000000000000001</v>
      </c>
      <c r="S433" s="2">
        <v>1.4</v>
      </c>
      <c r="T433" s="2">
        <v>0.81799999999999995</v>
      </c>
      <c r="U433" s="2">
        <v>1.1000000000000001</v>
      </c>
      <c r="V433" s="2">
        <v>2.8</v>
      </c>
      <c r="W433" s="2">
        <v>3.9</v>
      </c>
      <c r="X433" s="2">
        <v>1</v>
      </c>
      <c r="Y433" s="2">
        <v>1.3</v>
      </c>
      <c r="Z433" s="2">
        <v>0.5</v>
      </c>
      <c r="AA433" s="2">
        <v>0.8</v>
      </c>
      <c r="AB433" s="2">
        <v>2.9</v>
      </c>
      <c r="AC433" s="2">
        <v>14</v>
      </c>
      <c r="AD433" s="2"/>
    </row>
    <row r="434" spans="1:30" x14ac:dyDescent="0.2">
      <c r="A434" t="s">
        <v>174</v>
      </c>
      <c r="B434" s="2">
        <v>21</v>
      </c>
      <c r="C434" t="s">
        <v>135</v>
      </c>
      <c r="D434" s="2" t="s">
        <v>52</v>
      </c>
      <c r="E434" s="2">
        <v>16</v>
      </c>
      <c r="F434" s="2">
        <v>14</v>
      </c>
      <c r="G434" s="2">
        <v>489</v>
      </c>
      <c r="H434" s="2">
        <v>7.3</v>
      </c>
      <c r="I434" s="2">
        <v>16.899999999999999</v>
      </c>
      <c r="J434" s="2">
        <v>0.432</v>
      </c>
      <c r="K434" s="2">
        <v>2.1</v>
      </c>
      <c r="L434" s="2">
        <v>7.3</v>
      </c>
      <c r="M434" s="2">
        <v>0.28299999999999997</v>
      </c>
      <c r="N434" s="2">
        <v>5.2</v>
      </c>
      <c r="O434" s="2">
        <v>9.6</v>
      </c>
      <c r="P434" s="2">
        <v>0.54600000000000004</v>
      </c>
      <c r="Q434" s="2">
        <v>0.49299999999999999</v>
      </c>
      <c r="R434" s="2">
        <v>3.8</v>
      </c>
      <c r="S434" s="2">
        <v>4.8</v>
      </c>
      <c r="T434" s="2">
        <v>0.8</v>
      </c>
      <c r="U434" s="2">
        <v>0.9</v>
      </c>
      <c r="V434" s="2">
        <v>3</v>
      </c>
      <c r="W434" s="2">
        <v>3.9</v>
      </c>
      <c r="X434" s="2">
        <v>2.8</v>
      </c>
      <c r="Y434" s="2">
        <v>1</v>
      </c>
      <c r="Z434" s="2">
        <v>0.2</v>
      </c>
      <c r="AA434" s="2">
        <v>2.4</v>
      </c>
      <c r="AB434" s="2">
        <v>2.1</v>
      </c>
      <c r="AC434" s="2">
        <v>20.5</v>
      </c>
      <c r="AD434" s="2"/>
    </row>
    <row r="435" spans="1:30" x14ac:dyDescent="0.2">
      <c r="A435" t="s">
        <v>31</v>
      </c>
      <c r="B435" s="2">
        <v>26</v>
      </c>
      <c r="C435" t="s">
        <v>32</v>
      </c>
      <c r="D435" s="2" t="s">
        <v>33</v>
      </c>
      <c r="E435" s="2">
        <v>24</v>
      </c>
      <c r="F435" s="2">
        <v>24</v>
      </c>
      <c r="G435" s="2">
        <v>823</v>
      </c>
      <c r="H435" s="2">
        <v>11.2</v>
      </c>
      <c r="I435" s="2">
        <v>21.7</v>
      </c>
      <c r="J435" s="2">
        <v>0.51500000000000001</v>
      </c>
      <c r="K435" s="2">
        <v>2.2000000000000002</v>
      </c>
      <c r="L435" s="2">
        <v>6.6</v>
      </c>
      <c r="M435" s="2">
        <v>0.34</v>
      </c>
      <c r="N435" s="2">
        <v>8.9</v>
      </c>
      <c r="O435" s="2">
        <v>15.1</v>
      </c>
      <c r="P435" s="2">
        <v>0.59099999999999997</v>
      </c>
      <c r="Q435" s="2">
        <v>0.56699999999999995</v>
      </c>
      <c r="R435" s="2">
        <v>7.2</v>
      </c>
      <c r="S435" s="2">
        <v>8.4</v>
      </c>
      <c r="T435" s="2">
        <v>0.85899999999999999</v>
      </c>
      <c r="U435" s="2">
        <v>0.9</v>
      </c>
      <c r="V435" s="2">
        <v>4.8</v>
      </c>
      <c r="W435" s="2">
        <v>5.6</v>
      </c>
      <c r="X435" s="2">
        <v>6.6</v>
      </c>
      <c r="Y435" s="2">
        <v>1.8</v>
      </c>
      <c r="Z435" s="2">
        <v>1</v>
      </c>
      <c r="AA435" s="2">
        <v>2.8</v>
      </c>
      <c r="AB435" s="2">
        <v>2.2999999999999998</v>
      </c>
      <c r="AC435" s="2">
        <v>31.7</v>
      </c>
      <c r="AD435" s="2"/>
    </row>
    <row r="436" spans="1:30" x14ac:dyDescent="0.2">
      <c r="A436" t="s">
        <v>316</v>
      </c>
      <c r="B436" s="2">
        <v>28</v>
      </c>
      <c r="C436" t="s">
        <v>103</v>
      </c>
      <c r="D436" s="2" t="s">
        <v>52</v>
      </c>
      <c r="E436" s="2">
        <v>20</v>
      </c>
      <c r="F436" s="2">
        <v>0</v>
      </c>
      <c r="G436" s="2">
        <v>327</v>
      </c>
      <c r="H436" s="2">
        <v>4.8</v>
      </c>
      <c r="I436" s="2">
        <v>10.199999999999999</v>
      </c>
      <c r="J436" s="2">
        <v>0.47299999999999998</v>
      </c>
      <c r="K436" s="2">
        <v>2.1</v>
      </c>
      <c r="L436" s="2">
        <v>5</v>
      </c>
      <c r="M436" s="2">
        <v>0.42199999999999999</v>
      </c>
      <c r="N436" s="2">
        <v>2.8</v>
      </c>
      <c r="O436" s="2">
        <v>5.3</v>
      </c>
      <c r="P436" s="2">
        <v>0.52100000000000002</v>
      </c>
      <c r="Q436" s="2">
        <v>0.57499999999999996</v>
      </c>
      <c r="R436" s="2">
        <v>1.3</v>
      </c>
      <c r="S436" s="2">
        <v>1.9</v>
      </c>
      <c r="T436" s="2">
        <v>0.70599999999999996</v>
      </c>
      <c r="U436" s="2">
        <v>1</v>
      </c>
      <c r="V436" s="2">
        <v>2.2999999999999998</v>
      </c>
      <c r="W436" s="2">
        <v>3.3</v>
      </c>
      <c r="X436" s="2">
        <v>4.5</v>
      </c>
      <c r="Y436" s="2">
        <v>0.9</v>
      </c>
      <c r="Z436" s="2">
        <v>0.1</v>
      </c>
      <c r="AA436" s="2">
        <v>1.4</v>
      </c>
      <c r="AB436" s="2">
        <v>2.5</v>
      </c>
      <c r="AC436" s="2">
        <v>13.1</v>
      </c>
      <c r="AD436" s="2"/>
    </row>
    <row r="437" spans="1:30" x14ac:dyDescent="0.2">
      <c r="A437" t="s">
        <v>517</v>
      </c>
      <c r="B437" s="2">
        <v>20</v>
      </c>
      <c r="C437" t="s">
        <v>93</v>
      </c>
      <c r="D437" s="2" t="s">
        <v>49</v>
      </c>
      <c r="E437" s="2">
        <v>10</v>
      </c>
      <c r="F437" s="2">
        <v>0</v>
      </c>
      <c r="G437" s="2">
        <v>30</v>
      </c>
      <c r="H437" s="2">
        <v>2.4</v>
      </c>
      <c r="I437" s="2">
        <v>8.4</v>
      </c>
      <c r="J437" s="2">
        <v>0.28599999999999998</v>
      </c>
      <c r="K437" s="2">
        <v>1.2</v>
      </c>
      <c r="L437" s="2">
        <v>2.4</v>
      </c>
      <c r="M437" s="2">
        <v>0.5</v>
      </c>
      <c r="N437" s="2">
        <v>1.2</v>
      </c>
      <c r="O437" s="2">
        <v>6</v>
      </c>
      <c r="P437" s="2">
        <v>0.2</v>
      </c>
      <c r="Q437" s="2">
        <v>0.35699999999999998</v>
      </c>
      <c r="R437" s="2">
        <v>0</v>
      </c>
      <c r="S437" s="2">
        <v>4.8</v>
      </c>
      <c r="T437" s="2">
        <v>0</v>
      </c>
      <c r="U437" s="2">
        <v>2.4</v>
      </c>
      <c r="V437" s="2">
        <v>7.2</v>
      </c>
      <c r="W437" s="2">
        <v>9.6</v>
      </c>
      <c r="X437" s="2">
        <v>6</v>
      </c>
      <c r="Y437" s="2">
        <v>0</v>
      </c>
      <c r="Z437" s="2">
        <v>0</v>
      </c>
      <c r="AA437" s="2">
        <v>1.2</v>
      </c>
      <c r="AB437" s="2">
        <v>4.8</v>
      </c>
      <c r="AC437" s="2">
        <v>6</v>
      </c>
      <c r="AD437" s="2"/>
    </row>
    <row r="438" spans="1:30" x14ac:dyDescent="0.2">
      <c r="A438" t="s">
        <v>278</v>
      </c>
      <c r="B438" s="2">
        <v>29</v>
      </c>
      <c r="C438" t="s">
        <v>75</v>
      </c>
      <c r="D438" s="2" t="s">
        <v>49</v>
      </c>
      <c r="E438" s="2">
        <v>24</v>
      </c>
      <c r="F438" s="2">
        <v>0</v>
      </c>
      <c r="G438" s="2">
        <v>432</v>
      </c>
      <c r="H438" s="2">
        <v>4.0999999999999996</v>
      </c>
      <c r="I438" s="2">
        <v>10.3</v>
      </c>
      <c r="J438" s="2">
        <v>0.39500000000000002</v>
      </c>
      <c r="K438" s="2">
        <v>2.4</v>
      </c>
      <c r="L438" s="2">
        <v>7</v>
      </c>
      <c r="M438" s="2">
        <v>0.34499999999999997</v>
      </c>
      <c r="N438" s="2">
        <v>1.7</v>
      </c>
      <c r="O438" s="2">
        <v>3.3</v>
      </c>
      <c r="P438" s="2">
        <v>0.5</v>
      </c>
      <c r="Q438" s="2">
        <v>0.51200000000000001</v>
      </c>
      <c r="R438" s="2">
        <v>2.1</v>
      </c>
      <c r="S438" s="2">
        <v>2.7</v>
      </c>
      <c r="T438" s="2">
        <v>0.78100000000000003</v>
      </c>
      <c r="U438" s="2">
        <v>1</v>
      </c>
      <c r="V438" s="2">
        <v>4.9000000000000004</v>
      </c>
      <c r="W438" s="2">
        <v>5.9</v>
      </c>
      <c r="X438" s="2">
        <v>1.7</v>
      </c>
      <c r="Y438" s="2">
        <v>0.5</v>
      </c>
      <c r="Z438" s="2">
        <v>0.4</v>
      </c>
      <c r="AA438" s="2">
        <v>1.4</v>
      </c>
      <c r="AB438" s="2">
        <v>2.7</v>
      </c>
      <c r="AC438" s="2">
        <v>12.7</v>
      </c>
      <c r="AD438" s="2"/>
    </row>
    <row r="439" spans="1:30" x14ac:dyDescent="0.2">
      <c r="A439" t="s">
        <v>243</v>
      </c>
      <c r="B439" s="2">
        <v>31</v>
      </c>
      <c r="C439" t="s">
        <v>63</v>
      </c>
      <c r="D439" s="2" t="s">
        <v>33</v>
      </c>
      <c r="E439" s="2">
        <v>23</v>
      </c>
      <c r="F439" s="2">
        <v>0</v>
      </c>
      <c r="G439" s="2">
        <v>492</v>
      </c>
      <c r="H439" s="2">
        <v>4</v>
      </c>
      <c r="I439" s="2">
        <v>10</v>
      </c>
      <c r="J439" s="2">
        <v>0.40100000000000002</v>
      </c>
      <c r="K439" s="2">
        <v>2.2999999999999998</v>
      </c>
      <c r="L439" s="2">
        <v>6.1</v>
      </c>
      <c r="M439" s="2">
        <v>0.38100000000000001</v>
      </c>
      <c r="N439" s="2">
        <v>1.7</v>
      </c>
      <c r="O439" s="2">
        <v>3.9</v>
      </c>
      <c r="P439" s="2">
        <v>0.434</v>
      </c>
      <c r="Q439" s="2">
        <v>0.51800000000000002</v>
      </c>
      <c r="R439" s="2">
        <v>3.4</v>
      </c>
      <c r="S439" s="2">
        <v>3.9</v>
      </c>
      <c r="T439" s="2">
        <v>0.86799999999999999</v>
      </c>
      <c r="U439" s="2">
        <v>0.3</v>
      </c>
      <c r="V439" s="2">
        <v>2.7</v>
      </c>
      <c r="W439" s="2">
        <v>3</v>
      </c>
      <c r="X439" s="2">
        <v>5.0999999999999996</v>
      </c>
      <c r="Y439" s="2">
        <v>1.2</v>
      </c>
      <c r="Z439" s="2">
        <v>0.4</v>
      </c>
      <c r="AA439" s="2">
        <v>1.3</v>
      </c>
      <c r="AB439" s="2">
        <v>2.7</v>
      </c>
      <c r="AC439" s="2">
        <v>13.8</v>
      </c>
      <c r="AD439" s="2"/>
    </row>
    <row r="440" spans="1:30" x14ac:dyDescent="0.2">
      <c r="A440" t="s">
        <v>562</v>
      </c>
      <c r="B440" s="2">
        <v>23</v>
      </c>
      <c r="C440" t="s">
        <v>46</v>
      </c>
      <c r="D440" s="2" t="s">
        <v>49</v>
      </c>
      <c r="E440" s="2">
        <v>2</v>
      </c>
      <c r="F440" s="2">
        <v>0</v>
      </c>
      <c r="G440" s="2">
        <v>4</v>
      </c>
      <c r="H440" s="2">
        <v>0</v>
      </c>
      <c r="I440" s="2">
        <v>9</v>
      </c>
      <c r="J440" s="2">
        <v>0</v>
      </c>
      <c r="K440" s="2">
        <v>0</v>
      </c>
      <c r="L440" s="2">
        <v>9</v>
      </c>
      <c r="M440" s="2">
        <v>0</v>
      </c>
      <c r="N440" s="2">
        <v>0</v>
      </c>
      <c r="O440" s="2">
        <v>0</v>
      </c>
      <c r="P440" s="2"/>
      <c r="Q440" s="2">
        <v>0</v>
      </c>
      <c r="R440" s="2">
        <v>0</v>
      </c>
      <c r="S440" s="2">
        <v>0</v>
      </c>
      <c r="T440" s="2"/>
      <c r="U440" s="2">
        <v>0</v>
      </c>
      <c r="V440" s="2">
        <v>9</v>
      </c>
      <c r="W440" s="2">
        <v>9</v>
      </c>
      <c r="X440" s="2">
        <v>0</v>
      </c>
      <c r="Y440" s="2">
        <v>18</v>
      </c>
      <c r="Z440" s="2">
        <v>0</v>
      </c>
      <c r="AA440" s="2">
        <v>0</v>
      </c>
      <c r="AB440" s="2">
        <v>0</v>
      </c>
      <c r="AC440" s="2">
        <v>0</v>
      </c>
      <c r="AD440" s="2"/>
    </row>
    <row r="441" spans="1:30" x14ac:dyDescent="0.2">
      <c r="A441" t="s">
        <v>542</v>
      </c>
      <c r="B441" s="2">
        <v>25</v>
      </c>
      <c r="C441" t="s">
        <v>35</v>
      </c>
      <c r="D441" s="2" t="s">
        <v>52</v>
      </c>
      <c r="E441" s="2">
        <v>6</v>
      </c>
      <c r="F441" s="2">
        <v>0</v>
      </c>
      <c r="G441" s="2">
        <v>17</v>
      </c>
      <c r="H441" s="2">
        <v>2.1</v>
      </c>
      <c r="I441" s="2">
        <v>6.4</v>
      </c>
      <c r="J441" s="2">
        <v>0.33300000000000002</v>
      </c>
      <c r="K441" s="2">
        <v>2.1</v>
      </c>
      <c r="L441" s="2">
        <v>6.4</v>
      </c>
      <c r="M441" s="2">
        <v>0.33300000000000002</v>
      </c>
      <c r="N441" s="2">
        <v>0</v>
      </c>
      <c r="O441" s="2">
        <v>0</v>
      </c>
      <c r="P441" s="2"/>
      <c r="Q441" s="2">
        <v>0.5</v>
      </c>
      <c r="R441" s="2">
        <v>0</v>
      </c>
      <c r="S441" s="2">
        <v>4.2</v>
      </c>
      <c r="T441" s="2">
        <v>0</v>
      </c>
      <c r="U441" s="2">
        <v>0</v>
      </c>
      <c r="V441" s="2">
        <v>6.4</v>
      </c>
      <c r="W441" s="2">
        <v>6.4</v>
      </c>
      <c r="X441" s="2">
        <v>2.1</v>
      </c>
      <c r="Y441" s="2">
        <v>0</v>
      </c>
      <c r="Z441" s="2">
        <v>2.1</v>
      </c>
      <c r="AA441" s="2">
        <v>0</v>
      </c>
      <c r="AB441" s="2">
        <v>0</v>
      </c>
      <c r="AC441" s="2">
        <v>6.4</v>
      </c>
      <c r="AD441" s="2"/>
    </row>
    <row r="442" spans="1:30" x14ac:dyDescent="0.2">
      <c r="A442" t="s">
        <v>99</v>
      </c>
      <c r="B442" s="2">
        <v>36</v>
      </c>
      <c r="C442" t="s">
        <v>100</v>
      </c>
      <c r="D442" s="2" t="s">
        <v>33</v>
      </c>
      <c r="E442" s="2">
        <v>19</v>
      </c>
      <c r="F442" s="2">
        <v>19</v>
      </c>
      <c r="G442" s="2">
        <v>583</v>
      </c>
      <c r="H442" s="2">
        <v>8.8000000000000007</v>
      </c>
      <c r="I442" s="2">
        <v>19.5</v>
      </c>
      <c r="J442" s="2">
        <v>0.45100000000000001</v>
      </c>
      <c r="K442" s="2">
        <v>4.8</v>
      </c>
      <c r="L442" s="2">
        <v>11.7</v>
      </c>
      <c r="M442" s="2">
        <v>0.41299999999999998</v>
      </c>
      <c r="N442" s="2">
        <v>4</v>
      </c>
      <c r="O442" s="2">
        <v>7.8</v>
      </c>
      <c r="P442" s="2">
        <v>0.50800000000000001</v>
      </c>
      <c r="Q442" s="2">
        <v>0.57499999999999996</v>
      </c>
      <c r="R442" s="2">
        <v>4.4000000000000004</v>
      </c>
      <c r="S442" s="2">
        <v>4.8</v>
      </c>
      <c r="T442" s="2">
        <v>0.92200000000000004</v>
      </c>
      <c r="U442" s="2">
        <v>0.6</v>
      </c>
      <c r="V442" s="2">
        <v>5.4</v>
      </c>
      <c r="W442" s="2">
        <v>6.1</v>
      </c>
      <c r="X442" s="2">
        <v>7.6</v>
      </c>
      <c r="Y442" s="2">
        <v>1.5</v>
      </c>
      <c r="Z442" s="2">
        <v>0.6</v>
      </c>
      <c r="AA442" s="2">
        <v>3.8</v>
      </c>
      <c r="AB442" s="2">
        <v>1.2</v>
      </c>
      <c r="AC442" s="2">
        <v>26.7</v>
      </c>
      <c r="AD442" s="2"/>
    </row>
    <row r="443" spans="1:30" x14ac:dyDescent="0.2">
      <c r="A443" t="s">
        <v>163</v>
      </c>
      <c r="B443" s="2">
        <v>20</v>
      </c>
      <c r="C443" t="s">
        <v>93</v>
      </c>
      <c r="D443" s="2" t="s">
        <v>33</v>
      </c>
      <c r="E443" s="2">
        <v>24</v>
      </c>
      <c r="F443" s="2">
        <v>17</v>
      </c>
      <c r="G443" s="2">
        <v>658</v>
      </c>
      <c r="H443" s="2">
        <v>5.5</v>
      </c>
      <c r="I443" s="2">
        <v>14.2</v>
      </c>
      <c r="J443" s="2">
        <v>0.38600000000000001</v>
      </c>
      <c r="K443" s="2">
        <v>1.6</v>
      </c>
      <c r="L443" s="2">
        <v>5.6</v>
      </c>
      <c r="M443" s="2">
        <v>0.28199999999999997</v>
      </c>
      <c r="N443" s="2">
        <v>3.9</v>
      </c>
      <c r="O443" s="2">
        <v>8.5</v>
      </c>
      <c r="P443" s="2">
        <v>0.45500000000000002</v>
      </c>
      <c r="Q443" s="2">
        <v>0.442</v>
      </c>
      <c r="R443" s="2">
        <v>3.4</v>
      </c>
      <c r="S443" s="2">
        <v>4.5999999999999996</v>
      </c>
      <c r="T443" s="2">
        <v>0.73799999999999999</v>
      </c>
      <c r="U443" s="2">
        <v>1</v>
      </c>
      <c r="V443" s="2">
        <v>2.4</v>
      </c>
      <c r="W443" s="2">
        <v>3.4</v>
      </c>
      <c r="X443" s="2">
        <v>5</v>
      </c>
      <c r="Y443" s="2">
        <v>1.2</v>
      </c>
      <c r="Z443" s="2">
        <v>0.5</v>
      </c>
      <c r="AA443" s="2">
        <v>2.5</v>
      </c>
      <c r="AB443" s="2">
        <v>2.2000000000000002</v>
      </c>
      <c r="AC443" s="2">
        <v>15.9</v>
      </c>
      <c r="AD443" s="2"/>
    </row>
    <row r="444" spans="1:30" x14ac:dyDescent="0.2">
      <c r="A444" t="s">
        <v>428</v>
      </c>
      <c r="B444" s="2">
        <v>31</v>
      </c>
      <c r="C444" t="s">
        <v>87</v>
      </c>
      <c r="D444" s="2" t="s">
        <v>42</v>
      </c>
      <c r="E444" s="2">
        <v>13</v>
      </c>
      <c r="F444" s="2">
        <v>0</v>
      </c>
      <c r="G444" s="2">
        <v>144</v>
      </c>
      <c r="H444" s="2">
        <v>3.2</v>
      </c>
      <c r="I444" s="2">
        <v>5.5</v>
      </c>
      <c r="J444" s="2">
        <v>0.59099999999999997</v>
      </c>
      <c r="K444" s="2">
        <v>0</v>
      </c>
      <c r="L444" s="2">
        <v>0</v>
      </c>
      <c r="M444" s="2"/>
      <c r="N444" s="2">
        <v>3.2</v>
      </c>
      <c r="O444" s="2">
        <v>5.5</v>
      </c>
      <c r="P444" s="2">
        <v>0.59099999999999997</v>
      </c>
      <c r="Q444" s="2">
        <v>0.59099999999999997</v>
      </c>
      <c r="R444" s="2">
        <v>2</v>
      </c>
      <c r="S444" s="2">
        <v>5</v>
      </c>
      <c r="T444" s="2">
        <v>0.4</v>
      </c>
      <c r="U444" s="2">
        <v>4.7</v>
      </c>
      <c r="V444" s="2">
        <v>5.7</v>
      </c>
      <c r="W444" s="2">
        <v>10.5</v>
      </c>
      <c r="X444" s="2">
        <v>3.5</v>
      </c>
      <c r="Y444" s="2">
        <v>0.7</v>
      </c>
      <c r="Z444" s="2">
        <v>0.5</v>
      </c>
      <c r="AA444" s="2">
        <v>4.2</v>
      </c>
      <c r="AB444" s="2">
        <v>4</v>
      </c>
      <c r="AC444" s="2">
        <v>8.5</v>
      </c>
      <c r="AD444" s="2"/>
    </row>
    <row r="445" spans="1:30" x14ac:dyDescent="0.2">
      <c r="A445" t="s">
        <v>441</v>
      </c>
      <c r="B445" s="2">
        <v>27</v>
      </c>
      <c r="C445" t="s">
        <v>120</v>
      </c>
      <c r="D445" s="2" t="s">
        <v>49</v>
      </c>
      <c r="E445" s="2">
        <v>6</v>
      </c>
      <c r="F445" s="2">
        <v>2</v>
      </c>
      <c r="G445" s="2">
        <v>81</v>
      </c>
      <c r="H445" s="2">
        <v>4.4000000000000004</v>
      </c>
      <c r="I445" s="2">
        <v>12</v>
      </c>
      <c r="J445" s="2">
        <v>0.37</v>
      </c>
      <c r="K445" s="2">
        <v>3.1</v>
      </c>
      <c r="L445" s="2">
        <v>9.8000000000000007</v>
      </c>
      <c r="M445" s="2">
        <v>0.318</v>
      </c>
      <c r="N445" s="2">
        <v>1.3</v>
      </c>
      <c r="O445" s="2">
        <v>2.2000000000000002</v>
      </c>
      <c r="P445" s="2">
        <v>0.6</v>
      </c>
      <c r="Q445" s="2">
        <v>0.5</v>
      </c>
      <c r="R445" s="2">
        <v>1.3</v>
      </c>
      <c r="S445" s="2">
        <v>1.8</v>
      </c>
      <c r="T445" s="2">
        <v>0.75</v>
      </c>
      <c r="U445" s="2">
        <v>0.4</v>
      </c>
      <c r="V445" s="2">
        <v>4</v>
      </c>
      <c r="W445" s="2">
        <v>4.4000000000000004</v>
      </c>
      <c r="X445" s="2">
        <v>3.6</v>
      </c>
      <c r="Y445" s="2">
        <v>2.2000000000000002</v>
      </c>
      <c r="Z445" s="2">
        <v>0.4</v>
      </c>
      <c r="AA445" s="2">
        <v>4.4000000000000004</v>
      </c>
      <c r="AB445" s="2">
        <v>3.6</v>
      </c>
      <c r="AC445" s="2">
        <v>13.3</v>
      </c>
      <c r="AD445" s="2"/>
    </row>
    <row r="446" spans="1:30" x14ac:dyDescent="0.2">
      <c r="A446" t="s">
        <v>178</v>
      </c>
      <c r="B446" s="2">
        <v>32</v>
      </c>
      <c r="C446" t="s">
        <v>82</v>
      </c>
      <c r="D446" s="2" t="s">
        <v>33</v>
      </c>
      <c r="E446" s="2">
        <v>24</v>
      </c>
      <c r="F446" s="2">
        <v>0</v>
      </c>
      <c r="G446" s="2">
        <v>480</v>
      </c>
      <c r="H446" s="2">
        <v>9.5</v>
      </c>
      <c r="I446" s="2">
        <v>16.5</v>
      </c>
      <c r="J446" s="2">
        <v>0.57699999999999996</v>
      </c>
      <c r="K446" s="2">
        <v>0.2</v>
      </c>
      <c r="L446" s="2">
        <v>0.9</v>
      </c>
      <c r="M446" s="2">
        <v>0.25</v>
      </c>
      <c r="N446" s="2">
        <v>9.3000000000000007</v>
      </c>
      <c r="O446" s="2">
        <v>15.6</v>
      </c>
      <c r="P446" s="2">
        <v>0.59599999999999997</v>
      </c>
      <c r="Q446" s="2">
        <v>0.58399999999999996</v>
      </c>
      <c r="R446" s="2">
        <v>1.4</v>
      </c>
      <c r="S446" s="2">
        <v>1.9</v>
      </c>
      <c r="T446" s="2">
        <v>0.73099999999999998</v>
      </c>
      <c r="U446" s="2">
        <v>1</v>
      </c>
      <c r="V446" s="2">
        <v>3.6</v>
      </c>
      <c r="W446" s="2">
        <v>4.5999999999999996</v>
      </c>
      <c r="X446" s="2">
        <v>7.3</v>
      </c>
      <c r="Y446" s="2">
        <v>2.5</v>
      </c>
      <c r="Z446" s="2">
        <v>0.5</v>
      </c>
      <c r="AA446" s="2">
        <v>2.9</v>
      </c>
      <c r="AB446" s="2">
        <v>1.9</v>
      </c>
      <c r="AC446" s="2">
        <v>20.7</v>
      </c>
      <c r="AD446" s="2"/>
    </row>
    <row r="447" spans="1:30" x14ac:dyDescent="0.2">
      <c r="A447" t="s">
        <v>422</v>
      </c>
      <c r="B447" s="2">
        <v>39</v>
      </c>
      <c r="C447" t="s">
        <v>59</v>
      </c>
      <c r="D447" s="2" t="s">
        <v>42</v>
      </c>
      <c r="E447" s="2">
        <v>13</v>
      </c>
      <c r="F447" s="2">
        <v>8</v>
      </c>
      <c r="G447" s="2">
        <v>150</v>
      </c>
      <c r="H447" s="2">
        <v>3.8</v>
      </c>
      <c r="I447" s="2">
        <v>8.1999999999999993</v>
      </c>
      <c r="J447" s="2">
        <v>0.47099999999999997</v>
      </c>
      <c r="K447" s="2">
        <v>0.2</v>
      </c>
      <c r="L447" s="2">
        <v>0.5</v>
      </c>
      <c r="M447" s="2">
        <v>0.5</v>
      </c>
      <c r="N447" s="2">
        <v>3.6</v>
      </c>
      <c r="O447" s="2">
        <v>7.7</v>
      </c>
      <c r="P447" s="2">
        <v>0.46899999999999997</v>
      </c>
      <c r="Q447" s="2">
        <v>0.48499999999999999</v>
      </c>
      <c r="R447" s="2">
        <v>1</v>
      </c>
      <c r="S447" s="2">
        <v>1.4</v>
      </c>
      <c r="T447" s="2">
        <v>0.66700000000000004</v>
      </c>
      <c r="U447" s="2">
        <v>5</v>
      </c>
      <c r="V447" s="2">
        <v>5.8</v>
      </c>
      <c r="W447" s="2">
        <v>10.8</v>
      </c>
      <c r="X447" s="2">
        <v>1.7</v>
      </c>
      <c r="Y447" s="2">
        <v>1.2</v>
      </c>
      <c r="Z447" s="2">
        <v>0.7</v>
      </c>
      <c r="AA447" s="2">
        <v>2.2000000000000002</v>
      </c>
      <c r="AB447" s="2">
        <v>4.3</v>
      </c>
      <c r="AC447" s="2">
        <v>8.9</v>
      </c>
      <c r="AD447" s="2"/>
    </row>
    <row r="448" spans="1:30" x14ac:dyDescent="0.2">
      <c r="A448" t="s">
        <v>298</v>
      </c>
      <c r="B448" s="2">
        <v>24</v>
      </c>
      <c r="C448" t="s">
        <v>70</v>
      </c>
      <c r="D448" s="2" t="s">
        <v>52</v>
      </c>
      <c r="E448" s="2">
        <v>19</v>
      </c>
      <c r="F448" s="2">
        <v>0</v>
      </c>
      <c r="G448" s="2">
        <v>208</v>
      </c>
      <c r="H448" s="2">
        <v>8.3000000000000007</v>
      </c>
      <c r="I448" s="2">
        <v>15.1</v>
      </c>
      <c r="J448" s="2">
        <v>0.55200000000000005</v>
      </c>
      <c r="K448" s="2">
        <v>3.3</v>
      </c>
      <c r="L448" s="2">
        <v>6.4</v>
      </c>
      <c r="M448" s="2">
        <v>0.51400000000000001</v>
      </c>
      <c r="N448" s="2">
        <v>5</v>
      </c>
      <c r="O448" s="2">
        <v>8.6999999999999993</v>
      </c>
      <c r="P448" s="2">
        <v>0.57999999999999996</v>
      </c>
      <c r="Q448" s="2">
        <v>0.66100000000000003</v>
      </c>
      <c r="R448" s="2">
        <v>3.6</v>
      </c>
      <c r="S448" s="2">
        <v>5</v>
      </c>
      <c r="T448" s="2">
        <v>0.72399999999999998</v>
      </c>
      <c r="U448" s="2">
        <v>1.4</v>
      </c>
      <c r="V448" s="2">
        <v>4.5</v>
      </c>
      <c r="W448" s="2">
        <v>5.9</v>
      </c>
      <c r="X448" s="2">
        <v>4.8</v>
      </c>
      <c r="Y448" s="2">
        <v>0.7</v>
      </c>
      <c r="Z448" s="2">
        <v>0.7</v>
      </c>
      <c r="AA448" s="2">
        <v>1.9</v>
      </c>
      <c r="AB448" s="2">
        <v>2.8</v>
      </c>
      <c r="AC448" s="2">
        <v>23.5</v>
      </c>
      <c r="AD448" s="2"/>
    </row>
    <row r="449" spans="1:30" x14ac:dyDescent="0.2">
      <c r="A449" t="s">
        <v>187</v>
      </c>
      <c r="B449" s="2">
        <v>23</v>
      </c>
      <c r="C449" t="s">
        <v>87</v>
      </c>
      <c r="D449" s="2" t="s">
        <v>27</v>
      </c>
      <c r="E449" s="2">
        <v>23</v>
      </c>
      <c r="F449" s="2">
        <v>0</v>
      </c>
      <c r="G449" s="2">
        <v>529</v>
      </c>
      <c r="H449" s="2">
        <v>6.9</v>
      </c>
      <c r="I449" s="2">
        <v>14.5</v>
      </c>
      <c r="J449" s="2">
        <v>0.47899999999999998</v>
      </c>
      <c r="K449" s="2">
        <v>1.4</v>
      </c>
      <c r="L449" s="2">
        <v>4.5999999999999996</v>
      </c>
      <c r="M449" s="2">
        <v>0.313</v>
      </c>
      <c r="N449" s="2">
        <v>5.5</v>
      </c>
      <c r="O449" s="2">
        <v>9.9</v>
      </c>
      <c r="P449" s="2">
        <v>0.55500000000000005</v>
      </c>
      <c r="Q449" s="2">
        <v>0.52800000000000002</v>
      </c>
      <c r="R449" s="2">
        <v>2.2000000000000002</v>
      </c>
      <c r="S449" s="2">
        <v>2.9</v>
      </c>
      <c r="T449" s="2">
        <v>0.76700000000000002</v>
      </c>
      <c r="U449" s="2">
        <v>3.5</v>
      </c>
      <c r="V449" s="2">
        <v>6.7</v>
      </c>
      <c r="W449" s="2">
        <v>10.1</v>
      </c>
      <c r="X449" s="2">
        <v>1.7</v>
      </c>
      <c r="Y449" s="2">
        <v>3.1</v>
      </c>
      <c r="Z449" s="2">
        <v>1.6</v>
      </c>
      <c r="AA449" s="2">
        <v>1.4</v>
      </c>
      <c r="AB449" s="2">
        <v>3.7</v>
      </c>
      <c r="AC449" s="2">
        <v>17.600000000000001</v>
      </c>
      <c r="AD449" s="2"/>
    </row>
    <row r="450" spans="1:30" x14ac:dyDescent="0.2">
      <c r="A450" t="s">
        <v>242</v>
      </c>
      <c r="B450" s="2">
        <v>30</v>
      </c>
      <c r="C450" t="s">
        <v>35</v>
      </c>
      <c r="D450" s="2" t="s">
        <v>49</v>
      </c>
      <c r="E450" s="2">
        <v>24</v>
      </c>
      <c r="F450" s="2">
        <v>24</v>
      </c>
      <c r="G450" s="2">
        <v>644</v>
      </c>
      <c r="H450" s="2">
        <v>3.7</v>
      </c>
      <c r="I450" s="2">
        <v>7.6</v>
      </c>
      <c r="J450" s="2">
        <v>0.49299999999999999</v>
      </c>
      <c r="K450" s="2">
        <v>2.5</v>
      </c>
      <c r="L450" s="2">
        <v>4.7</v>
      </c>
      <c r="M450" s="4">
        <v>0.53600000000000003</v>
      </c>
      <c r="N450" s="2">
        <v>1.2</v>
      </c>
      <c r="O450" s="2">
        <v>2.9</v>
      </c>
      <c r="P450" s="2">
        <v>0.42299999999999999</v>
      </c>
      <c r="Q450" s="2">
        <v>0.65800000000000003</v>
      </c>
      <c r="R450" s="2">
        <v>0.6</v>
      </c>
      <c r="S450" s="2">
        <v>0.7</v>
      </c>
      <c r="T450" s="2">
        <v>0.84599999999999997</v>
      </c>
      <c r="U450" s="2">
        <v>0.8</v>
      </c>
      <c r="V450" s="2">
        <v>4.8</v>
      </c>
      <c r="W450" s="2">
        <v>5.6</v>
      </c>
      <c r="X450" s="2">
        <v>2.5</v>
      </c>
      <c r="Y450" s="2">
        <v>1.1000000000000001</v>
      </c>
      <c r="Z450" s="2">
        <v>0.3</v>
      </c>
      <c r="AA450" s="2">
        <v>1.5</v>
      </c>
      <c r="AB450" s="2">
        <v>2.7</v>
      </c>
      <c r="AC450" s="2">
        <v>10.6</v>
      </c>
      <c r="AD450" s="2"/>
    </row>
    <row r="451" spans="1:30" x14ac:dyDescent="0.2">
      <c r="A451" t="s">
        <v>489</v>
      </c>
      <c r="B451" s="2">
        <v>21</v>
      </c>
      <c r="C451" t="s">
        <v>120</v>
      </c>
      <c r="D451" s="2" t="s">
        <v>27</v>
      </c>
      <c r="E451" s="2">
        <v>3</v>
      </c>
      <c r="F451" s="2">
        <v>3</v>
      </c>
      <c r="G451" s="2">
        <v>75</v>
      </c>
      <c r="H451" s="2">
        <v>1.9</v>
      </c>
      <c r="I451" s="2">
        <v>8.6</v>
      </c>
      <c r="J451" s="2">
        <v>0.222</v>
      </c>
      <c r="K451" s="2">
        <v>1.4</v>
      </c>
      <c r="L451" s="2">
        <v>5.8</v>
      </c>
      <c r="M451" s="2">
        <v>0.25</v>
      </c>
      <c r="N451" s="2">
        <v>0.5</v>
      </c>
      <c r="O451" s="2">
        <v>2.9</v>
      </c>
      <c r="P451" s="2">
        <v>0.16700000000000001</v>
      </c>
      <c r="Q451" s="2">
        <v>0.30599999999999999</v>
      </c>
      <c r="R451" s="2">
        <v>1.4</v>
      </c>
      <c r="S451" s="2">
        <v>1.9</v>
      </c>
      <c r="T451" s="2">
        <v>0.75</v>
      </c>
      <c r="U451" s="2">
        <v>2.4</v>
      </c>
      <c r="V451" s="2">
        <v>4.8</v>
      </c>
      <c r="W451" s="2">
        <v>7.2</v>
      </c>
      <c r="X451" s="2">
        <v>1</v>
      </c>
      <c r="Y451" s="2">
        <v>2.4</v>
      </c>
      <c r="Z451" s="2">
        <v>1.9</v>
      </c>
      <c r="AA451" s="2">
        <v>1</v>
      </c>
      <c r="AB451" s="2">
        <v>3.8</v>
      </c>
      <c r="AC451" s="2">
        <v>6.7</v>
      </c>
      <c r="AD451" s="2"/>
    </row>
    <row r="452" spans="1:30" x14ac:dyDescent="0.2">
      <c r="A452" t="s">
        <v>510</v>
      </c>
      <c r="B452" s="2">
        <v>26</v>
      </c>
      <c r="C452" t="s">
        <v>135</v>
      </c>
      <c r="D452" s="2" t="s">
        <v>52</v>
      </c>
      <c r="E452" s="2">
        <v>2</v>
      </c>
      <c r="F452" s="2">
        <v>0</v>
      </c>
      <c r="G452" s="2">
        <v>20</v>
      </c>
      <c r="H452" s="2">
        <v>3.6</v>
      </c>
      <c r="I452" s="2">
        <v>18</v>
      </c>
      <c r="J452" s="2">
        <v>0.2</v>
      </c>
      <c r="K452" s="2">
        <v>1.8</v>
      </c>
      <c r="L452" s="2">
        <v>7.2</v>
      </c>
      <c r="M452" s="2">
        <v>0.25</v>
      </c>
      <c r="N452" s="2">
        <v>1.8</v>
      </c>
      <c r="O452" s="2">
        <v>10.8</v>
      </c>
      <c r="P452" s="2">
        <v>0.16700000000000001</v>
      </c>
      <c r="Q452" s="2">
        <v>0.25</v>
      </c>
      <c r="R452" s="2">
        <v>1.8</v>
      </c>
      <c r="S452" s="2">
        <v>3.6</v>
      </c>
      <c r="T452" s="2">
        <v>0.5</v>
      </c>
      <c r="U452" s="2">
        <v>7.2</v>
      </c>
      <c r="V452" s="2">
        <v>7.2</v>
      </c>
      <c r="W452" s="2">
        <v>14.4</v>
      </c>
      <c r="X452" s="2">
        <v>1.8</v>
      </c>
      <c r="Y452" s="2">
        <v>3.6</v>
      </c>
      <c r="Z452" s="2">
        <v>0</v>
      </c>
      <c r="AA452" s="2">
        <v>3.6</v>
      </c>
      <c r="AB452" s="2">
        <v>0</v>
      </c>
      <c r="AC452" s="2">
        <v>10.8</v>
      </c>
      <c r="AD452" s="2"/>
    </row>
    <row r="453" spans="1:30" x14ac:dyDescent="0.2">
      <c r="A453" t="s">
        <v>290</v>
      </c>
      <c r="B453" s="2">
        <v>28</v>
      </c>
      <c r="C453" t="s">
        <v>77</v>
      </c>
      <c r="D453" s="2" t="s">
        <v>52</v>
      </c>
      <c r="E453" s="2">
        <v>23</v>
      </c>
      <c r="F453" s="2">
        <v>11</v>
      </c>
      <c r="G453" s="2">
        <v>484</v>
      </c>
      <c r="H453" s="2">
        <v>4.2</v>
      </c>
      <c r="I453" s="2">
        <v>9.5</v>
      </c>
      <c r="J453" s="2">
        <v>0.438</v>
      </c>
      <c r="K453" s="2">
        <v>1.2</v>
      </c>
      <c r="L453" s="2">
        <v>3.5</v>
      </c>
      <c r="M453" s="2">
        <v>0.34</v>
      </c>
      <c r="N453" s="2">
        <v>3</v>
      </c>
      <c r="O453" s="2">
        <v>6</v>
      </c>
      <c r="P453" s="2">
        <v>0.49399999999999999</v>
      </c>
      <c r="Q453" s="2">
        <v>0.5</v>
      </c>
      <c r="R453" s="2">
        <v>1.2</v>
      </c>
      <c r="S453" s="2">
        <v>1.8</v>
      </c>
      <c r="T453" s="2">
        <v>0.66700000000000004</v>
      </c>
      <c r="U453" s="2">
        <v>1.8</v>
      </c>
      <c r="V453" s="2">
        <v>3.5</v>
      </c>
      <c r="W453" s="2">
        <v>5.3</v>
      </c>
      <c r="X453" s="2">
        <v>3</v>
      </c>
      <c r="Y453" s="2">
        <v>1.6</v>
      </c>
      <c r="Z453" s="2">
        <v>0.4</v>
      </c>
      <c r="AA453" s="2">
        <v>1</v>
      </c>
      <c r="AB453" s="2">
        <v>3.5</v>
      </c>
      <c r="AC453" s="2">
        <v>10.7</v>
      </c>
      <c r="AD453" s="2"/>
    </row>
    <row r="454" spans="1:30" x14ac:dyDescent="0.2">
      <c r="A454" t="s">
        <v>501</v>
      </c>
      <c r="B454" s="2">
        <v>24</v>
      </c>
      <c r="C454" t="s">
        <v>51</v>
      </c>
      <c r="D454" s="2" t="s">
        <v>52</v>
      </c>
      <c r="E454" s="2">
        <v>7</v>
      </c>
      <c r="F454" s="2">
        <v>0</v>
      </c>
      <c r="G454" s="2">
        <v>30</v>
      </c>
      <c r="H454" s="2">
        <v>4.8</v>
      </c>
      <c r="I454" s="2">
        <v>10.8</v>
      </c>
      <c r="J454" s="2">
        <v>0.44400000000000001</v>
      </c>
      <c r="K454" s="2">
        <v>1.2</v>
      </c>
      <c r="L454" s="2">
        <v>3.6</v>
      </c>
      <c r="M454" s="2">
        <v>0.33300000000000002</v>
      </c>
      <c r="N454" s="2">
        <v>3.6</v>
      </c>
      <c r="O454" s="2">
        <v>7.2</v>
      </c>
      <c r="P454" s="2">
        <v>0.5</v>
      </c>
      <c r="Q454" s="2">
        <v>0.5</v>
      </c>
      <c r="R454" s="2">
        <v>0</v>
      </c>
      <c r="S454" s="2">
        <v>0</v>
      </c>
      <c r="T454" s="2"/>
      <c r="U454" s="2">
        <v>0</v>
      </c>
      <c r="V454" s="2">
        <v>1.2</v>
      </c>
      <c r="W454" s="2">
        <v>1.2</v>
      </c>
      <c r="X454" s="2">
        <v>4.8</v>
      </c>
      <c r="Y454" s="2">
        <v>2.4</v>
      </c>
      <c r="Z454" s="2">
        <v>1.2</v>
      </c>
      <c r="AA454" s="2">
        <v>3.6</v>
      </c>
      <c r="AB454" s="2">
        <v>0</v>
      </c>
      <c r="AC454" s="2">
        <v>10.8</v>
      </c>
      <c r="AD454" s="2"/>
    </row>
    <row r="455" spans="1:30" x14ac:dyDescent="0.2">
      <c r="A455" t="s">
        <v>193</v>
      </c>
      <c r="B455" s="2">
        <v>30</v>
      </c>
      <c r="C455" t="s">
        <v>61</v>
      </c>
      <c r="D455" s="2" t="s">
        <v>33</v>
      </c>
      <c r="E455" s="2">
        <v>21</v>
      </c>
      <c r="F455" s="2">
        <v>12</v>
      </c>
      <c r="G455" s="2">
        <v>597</v>
      </c>
      <c r="H455" s="2">
        <v>5.2</v>
      </c>
      <c r="I455" s="2">
        <v>13.1</v>
      </c>
      <c r="J455" s="2">
        <v>0.39900000000000002</v>
      </c>
      <c r="K455" s="2">
        <v>2.4</v>
      </c>
      <c r="L455" s="2">
        <v>6.8</v>
      </c>
      <c r="M455" s="2">
        <v>0.35399999999999998</v>
      </c>
      <c r="N455" s="2">
        <v>2.8</v>
      </c>
      <c r="O455" s="2">
        <v>6.3</v>
      </c>
      <c r="P455" s="2">
        <v>0.44800000000000001</v>
      </c>
      <c r="Q455" s="2">
        <v>0.49099999999999999</v>
      </c>
      <c r="R455" s="2">
        <v>2</v>
      </c>
      <c r="S455" s="2">
        <v>2.2000000000000002</v>
      </c>
      <c r="T455" s="2">
        <v>0.89200000000000002</v>
      </c>
      <c r="U455" s="2">
        <v>0.9</v>
      </c>
      <c r="V455" s="2">
        <v>4</v>
      </c>
      <c r="W455" s="2">
        <v>4.9000000000000004</v>
      </c>
      <c r="X455" s="2">
        <v>3.7</v>
      </c>
      <c r="Y455" s="2">
        <v>0.8</v>
      </c>
      <c r="Z455" s="2">
        <v>0.5</v>
      </c>
      <c r="AA455" s="2">
        <v>1.9</v>
      </c>
      <c r="AB455" s="2">
        <v>1.8</v>
      </c>
      <c r="AC455" s="2">
        <v>14.9</v>
      </c>
      <c r="AD455" s="2"/>
    </row>
    <row r="456" spans="1:30" x14ac:dyDescent="0.2">
      <c r="A456" t="s">
        <v>419</v>
      </c>
      <c r="B456" s="2">
        <v>27</v>
      </c>
      <c r="C456" t="s">
        <v>61</v>
      </c>
      <c r="D456" s="2" t="s">
        <v>42</v>
      </c>
      <c r="E456" s="2">
        <v>10</v>
      </c>
      <c r="F456" s="2">
        <v>0</v>
      </c>
      <c r="G456" s="2">
        <v>115</v>
      </c>
      <c r="H456" s="2">
        <v>3.8</v>
      </c>
      <c r="I456" s="2">
        <v>8.8000000000000007</v>
      </c>
      <c r="J456" s="2">
        <v>0.42899999999999999</v>
      </c>
      <c r="K456" s="2">
        <v>1.9</v>
      </c>
      <c r="L456" s="2">
        <v>5.3</v>
      </c>
      <c r="M456" s="2">
        <v>0.35299999999999998</v>
      </c>
      <c r="N456" s="2">
        <v>1.9</v>
      </c>
      <c r="O456" s="2">
        <v>3.4</v>
      </c>
      <c r="P456" s="2">
        <v>0.54500000000000004</v>
      </c>
      <c r="Q456" s="2">
        <v>0.53600000000000003</v>
      </c>
      <c r="R456" s="2">
        <v>3.4</v>
      </c>
      <c r="S456" s="2">
        <v>3.4</v>
      </c>
      <c r="T456" s="2">
        <v>1</v>
      </c>
      <c r="U456" s="2">
        <v>1.9</v>
      </c>
      <c r="V456" s="2">
        <v>8.1</v>
      </c>
      <c r="W456" s="2">
        <v>10</v>
      </c>
      <c r="X456" s="2">
        <v>1.3</v>
      </c>
      <c r="Y456" s="2">
        <v>0.3</v>
      </c>
      <c r="Z456" s="2">
        <v>2.8</v>
      </c>
      <c r="AA456" s="2">
        <v>0.6</v>
      </c>
      <c r="AB456" s="2">
        <v>2.8</v>
      </c>
      <c r="AC456" s="2">
        <v>12.8</v>
      </c>
      <c r="AD456" s="2"/>
    </row>
    <row r="457" spans="1:30" x14ac:dyDescent="0.2">
      <c r="A457" t="s">
        <v>337</v>
      </c>
      <c r="B457" s="2">
        <v>19</v>
      </c>
      <c r="C457" t="s">
        <v>59</v>
      </c>
      <c r="D457" s="2" t="s">
        <v>27</v>
      </c>
      <c r="E457" s="2">
        <v>20</v>
      </c>
      <c r="F457" s="2">
        <v>8</v>
      </c>
      <c r="G457" s="2">
        <v>376</v>
      </c>
      <c r="H457" s="2">
        <v>3.2</v>
      </c>
      <c r="I457" s="2">
        <v>9.6999999999999993</v>
      </c>
      <c r="J457" s="2">
        <v>0.32700000000000001</v>
      </c>
      <c r="K457" s="2">
        <v>1.9</v>
      </c>
      <c r="L457" s="2">
        <v>6.5</v>
      </c>
      <c r="M457" s="2">
        <v>0.29399999999999998</v>
      </c>
      <c r="N457" s="2">
        <v>1.2</v>
      </c>
      <c r="O457" s="2">
        <v>3.2</v>
      </c>
      <c r="P457" s="2">
        <v>0.39400000000000002</v>
      </c>
      <c r="Q457" s="2">
        <v>0.42599999999999999</v>
      </c>
      <c r="R457" s="2">
        <v>1.3</v>
      </c>
      <c r="S457" s="2">
        <v>1.8</v>
      </c>
      <c r="T457" s="2">
        <v>0.73699999999999999</v>
      </c>
      <c r="U457" s="2">
        <v>1.7</v>
      </c>
      <c r="V457" s="2">
        <v>6</v>
      </c>
      <c r="W457" s="2">
        <v>7.8</v>
      </c>
      <c r="X457" s="2">
        <v>1.8</v>
      </c>
      <c r="Y457" s="2">
        <v>1.1000000000000001</v>
      </c>
      <c r="Z457" s="2">
        <v>0.3</v>
      </c>
      <c r="AA457" s="2">
        <v>1.5</v>
      </c>
      <c r="AB457" s="2">
        <v>2.7</v>
      </c>
      <c r="AC457" s="2">
        <v>9.6</v>
      </c>
      <c r="AD457" s="2"/>
    </row>
    <row r="458" spans="1:30" x14ac:dyDescent="0.2">
      <c r="A458" t="s">
        <v>214</v>
      </c>
      <c r="B458" s="2">
        <v>32</v>
      </c>
      <c r="C458" t="s">
        <v>75</v>
      </c>
      <c r="D458" s="2" t="s">
        <v>52</v>
      </c>
      <c r="E458" s="2">
        <v>23</v>
      </c>
      <c r="F458" s="2">
        <v>23</v>
      </c>
      <c r="G458" s="2">
        <v>627</v>
      </c>
      <c r="H458" s="2">
        <v>4.2</v>
      </c>
      <c r="I458" s="2">
        <v>10.199999999999999</v>
      </c>
      <c r="J458" s="2">
        <v>0.41</v>
      </c>
      <c r="K458" s="2">
        <v>2.2999999999999998</v>
      </c>
      <c r="L458" s="2">
        <v>6.7</v>
      </c>
      <c r="M458" s="2">
        <v>0.34200000000000003</v>
      </c>
      <c r="N458" s="2">
        <v>1.9</v>
      </c>
      <c r="O458" s="2">
        <v>3.5</v>
      </c>
      <c r="P458" s="2">
        <v>0.54100000000000004</v>
      </c>
      <c r="Q458" s="2">
        <v>0.52200000000000002</v>
      </c>
      <c r="R458" s="2">
        <v>2</v>
      </c>
      <c r="S458" s="2">
        <v>2.2000000000000002</v>
      </c>
      <c r="T458" s="2">
        <v>0.89700000000000002</v>
      </c>
      <c r="U458" s="2">
        <v>0.3</v>
      </c>
      <c r="V458" s="2">
        <v>2.5</v>
      </c>
      <c r="W458" s="2">
        <v>2.8</v>
      </c>
      <c r="X458" s="2">
        <v>2</v>
      </c>
      <c r="Y458" s="2">
        <v>0.5</v>
      </c>
      <c r="Z458" s="2">
        <v>0</v>
      </c>
      <c r="AA458" s="2">
        <v>0.9</v>
      </c>
      <c r="AB458" s="2">
        <v>1.7</v>
      </c>
      <c r="AC458" s="2">
        <v>12.7</v>
      </c>
      <c r="AD458" s="2"/>
    </row>
    <row r="459" spans="1:30" x14ac:dyDescent="0.2">
      <c r="A459" t="s">
        <v>132</v>
      </c>
      <c r="B459" s="2">
        <v>32</v>
      </c>
      <c r="C459" t="s">
        <v>75</v>
      </c>
      <c r="D459" s="2" t="s">
        <v>27</v>
      </c>
      <c r="E459" s="2">
        <v>25</v>
      </c>
      <c r="F459" s="2">
        <v>25</v>
      </c>
      <c r="G459" s="2">
        <v>807</v>
      </c>
      <c r="H459" s="2">
        <v>5.8</v>
      </c>
      <c r="I459" s="2">
        <v>13</v>
      </c>
      <c r="J459" s="2">
        <v>0.44900000000000001</v>
      </c>
      <c r="K459" s="2">
        <v>1.7</v>
      </c>
      <c r="L459" s="2">
        <v>5</v>
      </c>
      <c r="M459" s="2">
        <v>0.34200000000000003</v>
      </c>
      <c r="N459" s="2">
        <v>4.0999999999999996</v>
      </c>
      <c r="O459" s="2">
        <v>8.1</v>
      </c>
      <c r="P459" s="2">
        <v>0.51400000000000001</v>
      </c>
      <c r="Q459" s="2">
        <v>0.51400000000000001</v>
      </c>
      <c r="R459" s="2">
        <v>2.1</v>
      </c>
      <c r="S459" s="2">
        <v>2.5</v>
      </c>
      <c r="T459" s="2">
        <v>0.83899999999999997</v>
      </c>
      <c r="U459" s="2">
        <v>1.2</v>
      </c>
      <c r="V459" s="2">
        <v>6.6</v>
      </c>
      <c r="W459" s="2">
        <v>7.7</v>
      </c>
      <c r="X459" s="2">
        <v>2.7</v>
      </c>
      <c r="Y459" s="2">
        <v>0.9</v>
      </c>
      <c r="Z459" s="2">
        <v>0.9</v>
      </c>
      <c r="AA459" s="2">
        <v>1.4</v>
      </c>
      <c r="AB459" s="2">
        <v>2.1</v>
      </c>
      <c r="AC459" s="2">
        <v>15.5</v>
      </c>
      <c r="AD459" s="2"/>
    </row>
    <row r="460" spans="1:30" x14ac:dyDescent="0.2">
      <c r="A460" t="s">
        <v>438</v>
      </c>
      <c r="B460" s="2">
        <v>34</v>
      </c>
      <c r="C460" t="s">
        <v>70</v>
      </c>
      <c r="D460" s="2" t="s">
        <v>49</v>
      </c>
      <c r="E460" s="2">
        <v>6</v>
      </c>
      <c r="F460" s="2">
        <v>1</v>
      </c>
      <c r="G460" s="2">
        <v>67</v>
      </c>
      <c r="H460" s="2">
        <v>5.9</v>
      </c>
      <c r="I460" s="2">
        <v>11.8</v>
      </c>
      <c r="J460" s="2">
        <v>0.5</v>
      </c>
      <c r="K460" s="2">
        <v>3.8</v>
      </c>
      <c r="L460" s="2">
        <v>9.6999999999999993</v>
      </c>
      <c r="M460" s="2">
        <v>0.38900000000000001</v>
      </c>
      <c r="N460" s="2">
        <v>2.1</v>
      </c>
      <c r="O460" s="2">
        <v>2.1</v>
      </c>
      <c r="P460" s="2">
        <v>1</v>
      </c>
      <c r="Q460" s="2">
        <v>0.65900000000000003</v>
      </c>
      <c r="R460" s="2">
        <v>1.1000000000000001</v>
      </c>
      <c r="S460" s="2">
        <v>1.1000000000000001</v>
      </c>
      <c r="T460" s="2">
        <v>1</v>
      </c>
      <c r="U460" s="2">
        <v>1.6</v>
      </c>
      <c r="V460" s="2">
        <v>5.4</v>
      </c>
      <c r="W460" s="2">
        <v>7</v>
      </c>
      <c r="X460" s="2">
        <v>1.6</v>
      </c>
      <c r="Y460" s="2">
        <v>0.5</v>
      </c>
      <c r="Z460" s="2">
        <v>0.5</v>
      </c>
      <c r="AA460" s="2">
        <v>0</v>
      </c>
      <c r="AB460" s="2">
        <v>5.4</v>
      </c>
      <c r="AC460" s="2">
        <v>16.7</v>
      </c>
      <c r="AD460" s="2"/>
    </row>
    <row r="461" spans="1:30" x14ac:dyDescent="0.2">
      <c r="A461" t="s">
        <v>217</v>
      </c>
      <c r="B461" s="2">
        <v>24</v>
      </c>
      <c r="C461" t="s">
        <v>135</v>
      </c>
      <c r="D461" s="2" t="s">
        <v>27</v>
      </c>
      <c r="E461" s="2">
        <v>24</v>
      </c>
      <c r="F461" s="2">
        <v>24</v>
      </c>
      <c r="G461" s="2">
        <v>720</v>
      </c>
      <c r="H461" s="2">
        <v>4</v>
      </c>
      <c r="I461" s="2">
        <v>9.5</v>
      </c>
      <c r="J461" s="2">
        <v>0.41899999999999998</v>
      </c>
      <c r="K461" s="2">
        <v>1.8</v>
      </c>
      <c r="L461" s="2">
        <v>5</v>
      </c>
      <c r="M461" s="2">
        <v>0.37</v>
      </c>
      <c r="N461" s="2">
        <v>2.2000000000000002</v>
      </c>
      <c r="O461" s="2">
        <v>4.5999999999999996</v>
      </c>
      <c r="P461" s="2">
        <v>0.47299999999999998</v>
      </c>
      <c r="Q461" s="2">
        <v>0.51600000000000001</v>
      </c>
      <c r="R461" s="2">
        <v>0.9</v>
      </c>
      <c r="S461" s="2">
        <v>1.3</v>
      </c>
      <c r="T461" s="2">
        <v>0.69199999999999995</v>
      </c>
      <c r="U461" s="2">
        <v>2.5</v>
      </c>
      <c r="V461" s="2">
        <v>3.5</v>
      </c>
      <c r="W461" s="2">
        <v>6</v>
      </c>
      <c r="X461" s="2">
        <v>2.5</v>
      </c>
      <c r="Y461" s="2">
        <v>1.7</v>
      </c>
      <c r="Z461" s="2">
        <v>0.4</v>
      </c>
      <c r="AA461" s="2">
        <v>1.9</v>
      </c>
      <c r="AB461" s="2">
        <v>3.4</v>
      </c>
      <c r="AC461" s="2">
        <v>10.7</v>
      </c>
      <c r="AD461" s="2"/>
    </row>
    <row r="462" spans="1:30" x14ac:dyDescent="0.2">
      <c r="A462" t="s">
        <v>71</v>
      </c>
      <c r="B462" s="2">
        <v>26</v>
      </c>
      <c r="C462" t="s">
        <v>72</v>
      </c>
      <c r="D462" s="2" t="s">
        <v>33</v>
      </c>
      <c r="E462" s="2">
        <v>25</v>
      </c>
      <c r="F462" s="2">
        <v>25</v>
      </c>
      <c r="G462" s="2">
        <v>899</v>
      </c>
      <c r="H462" s="2">
        <v>6.5</v>
      </c>
      <c r="I462" s="2">
        <v>16.899999999999999</v>
      </c>
      <c r="J462" s="2">
        <v>0.38400000000000001</v>
      </c>
      <c r="K462" s="2">
        <v>2.6</v>
      </c>
      <c r="L462" s="2">
        <v>8.4</v>
      </c>
      <c r="M462" s="2">
        <v>0.308</v>
      </c>
      <c r="N462" s="2">
        <v>3.9</v>
      </c>
      <c r="O462" s="2">
        <v>8.4</v>
      </c>
      <c r="P462" s="2">
        <v>0.46</v>
      </c>
      <c r="Q462" s="2">
        <v>0.46100000000000002</v>
      </c>
      <c r="R462" s="2">
        <v>5.4</v>
      </c>
      <c r="S462" s="2">
        <v>6</v>
      </c>
      <c r="T462" s="2">
        <v>0.89400000000000002</v>
      </c>
      <c r="U462" s="2">
        <v>0.6</v>
      </c>
      <c r="V462" s="2">
        <v>3.3</v>
      </c>
      <c r="W462" s="2">
        <v>3.9</v>
      </c>
      <c r="X462" s="2">
        <v>12.2</v>
      </c>
      <c r="Y462" s="2">
        <v>1.3</v>
      </c>
      <c r="Z462" s="2">
        <v>0.1</v>
      </c>
      <c r="AA462" s="2">
        <v>4.5999999999999996</v>
      </c>
      <c r="AB462" s="2">
        <v>2</v>
      </c>
      <c r="AC462" s="2">
        <v>21</v>
      </c>
      <c r="AD462" s="2"/>
    </row>
    <row r="463" spans="1:30" x14ac:dyDescent="0.2">
      <c r="A463" t="s">
        <v>259</v>
      </c>
      <c r="B463" s="2">
        <v>24</v>
      </c>
      <c r="C463" t="s">
        <v>100</v>
      </c>
      <c r="D463" s="2" t="s">
        <v>42</v>
      </c>
      <c r="E463" s="2">
        <v>23</v>
      </c>
      <c r="F463" s="2">
        <v>18</v>
      </c>
      <c r="G463" s="2">
        <v>388</v>
      </c>
      <c r="H463" s="2">
        <v>7.1</v>
      </c>
      <c r="I463" s="2">
        <v>11.8</v>
      </c>
      <c r="J463" s="2">
        <v>0.59799999999999998</v>
      </c>
      <c r="K463" s="2">
        <v>0</v>
      </c>
      <c r="L463" s="2">
        <v>0.1</v>
      </c>
      <c r="M463" s="2">
        <v>0</v>
      </c>
      <c r="N463" s="2">
        <v>7.1</v>
      </c>
      <c r="O463" s="2">
        <v>11.7</v>
      </c>
      <c r="P463" s="2">
        <v>0.60299999999999998</v>
      </c>
      <c r="Q463" s="2">
        <v>0.59799999999999998</v>
      </c>
      <c r="R463" s="2">
        <v>1.8</v>
      </c>
      <c r="S463" s="2">
        <v>3</v>
      </c>
      <c r="T463" s="2">
        <v>0.59399999999999997</v>
      </c>
      <c r="U463" s="2">
        <v>3.5</v>
      </c>
      <c r="V463" s="2">
        <v>6.5</v>
      </c>
      <c r="W463" s="2">
        <v>10</v>
      </c>
      <c r="X463" s="2">
        <v>4.2</v>
      </c>
      <c r="Y463" s="2">
        <v>0.6</v>
      </c>
      <c r="Z463" s="2">
        <v>1.5</v>
      </c>
      <c r="AA463" s="2">
        <v>1.7</v>
      </c>
      <c r="AB463" s="2">
        <v>2.4</v>
      </c>
      <c r="AC463" s="2">
        <v>15.9</v>
      </c>
      <c r="AD463" s="2"/>
    </row>
    <row r="464" spans="1:30" x14ac:dyDescent="0.2">
      <c r="A464" t="s">
        <v>432</v>
      </c>
      <c r="B464" s="2">
        <v>25</v>
      </c>
      <c r="C464" t="s">
        <v>93</v>
      </c>
      <c r="D464" s="2" t="s">
        <v>33</v>
      </c>
      <c r="E464" s="2">
        <v>8</v>
      </c>
      <c r="F464" s="2">
        <v>0</v>
      </c>
      <c r="G464" s="2">
        <v>140</v>
      </c>
      <c r="H464" s="2">
        <v>2.6</v>
      </c>
      <c r="I464" s="2">
        <v>7.7</v>
      </c>
      <c r="J464" s="2">
        <v>0.33300000000000002</v>
      </c>
      <c r="K464" s="2">
        <v>0.8</v>
      </c>
      <c r="L464" s="2">
        <v>3.1</v>
      </c>
      <c r="M464" s="2">
        <v>0.25</v>
      </c>
      <c r="N464" s="2">
        <v>1.8</v>
      </c>
      <c r="O464" s="2">
        <v>4.5999999999999996</v>
      </c>
      <c r="P464" s="2">
        <v>0.38900000000000001</v>
      </c>
      <c r="Q464" s="2">
        <v>0.38300000000000001</v>
      </c>
      <c r="R464" s="2">
        <v>2.6</v>
      </c>
      <c r="S464" s="2">
        <v>3.6</v>
      </c>
      <c r="T464" s="2">
        <v>0.71399999999999997</v>
      </c>
      <c r="U464" s="2">
        <v>1.3</v>
      </c>
      <c r="V464" s="2">
        <v>3.6</v>
      </c>
      <c r="W464" s="2">
        <v>4.9000000000000004</v>
      </c>
      <c r="X464" s="2">
        <v>6.7</v>
      </c>
      <c r="Y464" s="2">
        <v>1.3</v>
      </c>
      <c r="Z464" s="2">
        <v>0.5</v>
      </c>
      <c r="AA464" s="2">
        <v>1.3</v>
      </c>
      <c r="AB464" s="2">
        <v>3.1</v>
      </c>
      <c r="AC464" s="2">
        <v>8.5</v>
      </c>
      <c r="AD464" s="2"/>
    </row>
    <row r="465" spans="1:30" x14ac:dyDescent="0.2">
      <c r="A465" t="s">
        <v>246</v>
      </c>
      <c r="B465" s="2">
        <v>23</v>
      </c>
      <c r="C465" t="s">
        <v>59</v>
      </c>
      <c r="D465" s="2" t="s">
        <v>33</v>
      </c>
      <c r="E465" s="2">
        <v>13</v>
      </c>
      <c r="F465" s="2">
        <v>0</v>
      </c>
      <c r="G465" s="2">
        <v>319</v>
      </c>
      <c r="H465" s="2">
        <v>7.9</v>
      </c>
      <c r="I465" s="2">
        <v>18.2</v>
      </c>
      <c r="J465" s="2">
        <v>0.435</v>
      </c>
      <c r="K465" s="2">
        <v>2.7</v>
      </c>
      <c r="L465" s="2">
        <v>6.8</v>
      </c>
      <c r="M465" s="2">
        <v>0.4</v>
      </c>
      <c r="N465" s="2">
        <v>5.2</v>
      </c>
      <c r="O465" s="2">
        <v>11.4</v>
      </c>
      <c r="P465" s="2">
        <v>0.45500000000000002</v>
      </c>
      <c r="Q465" s="2">
        <v>0.50900000000000001</v>
      </c>
      <c r="R465" s="2">
        <v>2.1</v>
      </c>
      <c r="S465" s="2">
        <v>2.4</v>
      </c>
      <c r="T465" s="2">
        <v>0.90500000000000003</v>
      </c>
      <c r="U465" s="2">
        <v>1.4</v>
      </c>
      <c r="V465" s="2">
        <v>2.9</v>
      </c>
      <c r="W465" s="2">
        <v>4.3</v>
      </c>
      <c r="X465" s="2">
        <v>4.4000000000000004</v>
      </c>
      <c r="Y465" s="2">
        <v>0.8</v>
      </c>
      <c r="Z465" s="2">
        <v>0.5</v>
      </c>
      <c r="AA465" s="2">
        <v>2.8</v>
      </c>
      <c r="AB465" s="2">
        <v>2.7</v>
      </c>
      <c r="AC465" s="2">
        <v>20.7</v>
      </c>
      <c r="AD465" s="2"/>
    </row>
    <row r="466" spans="1:30" x14ac:dyDescent="0.2">
      <c r="A466" t="s">
        <v>338</v>
      </c>
      <c r="B466" s="2">
        <v>24</v>
      </c>
      <c r="C466" t="s">
        <v>103</v>
      </c>
      <c r="D466" s="2" t="s">
        <v>27</v>
      </c>
      <c r="E466" s="2">
        <v>11</v>
      </c>
      <c r="F466" s="2">
        <v>0</v>
      </c>
      <c r="G466" s="2">
        <v>199</v>
      </c>
      <c r="H466" s="2">
        <v>6</v>
      </c>
      <c r="I466" s="2">
        <v>13.7</v>
      </c>
      <c r="J466" s="2">
        <v>0.434</v>
      </c>
      <c r="K466" s="2">
        <v>1.3</v>
      </c>
      <c r="L466" s="2">
        <v>4.5</v>
      </c>
      <c r="M466" s="2">
        <v>0.28000000000000003</v>
      </c>
      <c r="N466" s="2">
        <v>4.7</v>
      </c>
      <c r="O466" s="2">
        <v>9.1999999999999993</v>
      </c>
      <c r="P466" s="2">
        <v>0.51</v>
      </c>
      <c r="Q466" s="2">
        <v>0.48</v>
      </c>
      <c r="R466" s="2">
        <v>4.9000000000000004</v>
      </c>
      <c r="S466" s="2">
        <v>5.8</v>
      </c>
      <c r="T466" s="2">
        <v>0.84399999999999997</v>
      </c>
      <c r="U466" s="2">
        <v>0.7</v>
      </c>
      <c r="V466" s="2">
        <v>5.8</v>
      </c>
      <c r="W466" s="2">
        <v>6.5</v>
      </c>
      <c r="X466" s="2">
        <v>2.7</v>
      </c>
      <c r="Y466" s="2">
        <v>0.9</v>
      </c>
      <c r="Z466" s="2">
        <v>0.7</v>
      </c>
      <c r="AA466" s="2">
        <v>2.9</v>
      </c>
      <c r="AB466" s="2">
        <v>5.4</v>
      </c>
      <c r="AC466" s="2">
        <v>18.100000000000001</v>
      </c>
      <c r="AD466" s="2"/>
    </row>
    <row r="467" spans="1:30" x14ac:dyDescent="0.2">
      <c r="A467" t="s">
        <v>499</v>
      </c>
      <c r="B467" s="2">
        <v>19</v>
      </c>
      <c r="C467" t="s">
        <v>77</v>
      </c>
      <c r="D467" s="2" t="s">
        <v>49</v>
      </c>
      <c r="E467" s="2">
        <v>1</v>
      </c>
      <c r="F467" s="2">
        <v>0</v>
      </c>
      <c r="G467" s="2">
        <v>14</v>
      </c>
      <c r="H467" s="2">
        <v>10.3</v>
      </c>
      <c r="I467" s="2">
        <v>23.1</v>
      </c>
      <c r="J467" s="2">
        <v>0.44400000000000001</v>
      </c>
      <c r="K467" s="2">
        <v>0</v>
      </c>
      <c r="L467" s="2">
        <v>5.0999999999999996</v>
      </c>
      <c r="M467" s="2">
        <v>0</v>
      </c>
      <c r="N467" s="2">
        <v>10.3</v>
      </c>
      <c r="O467" s="2">
        <v>18</v>
      </c>
      <c r="P467" s="2">
        <v>0.57099999999999995</v>
      </c>
      <c r="Q467" s="2">
        <v>0.44400000000000001</v>
      </c>
      <c r="R467" s="2">
        <v>2.6</v>
      </c>
      <c r="S467" s="2">
        <v>2.6</v>
      </c>
      <c r="T467" s="2">
        <v>1</v>
      </c>
      <c r="U467" s="2">
        <v>2.6</v>
      </c>
      <c r="V467" s="2">
        <v>7.7</v>
      </c>
      <c r="W467" s="2">
        <v>10.3</v>
      </c>
      <c r="X467" s="2">
        <v>0</v>
      </c>
      <c r="Y467" s="2">
        <v>0</v>
      </c>
      <c r="Z467" s="2">
        <v>0</v>
      </c>
      <c r="AA467" s="2">
        <v>2.6</v>
      </c>
      <c r="AB467" s="2">
        <v>7.7</v>
      </c>
      <c r="AC467" s="2">
        <v>23.1</v>
      </c>
      <c r="AD467" s="2"/>
    </row>
    <row r="468" spans="1:30" x14ac:dyDescent="0.2">
      <c r="A468" t="s">
        <v>540</v>
      </c>
      <c r="B468" s="2">
        <v>27</v>
      </c>
      <c r="C468" t="s">
        <v>48</v>
      </c>
      <c r="D468" s="2" t="s">
        <v>52</v>
      </c>
      <c r="E468" s="2">
        <v>2</v>
      </c>
      <c r="F468" s="2">
        <v>0</v>
      </c>
      <c r="G468" s="2">
        <v>5</v>
      </c>
      <c r="H468" s="2">
        <v>7.2</v>
      </c>
      <c r="I468" s="2">
        <v>21.6</v>
      </c>
      <c r="J468" s="2">
        <v>0.33300000000000002</v>
      </c>
      <c r="K468" s="2">
        <v>7.2</v>
      </c>
      <c r="L468" s="2">
        <v>7.2</v>
      </c>
      <c r="M468" s="2">
        <v>1</v>
      </c>
      <c r="N468" s="2">
        <v>0</v>
      </c>
      <c r="O468" s="2">
        <v>14.4</v>
      </c>
      <c r="P468" s="2">
        <v>0</v>
      </c>
      <c r="Q468" s="2">
        <v>0.5</v>
      </c>
      <c r="R468" s="2">
        <v>0</v>
      </c>
      <c r="S468" s="2">
        <v>0</v>
      </c>
      <c r="T468" s="2"/>
      <c r="U468" s="2">
        <v>0</v>
      </c>
      <c r="V468" s="2">
        <v>0</v>
      </c>
      <c r="W468" s="2">
        <v>0</v>
      </c>
      <c r="X468" s="2">
        <v>0</v>
      </c>
      <c r="Y468" s="2">
        <v>0</v>
      </c>
      <c r="Z468" s="2">
        <v>0</v>
      </c>
      <c r="AA468" s="2">
        <v>7.2</v>
      </c>
      <c r="AB468" s="2">
        <v>7.2</v>
      </c>
      <c r="AC468" s="2">
        <v>21.6</v>
      </c>
      <c r="AD468" s="2"/>
    </row>
    <row r="469" spans="1:30" x14ac:dyDescent="0.2">
      <c r="A469" t="s">
        <v>497</v>
      </c>
      <c r="B469" s="2">
        <v>21</v>
      </c>
      <c r="C469" t="s">
        <v>46</v>
      </c>
      <c r="D469" s="2" t="s">
        <v>52</v>
      </c>
      <c r="E469" s="2">
        <v>9</v>
      </c>
      <c r="F469" s="2">
        <v>0</v>
      </c>
      <c r="G469" s="2">
        <v>44</v>
      </c>
      <c r="H469" s="2">
        <v>2.5</v>
      </c>
      <c r="I469" s="2">
        <v>9.8000000000000007</v>
      </c>
      <c r="J469" s="2">
        <v>0.25</v>
      </c>
      <c r="K469" s="2">
        <v>0.8</v>
      </c>
      <c r="L469" s="2">
        <v>4.9000000000000004</v>
      </c>
      <c r="M469" s="2">
        <v>0.16700000000000001</v>
      </c>
      <c r="N469" s="2">
        <v>1.6</v>
      </c>
      <c r="O469" s="2">
        <v>4.9000000000000004</v>
      </c>
      <c r="P469" s="2">
        <v>0.33300000000000002</v>
      </c>
      <c r="Q469" s="2">
        <v>0.29199999999999998</v>
      </c>
      <c r="R469" s="2">
        <v>1.6</v>
      </c>
      <c r="S469" s="2">
        <v>1.6</v>
      </c>
      <c r="T469" s="2">
        <v>1</v>
      </c>
      <c r="U469" s="2">
        <v>0</v>
      </c>
      <c r="V469" s="2">
        <v>0.8</v>
      </c>
      <c r="W469" s="2">
        <v>0.8</v>
      </c>
      <c r="X469" s="2">
        <v>1.6</v>
      </c>
      <c r="Y469" s="2">
        <v>0</v>
      </c>
      <c r="Z469" s="2">
        <v>0.8</v>
      </c>
      <c r="AA469" s="2">
        <v>0.8</v>
      </c>
      <c r="AB469" s="2">
        <v>2.5</v>
      </c>
      <c r="AC469" s="2">
        <v>7.4</v>
      </c>
      <c r="AD469" s="2"/>
    </row>
    <row r="470" spans="1:30" x14ac:dyDescent="0.2">
      <c r="A470" t="s">
        <v>426</v>
      </c>
      <c r="B470" s="2">
        <v>25</v>
      </c>
      <c r="C470" t="s">
        <v>117</v>
      </c>
      <c r="D470" s="2" t="s">
        <v>42</v>
      </c>
      <c r="E470" s="2">
        <v>15</v>
      </c>
      <c r="F470" s="2">
        <v>0</v>
      </c>
      <c r="G470" s="2">
        <v>152</v>
      </c>
      <c r="H470" s="2">
        <v>3.3</v>
      </c>
      <c r="I470" s="2">
        <v>6.9</v>
      </c>
      <c r="J470" s="2">
        <v>0.48299999999999998</v>
      </c>
      <c r="K470" s="2">
        <v>0</v>
      </c>
      <c r="L470" s="2">
        <v>0</v>
      </c>
      <c r="M470" s="2"/>
      <c r="N470" s="2">
        <v>3.3</v>
      </c>
      <c r="O470" s="2">
        <v>6.9</v>
      </c>
      <c r="P470" s="2">
        <v>0.48299999999999998</v>
      </c>
      <c r="Q470" s="2">
        <v>0.48299999999999998</v>
      </c>
      <c r="R470" s="2">
        <v>1.7</v>
      </c>
      <c r="S470" s="2">
        <v>4</v>
      </c>
      <c r="T470" s="2">
        <v>0.41199999999999998</v>
      </c>
      <c r="U470" s="2">
        <v>4</v>
      </c>
      <c r="V470" s="2">
        <v>5</v>
      </c>
      <c r="W470" s="2">
        <v>9</v>
      </c>
      <c r="X470" s="2">
        <v>1.9</v>
      </c>
      <c r="Y470" s="2">
        <v>1.7</v>
      </c>
      <c r="Z470" s="2">
        <v>1.4</v>
      </c>
      <c r="AA470" s="2">
        <v>2.4</v>
      </c>
      <c r="AB470" s="2">
        <v>5.7</v>
      </c>
      <c r="AC470" s="2">
        <v>8.3000000000000007</v>
      </c>
      <c r="AD470" s="2"/>
    </row>
    <row r="471" spans="1:30" x14ac:dyDescent="0.2">
      <c r="A471" t="s">
        <v>340</v>
      </c>
      <c r="B471" s="2">
        <v>29</v>
      </c>
      <c r="C471" t="s">
        <v>37</v>
      </c>
      <c r="D471" s="2" t="s">
        <v>27</v>
      </c>
      <c r="E471" s="2">
        <v>18</v>
      </c>
      <c r="F471" s="2">
        <v>2</v>
      </c>
      <c r="G471" s="2">
        <v>353</v>
      </c>
      <c r="H471" s="2">
        <v>3.4</v>
      </c>
      <c r="I471" s="2">
        <v>9.3000000000000007</v>
      </c>
      <c r="J471" s="2">
        <v>0.36299999999999999</v>
      </c>
      <c r="K471" s="2">
        <v>2.2000000000000002</v>
      </c>
      <c r="L471" s="2">
        <v>6.7</v>
      </c>
      <c r="M471" s="2">
        <v>0.33300000000000002</v>
      </c>
      <c r="N471" s="2">
        <v>1.1000000000000001</v>
      </c>
      <c r="O471" s="2">
        <v>2.5</v>
      </c>
      <c r="P471" s="2">
        <v>0.44</v>
      </c>
      <c r="Q471" s="2">
        <v>0.48399999999999999</v>
      </c>
      <c r="R471" s="2">
        <v>1</v>
      </c>
      <c r="S471" s="2">
        <v>1.4</v>
      </c>
      <c r="T471" s="2">
        <v>0.71399999999999997</v>
      </c>
      <c r="U471" s="2">
        <v>1.5</v>
      </c>
      <c r="V471" s="2">
        <v>5.7</v>
      </c>
      <c r="W471" s="2">
        <v>7.2</v>
      </c>
      <c r="X471" s="2">
        <v>1.7</v>
      </c>
      <c r="Y471" s="2">
        <v>1</v>
      </c>
      <c r="Z471" s="2">
        <v>1.1000000000000001</v>
      </c>
      <c r="AA471" s="2">
        <v>1</v>
      </c>
      <c r="AB471" s="2">
        <v>2.5</v>
      </c>
      <c r="AC471" s="2">
        <v>10</v>
      </c>
      <c r="AD471" s="2"/>
    </row>
    <row r="472" spans="1:30" x14ac:dyDescent="0.2">
      <c r="A472" t="s">
        <v>205</v>
      </c>
      <c r="B472" s="2">
        <v>24</v>
      </c>
      <c r="C472" t="s">
        <v>117</v>
      </c>
      <c r="D472" s="2" t="s">
        <v>49</v>
      </c>
      <c r="E472" s="2">
        <v>13</v>
      </c>
      <c r="F472" s="2">
        <v>11</v>
      </c>
      <c r="G472" s="2">
        <v>438</v>
      </c>
      <c r="H472" s="2">
        <v>6.6</v>
      </c>
      <c r="I472" s="2">
        <v>15.5</v>
      </c>
      <c r="J472" s="2">
        <v>0.42599999999999999</v>
      </c>
      <c r="K472" s="2">
        <v>3</v>
      </c>
      <c r="L472" s="2">
        <v>8.6999999999999993</v>
      </c>
      <c r="M472" s="2">
        <v>0.34</v>
      </c>
      <c r="N472" s="2">
        <v>3.6</v>
      </c>
      <c r="O472" s="2">
        <v>6.7</v>
      </c>
      <c r="P472" s="2">
        <v>0.53700000000000003</v>
      </c>
      <c r="Q472" s="2">
        <v>0.52100000000000002</v>
      </c>
      <c r="R472" s="2">
        <v>3.4</v>
      </c>
      <c r="S472" s="2">
        <v>3.9</v>
      </c>
      <c r="T472" s="2">
        <v>0.872</v>
      </c>
      <c r="U472" s="2">
        <v>0.8</v>
      </c>
      <c r="V472" s="2">
        <v>4</v>
      </c>
      <c r="W472" s="2">
        <v>4.8</v>
      </c>
      <c r="X472" s="2">
        <v>2.5</v>
      </c>
      <c r="Y472" s="2">
        <v>1.2</v>
      </c>
      <c r="Z472" s="2">
        <v>0.7</v>
      </c>
      <c r="AA472" s="2">
        <v>1.7</v>
      </c>
      <c r="AB472" s="2">
        <v>2.5</v>
      </c>
      <c r="AC472" s="2">
        <v>19.5</v>
      </c>
      <c r="AD472" s="2"/>
    </row>
    <row r="473" spans="1:30" x14ac:dyDescent="0.2">
      <c r="A473" t="s">
        <v>268</v>
      </c>
      <c r="B473" s="2">
        <v>23</v>
      </c>
      <c r="C473" t="s">
        <v>48</v>
      </c>
      <c r="D473" s="2" t="s">
        <v>49</v>
      </c>
      <c r="E473" s="2">
        <v>23</v>
      </c>
      <c r="F473" s="2">
        <v>16</v>
      </c>
      <c r="G473" s="2">
        <v>523</v>
      </c>
      <c r="H473" s="2">
        <v>4.2</v>
      </c>
      <c r="I473" s="2">
        <v>10.3</v>
      </c>
      <c r="J473" s="2">
        <v>0.40699999999999997</v>
      </c>
      <c r="K473" s="2">
        <v>1.7</v>
      </c>
      <c r="L473" s="2">
        <v>5.2</v>
      </c>
      <c r="M473" s="2">
        <v>0.32900000000000001</v>
      </c>
      <c r="N473" s="2">
        <v>2.5</v>
      </c>
      <c r="O473" s="2">
        <v>5.0999999999999996</v>
      </c>
      <c r="P473" s="2">
        <v>0.48599999999999999</v>
      </c>
      <c r="Q473" s="2">
        <v>0.49</v>
      </c>
      <c r="R473" s="2">
        <v>1.2</v>
      </c>
      <c r="S473" s="2">
        <v>1.7</v>
      </c>
      <c r="T473" s="2">
        <v>0.70799999999999996</v>
      </c>
      <c r="U473" s="2">
        <v>1.4</v>
      </c>
      <c r="V473" s="2">
        <v>4.3</v>
      </c>
      <c r="W473" s="2">
        <v>5.7</v>
      </c>
      <c r="X473" s="2">
        <v>2.2999999999999998</v>
      </c>
      <c r="Y473" s="2">
        <v>0.6</v>
      </c>
      <c r="Z473" s="2">
        <v>0.3</v>
      </c>
      <c r="AA473" s="2">
        <v>1</v>
      </c>
      <c r="AB473" s="2">
        <v>2.2999999999999998</v>
      </c>
      <c r="AC473" s="2">
        <v>11.3</v>
      </c>
      <c r="AD473" s="2"/>
    </row>
    <row r="474" spans="1:30" x14ac:dyDescent="0.2">
      <c r="A474" t="s">
        <v>451</v>
      </c>
      <c r="B474" s="2">
        <v>33</v>
      </c>
      <c r="C474" t="s">
        <v>57</v>
      </c>
      <c r="D474" s="2" t="s">
        <v>27</v>
      </c>
      <c r="E474" s="2">
        <v>8</v>
      </c>
      <c r="F474" s="2">
        <v>0</v>
      </c>
      <c r="G474" s="2">
        <v>58</v>
      </c>
      <c r="H474" s="2">
        <v>8.1</v>
      </c>
      <c r="I474" s="2">
        <v>11.8</v>
      </c>
      <c r="J474" s="2">
        <v>0.68400000000000005</v>
      </c>
      <c r="K474" s="2">
        <v>0</v>
      </c>
      <c r="L474" s="2">
        <v>0.6</v>
      </c>
      <c r="M474" s="2">
        <v>0</v>
      </c>
      <c r="N474" s="2">
        <v>8.1</v>
      </c>
      <c r="O474" s="2">
        <v>11.2</v>
      </c>
      <c r="P474" s="2">
        <v>0.72199999999999998</v>
      </c>
      <c r="Q474" s="2">
        <v>0.68400000000000005</v>
      </c>
      <c r="R474" s="2">
        <v>0</v>
      </c>
      <c r="S474" s="2">
        <v>3.7</v>
      </c>
      <c r="T474" s="2">
        <v>0</v>
      </c>
      <c r="U474" s="2">
        <v>1.9</v>
      </c>
      <c r="V474" s="2">
        <v>8.6999999999999993</v>
      </c>
      <c r="W474" s="2">
        <v>10.6</v>
      </c>
      <c r="X474" s="2">
        <v>2.5</v>
      </c>
      <c r="Y474" s="2">
        <v>0</v>
      </c>
      <c r="Z474" s="2">
        <v>1.2</v>
      </c>
      <c r="AA474" s="2">
        <v>2.5</v>
      </c>
      <c r="AB474" s="2">
        <v>3.7</v>
      </c>
      <c r="AC474" s="2">
        <v>16.100000000000001</v>
      </c>
      <c r="AD474" s="2"/>
    </row>
    <row r="475" spans="1:30" x14ac:dyDescent="0.2">
      <c r="A475" t="s">
        <v>538</v>
      </c>
      <c r="B475" s="2">
        <v>23</v>
      </c>
      <c r="C475" t="s">
        <v>82</v>
      </c>
      <c r="D475" s="2" t="s">
        <v>52</v>
      </c>
      <c r="E475" s="2">
        <v>5</v>
      </c>
      <c r="F475" s="2">
        <v>0</v>
      </c>
      <c r="G475" s="2">
        <v>8</v>
      </c>
      <c r="H475" s="2">
        <v>4.5</v>
      </c>
      <c r="I475" s="2">
        <v>27</v>
      </c>
      <c r="J475" s="2">
        <v>0.16700000000000001</v>
      </c>
      <c r="K475" s="2">
        <v>0</v>
      </c>
      <c r="L475" s="2">
        <v>13.5</v>
      </c>
      <c r="M475" s="2">
        <v>0</v>
      </c>
      <c r="N475" s="2">
        <v>4.5</v>
      </c>
      <c r="O475" s="2">
        <v>13.5</v>
      </c>
      <c r="P475" s="2">
        <v>0.33300000000000002</v>
      </c>
      <c r="Q475" s="2">
        <v>0.16700000000000001</v>
      </c>
      <c r="R475" s="2">
        <v>4.5</v>
      </c>
      <c r="S475" s="2">
        <v>4.5</v>
      </c>
      <c r="T475" s="2">
        <v>1</v>
      </c>
      <c r="U475" s="2">
        <v>0</v>
      </c>
      <c r="V475" s="2">
        <v>0</v>
      </c>
      <c r="W475" s="2">
        <v>0</v>
      </c>
      <c r="X475" s="2">
        <v>4.5</v>
      </c>
      <c r="Y475" s="2">
        <v>0</v>
      </c>
      <c r="Z475" s="2">
        <v>0</v>
      </c>
      <c r="AA475" s="2">
        <v>4.5</v>
      </c>
      <c r="AB475" s="2">
        <v>9</v>
      </c>
      <c r="AC475" s="2">
        <v>13.5</v>
      </c>
      <c r="AD475" s="2"/>
    </row>
    <row r="476" spans="1:30" x14ac:dyDescent="0.2">
      <c r="A476" t="s">
        <v>180</v>
      </c>
      <c r="B476" s="2">
        <v>27</v>
      </c>
      <c r="C476" t="s">
        <v>57</v>
      </c>
      <c r="D476" s="2" t="s">
        <v>52</v>
      </c>
      <c r="E476" s="2">
        <v>24</v>
      </c>
      <c r="F476" s="2">
        <v>2</v>
      </c>
      <c r="G476" s="2">
        <v>441</v>
      </c>
      <c r="H476" s="2">
        <v>8</v>
      </c>
      <c r="I476" s="2">
        <v>14.5</v>
      </c>
      <c r="J476" s="2">
        <v>0.55100000000000005</v>
      </c>
      <c r="K476" s="2">
        <v>2.7</v>
      </c>
      <c r="L476" s="2">
        <v>5.7</v>
      </c>
      <c r="M476" s="2">
        <v>0.47099999999999997</v>
      </c>
      <c r="N476" s="2">
        <v>5.3</v>
      </c>
      <c r="O476" s="2">
        <v>8.8000000000000007</v>
      </c>
      <c r="P476" s="2">
        <v>0.60199999999999998</v>
      </c>
      <c r="Q476" s="2">
        <v>0.64300000000000002</v>
      </c>
      <c r="R476" s="2">
        <v>3.3</v>
      </c>
      <c r="S476" s="2">
        <v>3.7</v>
      </c>
      <c r="T476" s="2">
        <v>0.91100000000000003</v>
      </c>
      <c r="U476" s="2">
        <v>1.1000000000000001</v>
      </c>
      <c r="V476" s="2">
        <v>2.9</v>
      </c>
      <c r="W476" s="2">
        <v>4.0999999999999996</v>
      </c>
      <c r="X476" s="2">
        <v>6.8</v>
      </c>
      <c r="Y476" s="2">
        <v>2.4</v>
      </c>
      <c r="Z476" s="2">
        <v>0.1</v>
      </c>
      <c r="AA476" s="2">
        <v>2.4</v>
      </c>
      <c r="AB476" s="2">
        <v>3.2</v>
      </c>
      <c r="AC476" s="2">
        <v>22</v>
      </c>
      <c r="AD476" s="2"/>
    </row>
    <row r="477" spans="1:30" x14ac:dyDescent="0.2">
      <c r="A477" t="s">
        <v>60</v>
      </c>
      <c r="B477" s="2">
        <v>25</v>
      </c>
      <c r="C477" t="s">
        <v>61</v>
      </c>
      <c r="D477" s="2" t="s">
        <v>52</v>
      </c>
      <c r="E477" s="2">
        <v>23</v>
      </c>
      <c r="F477" s="2">
        <v>23</v>
      </c>
      <c r="G477" s="2">
        <v>797</v>
      </c>
      <c r="H477" s="2">
        <v>8.6999999999999993</v>
      </c>
      <c r="I477" s="2">
        <v>17.899999999999999</v>
      </c>
      <c r="J477" s="2">
        <v>0.48399999999999999</v>
      </c>
      <c r="K477" s="2">
        <v>4.3</v>
      </c>
      <c r="L477" s="2">
        <v>10.199999999999999</v>
      </c>
      <c r="M477" s="2">
        <v>0.42699999999999999</v>
      </c>
      <c r="N477" s="2">
        <v>4.3</v>
      </c>
      <c r="O477" s="2">
        <v>7.8</v>
      </c>
      <c r="P477" s="2">
        <v>0.55800000000000005</v>
      </c>
      <c r="Q477" s="2">
        <v>0.60499999999999998</v>
      </c>
      <c r="R477" s="2">
        <v>3.4</v>
      </c>
      <c r="S477" s="2">
        <v>3.9</v>
      </c>
      <c r="T477" s="2">
        <v>0.874</v>
      </c>
      <c r="U477" s="2">
        <v>0.3</v>
      </c>
      <c r="V477" s="2">
        <v>5.2</v>
      </c>
      <c r="W477" s="2">
        <v>5.5</v>
      </c>
      <c r="X477" s="2">
        <v>5.2</v>
      </c>
      <c r="Y477" s="2">
        <v>0.8</v>
      </c>
      <c r="Z477" s="2">
        <v>0.1</v>
      </c>
      <c r="AA477" s="2">
        <v>2.6</v>
      </c>
      <c r="AB477" s="2">
        <v>1.8</v>
      </c>
      <c r="AC477" s="2">
        <v>25.1</v>
      </c>
      <c r="AD477" s="2"/>
    </row>
    <row r="478" spans="1:30" x14ac:dyDescent="0.2">
      <c r="A478" t="s">
        <v>411</v>
      </c>
      <c r="B478" s="2">
        <v>23</v>
      </c>
      <c r="C478" t="s">
        <v>44</v>
      </c>
      <c r="D478" s="2" t="s">
        <v>33</v>
      </c>
      <c r="E478" s="2">
        <v>16</v>
      </c>
      <c r="F478" s="2">
        <v>0</v>
      </c>
      <c r="G478" s="2">
        <v>110</v>
      </c>
      <c r="H478" s="2">
        <v>5.2</v>
      </c>
      <c r="I478" s="2">
        <v>12.1</v>
      </c>
      <c r="J478" s="2">
        <v>0.432</v>
      </c>
      <c r="K478" s="2">
        <v>3.3</v>
      </c>
      <c r="L478" s="2">
        <v>7.2</v>
      </c>
      <c r="M478" s="2">
        <v>0.45500000000000002</v>
      </c>
      <c r="N478" s="2">
        <v>2</v>
      </c>
      <c r="O478" s="2">
        <v>4.9000000000000004</v>
      </c>
      <c r="P478" s="2">
        <v>0.4</v>
      </c>
      <c r="Q478" s="2">
        <v>0.56799999999999995</v>
      </c>
      <c r="R478" s="2">
        <v>1.3</v>
      </c>
      <c r="S478" s="2">
        <v>1.3</v>
      </c>
      <c r="T478" s="2">
        <v>1</v>
      </c>
      <c r="U478" s="2">
        <v>0.7</v>
      </c>
      <c r="V478" s="2">
        <v>3.3</v>
      </c>
      <c r="W478" s="2">
        <v>3.9</v>
      </c>
      <c r="X478" s="2">
        <v>3.6</v>
      </c>
      <c r="Y478" s="2">
        <v>2</v>
      </c>
      <c r="Z478" s="2">
        <v>0.3</v>
      </c>
      <c r="AA478" s="2">
        <v>2.2999999999999998</v>
      </c>
      <c r="AB478" s="2">
        <v>2.9</v>
      </c>
      <c r="AC478" s="2">
        <v>15.1</v>
      </c>
      <c r="AD478" s="2"/>
    </row>
    <row r="479" spans="1:30" x14ac:dyDescent="0.2">
      <c r="A479" t="s">
        <v>469</v>
      </c>
      <c r="B479" s="2">
        <v>20</v>
      </c>
      <c r="C479" t="s">
        <v>35</v>
      </c>
      <c r="D479" s="2" t="s">
        <v>27</v>
      </c>
      <c r="E479" s="2">
        <v>10</v>
      </c>
      <c r="F479" s="2">
        <v>0</v>
      </c>
      <c r="G479" s="2">
        <v>34</v>
      </c>
      <c r="H479" s="2">
        <v>8.5</v>
      </c>
      <c r="I479" s="2">
        <v>13.8</v>
      </c>
      <c r="J479" s="2">
        <v>0.61499999999999999</v>
      </c>
      <c r="K479" s="2">
        <v>3.2</v>
      </c>
      <c r="L479" s="2">
        <v>8.5</v>
      </c>
      <c r="M479" s="2">
        <v>0.375</v>
      </c>
      <c r="N479" s="2">
        <v>5.3</v>
      </c>
      <c r="O479" s="2">
        <v>5.3</v>
      </c>
      <c r="P479" s="2">
        <v>1</v>
      </c>
      <c r="Q479" s="2">
        <v>0.73099999999999998</v>
      </c>
      <c r="R479" s="2">
        <v>1.1000000000000001</v>
      </c>
      <c r="S479" s="2">
        <v>2.1</v>
      </c>
      <c r="T479" s="2">
        <v>0.5</v>
      </c>
      <c r="U479" s="2">
        <v>1.1000000000000001</v>
      </c>
      <c r="V479" s="2">
        <v>7.4</v>
      </c>
      <c r="W479" s="2">
        <v>8.5</v>
      </c>
      <c r="X479" s="2">
        <v>1.1000000000000001</v>
      </c>
      <c r="Y479" s="2">
        <v>0</v>
      </c>
      <c r="Z479" s="2">
        <v>3.2</v>
      </c>
      <c r="AA479" s="2">
        <v>3.2</v>
      </c>
      <c r="AB479" s="2">
        <v>4.2</v>
      </c>
      <c r="AC479" s="2">
        <v>21.2</v>
      </c>
      <c r="AD479" s="2"/>
    </row>
    <row r="480" spans="1:30" x14ac:dyDescent="0.2">
      <c r="A480" t="s">
        <v>97</v>
      </c>
      <c r="B480" s="2">
        <v>24</v>
      </c>
      <c r="C480" t="s">
        <v>82</v>
      </c>
      <c r="D480" s="2" t="s">
        <v>33</v>
      </c>
      <c r="E480" s="2">
        <v>25</v>
      </c>
      <c r="F480" s="2">
        <v>25</v>
      </c>
      <c r="G480" s="2">
        <v>884</v>
      </c>
      <c r="H480" s="2">
        <v>6.1</v>
      </c>
      <c r="I480" s="2">
        <v>14.5</v>
      </c>
      <c r="J480" s="2">
        <v>0.42</v>
      </c>
      <c r="K480" s="2">
        <v>2.9</v>
      </c>
      <c r="L480" s="2">
        <v>8.6</v>
      </c>
      <c r="M480" s="2">
        <v>0.33600000000000002</v>
      </c>
      <c r="N480" s="2">
        <v>3.2</v>
      </c>
      <c r="O480" s="2">
        <v>5.9</v>
      </c>
      <c r="P480" s="2">
        <v>0.54100000000000004</v>
      </c>
      <c r="Q480" s="2">
        <v>0.52</v>
      </c>
      <c r="R480" s="2">
        <v>2.7</v>
      </c>
      <c r="S480" s="2">
        <v>3.2</v>
      </c>
      <c r="T480" s="2">
        <v>0.84599999999999997</v>
      </c>
      <c r="U480" s="2">
        <v>0.7</v>
      </c>
      <c r="V480" s="2">
        <v>2.7</v>
      </c>
      <c r="W480" s="2">
        <v>3.4</v>
      </c>
      <c r="X480" s="2">
        <v>8.6</v>
      </c>
      <c r="Y480" s="2">
        <v>1.3</v>
      </c>
      <c r="Z480" s="2">
        <v>0.6</v>
      </c>
      <c r="AA480" s="2">
        <v>2</v>
      </c>
      <c r="AB480" s="2">
        <v>1.7</v>
      </c>
      <c r="AC480" s="2">
        <v>17.8</v>
      </c>
      <c r="AD480" s="2"/>
    </row>
    <row r="481" spans="1:30" x14ac:dyDescent="0.2">
      <c r="A481" t="s">
        <v>383</v>
      </c>
      <c r="B481" s="2">
        <v>25</v>
      </c>
      <c r="C481" t="s">
        <v>103</v>
      </c>
      <c r="D481" s="2" t="s">
        <v>52</v>
      </c>
      <c r="E481" s="2">
        <v>9</v>
      </c>
      <c r="F481" s="2">
        <v>2</v>
      </c>
      <c r="G481" s="2">
        <v>132</v>
      </c>
      <c r="H481" s="2">
        <v>6</v>
      </c>
      <c r="I481" s="2">
        <v>12</v>
      </c>
      <c r="J481" s="2">
        <v>0.5</v>
      </c>
      <c r="K481" s="2">
        <v>4.5999999999999996</v>
      </c>
      <c r="L481" s="2">
        <v>9</v>
      </c>
      <c r="M481" s="2">
        <v>0.51500000000000001</v>
      </c>
      <c r="N481" s="2">
        <v>1.4</v>
      </c>
      <c r="O481" s="2">
        <v>3</v>
      </c>
      <c r="P481" s="2">
        <v>0.45500000000000002</v>
      </c>
      <c r="Q481" s="2">
        <v>0.69299999999999995</v>
      </c>
      <c r="R481" s="2">
        <v>1.1000000000000001</v>
      </c>
      <c r="S481" s="2">
        <v>1.4</v>
      </c>
      <c r="T481" s="2">
        <v>0.8</v>
      </c>
      <c r="U481" s="2">
        <v>1.1000000000000001</v>
      </c>
      <c r="V481" s="2">
        <v>4.4000000000000004</v>
      </c>
      <c r="W481" s="2">
        <v>5.5</v>
      </c>
      <c r="X481" s="2">
        <v>2.7</v>
      </c>
      <c r="Y481" s="2">
        <v>0.8</v>
      </c>
      <c r="Z481" s="2">
        <v>0.5</v>
      </c>
      <c r="AA481" s="2">
        <v>1.1000000000000001</v>
      </c>
      <c r="AB481" s="2">
        <v>3.3</v>
      </c>
      <c r="AC481" s="2">
        <v>17.7</v>
      </c>
      <c r="AD481" s="2"/>
    </row>
    <row r="482" spans="1:30" x14ac:dyDescent="0.2">
      <c r="A482" t="s">
        <v>121</v>
      </c>
      <c r="B482" s="2">
        <v>24</v>
      </c>
      <c r="C482" t="s">
        <v>122</v>
      </c>
      <c r="D482" s="2" t="s">
        <v>33</v>
      </c>
      <c r="E482" s="2">
        <v>16</v>
      </c>
      <c r="F482" s="2">
        <v>16</v>
      </c>
      <c r="G482" s="2">
        <v>587</v>
      </c>
      <c r="H482" s="2">
        <v>8.5</v>
      </c>
      <c r="I482" s="2">
        <v>20.9</v>
      </c>
      <c r="J482" s="2">
        <v>0.40600000000000003</v>
      </c>
      <c r="K482" s="2">
        <v>2.7</v>
      </c>
      <c r="L482" s="2">
        <v>9.1999999999999993</v>
      </c>
      <c r="M482" s="2">
        <v>0.29299999999999998</v>
      </c>
      <c r="N482" s="2">
        <v>5.8</v>
      </c>
      <c r="O482" s="2">
        <v>11.7</v>
      </c>
      <c r="P482" s="2">
        <v>0.495</v>
      </c>
      <c r="Q482" s="2">
        <v>0.47099999999999997</v>
      </c>
      <c r="R482" s="2">
        <v>4.2</v>
      </c>
      <c r="S482" s="2">
        <v>5</v>
      </c>
      <c r="T482" s="2">
        <v>0.85199999999999998</v>
      </c>
      <c r="U482" s="2">
        <v>0.2</v>
      </c>
      <c r="V482" s="2">
        <v>3.4</v>
      </c>
      <c r="W482" s="2">
        <v>3.6</v>
      </c>
      <c r="X482" s="2">
        <v>5.0999999999999996</v>
      </c>
      <c r="Y482" s="2">
        <v>2</v>
      </c>
      <c r="Z482" s="2">
        <v>0.3</v>
      </c>
      <c r="AA482" s="2">
        <v>1.9</v>
      </c>
      <c r="AB482" s="2">
        <v>2.5</v>
      </c>
      <c r="AC482" s="2">
        <v>23.9</v>
      </c>
      <c r="AD482" s="2"/>
    </row>
    <row r="483" spans="1:30" x14ac:dyDescent="0.2">
      <c r="A483" t="s">
        <v>505</v>
      </c>
      <c r="B483" s="2">
        <v>23</v>
      </c>
      <c r="C483" t="s">
        <v>54</v>
      </c>
      <c r="D483" s="2" t="s">
        <v>33</v>
      </c>
      <c r="E483" s="2">
        <v>3</v>
      </c>
      <c r="F483" s="2">
        <v>0</v>
      </c>
      <c r="G483" s="2">
        <v>27</v>
      </c>
      <c r="H483" s="2">
        <v>4</v>
      </c>
      <c r="I483" s="2">
        <v>8</v>
      </c>
      <c r="J483" s="2">
        <v>0.5</v>
      </c>
      <c r="K483" s="2">
        <v>2.7</v>
      </c>
      <c r="L483" s="2">
        <v>4</v>
      </c>
      <c r="M483" s="2">
        <v>0.66700000000000004</v>
      </c>
      <c r="N483" s="2">
        <v>1.3</v>
      </c>
      <c r="O483" s="2">
        <v>4</v>
      </c>
      <c r="P483" s="2">
        <v>0.33300000000000002</v>
      </c>
      <c r="Q483" s="2">
        <v>0.66700000000000004</v>
      </c>
      <c r="R483" s="2">
        <v>0</v>
      </c>
      <c r="S483" s="2">
        <v>0</v>
      </c>
      <c r="T483" s="2"/>
      <c r="U483" s="2">
        <v>0</v>
      </c>
      <c r="V483" s="2">
        <v>1.3</v>
      </c>
      <c r="W483" s="2">
        <v>1.3</v>
      </c>
      <c r="X483" s="2">
        <v>5.3</v>
      </c>
      <c r="Y483" s="2">
        <v>2.7</v>
      </c>
      <c r="Z483" s="2">
        <v>0</v>
      </c>
      <c r="AA483" s="2">
        <v>1.3</v>
      </c>
      <c r="AB483" s="2">
        <v>0</v>
      </c>
      <c r="AC483" s="2">
        <v>10.7</v>
      </c>
      <c r="AD483" s="2"/>
    </row>
    <row r="484" spans="1:30" x14ac:dyDescent="0.2">
      <c r="A484" t="s">
        <v>171</v>
      </c>
      <c r="B484" s="2">
        <v>28</v>
      </c>
      <c r="C484" t="s">
        <v>54</v>
      </c>
      <c r="D484" s="2" t="s">
        <v>33</v>
      </c>
      <c r="E484" s="2">
        <v>23</v>
      </c>
      <c r="F484" s="2">
        <v>23</v>
      </c>
      <c r="G484" s="2">
        <v>742</v>
      </c>
      <c r="H484" s="2">
        <v>5.2</v>
      </c>
      <c r="I484" s="2">
        <v>11</v>
      </c>
      <c r="J484" s="2">
        <v>0.47099999999999997</v>
      </c>
      <c r="K484" s="2">
        <v>2.5</v>
      </c>
      <c r="L484" s="2">
        <v>6.1</v>
      </c>
      <c r="M484" s="2">
        <v>0.41299999999999998</v>
      </c>
      <c r="N484" s="2">
        <v>2.7</v>
      </c>
      <c r="O484" s="2">
        <v>4.9000000000000004</v>
      </c>
      <c r="P484" s="2">
        <v>0.54500000000000004</v>
      </c>
      <c r="Q484" s="2">
        <v>0.58599999999999997</v>
      </c>
      <c r="R484" s="2">
        <v>0.7</v>
      </c>
      <c r="S484" s="2">
        <v>0.9</v>
      </c>
      <c r="T484" s="2">
        <v>0.83299999999999996</v>
      </c>
      <c r="U484" s="2">
        <v>0.7</v>
      </c>
      <c r="V484" s="2">
        <v>2.2000000000000002</v>
      </c>
      <c r="W484" s="2">
        <v>2.9</v>
      </c>
      <c r="X484" s="2">
        <v>7.6</v>
      </c>
      <c r="Y484" s="2">
        <v>1.3</v>
      </c>
      <c r="Z484" s="2">
        <v>0.1</v>
      </c>
      <c r="AA484" s="2">
        <v>1.2</v>
      </c>
      <c r="AB484" s="2">
        <v>1.1000000000000001</v>
      </c>
      <c r="AC484" s="2">
        <v>13.6</v>
      </c>
      <c r="AD484" s="2"/>
    </row>
    <row r="485" spans="1:30" x14ac:dyDescent="0.2">
      <c r="A485" t="s">
        <v>544</v>
      </c>
      <c r="B485" s="2">
        <v>19</v>
      </c>
      <c r="C485" t="s">
        <v>66</v>
      </c>
      <c r="D485" s="2" t="s">
        <v>27</v>
      </c>
      <c r="E485" s="2">
        <v>1</v>
      </c>
      <c r="F485" s="2">
        <v>0</v>
      </c>
      <c r="G485" s="2">
        <v>5</v>
      </c>
      <c r="H485" s="2">
        <v>7.2</v>
      </c>
      <c r="I485" s="2">
        <v>7.2</v>
      </c>
      <c r="J485" s="2">
        <v>1</v>
      </c>
      <c r="K485" s="2">
        <v>0</v>
      </c>
      <c r="L485" s="2">
        <v>0</v>
      </c>
      <c r="M485" s="2"/>
      <c r="N485" s="2">
        <v>7.2</v>
      </c>
      <c r="O485" s="2">
        <v>7.2</v>
      </c>
      <c r="P485" s="2">
        <v>1</v>
      </c>
      <c r="Q485" s="2">
        <v>1</v>
      </c>
      <c r="R485" s="2">
        <v>0</v>
      </c>
      <c r="S485" s="2">
        <v>0</v>
      </c>
      <c r="T485" s="2"/>
      <c r="U485" s="2">
        <v>0</v>
      </c>
      <c r="V485" s="2">
        <v>7.2</v>
      </c>
      <c r="W485" s="2">
        <v>7.2</v>
      </c>
      <c r="X485" s="2">
        <v>0</v>
      </c>
      <c r="Y485" s="2">
        <v>0</v>
      </c>
      <c r="Z485" s="2">
        <v>0</v>
      </c>
      <c r="AA485" s="2">
        <v>0</v>
      </c>
      <c r="AB485" s="2">
        <v>0</v>
      </c>
      <c r="AC485" s="2">
        <v>14.4</v>
      </c>
      <c r="AD485" s="2"/>
    </row>
    <row r="486" spans="1:30" x14ac:dyDescent="0.2">
      <c r="A486" t="s">
        <v>336</v>
      </c>
      <c r="B486" s="2">
        <v>31</v>
      </c>
      <c r="C486" t="s">
        <v>59</v>
      </c>
      <c r="D486" s="2" t="s">
        <v>33</v>
      </c>
      <c r="E486" s="2">
        <v>13</v>
      </c>
      <c r="F486" s="2">
        <v>6</v>
      </c>
      <c r="G486" s="2">
        <v>283</v>
      </c>
      <c r="H486" s="2">
        <v>4.8</v>
      </c>
      <c r="I486" s="2">
        <v>13.1</v>
      </c>
      <c r="J486" s="2">
        <v>0.36899999999999999</v>
      </c>
      <c r="K486" s="2">
        <v>2.2000000000000002</v>
      </c>
      <c r="L486" s="2">
        <v>5.5</v>
      </c>
      <c r="M486" s="2">
        <v>0.39500000000000002</v>
      </c>
      <c r="N486" s="2">
        <v>2.7</v>
      </c>
      <c r="O486" s="2">
        <v>7.6</v>
      </c>
      <c r="P486" s="2">
        <v>0.35</v>
      </c>
      <c r="Q486" s="2">
        <v>0.45100000000000001</v>
      </c>
      <c r="R486" s="2">
        <v>0.9</v>
      </c>
      <c r="S486" s="2">
        <v>1.3</v>
      </c>
      <c r="T486" s="2">
        <v>0.7</v>
      </c>
      <c r="U486" s="2">
        <v>1.3</v>
      </c>
      <c r="V486" s="2">
        <v>3.4</v>
      </c>
      <c r="W486" s="2">
        <v>4.7</v>
      </c>
      <c r="X486" s="2">
        <v>6.4</v>
      </c>
      <c r="Y486" s="2">
        <v>0.9</v>
      </c>
      <c r="Z486" s="2">
        <v>0</v>
      </c>
      <c r="AA486" s="2">
        <v>3.3</v>
      </c>
      <c r="AB486" s="2">
        <v>2</v>
      </c>
      <c r="AC486" s="2">
        <v>12.7</v>
      </c>
      <c r="AD486" s="2"/>
    </row>
    <row r="487" spans="1:30" x14ac:dyDescent="0.2">
      <c r="A487" t="s">
        <v>92</v>
      </c>
      <c r="B487" s="2">
        <v>21</v>
      </c>
      <c r="C487" t="s">
        <v>93</v>
      </c>
      <c r="D487" s="2" t="s">
        <v>42</v>
      </c>
      <c r="E487" s="2">
        <v>19</v>
      </c>
      <c r="F487" s="2">
        <v>19</v>
      </c>
      <c r="G487" s="2">
        <v>611</v>
      </c>
      <c r="H487" s="2">
        <v>9.6999999999999993</v>
      </c>
      <c r="I487" s="2">
        <v>20.3</v>
      </c>
      <c r="J487" s="2">
        <v>0.48</v>
      </c>
      <c r="K487" s="2">
        <v>3.5</v>
      </c>
      <c r="L487" s="2">
        <v>10.199999999999999</v>
      </c>
      <c r="M487" s="2">
        <v>0.34100000000000003</v>
      </c>
      <c r="N487" s="2">
        <v>6.2</v>
      </c>
      <c r="O487" s="2">
        <v>10.1</v>
      </c>
      <c r="P487" s="2">
        <v>0.62</v>
      </c>
      <c r="Q487" s="2">
        <v>0.56499999999999995</v>
      </c>
      <c r="R487" s="2">
        <v>3.5</v>
      </c>
      <c r="S487" s="2">
        <v>4</v>
      </c>
      <c r="T487" s="2">
        <v>0.86799999999999999</v>
      </c>
      <c r="U487" s="2">
        <v>2.4</v>
      </c>
      <c r="V487" s="2">
        <v>9.3000000000000007</v>
      </c>
      <c r="W487" s="2">
        <v>11.6</v>
      </c>
      <c r="X487" s="2">
        <v>4.0999999999999996</v>
      </c>
      <c r="Y487" s="2">
        <v>1.4</v>
      </c>
      <c r="Z487" s="2">
        <v>3.8</v>
      </c>
      <c r="AA487" s="2">
        <v>4</v>
      </c>
      <c r="AB487" s="2">
        <v>2.4</v>
      </c>
      <c r="AC487" s="2">
        <v>26.4</v>
      </c>
      <c r="AD487" s="2"/>
    </row>
    <row r="488" spans="1:30" x14ac:dyDescent="0.2">
      <c r="A488" t="s">
        <v>483</v>
      </c>
      <c r="B488" s="2">
        <v>24</v>
      </c>
      <c r="C488" t="s">
        <v>80</v>
      </c>
      <c r="D488" s="2" t="s">
        <v>52</v>
      </c>
      <c r="E488" s="2">
        <v>3</v>
      </c>
      <c r="F488" s="2">
        <v>0</v>
      </c>
      <c r="G488" s="2">
        <v>45</v>
      </c>
      <c r="H488" s="2">
        <v>5.6</v>
      </c>
      <c r="I488" s="2">
        <v>15.2</v>
      </c>
      <c r="J488" s="2">
        <v>0.36799999999999999</v>
      </c>
      <c r="K488" s="2">
        <v>0.8</v>
      </c>
      <c r="L488" s="2">
        <v>6.4</v>
      </c>
      <c r="M488" s="2">
        <v>0.125</v>
      </c>
      <c r="N488" s="2">
        <v>4.8</v>
      </c>
      <c r="O488" s="2">
        <v>8.8000000000000007</v>
      </c>
      <c r="P488" s="2">
        <v>0.54500000000000004</v>
      </c>
      <c r="Q488" s="2">
        <v>0.39500000000000002</v>
      </c>
      <c r="R488" s="2">
        <v>0.8</v>
      </c>
      <c r="S488" s="2">
        <v>3.2</v>
      </c>
      <c r="T488" s="2">
        <v>0.25</v>
      </c>
      <c r="U488" s="2">
        <v>3.2</v>
      </c>
      <c r="V488" s="2">
        <v>5.6</v>
      </c>
      <c r="W488" s="2">
        <v>8.8000000000000007</v>
      </c>
      <c r="X488" s="2">
        <v>7.2</v>
      </c>
      <c r="Y488" s="2">
        <v>0</v>
      </c>
      <c r="Z488" s="2">
        <v>1.6</v>
      </c>
      <c r="AA488" s="2">
        <v>5.6</v>
      </c>
      <c r="AB488" s="2">
        <v>7.2</v>
      </c>
      <c r="AC488" s="2">
        <v>12.8</v>
      </c>
      <c r="AD488" s="2"/>
    </row>
    <row r="489" spans="1:30" x14ac:dyDescent="0.2">
      <c r="A489" t="s">
        <v>433</v>
      </c>
      <c r="B489" s="2">
        <v>24</v>
      </c>
      <c r="C489" t="s">
        <v>72</v>
      </c>
      <c r="D489" s="2" t="s">
        <v>33</v>
      </c>
      <c r="E489" s="2">
        <v>12</v>
      </c>
      <c r="F489" s="2">
        <v>0</v>
      </c>
      <c r="G489" s="2">
        <v>140</v>
      </c>
      <c r="H489" s="2">
        <v>3.1</v>
      </c>
      <c r="I489" s="2">
        <v>9</v>
      </c>
      <c r="J489" s="2">
        <v>0.34300000000000003</v>
      </c>
      <c r="K489" s="2">
        <v>1</v>
      </c>
      <c r="L489" s="2">
        <v>4.4000000000000004</v>
      </c>
      <c r="M489" s="2">
        <v>0.23499999999999999</v>
      </c>
      <c r="N489" s="2">
        <v>2.1</v>
      </c>
      <c r="O489" s="2">
        <v>4.5999999999999996</v>
      </c>
      <c r="P489" s="2">
        <v>0.44400000000000001</v>
      </c>
      <c r="Q489" s="2">
        <v>0.4</v>
      </c>
      <c r="R489" s="2">
        <v>1.3</v>
      </c>
      <c r="S489" s="2">
        <v>2.2999999999999998</v>
      </c>
      <c r="T489" s="2">
        <v>0.55600000000000005</v>
      </c>
      <c r="U489" s="2">
        <v>1.8</v>
      </c>
      <c r="V489" s="2">
        <v>3.9</v>
      </c>
      <c r="W489" s="2">
        <v>5.7</v>
      </c>
      <c r="X489" s="2">
        <v>4.4000000000000004</v>
      </c>
      <c r="Y489" s="2">
        <v>1</v>
      </c>
      <c r="Z489" s="2">
        <v>0.8</v>
      </c>
      <c r="AA489" s="2">
        <v>1.8</v>
      </c>
      <c r="AB489" s="2">
        <v>4.9000000000000004</v>
      </c>
      <c r="AC489" s="2">
        <v>8.5</v>
      </c>
      <c r="AD489" s="2"/>
    </row>
    <row r="490" spans="1:30" x14ac:dyDescent="0.2">
      <c r="A490" t="s">
        <v>498</v>
      </c>
      <c r="B490" s="2">
        <v>27</v>
      </c>
      <c r="C490" t="s">
        <v>46</v>
      </c>
      <c r="D490" s="2" t="s">
        <v>27</v>
      </c>
      <c r="E490" s="2">
        <v>4</v>
      </c>
      <c r="F490" s="2">
        <v>0</v>
      </c>
      <c r="G490" s="2">
        <v>34</v>
      </c>
      <c r="H490" s="2">
        <v>4.2</v>
      </c>
      <c r="I490" s="2">
        <v>7.4</v>
      </c>
      <c r="J490" s="2">
        <v>0.57099999999999995</v>
      </c>
      <c r="K490" s="2">
        <v>1.1000000000000001</v>
      </c>
      <c r="L490" s="2">
        <v>2.1</v>
      </c>
      <c r="M490" s="2">
        <v>0.5</v>
      </c>
      <c r="N490" s="2">
        <v>3.2</v>
      </c>
      <c r="O490" s="2">
        <v>5.3</v>
      </c>
      <c r="P490" s="2">
        <v>0.6</v>
      </c>
      <c r="Q490" s="2">
        <v>0.64300000000000002</v>
      </c>
      <c r="R490" s="2">
        <v>0</v>
      </c>
      <c r="S490" s="2">
        <v>0</v>
      </c>
      <c r="T490" s="2"/>
      <c r="U490" s="2">
        <v>3.2</v>
      </c>
      <c r="V490" s="2">
        <v>5.3</v>
      </c>
      <c r="W490" s="2">
        <v>8.5</v>
      </c>
      <c r="X490" s="2">
        <v>0</v>
      </c>
      <c r="Y490" s="2">
        <v>0</v>
      </c>
      <c r="Z490" s="2">
        <v>1.1000000000000001</v>
      </c>
      <c r="AA490" s="2">
        <v>2.1</v>
      </c>
      <c r="AB490" s="2">
        <v>4.2</v>
      </c>
      <c r="AC490" s="2">
        <v>9.5</v>
      </c>
      <c r="AD490" s="2"/>
    </row>
    <row r="491" spans="1:30" x14ac:dyDescent="0.2">
      <c r="A491" t="s">
        <v>245</v>
      </c>
      <c r="B491" s="2">
        <v>23</v>
      </c>
      <c r="C491" t="s">
        <v>120</v>
      </c>
      <c r="D491" s="2" t="s">
        <v>42</v>
      </c>
      <c r="E491" s="2">
        <v>17</v>
      </c>
      <c r="F491" s="2">
        <v>17</v>
      </c>
      <c r="G491" s="2">
        <v>495</v>
      </c>
      <c r="H491" s="2">
        <v>5.7</v>
      </c>
      <c r="I491" s="2">
        <v>7.9</v>
      </c>
      <c r="J491" s="2">
        <v>0.73099999999999998</v>
      </c>
      <c r="K491" s="2">
        <v>0</v>
      </c>
      <c r="L491" s="2">
        <v>0</v>
      </c>
      <c r="M491" s="2"/>
      <c r="N491" s="2">
        <v>5.7</v>
      </c>
      <c r="O491" s="2">
        <v>7.9</v>
      </c>
      <c r="P491" s="2">
        <v>0.73099999999999998</v>
      </c>
      <c r="Q491" s="2">
        <v>0.73099999999999998</v>
      </c>
      <c r="R491" s="2">
        <v>2</v>
      </c>
      <c r="S491" s="2">
        <v>3.3</v>
      </c>
      <c r="T491" s="2">
        <v>0.6</v>
      </c>
      <c r="U491" s="2">
        <v>4.9000000000000004</v>
      </c>
      <c r="V491" s="2">
        <v>8.6999999999999993</v>
      </c>
      <c r="W491" s="2">
        <v>13.7</v>
      </c>
      <c r="X491" s="2">
        <v>1.7</v>
      </c>
      <c r="Y491" s="2">
        <v>0.6</v>
      </c>
      <c r="Z491" s="2">
        <v>3.7</v>
      </c>
      <c r="AA491" s="2">
        <v>1.8</v>
      </c>
      <c r="AB491" s="2">
        <v>2.7</v>
      </c>
      <c r="AC491" s="2">
        <v>13.5</v>
      </c>
      <c r="AD491" s="2"/>
    </row>
    <row r="492" spans="1:30" x14ac:dyDescent="0.2">
      <c r="A492" t="s">
        <v>329</v>
      </c>
      <c r="B492" s="2">
        <v>25</v>
      </c>
      <c r="C492" t="s">
        <v>48</v>
      </c>
      <c r="D492" s="2" t="s">
        <v>42</v>
      </c>
      <c r="E492" s="2">
        <v>14</v>
      </c>
      <c r="F492" s="2">
        <v>14</v>
      </c>
      <c r="G492" s="2">
        <v>362</v>
      </c>
      <c r="H492" s="2">
        <v>3.6</v>
      </c>
      <c r="I492" s="2">
        <v>7.2</v>
      </c>
      <c r="J492" s="2">
        <v>0.5</v>
      </c>
      <c r="K492" s="2">
        <v>0.5</v>
      </c>
      <c r="L492" s="2">
        <v>2.9</v>
      </c>
      <c r="M492" s="2">
        <v>0.17199999999999999</v>
      </c>
      <c r="N492" s="2">
        <v>3.1</v>
      </c>
      <c r="O492" s="2">
        <v>4.3</v>
      </c>
      <c r="P492" s="2">
        <v>0.72099999999999997</v>
      </c>
      <c r="Q492" s="2">
        <v>0.53500000000000003</v>
      </c>
      <c r="R492" s="2">
        <v>2.9</v>
      </c>
      <c r="S492" s="2">
        <v>3.8</v>
      </c>
      <c r="T492" s="2">
        <v>0.76300000000000001</v>
      </c>
      <c r="U492" s="2">
        <v>2.7</v>
      </c>
      <c r="V492" s="2">
        <v>8.1999999999999993</v>
      </c>
      <c r="W492" s="2">
        <v>10.8</v>
      </c>
      <c r="X492" s="2">
        <v>3.3</v>
      </c>
      <c r="Y492" s="2">
        <v>1.3</v>
      </c>
      <c r="Z492" s="2">
        <v>0.8</v>
      </c>
      <c r="AA492" s="2">
        <v>1.3</v>
      </c>
      <c r="AB492" s="2">
        <v>4.0999999999999996</v>
      </c>
      <c r="AC492" s="2">
        <v>10.5</v>
      </c>
      <c r="AD492" s="2"/>
    </row>
    <row r="493" spans="1:30" x14ac:dyDescent="0.2">
      <c r="A493" t="s">
        <v>402</v>
      </c>
      <c r="B493" s="2">
        <v>23</v>
      </c>
      <c r="C493" t="s">
        <v>75</v>
      </c>
      <c r="D493" s="2" t="s">
        <v>52</v>
      </c>
      <c r="E493" s="2">
        <v>12</v>
      </c>
      <c r="F493" s="2">
        <v>0</v>
      </c>
      <c r="G493" s="2">
        <v>171</v>
      </c>
      <c r="H493" s="2">
        <v>4</v>
      </c>
      <c r="I493" s="2">
        <v>7.6</v>
      </c>
      <c r="J493" s="2">
        <v>0.52800000000000002</v>
      </c>
      <c r="K493" s="2">
        <v>0.6</v>
      </c>
      <c r="L493" s="2">
        <v>1.9</v>
      </c>
      <c r="M493" s="2">
        <v>0.33300000000000002</v>
      </c>
      <c r="N493" s="2">
        <v>3.4</v>
      </c>
      <c r="O493" s="2">
        <v>5.7</v>
      </c>
      <c r="P493" s="2">
        <v>0.59299999999999997</v>
      </c>
      <c r="Q493" s="2">
        <v>0.56899999999999995</v>
      </c>
      <c r="R493" s="2">
        <v>2.2999999999999998</v>
      </c>
      <c r="S493" s="2">
        <v>2.5</v>
      </c>
      <c r="T493" s="2">
        <v>0.91700000000000004</v>
      </c>
      <c r="U493" s="2">
        <v>1.9</v>
      </c>
      <c r="V493" s="2">
        <v>5.9</v>
      </c>
      <c r="W493" s="2">
        <v>7.8</v>
      </c>
      <c r="X493" s="2">
        <v>2.9</v>
      </c>
      <c r="Y493" s="2">
        <v>1.7</v>
      </c>
      <c r="Z493" s="2">
        <v>0.6</v>
      </c>
      <c r="AA493" s="2">
        <v>1.7</v>
      </c>
      <c r="AB493" s="2">
        <v>2.7</v>
      </c>
      <c r="AC493" s="2">
        <v>10.9</v>
      </c>
      <c r="AD493" s="2"/>
    </row>
    <row r="494" spans="1:30" x14ac:dyDescent="0.2">
      <c r="A494" t="s">
        <v>477</v>
      </c>
      <c r="B494" s="2">
        <v>26</v>
      </c>
      <c r="C494" t="s">
        <v>39</v>
      </c>
      <c r="D494" s="2" t="s">
        <v>42</v>
      </c>
      <c r="E494" s="2">
        <v>16</v>
      </c>
      <c r="F494" s="2">
        <v>1</v>
      </c>
      <c r="G494" s="2">
        <v>144</v>
      </c>
      <c r="H494" s="2">
        <v>1.7</v>
      </c>
      <c r="I494" s="2">
        <v>7</v>
      </c>
      <c r="J494" s="2">
        <v>0.25</v>
      </c>
      <c r="K494" s="2">
        <v>0.7</v>
      </c>
      <c r="L494" s="2">
        <v>4</v>
      </c>
      <c r="M494" s="2">
        <v>0.188</v>
      </c>
      <c r="N494" s="2">
        <v>1</v>
      </c>
      <c r="O494" s="2">
        <v>3</v>
      </c>
      <c r="P494" s="2">
        <v>0.33300000000000002</v>
      </c>
      <c r="Q494" s="2">
        <v>0.30399999999999999</v>
      </c>
      <c r="R494" s="2">
        <v>0.2</v>
      </c>
      <c r="S494" s="2">
        <v>0.5</v>
      </c>
      <c r="T494" s="2">
        <v>0.5</v>
      </c>
      <c r="U494" s="2">
        <v>1.7</v>
      </c>
      <c r="V494" s="2">
        <v>6.2</v>
      </c>
      <c r="W494" s="2">
        <v>8</v>
      </c>
      <c r="X494" s="2">
        <v>1.5</v>
      </c>
      <c r="Y494" s="2">
        <v>1</v>
      </c>
      <c r="Z494" s="2">
        <v>0.7</v>
      </c>
      <c r="AA494" s="2">
        <v>1.2</v>
      </c>
      <c r="AB494" s="2">
        <v>3</v>
      </c>
      <c r="AC494" s="2">
        <v>4.5</v>
      </c>
      <c r="AD494" s="2"/>
    </row>
    <row r="495" spans="1:30" x14ac:dyDescent="0.2">
      <c r="A495" t="s">
        <v>490</v>
      </c>
      <c r="B495" s="2">
        <v>23</v>
      </c>
      <c r="C495" t="s">
        <v>80</v>
      </c>
      <c r="D495" s="2" t="s">
        <v>33</v>
      </c>
      <c r="E495" s="2">
        <v>13</v>
      </c>
      <c r="F495" s="2">
        <v>0</v>
      </c>
      <c r="G495" s="2">
        <v>40</v>
      </c>
      <c r="H495" s="2">
        <v>3.6</v>
      </c>
      <c r="I495" s="2">
        <v>13.5</v>
      </c>
      <c r="J495" s="2">
        <v>0.26700000000000002</v>
      </c>
      <c r="K495" s="2">
        <v>1.8</v>
      </c>
      <c r="L495" s="2">
        <v>9.9</v>
      </c>
      <c r="M495" s="2">
        <v>0.182</v>
      </c>
      <c r="N495" s="2">
        <v>1.8</v>
      </c>
      <c r="O495" s="2">
        <v>3.6</v>
      </c>
      <c r="P495" s="2">
        <v>0.5</v>
      </c>
      <c r="Q495" s="2">
        <v>0.33300000000000002</v>
      </c>
      <c r="R495" s="2">
        <v>3.6</v>
      </c>
      <c r="S495" s="2">
        <v>5.4</v>
      </c>
      <c r="T495" s="2">
        <v>0.66700000000000004</v>
      </c>
      <c r="U495" s="2">
        <v>0</v>
      </c>
      <c r="V495" s="2">
        <v>1.8</v>
      </c>
      <c r="W495" s="2">
        <v>1.8</v>
      </c>
      <c r="X495" s="2">
        <v>6.3</v>
      </c>
      <c r="Y495" s="2">
        <v>0.9</v>
      </c>
      <c r="Z495" s="2">
        <v>0</v>
      </c>
      <c r="AA495" s="2">
        <v>3.6</v>
      </c>
      <c r="AB495" s="2">
        <v>3.6</v>
      </c>
      <c r="AC495" s="2">
        <v>12.6</v>
      </c>
      <c r="AD495" s="2"/>
    </row>
    <row r="496" spans="1:30" x14ac:dyDescent="0.2">
      <c r="A496" t="s">
        <v>206</v>
      </c>
      <c r="B496" s="2">
        <v>20</v>
      </c>
      <c r="C496" t="s">
        <v>117</v>
      </c>
      <c r="D496" s="2" t="s">
        <v>42</v>
      </c>
      <c r="E496" s="2">
        <v>25</v>
      </c>
      <c r="F496" s="2">
        <v>19</v>
      </c>
      <c r="G496" s="2">
        <v>634</v>
      </c>
      <c r="H496" s="2">
        <v>5.2</v>
      </c>
      <c r="I496" s="2">
        <v>9.4</v>
      </c>
      <c r="J496" s="2">
        <v>0.54800000000000004</v>
      </c>
      <c r="K496" s="2">
        <v>0</v>
      </c>
      <c r="L496" s="2">
        <v>0</v>
      </c>
      <c r="M496" s="2"/>
      <c r="N496" s="2">
        <v>5.2</v>
      </c>
      <c r="O496" s="2">
        <v>9.4</v>
      </c>
      <c r="P496" s="2">
        <v>0.54800000000000004</v>
      </c>
      <c r="Q496" s="2">
        <v>0.54800000000000004</v>
      </c>
      <c r="R496" s="2">
        <v>2.8</v>
      </c>
      <c r="S496" s="2">
        <v>4.3</v>
      </c>
      <c r="T496" s="2">
        <v>0.65300000000000002</v>
      </c>
      <c r="U496" s="2">
        <v>5.4</v>
      </c>
      <c r="V496" s="2">
        <v>6.4</v>
      </c>
      <c r="W496" s="2">
        <v>11.8</v>
      </c>
      <c r="X496" s="2">
        <v>1.7</v>
      </c>
      <c r="Y496" s="2">
        <v>1</v>
      </c>
      <c r="Z496" s="2">
        <v>1.8</v>
      </c>
      <c r="AA496" s="2">
        <v>1.6</v>
      </c>
      <c r="AB496" s="2">
        <v>2.9</v>
      </c>
      <c r="AC496" s="2">
        <v>13.1</v>
      </c>
      <c r="AD496" s="2"/>
    </row>
    <row r="497" spans="1:30" x14ac:dyDescent="0.2">
      <c r="A497" t="s">
        <v>165</v>
      </c>
      <c r="B497" s="2">
        <v>19</v>
      </c>
      <c r="C497" t="s">
        <v>72</v>
      </c>
      <c r="D497" s="2" t="s">
        <v>49</v>
      </c>
      <c r="E497" s="2">
        <v>26</v>
      </c>
      <c r="F497" s="2">
        <v>24</v>
      </c>
      <c r="G497" s="2">
        <v>623</v>
      </c>
      <c r="H497" s="2">
        <v>6.2</v>
      </c>
      <c r="I497" s="2">
        <v>15.5</v>
      </c>
      <c r="J497" s="2">
        <v>0.39900000000000002</v>
      </c>
      <c r="K497" s="2">
        <v>1.8</v>
      </c>
      <c r="L497" s="2">
        <v>6.7</v>
      </c>
      <c r="M497" s="2">
        <v>0.27600000000000002</v>
      </c>
      <c r="N497" s="2">
        <v>4.3</v>
      </c>
      <c r="O497" s="2">
        <v>8.8000000000000007</v>
      </c>
      <c r="P497" s="2">
        <v>0.49299999999999999</v>
      </c>
      <c r="Q497" s="2">
        <v>0.45900000000000002</v>
      </c>
      <c r="R497" s="2">
        <v>2.6</v>
      </c>
      <c r="S497" s="2">
        <v>3.8</v>
      </c>
      <c r="T497" s="2">
        <v>0.68200000000000005</v>
      </c>
      <c r="U497" s="2">
        <v>1.7</v>
      </c>
      <c r="V497" s="2">
        <v>3.5</v>
      </c>
      <c r="W497" s="2">
        <v>5.2</v>
      </c>
      <c r="X497" s="2">
        <v>1.8</v>
      </c>
      <c r="Y497" s="2">
        <v>1.3</v>
      </c>
      <c r="Z497" s="2">
        <v>1.1000000000000001</v>
      </c>
      <c r="AA497" s="2">
        <v>1.7</v>
      </c>
      <c r="AB497" s="2">
        <v>3.1</v>
      </c>
      <c r="AC497" s="2">
        <v>16.8</v>
      </c>
      <c r="AD497" s="2"/>
    </row>
    <row r="498" spans="1:30" x14ac:dyDescent="0.2">
      <c r="A498" t="s">
        <v>296</v>
      </c>
      <c r="B498" s="2">
        <v>27</v>
      </c>
      <c r="C498" t="s">
        <v>93</v>
      </c>
      <c r="D498" s="2" t="s">
        <v>42</v>
      </c>
      <c r="E498" s="2">
        <v>24</v>
      </c>
      <c r="F498" s="2">
        <v>4</v>
      </c>
      <c r="G498" s="2">
        <v>341</v>
      </c>
      <c r="H498" s="2">
        <v>5.3</v>
      </c>
      <c r="I498" s="2">
        <v>11.1</v>
      </c>
      <c r="J498" s="2">
        <v>0.47599999999999998</v>
      </c>
      <c r="K498" s="2">
        <v>1.3</v>
      </c>
      <c r="L498" s="2">
        <v>3.8</v>
      </c>
      <c r="M498" s="2">
        <v>0.33300000000000002</v>
      </c>
      <c r="N498" s="2">
        <v>4</v>
      </c>
      <c r="O498" s="2">
        <v>7.3</v>
      </c>
      <c r="P498" s="2">
        <v>0.55100000000000005</v>
      </c>
      <c r="Q498" s="2">
        <v>0.53300000000000003</v>
      </c>
      <c r="R498" s="2">
        <v>3</v>
      </c>
      <c r="S498" s="2">
        <v>3.4</v>
      </c>
      <c r="T498" s="2">
        <v>0.875</v>
      </c>
      <c r="U498" s="2">
        <v>3</v>
      </c>
      <c r="V498" s="2">
        <v>5.5</v>
      </c>
      <c r="W498" s="2">
        <v>8.4</v>
      </c>
      <c r="X498" s="2">
        <v>4.4000000000000004</v>
      </c>
      <c r="Y498" s="2">
        <v>1.2</v>
      </c>
      <c r="Z498" s="2">
        <v>1.3</v>
      </c>
      <c r="AA498" s="2">
        <v>2.2000000000000002</v>
      </c>
      <c r="AB498" s="2">
        <v>5.6</v>
      </c>
      <c r="AC498" s="2">
        <v>14.8</v>
      </c>
      <c r="AD498" s="2"/>
    </row>
    <row r="499" spans="1:30" x14ac:dyDescent="0.2">
      <c r="A499" t="s">
        <v>274</v>
      </c>
      <c r="B499" s="2">
        <v>22</v>
      </c>
      <c r="C499" t="s">
        <v>80</v>
      </c>
      <c r="D499" s="2" t="s">
        <v>42</v>
      </c>
      <c r="E499" s="2">
        <v>14</v>
      </c>
      <c r="F499" s="2">
        <v>9</v>
      </c>
      <c r="G499" s="2">
        <v>281</v>
      </c>
      <c r="H499" s="2">
        <v>8.1999999999999993</v>
      </c>
      <c r="I499" s="2">
        <v>13.5</v>
      </c>
      <c r="J499" s="2">
        <v>0.61</v>
      </c>
      <c r="K499" s="2">
        <v>0.8</v>
      </c>
      <c r="L499" s="2">
        <v>1.3</v>
      </c>
      <c r="M499" s="2">
        <v>0.6</v>
      </c>
      <c r="N499" s="2">
        <v>7.4</v>
      </c>
      <c r="O499" s="2">
        <v>12.2</v>
      </c>
      <c r="P499" s="2">
        <v>0.61099999999999999</v>
      </c>
      <c r="Q499" s="2">
        <v>0.63800000000000001</v>
      </c>
      <c r="R499" s="2">
        <v>2.8</v>
      </c>
      <c r="S499" s="2">
        <v>4.2</v>
      </c>
      <c r="T499" s="2">
        <v>0.66700000000000004</v>
      </c>
      <c r="U499" s="2">
        <v>5.5</v>
      </c>
      <c r="V499" s="2">
        <v>6.9</v>
      </c>
      <c r="W499" s="2">
        <v>12.4</v>
      </c>
      <c r="X499" s="2">
        <v>1.4</v>
      </c>
      <c r="Y499" s="2">
        <v>1.5</v>
      </c>
      <c r="Z499" s="2">
        <v>1.8</v>
      </c>
      <c r="AA499" s="2">
        <v>2.9</v>
      </c>
      <c r="AB499" s="2">
        <v>5.6</v>
      </c>
      <c r="AC499" s="2">
        <v>20</v>
      </c>
      <c r="AD499" s="2"/>
    </row>
    <row r="500" spans="1:30" x14ac:dyDescent="0.2">
      <c r="A500" t="s">
        <v>85</v>
      </c>
      <c r="B500" s="2">
        <v>29</v>
      </c>
      <c r="C500" t="s">
        <v>70</v>
      </c>
      <c r="D500" s="2" t="s">
        <v>49</v>
      </c>
      <c r="E500" s="2">
        <v>22</v>
      </c>
      <c r="F500" s="2">
        <v>22</v>
      </c>
      <c r="G500" s="2">
        <v>733</v>
      </c>
      <c r="H500" s="2">
        <v>8.6999999999999993</v>
      </c>
      <c r="I500" s="2">
        <v>17.2</v>
      </c>
      <c r="J500" s="2">
        <v>0.50600000000000001</v>
      </c>
      <c r="K500" s="2">
        <v>3.6</v>
      </c>
      <c r="L500" s="2">
        <v>8.3000000000000007</v>
      </c>
      <c r="M500" s="2">
        <v>0.432</v>
      </c>
      <c r="N500" s="2">
        <v>5.0999999999999996</v>
      </c>
      <c r="O500" s="2">
        <v>8.9</v>
      </c>
      <c r="P500" s="2">
        <v>0.57499999999999996</v>
      </c>
      <c r="Q500" s="2">
        <v>0.61</v>
      </c>
      <c r="R500" s="2">
        <v>2.9</v>
      </c>
      <c r="S500" s="2">
        <v>3.7</v>
      </c>
      <c r="T500" s="2">
        <v>0.8</v>
      </c>
      <c r="U500" s="2">
        <v>0.2</v>
      </c>
      <c r="V500" s="2">
        <v>4.5</v>
      </c>
      <c r="W500" s="2">
        <v>4.8</v>
      </c>
      <c r="X500" s="2">
        <v>4.5999999999999996</v>
      </c>
      <c r="Y500" s="2">
        <v>0.8</v>
      </c>
      <c r="Z500" s="2">
        <v>0.3</v>
      </c>
      <c r="AA500" s="2">
        <v>3</v>
      </c>
      <c r="AB500" s="2">
        <v>2</v>
      </c>
      <c r="AC500" s="2">
        <v>23.9</v>
      </c>
      <c r="AD500" s="2"/>
    </row>
    <row r="501" spans="1:30" x14ac:dyDescent="0.2">
      <c r="A501" t="s">
        <v>471</v>
      </c>
      <c r="B501" s="2">
        <v>24</v>
      </c>
      <c r="C501" t="s">
        <v>46</v>
      </c>
      <c r="D501" s="2" t="s">
        <v>27</v>
      </c>
      <c r="E501" s="2">
        <v>15</v>
      </c>
      <c r="F501" s="2">
        <v>0</v>
      </c>
      <c r="G501" s="2">
        <v>75</v>
      </c>
      <c r="H501" s="2">
        <v>4.3</v>
      </c>
      <c r="I501" s="2">
        <v>10.6</v>
      </c>
      <c r="J501" s="2">
        <v>0.40899999999999997</v>
      </c>
      <c r="K501" s="2">
        <v>0</v>
      </c>
      <c r="L501" s="2">
        <v>3.8</v>
      </c>
      <c r="M501" s="2">
        <v>0</v>
      </c>
      <c r="N501" s="2">
        <v>4.3</v>
      </c>
      <c r="O501" s="2">
        <v>6.7</v>
      </c>
      <c r="P501" s="2">
        <v>0.64300000000000002</v>
      </c>
      <c r="Q501" s="2">
        <v>0.40899999999999997</v>
      </c>
      <c r="R501" s="2">
        <v>0.5</v>
      </c>
      <c r="S501" s="2">
        <v>2.4</v>
      </c>
      <c r="T501" s="2">
        <v>0.2</v>
      </c>
      <c r="U501" s="2">
        <v>1</v>
      </c>
      <c r="V501" s="2">
        <v>2.4</v>
      </c>
      <c r="W501" s="2">
        <v>3.4</v>
      </c>
      <c r="X501" s="2">
        <v>1.4</v>
      </c>
      <c r="Y501" s="2">
        <v>0.5</v>
      </c>
      <c r="Z501" s="2">
        <v>1</v>
      </c>
      <c r="AA501" s="2">
        <v>0.5</v>
      </c>
      <c r="AB501" s="2">
        <v>2.9</v>
      </c>
      <c r="AC501" s="2">
        <v>9.1</v>
      </c>
      <c r="AD501" s="2"/>
    </row>
    <row r="502" spans="1:30" x14ac:dyDescent="0.2">
      <c r="A502" t="s">
        <v>248</v>
      </c>
      <c r="B502" s="2">
        <v>23</v>
      </c>
      <c r="C502" t="s">
        <v>103</v>
      </c>
      <c r="D502" s="2" t="s">
        <v>49</v>
      </c>
      <c r="E502" s="2">
        <v>21</v>
      </c>
      <c r="F502" s="2">
        <v>7</v>
      </c>
      <c r="G502" s="2">
        <v>459</v>
      </c>
      <c r="H502" s="2">
        <v>5</v>
      </c>
      <c r="I502" s="2">
        <v>12.5</v>
      </c>
      <c r="J502" s="2">
        <v>0.40300000000000002</v>
      </c>
      <c r="K502" s="2">
        <v>1.4</v>
      </c>
      <c r="L502" s="2">
        <v>5.2</v>
      </c>
      <c r="M502" s="2">
        <v>0.27300000000000002</v>
      </c>
      <c r="N502" s="2">
        <v>3.6</v>
      </c>
      <c r="O502" s="2">
        <v>7.3</v>
      </c>
      <c r="P502" s="2">
        <v>0.495</v>
      </c>
      <c r="Q502" s="2">
        <v>0.45900000000000002</v>
      </c>
      <c r="R502" s="2">
        <v>2.7</v>
      </c>
      <c r="S502" s="2">
        <v>3.5</v>
      </c>
      <c r="T502" s="2">
        <v>0.79500000000000004</v>
      </c>
      <c r="U502" s="2">
        <v>1.7</v>
      </c>
      <c r="V502" s="2">
        <v>5.5</v>
      </c>
      <c r="W502" s="2">
        <v>7.2</v>
      </c>
      <c r="X502" s="2">
        <v>1.9</v>
      </c>
      <c r="Y502" s="2">
        <v>1.6</v>
      </c>
      <c r="Z502" s="2">
        <v>0.5</v>
      </c>
      <c r="AA502" s="2">
        <v>1.5</v>
      </c>
      <c r="AB502" s="2">
        <v>4.4000000000000004</v>
      </c>
      <c r="AC502" s="2">
        <v>14.2</v>
      </c>
      <c r="AD502" s="2"/>
    </row>
    <row r="503" spans="1:30" x14ac:dyDescent="0.2">
      <c r="A503" t="s">
        <v>300</v>
      </c>
      <c r="B503" s="2">
        <v>24</v>
      </c>
      <c r="C503" t="s">
        <v>117</v>
      </c>
      <c r="D503" s="2" t="s">
        <v>27</v>
      </c>
      <c r="E503" s="2">
        <v>6</v>
      </c>
      <c r="F503" s="2">
        <v>6</v>
      </c>
      <c r="G503" s="2">
        <v>186</v>
      </c>
      <c r="H503" s="2">
        <v>9.1</v>
      </c>
      <c r="I503" s="2">
        <v>20.100000000000001</v>
      </c>
      <c r="J503" s="2">
        <v>0.45200000000000001</v>
      </c>
      <c r="K503" s="2">
        <v>0.4</v>
      </c>
      <c r="L503" s="2">
        <v>1.2</v>
      </c>
      <c r="M503" s="2">
        <v>0.33300000000000002</v>
      </c>
      <c r="N503" s="2">
        <v>8.6999999999999993</v>
      </c>
      <c r="O503" s="2">
        <v>19</v>
      </c>
      <c r="P503" s="2">
        <v>0.45900000000000002</v>
      </c>
      <c r="Q503" s="2">
        <v>0.46200000000000002</v>
      </c>
      <c r="R503" s="2">
        <v>7.7</v>
      </c>
      <c r="S503" s="2">
        <v>11.6</v>
      </c>
      <c r="T503" s="2">
        <v>0.66700000000000004</v>
      </c>
      <c r="U503" s="2">
        <v>3.1</v>
      </c>
      <c r="V503" s="2">
        <v>6.2</v>
      </c>
      <c r="W503" s="2">
        <v>9.3000000000000007</v>
      </c>
      <c r="X503" s="2">
        <v>6.2</v>
      </c>
      <c r="Y503" s="2">
        <v>0.8</v>
      </c>
      <c r="Z503" s="2">
        <v>1.4</v>
      </c>
      <c r="AA503" s="2">
        <v>4.3</v>
      </c>
      <c r="AB503" s="2">
        <v>3.5</v>
      </c>
      <c r="AC503" s="2">
        <v>26.3</v>
      </c>
      <c r="AD503" s="2"/>
    </row>
  </sheetData>
  <sortState xmlns:xlrd2="http://schemas.microsoft.com/office/spreadsheetml/2017/richdata2" ref="A2:AD503">
    <sortCondition ref="A63:A503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215CF-E236-C046-8D51-19AE43C367EC}">
  <dimension ref="A1:AF503"/>
  <sheetViews>
    <sheetView workbookViewId="0">
      <selection sqref="A1:A1048576"/>
    </sheetView>
  </sheetViews>
  <sheetFormatPr baseColWidth="10" defaultRowHeight="16" x14ac:dyDescent="0.2"/>
  <sheetData>
    <row r="1" spans="1:32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567</v>
      </c>
      <c r="AE1" s="1" t="s">
        <v>568</v>
      </c>
      <c r="AF1" s="1"/>
    </row>
    <row r="2" spans="1:32" x14ac:dyDescent="0.2">
      <c r="A2" t="s">
        <v>244</v>
      </c>
      <c r="B2" s="2">
        <v>25</v>
      </c>
      <c r="C2" t="s">
        <v>35</v>
      </c>
      <c r="D2" s="2" t="s">
        <v>52</v>
      </c>
      <c r="E2" s="2">
        <v>23</v>
      </c>
      <c r="F2" s="2">
        <v>3</v>
      </c>
      <c r="G2" s="2">
        <v>488</v>
      </c>
      <c r="H2" s="2">
        <v>6.2</v>
      </c>
      <c r="I2" s="2">
        <v>13</v>
      </c>
      <c r="J2" s="2">
        <v>0.47699999999999998</v>
      </c>
      <c r="K2" s="2">
        <v>5.6</v>
      </c>
      <c r="L2" s="2">
        <v>11.8</v>
      </c>
      <c r="M2" s="2">
        <v>0.47499999999999998</v>
      </c>
      <c r="N2" s="2">
        <v>0.6</v>
      </c>
      <c r="O2" s="2">
        <v>1.2</v>
      </c>
      <c r="P2" s="2">
        <v>0.5</v>
      </c>
      <c r="Q2" s="2">
        <v>0.69199999999999995</v>
      </c>
      <c r="R2" s="2">
        <v>0.5</v>
      </c>
      <c r="S2" s="2">
        <v>0.6</v>
      </c>
      <c r="T2" s="2">
        <v>0.83299999999999996</v>
      </c>
      <c r="U2" s="2">
        <v>0.4</v>
      </c>
      <c r="V2" s="2">
        <v>4.5999999999999996</v>
      </c>
      <c r="W2" s="2">
        <v>5</v>
      </c>
      <c r="X2" s="2">
        <v>2.2000000000000002</v>
      </c>
      <c r="Y2" s="2">
        <v>1.2</v>
      </c>
      <c r="Z2" s="2">
        <v>0.2</v>
      </c>
      <c r="AA2" s="2">
        <v>1.5</v>
      </c>
      <c r="AB2" s="2">
        <v>4.5</v>
      </c>
      <c r="AC2" s="2">
        <v>18.5</v>
      </c>
      <c r="AD2" s="2">
        <v>124</v>
      </c>
      <c r="AE2" s="2">
        <v>117</v>
      </c>
      <c r="AF2" s="2"/>
    </row>
    <row r="3" spans="1:32" x14ac:dyDescent="0.2">
      <c r="A3" t="s">
        <v>273</v>
      </c>
      <c r="B3" s="2">
        <v>29</v>
      </c>
      <c r="C3" t="s">
        <v>46</v>
      </c>
      <c r="D3" s="2" t="s">
        <v>27</v>
      </c>
      <c r="E3" s="2">
        <v>11</v>
      </c>
      <c r="F3" s="2">
        <v>10</v>
      </c>
      <c r="G3" s="2">
        <v>326</v>
      </c>
      <c r="H3" s="2">
        <v>7.9</v>
      </c>
      <c r="I3" s="2">
        <v>14.9</v>
      </c>
      <c r="J3" s="2">
        <v>0.52900000000000003</v>
      </c>
      <c r="K3" s="2">
        <v>2.2999999999999998</v>
      </c>
      <c r="L3" s="2">
        <v>5</v>
      </c>
      <c r="M3" s="2">
        <v>0.47099999999999997</v>
      </c>
      <c r="N3" s="2">
        <v>5.5</v>
      </c>
      <c r="O3" s="2">
        <v>9.9</v>
      </c>
      <c r="P3" s="2">
        <v>0.55900000000000005</v>
      </c>
      <c r="Q3" s="2">
        <v>0.60799999999999998</v>
      </c>
      <c r="R3" s="2">
        <v>4.8</v>
      </c>
      <c r="S3" s="2">
        <v>6.1</v>
      </c>
      <c r="T3" s="2">
        <v>0.78600000000000003</v>
      </c>
      <c r="U3" s="2">
        <v>3.1</v>
      </c>
      <c r="V3" s="2">
        <v>6.6</v>
      </c>
      <c r="W3" s="2">
        <v>9.6</v>
      </c>
      <c r="X3" s="2">
        <v>5.7</v>
      </c>
      <c r="Y3" s="2">
        <v>0.9</v>
      </c>
      <c r="Z3" s="2">
        <v>0.4</v>
      </c>
      <c r="AA3" s="2">
        <v>2.5</v>
      </c>
      <c r="AB3" s="2">
        <v>2.5</v>
      </c>
      <c r="AC3" s="2">
        <v>22.9</v>
      </c>
      <c r="AD3" s="2">
        <v>129</v>
      </c>
      <c r="AE3" s="2">
        <v>117</v>
      </c>
      <c r="AF3" s="2"/>
    </row>
    <row r="4" spans="1:32" x14ac:dyDescent="0.2">
      <c r="A4" t="s">
        <v>384</v>
      </c>
      <c r="B4" s="2">
        <v>28</v>
      </c>
      <c r="C4" t="s">
        <v>87</v>
      </c>
      <c r="D4" s="2" t="s">
        <v>33</v>
      </c>
      <c r="E4" s="2">
        <v>15</v>
      </c>
      <c r="F4" s="2">
        <v>0</v>
      </c>
      <c r="G4" s="2">
        <v>145</v>
      </c>
      <c r="H4" s="2">
        <v>7</v>
      </c>
      <c r="I4" s="2">
        <v>15</v>
      </c>
      <c r="J4" s="2">
        <v>0.46700000000000003</v>
      </c>
      <c r="K4" s="2">
        <v>5</v>
      </c>
      <c r="L4" s="2">
        <v>11.3</v>
      </c>
      <c r="M4" s="2">
        <v>0.441</v>
      </c>
      <c r="N4" s="2">
        <v>2</v>
      </c>
      <c r="O4" s="2">
        <v>3.7</v>
      </c>
      <c r="P4" s="2">
        <v>0.54500000000000004</v>
      </c>
      <c r="Q4" s="2">
        <v>0.63300000000000001</v>
      </c>
      <c r="R4" s="2">
        <v>2.2999999999999998</v>
      </c>
      <c r="S4" s="2">
        <v>3</v>
      </c>
      <c r="T4" s="2">
        <v>0.77800000000000002</v>
      </c>
      <c r="U4" s="2">
        <v>0</v>
      </c>
      <c r="V4" s="2">
        <v>5</v>
      </c>
      <c r="W4" s="2">
        <v>5</v>
      </c>
      <c r="X4" s="2">
        <v>6.7</v>
      </c>
      <c r="Y4" s="2">
        <v>0.7</v>
      </c>
      <c r="Z4" s="2">
        <v>0.3</v>
      </c>
      <c r="AA4" s="2">
        <v>1.7</v>
      </c>
      <c r="AB4" s="2">
        <v>2.2999999999999998</v>
      </c>
      <c r="AC4" s="2">
        <v>21.3</v>
      </c>
      <c r="AD4" s="2">
        <v>134</v>
      </c>
      <c r="AE4" s="2">
        <v>110</v>
      </c>
      <c r="AF4" s="2"/>
    </row>
    <row r="5" spans="1:32" x14ac:dyDescent="0.2">
      <c r="A5" t="s">
        <v>398</v>
      </c>
      <c r="B5" s="2">
        <v>25</v>
      </c>
      <c r="C5" t="s">
        <v>82</v>
      </c>
      <c r="D5" s="2" t="s">
        <v>49</v>
      </c>
      <c r="E5" s="2">
        <v>6</v>
      </c>
      <c r="F5" s="2">
        <v>6</v>
      </c>
      <c r="G5" s="2">
        <v>136</v>
      </c>
      <c r="H5" s="2">
        <v>6.7</v>
      </c>
      <c r="I5" s="2">
        <v>12.7</v>
      </c>
      <c r="J5" s="2">
        <v>0.52800000000000002</v>
      </c>
      <c r="K5" s="2">
        <v>2.1</v>
      </c>
      <c r="L5" s="2">
        <v>3.9</v>
      </c>
      <c r="M5" s="2">
        <v>0.54500000000000004</v>
      </c>
      <c r="N5" s="2">
        <v>4.5999999999999996</v>
      </c>
      <c r="O5" s="2">
        <v>8.8000000000000007</v>
      </c>
      <c r="P5" s="2">
        <v>0.52</v>
      </c>
      <c r="Q5" s="2">
        <v>0.61099999999999999</v>
      </c>
      <c r="R5" s="2">
        <v>3.9</v>
      </c>
      <c r="S5" s="2">
        <v>4.5999999999999996</v>
      </c>
      <c r="T5" s="2">
        <v>0.84599999999999997</v>
      </c>
      <c r="U5" s="2">
        <v>1.4</v>
      </c>
      <c r="V5" s="2">
        <v>7.1</v>
      </c>
      <c r="W5" s="2">
        <v>8.5</v>
      </c>
      <c r="X5" s="2">
        <v>2.1</v>
      </c>
      <c r="Y5" s="2">
        <v>1.4</v>
      </c>
      <c r="Z5" s="2">
        <v>0.7</v>
      </c>
      <c r="AA5" s="2">
        <v>1.8</v>
      </c>
      <c r="AB5" s="2">
        <v>8.5</v>
      </c>
      <c r="AC5" s="2">
        <v>19.399999999999999</v>
      </c>
      <c r="AD5" s="2">
        <v>124</v>
      </c>
      <c r="AE5" s="2">
        <v>118</v>
      </c>
      <c r="AF5" s="2"/>
    </row>
    <row r="6" spans="1:32" x14ac:dyDescent="0.2">
      <c r="A6" t="s">
        <v>215</v>
      </c>
      <c r="B6" s="2">
        <v>26</v>
      </c>
      <c r="C6" t="s">
        <v>32</v>
      </c>
      <c r="D6" s="2" t="s">
        <v>52</v>
      </c>
      <c r="E6" s="2">
        <v>24</v>
      </c>
      <c r="F6" s="2">
        <v>8</v>
      </c>
      <c r="G6" s="2">
        <v>489</v>
      </c>
      <c r="H6" s="2">
        <v>8.6</v>
      </c>
      <c r="I6" s="2">
        <v>19</v>
      </c>
      <c r="J6" s="2">
        <v>0.45100000000000001</v>
      </c>
      <c r="K6" s="2">
        <v>3.4</v>
      </c>
      <c r="L6" s="2">
        <v>8.6999999999999993</v>
      </c>
      <c r="M6" s="2">
        <v>0.39300000000000002</v>
      </c>
      <c r="N6" s="2">
        <v>5.0999999999999996</v>
      </c>
      <c r="O6" s="2">
        <v>10.199999999999999</v>
      </c>
      <c r="P6" s="2">
        <v>0.5</v>
      </c>
      <c r="Q6" s="2">
        <v>0.54100000000000004</v>
      </c>
      <c r="R6" s="2">
        <v>1.2</v>
      </c>
      <c r="S6" s="2">
        <v>1.5</v>
      </c>
      <c r="T6" s="2">
        <v>0.8</v>
      </c>
      <c r="U6" s="2">
        <v>2.4</v>
      </c>
      <c r="V6" s="2">
        <v>6</v>
      </c>
      <c r="W6" s="2">
        <v>8.4</v>
      </c>
      <c r="X6" s="2">
        <v>3.6</v>
      </c>
      <c r="Y6" s="2">
        <v>2.2000000000000002</v>
      </c>
      <c r="Z6" s="2">
        <v>0.7</v>
      </c>
      <c r="AA6" s="2">
        <v>2.1</v>
      </c>
      <c r="AB6" s="2">
        <v>2.9</v>
      </c>
      <c r="AC6" s="2">
        <v>21.7</v>
      </c>
      <c r="AD6" s="2">
        <v>111</v>
      </c>
      <c r="AE6" s="2">
        <v>106</v>
      </c>
      <c r="AF6" s="2"/>
    </row>
    <row r="7" spans="1:32" x14ac:dyDescent="0.2">
      <c r="A7" t="s">
        <v>484</v>
      </c>
      <c r="B7" s="2">
        <v>25</v>
      </c>
      <c r="C7" t="s">
        <v>32</v>
      </c>
      <c r="D7" s="2" t="s">
        <v>52</v>
      </c>
      <c r="E7" s="2">
        <v>11</v>
      </c>
      <c r="F7" s="2">
        <v>0</v>
      </c>
      <c r="G7" s="2">
        <v>40</v>
      </c>
      <c r="H7" s="2">
        <v>6</v>
      </c>
      <c r="I7" s="2">
        <v>24</v>
      </c>
      <c r="J7" s="2">
        <v>0.25</v>
      </c>
      <c r="K7" s="2">
        <v>6</v>
      </c>
      <c r="L7" s="2">
        <v>22.8</v>
      </c>
      <c r="M7" s="2">
        <v>0.26300000000000001</v>
      </c>
      <c r="N7" s="2">
        <v>0</v>
      </c>
      <c r="O7" s="2">
        <v>1.2</v>
      </c>
      <c r="P7" s="2">
        <v>0</v>
      </c>
      <c r="Q7" s="2">
        <v>0.375</v>
      </c>
      <c r="R7" s="2">
        <v>0</v>
      </c>
      <c r="S7" s="2">
        <v>0</v>
      </c>
      <c r="T7" s="2"/>
      <c r="U7" s="2">
        <v>2.4</v>
      </c>
      <c r="V7" s="2">
        <v>4.8</v>
      </c>
      <c r="W7" s="2">
        <v>7.2</v>
      </c>
      <c r="X7" s="2">
        <v>0</v>
      </c>
      <c r="Y7" s="2">
        <v>2.4</v>
      </c>
      <c r="Z7" s="2">
        <v>0</v>
      </c>
      <c r="AA7" s="2">
        <v>0</v>
      </c>
      <c r="AB7" s="2">
        <v>4.8</v>
      </c>
      <c r="AC7" s="2">
        <v>18</v>
      </c>
      <c r="AD7" s="2">
        <v>85</v>
      </c>
      <c r="AE7" s="2">
        <v>107</v>
      </c>
      <c r="AF7" s="2"/>
    </row>
    <row r="8" spans="1:32" x14ac:dyDescent="0.2">
      <c r="A8" t="s">
        <v>511</v>
      </c>
      <c r="B8" s="2">
        <v>22</v>
      </c>
      <c r="C8" t="s">
        <v>70</v>
      </c>
      <c r="D8" s="2" t="s">
        <v>42</v>
      </c>
      <c r="E8" s="2">
        <v>3</v>
      </c>
      <c r="F8" s="2">
        <v>0</v>
      </c>
      <c r="G8" s="2">
        <v>14</v>
      </c>
      <c r="H8" s="2">
        <v>9.9</v>
      </c>
      <c r="I8" s="2">
        <v>16.399999999999999</v>
      </c>
      <c r="J8" s="2">
        <v>0.6</v>
      </c>
      <c r="K8" s="2">
        <v>0</v>
      </c>
      <c r="L8" s="2">
        <v>0</v>
      </c>
      <c r="M8" s="2"/>
      <c r="N8" s="2">
        <v>9.9</v>
      </c>
      <c r="O8" s="2">
        <v>16.399999999999999</v>
      </c>
      <c r="P8" s="2">
        <v>0.6</v>
      </c>
      <c r="Q8" s="2">
        <v>0.6</v>
      </c>
      <c r="R8" s="2">
        <v>0</v>
      </c>
      <c r="S8" s="2">
        <v>0</v>
      </c>
      <c r="T8" s="2"/>
      <c r="U8" s="2">
        <v>6.6</v>
      </c>
      <c r="V8" s="2">
        <v>0</v>
      </c>
      <c r="W8" s="2">
        <v>6.6</v>
      </c>
      <c r="X8" s="2">
        <v>3.3</v>
      </c>
      <c r="Y8" s="2">
        <v>0</v>
      </c>
      <c r="Z8" s="2">
        <v>0</v>
      </c>
      <c r="AA8" s="2">
        <v>3.3</v>
      </c>
      <c r="AB8" s="2">
        <v>3.3</v>
      </c>
      <c r="AC8" s="2">
        <v>19.7</v>
      </c>
      <c r="AD8" s="2">
        <v>115</v>
      </c>
      <c r="AE8" s="2">
        <v>126</v>
      </c>
      <c r="AF8" s="2"/>
    </row>
    <row r="9" spans="1:32" x14ac:dyDescent="0.2">
      <c r="A9" t="s">
        <v>461</v>
      </c>
      <c r="B9" s="2">
        <v>21</v>
      </c>
      <c r="C9" t="s">
        <v>122</v>
      </c>
      <c r="D9" s="2" t="s">
        <v>42</v>
      </c>
      <c r="E9" s="2">
        <v>14</v>
      </c>
      <c r="F9" s="2">
        <v>0</v>
      </c>
      <c r="G9" s="2">
        <v>90</v>
      </c>
      <c r="H9" s="2">
        <v>4.4000000000000004</v>
      </c>
      <c r="I9" s="2">
        <v>7.2</v>
      </c>
      <c r="J9" s="2">
        <v>0.61499999999999999</v>
      </c>
      <c r="K9" s="2">
        <v>0</v>
      </c>
      <c r="L9" s="2">
        <v>0</v>
      </c>
      <c r="M9" s="2"/>
      <c r="N9" s="2">
        <v>4.4000000000000004</v>
      </c>
      <c r="O9" s="2">
        <v>7.2</v>
      </c>
      <c r="P9" s="2">
        <v>0.61499999999999999</v>
      </c>
      <c r="Q9" s="2">
        <v>0.61499999999999999</v>
      </c>
      <c r="R9" s="2">
        <v>2.8</v>
      </c>
      <c r="S9" s="2">
        <v>3.3</v>
      </c>
      <c r="T9" s="2">
        <v>0.83299999999999996</v>
      </c>
      <c r="U9" s="2">
        <v>4.4000000000000004</v>
      </c>
      <c r="V9" s="2">
        <v>8.9</v>
      </c>
      <c r="W9" s="2">
        <v>13.3</v>
      </c>
      <c r="X9" s="2">
        <v>0</v>
      </c>
      <c r="Y9" s="2">
        <v>0</v>
      </c>
      <c r="Z9" s="2">
        <v>3.3</v>
      </c>
      <c r="AA9" s="2">
        <v>3.3</v>
      </c>
      <c r="AB9" s="2">
        <v>8.3000000000000007</v>
      </c>
      <c r="AC9" s="2">
        <v>11.6</v>
      </c>
      <c r="AD9" s="2">
        <v>108</v>
      </c>
      <c r="AE9" s="2">
        <v>113</v>
      </c>
      <c r="AF9" s="2"/>
    </row>
    <row r="10" spans="1:32" x14ac:dyDescent="0.2">
      <c r="A10" t="s">
        <v>507</v>
      </c>
      <c r="B10" s="2">
        <v>20</v>
      </c>
      <c r="C10" t="s">
        <v>35</v>
      </c>
      <c r="D10" s="2" t="s">
        <v>52</v>
      </c>
      <c r="E10" s="2">
        <v>5</v>
      </c>
      <c r="F10" s="2">
        <v>0</v>
      </c>
      <c r="G10" s="2">
        <v>11</v>
      </c>
      <c r="H10" s="2">
        <v>13.3</v>
      </c>
      <c r="I10" s="2">
        <v>26.6</v>
      </c>
      <c r="J10" s="2">
        <v>0.5</v>
      </c>
      <c r="K10" s="2">
        <v>4.4000000000000004</v>
      </c>
      <c r="L10" s="2">
        <v>4.4000000000000004</v>
      </c>
      <c r="M10" s="2">
        <v>1</v>
      </c>
      <c r="N10" s="2">
        <v>8.9</v>
      </c>
      <c r="O10" s="2">
        <v>22.2</v>
      </c>
      <c r="P10" s="2">
        <v>0.4</v>
      </c>
      <c r="Q10" s="2">
        <v>0.58299999999999996</v>
      </c>
      <c r="R10" s="2">
        <v>0</v>
      </c>
      <c r="S10" s="2">
        <v>0</v>
      </c>
      <c r="T10" s="2"/>
      <c r="U10" s="2">
        <v>0</v>
      </c>
      <c r="V10" s="2">
        <v>8.9</v>
      </c>
      <c r="W10" s="2">
        <v>8.9</v>
      </c>
      <c r="X10" s="2">
        <v>4.4000000000000004</v>
      </c>
      <c r="Y10" s="2">
        <v>0</v>
      </c>
      <c r="Z10" s="2">
        <v>0</v>
      </c>
      <c r="AA10" s="2">
        <v>8.9</v>
      </c>
      <c r="AB10" s="2">
        <v>0</v>
      </c>
      <c r="AC10" s="2">
        <v>31.1</v>
      </c>
      <c r="AD10" s="2">
        <v>85</v>
      </c>
      <c r="AE10" s="2">
        <v>118</v>
      </c>
      <c r="AF10" s="2"/>
    </row>
    <row r="11" spans="1:32" x14ac:dyDescent="0.2">
      <c r="A11" t="s">
        <v>301</v>
      </c>
      <c r="B11" s="2">
        <v>22</v>
      </c>
      <c r="C11" t="s">
        <v>32</v>
      </c>
      <c r="D11" s="2" t="s">
        <v>52</v>
      </c>
      <c r="E11" s="2">
        <v>24</v>
      </c>
      <c r="F11" s="2">
        <v>0</v>
      </c>
      <c r="G11" s="2">
        <v>383</v>
      </c>
      <c r="H11" s="2">
        <v>6.9</v>
      </c>
      <c r="I11" s="2">
        <v>14.4</v>
      </c>
      <c r="J11" s="2">
        <v>0.47799999999999998</v>
      </c>
      <c r="K11" s="2">
        <v>1.6</v>
      </c>
      <c r="L11" s="2">
        <v>3.9</v>
      </c>
      <c r="M11" s="2">
        <v>0.41899999999999998</v>
      </c>
      <c r="N11" s="2">
        <v>5.3</v>
      </c>
      <c r="O11" s="2">
        <v>10.5</v>
      </c>
      <c r="P11" s="2">
        <v>0.5</v>
      </c>
      <c r="Q11" s="2">
        <v>0.53500000000000003</v>
      </c>
      <c r="R11" s="2">
        <v>1.5</v>
      </c>
      <c r="S11" s="2">
        <v>1.9</v>
      </c>
      <c r="T11" s="2">
        <v>0.8</v>
      </c>
      <c r="U11" s="2">
        <v>1.3</v>
      </c>
      <c r="V11" s="2">
        <v>3.3</v>
      </c>
      <c r="W11" s="2">
        <v>4.5</v>
      </c>
      <c r="X11" s="2">
        <v>5.0999999999999996</v>
      </c>
      <c r="Y11" s="2">
        <v>2.6</v>
      </c>
      <c r="Z11" s="2">
        <v>0.3</v>
      </c>
      <c r="AA11" s="2">
        <v>2.4</v>
      </c>
      <c r="AB11" s="2">
        <v>5.4</v>
      </c>
      <c r="AC11" s="2">
        <v>16.899999999999999</v>
      </c>
      <c r="AD11" s="2">
        <v>110</v>
      </c>
      <c r="AE11" s="2">
        <v>107</v>
      </c>
      <c r="AF11" s="2"/>
    </row>
    <row r="12" spans="1:32" x14ac:dyDescent="0.2">
      <c r="A12" t="s">
        <v>255</v>
      </c>
      <c r="B12" s="2">
        <v>38</v>
      </c>
      <c r="C12" t="s">
        <v>39</v>
      </c>
      <c r="D12" s="2" t="s">
        <v>42</v>
      </c>
      <c r="E12" s="2">
        <v>19</v>
      </c>
      <c r="F12" s="2">
        <v>18</v>
      </c>
      <c r="G12" s="2">
        <v>532</v>
      </c>
      <c r="H12" s="2">
        <v>5.9</v>
      </c>
      <c r="I12" s="2">
        <v>12.6</v>
      </c>
      <c r="J12" s="2">
        <v>0.46700000000000003</v>
      </c>
      <c r="K12" s="2">
        <v>3.8</v>
      </c>
      <c r="L12" s="2">
        <v>9.3000000000000007</v>
      </c>
      <c r="M12" s="2">
        <v>0.40600000000000003</v>
      </c>
      <c r="N12" s="2">
        <v>2.1</v>
      </c>
      <c r="O12" s="2">
        <v>3.3</v>
      </c>
      <c r="P12" s="2">
        <v>0.63900000000000001</v>
      </c>
      <c r="Q12" s="2">
        <v>0.61699999999999999</v>
      </c>
      <c r="R12" s="2">
        <v>0.6</v>
      </c>
      <c r="S12" s="2">
        <v>0.6</v>
      </c>
      <c r="T12" s="2">
        <v>1</v>
      </c>
      <c r="U12" s="2">
        <v>1.5</v>
      </c>
      <c r="V12" s="2">
        <v>7.8</v>
      </c>
      <c r="W12" s="2">
        <v>9.3000000000000007</v>
      </c>
      <c r="X12" s="2">
        <v>4</v>
      </c>
      <c r="Y12" s="2">
        <v>1.3</v>
      </c>
      <c r="Z12" s="2">
        <v>1.6</v>
      </c>
      <c r="AA12" s="2">
        <v>1.7</v>
      </c>
      <c r="AB12" s="2">
        <v>2.9</v>
      </c>
      <c r="AC12" s="2">
        <v>16.100000000000001</v>
      </c>
      <c r="AD12" s="2">
        <v>123</v>
      </c>
      <c r="AE12" s="2">
        <v>111</v>
      </c>
      <c r="AF12" s="2"/>
    </row>
    <row r="13" spans="1:32" x14ac:dyDescent="0.2">
      <c r="A13" t="s">
        <v>388</v>
      </c>
      <c r="B13" s="2">
        <v>33</v>
      </c>
      <c r="C13" t="s">
        <v>61</v>
      </c>
      <c r="D13" s="2" t="s">
        <v>52</v>
      </c>
      <c r="E13" s="2">
        <v>12</v>
      </c>
      <c r="F13" s="2">
        <v>0</v>
      </c>
      <c r="G13" s="2">
        <v>181</v>
      </c>
      <c r="H13" s="2">
        <v>5.8</v>
      </c>
      <c r="I13" s="2">
        <v>12.6</v>
      </c>
      <c r="J13" s="2">
        <v>0.45700000000000002</v>
      </c>
      <c r="K13" s="2">
        <v>4.0999999999999996</v>
      </c>
      <c r="L13" s="2">
        <v>8.8000000000000007</v>
      </c>
      <c r="M13" s="2">
        <v>0.46899999999999997</v>
      </c>
      <c r="N13" s="2">
        <v>1.6</v>
      </c>
      <c r="O13" s="2">
        <v>3.8</v>
      </c>
      <c r="P13" s="2">
        <v>0.42899999999999999</v>
      </c>
      <c r="Q13" s="2">
        <v>0.62</v>
      </c>
      <c r="R13" s="2">
        <v>1.6</v>
      </c>
      <c r="S13" s="2">
        <v>2.2000000000000002</v>
      </c>
      <c r="T13" s="2">
        <v>0.75</v>
      </c>
      <c r="U13" s="2">
        <v>1.1000000000000001</v>
      </c>
      <c r="V13" s="2">
        <v>5.2</v>
      </c>
      <c r="W13" s="2">
        <v>6.3</v>
      </c>
      <c r="X13" s="2">
        <v>4.4000000000000004</v>
      </c>
      <c r="Y13" s="2">
        <v>1.6</v>
      </c>
      <c r="Z13" s="2">
        <v>0.8</v>
      </c>
      <c r="AA13" s="2">
        <v>0.5</v>
      </c>
      <c r="AB13" s="2">
        <v>1.4</v>
      </c>
      <c r="AC13" s="2">
        <v>17.3</v>
      </c>
      <c r="AD13" s="2">
        <v>135</v>
      </c>
      <c r="AE13" s="2">
        <v>113</v>
      </c>
      <c r="AF13" s="2"/>
    </row>
    <row r="14" spans="1:32" x14ac:dyDescent="0.2">
      <c r="A14" t="s">
        <v>349</v>
      </c>
      <c r="B14" s="2">
        <v>30</v>
      </c>
      <c r="C14" t="s">
        <v>32</v>
      </c>
      <c r="D14" s="2" t="s">
        <v>52</v>
      </c>
      <c r="E14" s="2">
        <v>16</v>
      </c>
      <c r="F14" s="2">
        <v>0</v>
      </c>
      <c r="G14" s="2">
        <v>320</v>
      </c>
      <c r="H14" s="2">
        <v>5.6</v>
      </c>
      <c r="I14" s="2">
        <v>14.1</v>
      </c>
      <c r="J14" s="2">
        <v>0.39400000000000002</v>
      </c>
      <c r="K14" s="2">
        <v>2.1</v>
      </c>
      <c r="L14" s="2">
        <v>7.7</v>
      </c>
      <c r="M14" s="2">
        <v>0.27500000000000002</v>
      </c>
      <c r="N14" s="2">
        <v>3.5</v>
      </c>
      <c r="O14" s="2">
        <v>6.5</v>
      </c>
      <c r="P14" s="2">
        <v>0.53500000000000003</v>
      </c>
      <c r="Q14" s="2">
        <v>0.46800000000000003</v>
      </c>
      <c r="R14" s="2">
        <v>0.8</v>
      </c>
      <c r="S14" s="2">
        <v>1.1000000000000001</v>
      </c>
      <c r="T14" s="2">
        <v>0.71399999999999997</v>
      </c>
      <c r="U14" s="2">
        <v>1.5</v>
      </c>
      <c r="V14" s="2">
        <v>5.7</v>
      </c>
      <c r="W14" s="2">
        <v>7.2</v>
      </c>
      <c r="X14" s="2">
        <v>5.6</v>
      </c>
      <c r="Y14" s="2">
        <v>4.5</v>
      </c>
      <c r="Z14" s="2">
        <v>1.5</v>
      </c>
      <c r="AA14" s="2">
        <v>2</v>
      </c>
      <c r="AB14" s="2">
        <v>5.4</v>
      </c>
      <c r="AC14" s="2">
        <v>14</v>
      </c>
      <c r="AD14" s="2">
        <v>104</v>
      </c>
      <c r="AE14" s="2">
        <v>100</v>
      </c>
      <c r="AF14" s="2"/>
    </row>
    <row r="15" spans="1:32" x14ac:dyDescent="0.2">
      <c r="A15" t="s">
        <v>556</v>
      </c>
      <c r="B15" s="2">
        <v>24</v>
      </c>
      <c r="C15" t="s">
        <v>32</v>
      </c>
      <c r="D15" s="2" t="s">
        <v>52</v>
      </c>
      <c r="E15" s="2">
        <v>4</v>
      </c>
      <c r="F15" s="2">
        <v>0</v>
      </c>
      <c r="G15" s="2">
        <v>7</v>
      </c>
      <c r="H15" s="2">
        <v>0</v>
      </c>
      <c r="I15" s="2">
        <v>20.6</v>
      </c>
      <c r="J15" s="2">
        <v>0</v>
      </c>
      <c r="K15" s="2">
        <v>0</v>
      </c>
      <c r="L15" s="2">
        <v>13.7</v>
      </c>
      <c r="M15" s="2">
        <v>0</v>
      </c>
      <c r="N15" s="2">
        <v>0</v>
      </c>
      <c r="O15" s="2">
        <v>6.9</v>
      </c>
      <c r="P15" s="2">
        <v>0</v>
      </c>
      <c r="Q15" s="2">
        <v>0</v>
      </c>
      <c r="R15" s="2">
        <v>0</v>
      </c>
      <c r="S15" s="2">
        <v>0</v>
      </c>
      <c r="T15" s="2"/>
      <c r="U15" s="2">
        <v>0</v>
      </c>
      <c r="V15" s="2">
        <v>0</v>
      </c>
      <c r="W15" s="2">
        <v>0</v>
      </c>
      <c r="X15" s="2">
        <v>0</v>
      </c>
      <c r="Y15" s="2">
        <v>0</v>
      </c>
      <c r="Z15" s="2">
        <v>0</v>
      </c>
      <c r="AA15" s="2">
        <v>0</v>
      </c>
      <c r="AB15" s="2">
        <v>0</v>
      </c>
      <c r="AC15" s="2">
        <v>0</v>
      </c>
      <c r="AD15" s="2">
        <v>0</v>
      </c>
      <c r="AE15" s="2">
        <v>116</v>
      </c>
      <c r="AF15" s="2"/>
    </row>
    <row r="16" spans="1:32" x14ac:dyDescent="0.2">
      <c r="A16" t="s">
        <v>450</v>
      </c>
      <c r="B16" s="2">
        <v>31</v>
      </c>
      <c r="C16" t="s">
        <v>37</v>
      </c>
      <c r="D16" s="2" t="s">
        <v>42</v>
      </c>
      <c r="E16" s="2">
        <v>19</v>
      </c>
      <c r="F16" s="2">
        <v>2</v>
      </c>
      <c r="G16" s="2">
        <v>135</v>
      </c>
      <c r="H16" s="2">
        <v>4.3</v>
      </c>
      <c r="I16" s="2">
        <v>7.9</v>
      </c>
      <c r="J16" s="2">
        <v>0.54500000000000004</v>
      </c>
      <c r="K16" s="2">
        <v>0</v>
      </c>
      <c r="L16" s="2">
        <v>1.4</v>
      </c>
      <c r="M16" s="2">
        <v>0</v>
      </c>
      <c r="N16" s="2">
        <v>4.3</v>
      </c>
      <c r="O16" s="2">
        <v>6.5</v>
      </c>
      <c r="P16" s="2">
        <v>0.66700000000000004</v>
      </c>
      <c r="Q16" s="2">
        <v>0.54500000000000004</v>
      </c>
      <c r="R16" s="2">
        <v>0.7</v>
      </c>
      <c r="S16" s="2">
        <v>1.4</v>
      </c>
      <c r="T16" s="2">
        <v>0.5</v>
      </c>
      <c r="U16" s="2">
        <v>3.2</v>
      </c>
      <c r="V16" s="2">
        <v>9</v>
      </c>
      <c r="W16" s="2">
        <v>12.3</v>
      </c>
      <c r="X16" s="2">
        <v>5.8</v>
      </c>
      <c r="Y16" s="2">
        <v>1.1000000000000001</v>
      </c>
      <c r="Z16" s="2">
        <v>4</v>
      </c>
      <c r="AA16" s="2">
        <v>2.2000000000000002</v>
      </c>
      <c r="AB16" s="2">
        <v>5.8</v>
      </c>
      <c r="AC16" s="2">
        <v>9.4</v>
      </c>
      <c r="AD16" s="2">
        <v>118</v>
      </c>
      <c r="AE16" s="2">
        <v>109</v>
      </c>
      <c r="AF16" s="2"/>
    </row>
    <row r="17" spans="1:32" x14ac:dyDescent="0.2">
      <c r="A17" t="s">
        <v>550</v>
      </c>
      <c r="B17" s="2">
        <v>25</v>
      </c>
      <c r="C17" t="s">
        <v>32</v>
      </c>
      <c r="D17" s="2" t="s">
        <v>27</v>
      </c>
      <c r="E17" s="2">
        <v>1</v>
      </c>
      <c r="F17" s="2">
        <v>0</v>
      </c>
      <c r="G17" s="2">
        <v>2</v>
      </c>
      <c r="H17" s="2">
        <v>24</v>
      </c>
      <c r="I17" s="2">
        <v>24</v>
      </c>
      <c r="J17" s="2">
        <v>1</v>
      </c>
      <c r="K17" s="2">
        <v>0</v>
      </c>
      <c r="L17" s="2">
        <v>0</v>
      </c>
      <c r="M17" s="2"/>
      <c r="N17" s="2">
        <v>24</v>
      </c>
      <c r="O17" s="2">
        <v>24</v>
      </c>
      <c r="P17" s="2">
        <v>1</v>
      </c>
      <c r="Q17" s="2">
        <v>1</v>
      </c>
      <c r="R17" s="2">
        <v>0</v>
      </c>
      <c r="S17" s="2">
        <v>0</v>
      </c>
      <c r="T17" s="2"/>
      <c r="U17" s="2">
        <v>24</v>
      </c>
      <c r="V17" s="2">
        <v>0</v>
      </c>
      <c r="W17" s="2">
        <v>24</v>
      </c>
      <c r="X17" s="2">
        <v>0</v>
      </c>
      <c r="Y17" s="2">
        <v>0</v>
      </c>
      <c r="Z17" s="2">
        <v>0</v>
      </c>
      <c r="AA17" s="2">
        <v>0</v>
      </c>
      <c r="AB17" s="2">
        <v>0</v>
      </c>
      <c r="AC17" s="2">
        <v>48.1</v>
      </c>
      <c r="AD17" s="2">
        <v>212</v>
      </c>
      <c r="AE17" s="2">
        <v>116</v>
      </c>
      <c r="AF17" s="2"/>
    </row>
    <row r="18" spans="1:32" x14ac:dyDescent="0.2">
      <c r="A18" t="s">
        <v>222</v>
      </c>
      <c r="B18" s="2">
        <v>19</v>
      </c>
      <c r="C18" t="s">
        <v>114</v>
      </c>
      <c r="D18" s="2" t="s">
        <v>42</v>
      </c>
      <c r="E18" s="2">
        <v>20</v>
      </c>
      <c r="F18" s="2">
        <v>20</v>
      </c>
      <c r="G18" s="2">
        <v>536</v>
      </c>
      <c r="H18" s="2">
        <v>7</v>
      </c>
      <c r="I18" s="2">
        <v>18.2</v>
      </c>
      <c r="J18" s="2">
        <v>0.38300000000000001</v>
      </c>
      <c r="K18" s="2">
        <v>1.9</v>
      </c>
      <c r="L18" s="2">
        <v>7.7</v>
      </c>
      <c r="M18" s="2">
        <v>0.25</v>
      </c>
      <c r="N18" s="2">
        <v>5.0999999999999996</v>
      </c>
      <c r="O18" s="2">
        <v>10.5</v>
      </c>
      <c r="P18" s="2">
        <v>0.47899999999999998</v>
      </c>
      <c r="Q18" s="2">
        <v>0.435</v>
      </c>
      <c r="R18" s="2">
        <v>2.5</v>
      </c>
      <c r="S18" s="2">
        <v>3.8</v>
      </c>
      <c r="T18" s="2">
        <v>0.65900000000000003</v>
      </c>
      <c r="U18" s="2">
        <v>3.7</v>
      </c>
      <c r="V18" s="2">
        <v>7.3</v>
      </c>
      <c r="W18" s="2">
        <v>11</v>
      </c>
      <c r="X18" s="2">
        <v>3.5</v>
      </c>
      <c r="Y18" s="2">
        <v>1.3</v>
      </c>
      <c r="Z18" s="2">
        <v>3.2</v>
      </c>
      <c r="AA18" s="2">
        <v>2.4</v>
      </c>
      <c r="AB18" s="2">
        <v>4.7</v>
      </c>
      <c r="AC18" s="2">
        <v>18.399999999999999</v>
      </c>
      <c r="AD18" s="2">
        <v>97</v>
      </c>
      <c r="AE18" s="2">
        <v>118</v>
      </c>
      <c r="AF18" s="2"/>
    </row>
    <row r="19" spans="1:32" x14ac:dyDescent="0.2">
      <c r="A19" t="s">
        <v>522</v>
      </c>
      <c r="B19" s="2">
        <v>25</v>
      </c>
      <c r="C19" t="s">
        <v>75</v>
      </c>
      <c r="D19" s="2" t="s">
        <v>52</v>
      </c>
      <c r="E19" s="2">
        <v>1</v>
      </c>
      <c r="F19" s="2">
        <v>0</v>
      </c>
      <c r="G19" s="2">
        <v>4</v>
      </c>
      <c r="H19" s="2">
        <v>24.4</v>
      </c>
      <c r="I19" s="2">
        <v>24.4</v>
      </c>
      <c r="J19" s="2">
        <v>1</v>
      </c>
      <c r="K19" s="2">
        <v>12.2</v>
      </c>
      <c r="L19" s="2">
        <v>12.2</v>
      </c>
      <c r="M19" s="2">
        <v>1</v>
      </c>
      <c r="N19" s="2">
        <v>12.2</v>
      </c>
      <c r="O19" s="2">
        <v>12.2</v>
      </c>
      <c r="P19" s="2">
        <v>1</v>
      </c>
      <c r="Q19" s="2">
        <v>1.25</v>
      </c>
      <c r="R19" s="2">
        <v>0</v>
      </c>
      <c r="S19" s="2">
        <v>0</v>
      </c>
      <c r="T19" s="2"/>
      <c r="U19" s="2">
        <v>0</v>
      </c>
      <c r="V19" s="2">
        <v>0</v>
      </c>
      <c r="W19" s="2">
        <v>0</v>
      </c>
      <c r="X19" s="2">
        <v>12.2</v>
      </c>
      <c r="Y19" s="2">
        <v>0</v>
      </c>
      <c r="Z19" s="2">
        <v>0</v>
      </c>
      <c r="AA19" s="2">
        <v>0</v>
      </c>
      <c r="AB19" s="2">
        <v>0</v>
      </c>
      <c r="AC19" s="2">
        <v>61.1</v>
      </c>
      <c r="AD19" s="2">
        <v>246</v>
      </c>
      <c r="AE19" s="2">
        <v>123</v>
      </c>
      <c r="AF19" s="2"/>
    </row>
    <row r="20" spans="1:32" x14ac:dyDescent="0.2">
      <c r="A20" t="s">
        <v>90</v>
      </c>
      <c r="B20" s="2">
        <v>22</v>
      </c>
      <c r="C20" t="s">
        <v>87</v>
      </c>
      <c r="D20" s="2" t="s">
        <v>42</v>
      </c>
      <c r="E20" s="2">
        <v>25</v>
      </c>
      <c r="F20" s="2">
        <v>25</v>
      </c>
      <c r="G20" s="2">
        <v>776</v>
      </c>
      <c r="H20" s="2">
        <v>11.3</v>
      </c>
      <c r="I20" s="2">
        <v>23.8</v>
      </c>
      <c r="J20" s="2">
        <v>0.47599999999999998</v>
      </c>
      <c r="K20" s="2">
        <v>0.6</v>
      </c>
      <c r="L20" s="2">
        <v>2.2999999999999998</v>
      </c>
      <c r="M20" s="2">
        <v>0.24299999999999999</v>
      </c>
      <c r="N20" s="2">
        <v>10.8</v>
      </c>
      <c r="O20" s="2">
        <v>21.5</v>
      </c>
      <c r="P20" s="2">
        <v>0.501</v>
      </c>
      <c r="Q20" s="2">
        <v>0.48799999999999999</v>
      </c>
      <c r="R20" s="2">
        <v>6.1</v>
      </c>
      <c r="S20" s="2">
        <v>7.9</v>
      </c>
      <c r="T20" s="2">
        <v>0.77200000000000002</v>
      </c>
      <c r="U20" s="2">
        <v>5.3</v>
      </c>
      <c r="V20" s="2">
        <v>11.2</v>
      </c>
      <c r="W20" s="2">
        <v>16.5</v>
      </c>
      <c r="X20" s="2">
        <v>8.3000000000000007</v>
      </c>
      <c r="Y20" s="2">
        <v>1.9</v>
      </c>
      <c r="Z20" s="2">
        <v>1.6</v>
      </c>
      <c r="AA20" s="2">
        <v>3.5</v>
      </c>
      <c r="AB20" s="2">
        <v>4.0999999999999996</v>
      </c>
      <c r="AC20" s="2">
        <v>29.4</v>
      </c>
      <c r="AD20" s="2">
        <v>117</v>
      </c>
      <c r="AE20" s="2">
        <v>102</v>
      </c>
      <c r="AF20" s="2"/>
    </row>
    <row r="21" spans="1:32" x14ac:dyDescent="0.2">
      <c r="A21" t="s">
        <v>158</v>
      </c>
      <c r="B21" s="2">
        <v>22</v>
      </c>
      <c r="C21" t="s">
        <v>87</v>
      </c>
      <c r="D21" s="2" t="s">
        <v>49</v>
      </c>
      <c r="E21" s="2">
        <v>25</v>
      </c>
      <c r="F21" s="2">
        <v>2</v>
      </c>
      <c r="G21" s="2">
        <v>675</v>
      </c>
      <c r="H21" s="2">
        <v>8</v>
      </c>
      <c r="I21" s="2">
        <v>14.4</v>
      </c>
      <c r="J21" s="2">
        <v>0.55200000000000005</v>
      </c>
      <c r="K21" s="2">
        <v>0.6</v>
      </c>
      <c r="L21" s="2">
        <v>2.1</v>
      </c>
      <c r="M21" s="2">
        <v>0.3</v>
      </c>
      <c r="N21" s="2">
        <v>7.3</v>
      </c>
      <c r="O21" s="2">
        <v>12.3</v>
      </c>
      <c r="P21" s="2">
        <v>0.59599999999999997</v>
      </c>
      <c r="Q21" s="2">
        <v>0.57499999999999996</v>
      </c>
      <c r="R21" s="2">
        <v>4.7</v>
      </c>
      <c r="S21" s="2">
        <v>6.7</v>
      </c>
      <c r="T21" s="2">
        <v>0.69899999999999995</v>
      </c>
      <c r="U21" s="2">
        <v>4</v>
      </c>
      <c r="V21" s="2">
        <v>8.5</v>
      </c>
      <c r="W21" s="2">
        <v>12.5</v>
      </c>
      <c r="X21" s="2">
        <v>3.7</v>
      </c>
      <c r="Y21" s="2">
        <v>2</v>
      </c>
      <c r="Z21" s="2">
        <v>1.7</v>
      </c>
      <c r="AA21" s="2">
        <v>3.1</v>
      </c>
      <c r="AB21" s="2">
        <v>4.2</v>
      </c>
      <c r="AC21" s="2">
        <v>21.2</v>
      </c>
      <c r="AD21" s="2">
        <v>119</v>
      </c>
      <c r="AE21" s="2">
        <v>103</v>
      </c>
      <c r="AF21" s="2"/>
    </row>
    <row r="22" spans="1:32" x14ac:dyDescent="0.2">
      <c r="A22" t="s">
        <v>195</v>
      </c>
      <c r="B22" s="2">
        <v>27</v>
      </c>
      <c r="C22" t="s">
        <v>77</v>
      </c>
      <c r="D22" s="2" t="s">
        <v>52</v>
      </c>
      <c r="E22" s="2">
        <v>24</v>
      </c>
      <c r="F22" s="2">
        <v>7</v>
      </c>
      <c r="G22" s="2">
        <v>576</v>
      </c>
      <c r="H22" s="2">
        <v>7.4</v>
      </c>
      <c r="I22" s="2">
        <v>15.1</v>
      </c>
      <c r="J22" s="2">
        <v>0.48599999999999999</v>
      </c>
      <c r="K22" s="2">
        <v>3.4</v>
      </c>
      <c r="L22" s="2">
        <v>8</v>
      </c>
      <c r="M22" s="2">
        <v>0.43</v>
      </c>
      <c r="N22" s="2">
        <v>3.9</v>
      </c>
      <c r="O22" s="2">
        <v>7.2</v>
      </c>
      <c r="P22" s="2">
        <v>0.54800000000000004</v>
      </c>
      <c r="Q22" s="2">
        <v>0.59899999999999998</v>
      </c>
      <c r="R22" s="2">
        <v>2.8</v>
      </c>
      <c r="S22" s="2">
        <v>3.3</v>
      </c>
      <c r="T22" s="2">
        <v>0.84599999999999997</v>
      </c>
      <c r="U22" s="2">
        <v>1.3</v>
      </c>
      <c r="V22" s="2">
        <v>4</v>
      </c>
      <c r="W22" s="2">
        <v>5.3</v>
      </c>
      <c r="X22" s="2">
        <v>2.7</v>
      </c>
      <c r="Y22" s="2">
        <v>1.2</v>
      </c>
      <c r="Z22" s="2">
        <v>0.1</v>
      </c>
      <c r="AA22" s="2">
        <v>1.5</v>
      </c>
      <c r="AB22" s="2">
        <v>2.9</v>
      </c>
      <c r="AC22" s="2">
        <v>21</v>
      </c>
      <c r="AD22" s="2">
        <v>125</v>
      </c>
      <c r="AE22" s="2">
        <v>114</v>
      </c>
      <c r="AF22" s="2"/>
    </row>
    <row r="23" spans="1:32" x14ac:dyDescent="0.2">
      <c r="A23" t="s">
        <v>284</v>
      </c>
      <c r="B23" s="2">
        <v>31</v>
      </c>
      <c r="C23" t="s">
        <v>122</v>
      </c>
      <c r="D23" s="2" t="s">
        <v>42</v>
      </c>
      <c r="E23" s="2">
        <v>19</v>
      </c>
      <c r="F23" s="2">
        <v>12</v>
      </c>
      <c r="G23" s="2">
        <v>380</v>
      </c>
      <c r="H23" s="2">
        <v>7.7</v>
      </c>
      <c r="I23" s="2">
        <v>15</v>
      </c>
      <c r="J23" s="2">
        <v>0.51800000000000002</v>
      </c>
      <c r="K23" s="2">
        <v>0.1</v>
      </c>
      <c r="L23" s="2">
        <v>0.8</v>
      </c>
      <c r="M23" s="2">
        <v>0.16700000000000001</v>
      </c>
      <c r="N23" s="2">
        <v>7.6</v>
      </c>
      <c r="O23" s="2">
        <v>14.2</v>
      </c>
      <c r="P23" s="2">
        <v>0.53700000000000003</v>
      </c>
      <c r="Q23" s="2">
        <v>0.52200000000000002</v>
      </c>
      <c r="R23" s="2">
        <v>3.8</v>
      </c>
      <c r="S23" s="2">
        <v>6.7</v>
      </c>
      <c r="T23" s="2">
        <v>0.56899999999999995</v>
      </c>
      <c r="U23" s="2">
        <v>7.3</v>
      </c>
      <c r="V23" s="2">
        <v>13.3</v>
      </c>
      <c r="W23" s="2">
        <v>20.6</v>
      </c>
      <c r="X23" s="2">
        <v>1.3</v>
      </c>
      <c r="Y23" s="2">
        <v>3.4</v>
      </c>
      <c r="Z23" s="2">
        <v>1</v>
      </c>
      <c r="AA23" s="2">
        <v>4.3</v>
      </c>
      <c r="AB23" s="2">
        <v>6.2</v>
      </c>
      <c r="AC23" s="2">
        <v>19.399999999999999</v>
      </c>
      <c r="AD23" s="2">
        <v>103</v>
      </c>
      <c r="AE23" s="2">
        <v>105</v>
      </c>
      <c r="AF23" s="2"/>
    </row>
    <row r="24" spans="1:32" x14ac:dyDescent="0.2">
      <c r="A24" t="s">
        <v>361</v>
      </c>
      <c r="B24" s="2">
        <v>23</v>
      </c>
      <c r="C24" t="s">
        <v>35</v>
      </c>
      <c r="D24" s="2" t="s">
        <v>52</v>
      </c>
      <c r="E24" s="2">
        <v>23</v>
      </c>
      <c r="F24" s="2">
        <v>15</v>
      </c>
      <c r="G24" s="2">
        <v>407</v>
      </c>
      <c r="H24" s="2">
        <v>3.8</v>
      </c>
      <c r="I24" s="2">
        <v>9.5</v>
      </c>
      <c r="J24" s="2">
        <v>0.40500000000000003</v>
      </c>
      <c r="K24" s="2">
        <v>1.8</v>
      </c>
      <c r="L24" s="2">
        <v>4.9000000000000004</v>
      </c>
      <c r="M24" s="2">
        <v>0.36599999999999999</v>
      </c>
      <c r="N24" s="2">
        <v>2</v>
      </c>
      <c r="O24" s="2">
        <v>4.5999999999999996</v>
      </c>
      <c r="P24" s="2">
        <v>0.44700000000000001</v>
      </c>
      <c r="Q24" s="2">
        <v>0.5</v>
      </c>
      <c r="R24" s="2">
        <v>0.5</v>
      </c>
      <c r="S24" s="2">
        <v>1</v>
      </c>
      <c r="T24" s="2">
        <v>0.5</v>
      </c>
      <c r="U24" s="2">
        <v>1.9</v>
      </c>
      <c r="V24" s="2">
        <v>6.1</v>
      </c>
      <c r="W24" s="2">
        <v>8</v>
      </c>
      <c r="X24" s="2">
        <v>3.6</v>
      </c>
      <c r="Y24" s="2">
        <v>2</v>
      </c>
      <c r="Z24" s="2">
        <v>0.8</v>
      </c>
      <c r="AA24" s="2">
        <v>3.7</v>
      </c>
      <c r="AB24" s="2">
        <v>7</v>
      </c>
      <c r="AC24" s="2">
        <v>10</v>
      </c>
      <c r="AD24" s="2">
        <v>90</v>
      </c>
      <c r="AE24" s="2">
        <v>113</v>
      </c>
      <c r="AF24" s="2"/>
    </row>
    <row r="25" spans="1:32" x14ac:dyDescent="0.2">
      <c r="A25" t="s">
        <v>356</v>
      </c>
      <c r="B25" s="2">
        <v>25</v>
      </c>
      <c r="C25" t="s">
        <v>82</v>
      </c>
      <c r="D25" s="2" t="s">
        <v>52</v>
      </c>
      <c r="E25" s="2">
        <v>11</v>
      </c>
      <c r="F25" s="2">
        <v>11</v>
      </c>
      <c r="G25" s="2">
        <v>272</v>
      </c>
      <c r="H25" s="2">
        <v>6</v>
      </c>
      <c r="I25" s="2">
        <v>13.8</v>
      </c>
      <c r="J25" s="2">
        <v>0.436</v>
      </c>
      <c r="K25" s="2">
        <v>1.2</v>
      </c>
      <c r="L25" s="2">
        <v>4.0999999999999996</v>
      </c>
      <c r="M25" s="2">
        <v>0.30399999999999999</v>
      </c>
      <c r="N25" s="2">
        <v>4.8</v>
      </c>
      <c r="O25" s="2">
        <v>9.6999999999999993</v>
      </c>
      <c r="P25" s="2">
        <v>0.49099999999999999</v>
      </c>
      <c r="Q25" s="2">
        <v>0.48099999999999998</v>
      </c>
      <c r="R25" s="2">
        <v>2.5</v>
      </c>
      <c r="S25" s="2">
        <v>2.8</v>
      </c>
      <c r="T25" s="2">
        <v>0.875</v>
      </c>
      <c r="U25" s="2">
        <v>0.4</v>
      </c>
      <c r="V25" s="2">
        <v>4.2</v>
      </c>
      <c r="W25" s="2">
        <v>4.5999999999999996</v>
      </c>
      <c r="X25" s="2">
        <v>8.5</v>
      </c>
      <c r="Y25" s="2">
        <v>2.1</v>
      </c>
      <c r="Z25" s="2">
        <v>0</v>
      </c>
      <c r="AA25" s="2">
        <v>3</v>
      </c>
      <c r="AB25" s="2">
        <v>3.7</v>
      </c>
      <c r="AC25" s="2">
        <v>15.7</v>
      </c>
      <c r="AD25" s="2">
        <v>107</v>
      </c>
      <c r="AE25" s="2">
        <v>119</v>
      </c>
      <c r="AF25" s="2"/>
    </row>
    <row r="26" spans="1:32" x14ac:dyDescent="0.2">
      <c r="A26" t="s">
        <v>137</v>
      </c>
      <c r="B26" s="2">
        <v>29</v>
      </c>
      <c r="C26" t="s">
        <v>100</v>
      </c>
      <c r="D26" s="2" t="s">
        <v>49</v>
      </c>
      <c r="E26" s="2">
        <v>20</v>
      </c>
      <c r="F26" s="2">
        <v>20</v>
      </c>
      <c r="G26" s="2">
        <v>572</v>
      </c>
      <c r="H26" s="2">
        <v>9.6999999999999993</v>
      </c>
      <c r="I26" s="2">
        <v>21.1</v>
      </c>
      <c r="J26" s="2">
        <v>0.46</v>
      </c>
      <c r="K26" s="2">
        <v>3.7</v>
      </c>
      <c r="L26" s="2">
        <v>8.6</v>
      </c>
      <c r="M26" s="2">
        <v>0.42699999999999999</v>
      </c>
      <c r="N26" s="2">
        <v>6</v>
      </c>
      <c r="O26" s="2">
        <v>12.5</v>
      </c>
      <c r="P26" s="2">
        <v>0.48299999999999998</v>
      </c>
      <c r="Q26" s="2">
        <v>0.54800000000000004</v>
      </c>
      <c r="R26" s="2">
        <v>5.6</v>
      </c>
      <c r="S26" s="2">
        <v>7.3</v>
      </c>
      <c r="T26" s="2">
        <v>0.77</v>
      </c>
      <c r="U26" s="2">
        <v>2.6</v>
      </c>
      <c r="V26" s="2">
        <v>4.8</v>
      </c>
      <c r="W26" s="2">
        <v>7.4</v>
      </c>
      <c r="X26" s="2">
        <v>3.9</v>
      </c>
      <c r="Y26" s="2">
        <v>1.6</v>
      </c>
      <c r="Z26" s="2">
        <v>1.2</v>
      </c>
      <c r="AA26" s="2">
        <v>1.9</v>
      </c>
      <c r="AB26" s="2">
        <v>3</v>
      </c>
      <c r="AC26" s="2">
        <v>28.8</v>
      </c>
      <c r="AD26" s="2">
        <v>121</v>
      </c>
      <c r="AE26" s="2">
        <v>110</v>
      </c>
      <c r="AF26" s="2"/>
    </row>
    <row r="27" spans="1:32" x14ac:dyDescent="0.2">
      <c r="A27" t="s">
        <v>134</v>
      </c>
      <c r="B27" s="2">
        <v>25</v>
      </c>
      <c r="C27" t="s">
        <v>135</v>
      </c>
      <c r="D27" s="2" t="s">
        <v>52</v>
      </c>
      <c r="E27" s="2">
        <v>21</v>
      </c>
      <c r="F27" s="2">
        <v>21</v>
      </c>
      <c r="G27" s="2">
        <v>636</v>
      </c>
      <c r="H27" s="2">
        <v>9.1999999999999993</v>
      </c>
      <c r="I27" s="2">
        <v>23</v>
      </c>
      <c r="J27" s="2">
        <v>0.40100000000000002</v>
      </c>
      <c r="K27" s="2">
        <v>3.8</v>
      </c>
      <c r="L27" s="2">
        <v>11.7</v>
      </c>
      <c r="M27" s="2">
        <v>0.32300000000000001</v>
      </c>
      <c r="N27" s="2">
        <v>5.5</v>
      </c>
      <c r="O27" s="2">
        <v>11.3</v>
      </c>
      <c r="P27" s="2">
        <v>0.48299999999999998</v>
      </c>
      <c r="Q27" s="2">
        <v>0.48399999999999999</v>
      </c>
      <c r="R27" s="2">
        <v>3.9</v>
      </c>
      <c r="S27" s="2">
        <v>4.4000000000000004</v>
      </c>
      <c r="T27" s="2">
        <v>0.89700000000000002</v>
      </c>
      <c r="U27" s="2">
        <v>0.5</v>
      </c>
      <c r="V27" s="2">
        <v>3.6</v>
      </c>
      <c r="W27" s="2">
        <v>4.0999999999999996</v>
      </c>
      <c r="X27" s="2">
        <v>7</v>
      </c>
      <c r="Y27" s="2">
        <v>1.3</v>
      </c>
      <c r="Z27" s="2">
        <v>0.2</v>
      </c>
      <c r="AA27" s="2">
        <v>3.9</v>
      </c>
      <c r="AB27" s="2">
        <v>3</v>
      </c>
      <c r="AC27" s="2">
        <v>26.2</v>
      </c>
      <c r="AD27" s="2">
        <v>105</v>
      </c>
      <c r="AE27" s="2">
        <v>121</v>
      </c>
      <c r="AF27" s="2"/>
    </row>
    <row r="28" spans="1:32" x14ac:dyDescent="0.2">
      <c r="A28" t="s">
        <v>212</v>
      </c>
      <c r="B28" s="2">
        <v>21</v>
      </c>
      <c r="C28" t="s">
        <v>48</v>
      </c>
      <c r="D28" s="2" t="s">
        <v>33</v>
      </c>
      <c r="E28" s="4">
        <v>27</v>
      </c>
      <c r="F28" s="2">
        <v>1</v>
      </c>
      <c r="G28" s="2">
        <v>655</v>
      </c>
      <c r="H28" s="2">
        <v>6</v>
      </c>
      <c r="I28" s="2">
        <v>14.3</v>
      </c>
      <c r="J28" s="2">
        <v>0.42099999999999999</v>
      </c>
      <c r="K28" s="2">
        <v>1.2</v>
      </c>
      <c r="L28" s="2">
        <v>4.9000000000000004</v>
      </c>
      <c r="M28" s="2">
        <v>0.246</v>
      </c>
      <c r="N28" s="2">
        <v>4.8</v>
      </c>
      <c r="O28" s="2">
        <v>9.4</v>
      </c>
      <c r="P28" s="2">
        <v>0.51200000000000001</v>
      </c>
      <c r="Q28" s="2">
        <v>0.46300000000000002</v>
      </c>
      <c r="R28" s="2">
        <v>3.6</v>
      </c>
      <c r="S28" s="2">
        <v>5.0999999999999996</v>
      </c>
      <c r="T28" s="2">
        <v>0.70599999999999996</v>
      </c>
      <c r="U28" s="2">
        <v>1.1000000000000001</v>
      </c>
      <c r="V28" s="2">
        <v>4.7</v>
      </c>
      <c r="W28" s="2">
        <v>5.8</v>
      </c>
      <c r="X28" s="2">
        <v>7.8</v>
      </c>
      <c r="Y28" s="2">
        <v>2</v>
      </c>
      <c r="Z28" s="2">
        <v>1.7</v>
      </c>
      <c r="AA28" s="2">
        <v>4.7</v>
      </c>
      <c r="AB28" s="2">
        <v>4.3</v>
      </c>
      <c r="AC28" s="2">
        <v>16.899999999999999</v>
      </c>
      <c r="AD28" s="2">
        <v>97</v>
      </c>
      <c r="AE28" s="2">
        <v>108</v>
      </c>
      <c r="AF28" s="2"/>
    </row>
    <row r="29" spans="1:32" x14ac:dyDescent="0.2">
      <c r="A29" t="s">
        <v>40</v>
      </c>
      <c r="B29" s="2">
        <v>31</v>
      </c>
      <c r="C29" t="s">
        <v>41</v>
      </c>
      <c r="D29" s="2" t="s">
        <v>42</v>
      </c>
      <c r="E29" s="2">
        <v>23</v>
      </c>
      <c r="F29" s="2">
        <v>23</v>
      </c>
      <c r="G29" s="2">
        <v>813</v>
      </c>
      <c r="H29" s="2">
        <v>13.7</v>
      </c>
      <c r="I29" s="2">
        <v>25.8</v>
      </c>
      <c r="J29" s="2">
        <v>0.52900000000000003</v>
      </c>
      <c r="K29" s="2">
        <v>1</v>
      </c>
      <c r="L29" s="2">
        <v>3</v>
      </c>
      <c r="M29" s="2">
        <v>0.32</v>
      </c>
      <c r="N29" s="2">
        <v>12.7</v>
      </c>
      <c r="O29" s="2">
        <v>22.8</v>
      </c>
      <c r="P29" s="2">
        <v>0.55700000000000005</v>
      </c>
      <c r="Q29" s="2">
        <v>0.54800000000000004</v>
      </c>
      <c r="R29" s="4">
        <v>9.8000000000000007</v>
      </c>
      <c r="S29" s="2">
        <v>12.2</v>
      </c>
      <c r="T29" s="2">
        <v>0.79800000000000004</v>
      </c>
      <c r="U29" s="2">
        <v>3.4</v>
      </c>
      <c r="V29" s="2">
        <v>12.1</v>
      </c>
      <c r="W29" s="2">
        <v>15.5</v>
      </c>
      <c r="X29" s="2">
        <v>4.8</v>
      </c>
      <c r="Y29" s="2">
        <v>1.7</v>
      </c>
      <c r="Z29" s="2">
        <v>2.8</v>
      </c>
      <c r="AA29" s="2">
        <v>2.8</v>
      </c>
      <c r="AB29" s="2">
        <v>2.8</v>
      </c>
      <c r="AC29" s="2">
        <v>38.1</v>
      </c>
      <c r="AD29" s="2">
        <v>122</v>
      </c>
      <c r="AE29" s="2">
        <v>112</v>
      </c>
      <c r="AF29" s="2"/>
    </row>
    <row r="30" spans="1:32" x14ac:dyDescent="0.2">
      <c r="A30" t="s">
        <v>50</v>
      </c>
      <c r="B30" s="2">
        <v>23</v>
      </c>
      <c r="C30" t="s">
        <v>51</v>
      </c>
      <c r="D30" s="2" t="s">
        <v>52</v>
      </c>
      <c r="E30" s="2">
        <v>23</v>
      </c>
      <c r="F30" s="2">
        <v>23</v>
      </c>
      <c r="G30" s="2">
        <v>836</v>
      </c>
      <c r="H30" s="2">
        <v>12.4</v>
      </c>
      <c r="I30" s="2">
        <v>27.4</v>
      </c>
      <c r="J30" s="2">
        <v>0.45300000000000001</v>
      </c>
      <c r="K30" s="2">
        <v>6.1</v>
      </c>
      <c r="L30" s="2">
        <v>14.2</v>
      </c>
      <c r="M30" s="2">
        <v>0.42699999999999999</v>
      </c>
      <c r="N30" s="2">
        <v>6.4</v>
      </c>
      <c r="O30" s="2">
        <v>13.2</v>
      </c>
      <c r="P30" s="2">
        <v>0.48</v>
      </c>
      <c r="Q30" s="2">
        <v>0.56299999999999994</v>
      </c>
      <c r="R30" s="2">
        <v>4.8</v>
      </c>
      <c r="S30" s="2">
        <v>5.9</v>
      </c>
      <c r="T30" s="2">
        <v>0.81200000000000006</v>
      </c>
      <c r="U30" s="2">
        <v>0.8</v>
      </c>
      <c r="V30" s="2">
        <v>6.5</v>
      </c>
      <c r="W30" s="2">
        <v>7.3</v>
      </c>
      <c r="X30" s="2">
        <v>5.5</v>
      </c>
      <c r="Y30" s="2">
        <v>1.9</v>
      </c>
      <c r="Z30" s="2">
        <v>0.8</v>
      </c>
      <c r="AA30" s="2">
        <v>4.2</v>
      </c>
      <c r="AB30" s="2">
        <v>2.7</v>
      </c>
      <c r="AC30" s="2">
        <v>35.700000000000003</v>
      </c>
      <c r="AD30" s="2">
        <v>111</v>
      </c>
      <c r="AE30" s="2">
        <v>109</v>
      </c>
      <c r="AF30" s="2"/>
    </row>
    <row r="31" spans="1:32" x14ac:dyDescent="0.2">
      <c r="A31" t="s">
        <v>414</v>
      </c>
      <c r="B31" s="2">
        <v>32</v>
      </c>
      <c r="C31" t="s">
        <v>114</v>
      </c>
      <c r="D31" s="2" t="s">
        <v>27</v>
      </c>
      <c r="E31" s="2">
        <v>17</v>
      </c>
      <c r="F31" s="2">
        <v>0</v>
      </c>
      <c r="G31" s="2">
        <v>131</v>
      </c>
      <c r="H31" s="2">
        <v>5.3</v>
      </c>
      <c r="I31" s="2">
        <v>10</v>
      </c>
      <c r="J31" s="2">
        <v>0.53600000000000003</v>
      </c>
      <c r="K31" s="2">
        <v>1.4</v>
      </c>
      <c r="L31" s="2">
        <v>3.2</v>
      </c>
      <c r="M31" s="2">
        <v>0.44400000000000001</v>
      </c>
      <c r="N31" s="2">
        <v>3.9</v>
      </c>
      <c r="O31" s="2">
        <v>6.8</v>
      </c>
      <c r="P31" s="2">
        <v>0.57899999999999996</v>
      </c>
      <c r="Q31" s="2">
        <v>0.60699999999999998</v>
      </c>
      <c r="R31" s="2">
        <v>3.6</v>
      </c>
      <c r="S31" s="2">
        <v>6.4</v>
      </c>
      <c r="T31" s="2">
        <v>0.55600000000000005</v>
      </c>
      <c r="U31" s="2">
        <v>1.8</v>
      </c>
      <c r="V31" s="2">
        <v>6.1</v>
      </c>
      <c r="W31" s="2">
        <v>7.8</v>
      </c>
      <c r="X31" s="2">
        <v>2.1</v>
      </c>
      <c r="Y31" s="2">
        <v>1.8</v>
      </c>
      <c r="Z31" s="2">
        <v>0.4</v>
      </c>
      <c r="AA31" s="2">
        <v>1.4</v>
      </c>
      <c r="AB31" s="2">
        <v>3.2</v>
      </c>
      <c r="AC31" s="2">
        <v>15.7</v>
      </c>
      <c r="AD31" s="2">
        <v>119</v>
      </c>
      <c r="AE31" s="2">
        <v>121</v>
      </c>
      <c r="AF31" s="2"/>
    </row>
    <row r="32" spans="1:32" x14ac:dyDescent="0.2">
      <c r="A32" t="s">
        <v>386</v>
      </c>
      <c r="B32" s="2">
        <v>24</v>
      </c>
      <c r="C32" t="s">
        <v>117</v>
      </c>
      <c r="D32" s="2" t="s">
        <v>52</v>
      </c>
      <c r="E32" s="2">
        <v>14</v>
      </c>
      <c r="F32" s="2">
        <v>0</v>
      </c>
      <c r="G32" s="2">
        <v>138</v>
      </c>
      <c r="H32" s="2">
        <v>8.9</v>
      </c>
      <c r="I32" s="2">
        <v>22.3</v>
      </c>
      <c r="J32" s="2">
        <v>0.39700000000000002</v>
      </c>
      <c r="K32" s="2">
        <v>2.8</v>
      </c>
      <c r="L32" s="2">
        <v>11</v>
      </c>
      <c r="M32" s="2">
        <v>0.25800000000000001</v>
      </c>
      <c r="N32" s="2">
        <v>6</v>
      </c>
      <c r="O32" s="2">
        <v>11.3</v>
      </c>
      <c r="P32" s="2">
        <v>0.53100000000000003</v>
      </c>
      <c r="Q32" s="2">
        <v>0.46</v>
      </c>
      <c r="R32" s="2">
        <v>2.1</v>
      </c>
      <c r="S32" s="2">
        <v>2.5</v>
      </c>
      <c r="T32" s="2">
        <v>0.85699999999999998</v>
      </c>
      <c r="U32" s="2">
        <v>1.8</v>
      </c>
      <c r="V32" s="2">
        <v>4.2</v>
      </c>
      <c r="W32" s="2">
        <v>6</v>
      </c>
      <c r="X32" s="2">
        <v>2.5</v>
      </c>
      <c r="Y32" s="2">
        <v>1.8</v>
      </c>
      <c r="Z32" s="2">
        <v>0</v>
      </c>
      <c r="AA32" s="2">
        <v>1.4</v>
      </c>
      <c r="AB32" s="2">
        <v>2.5</v>
      </c>
      <c r="AC32" s="2">
        <v>22.7</v>
      </c>
      <c r="AD32" s="2">
        <v>102</v>
      </c>
      <c r="AE32" s="2">
        <v>122</v>
      </c>
      <c r="AF32" s="2"/>
    </row>
    <row r="33" spans="1:32" x14ac:dyDescent="0.2">
      <c r="A33" t="s">
        <v>463</v>
      </c>
      <c r="B33" s="2">
        <v>22</v>
      </c>
      <c r="C33" t="s">
        <v>44</v>
      </c>
      <c r="D33" s="2" t="s">
        <v>42</v>
      </c>
      <c r="E33" s="2">
        <v>11</v>
      </c>
      <c r="F33" s="2">
        <v>0</v>
      </c>
      <c r="G33" s="2">
        <v>97</v>
      </c>
      <c r="H33" s="2">
        <v>4.5999999999999996</v>
      </c>
      <c r="I33" s="2">
        <v>7.1</v>
      </c>
      <c r="J33" s="2">
        <v>0.64300000000000002</v>
      </c>
      <c r="K33" s="2">
        <v>0</v>
      </c>
      <c r="L33" s="2">
        <v>0</v>
      </c>
      <c r="M33" s="2"/>
      <c r="N33" s="2">
        <v>4.5999999999999996</v>
      </c>
      <c r="O33" s="2">
        <v>7.1</v>
      </c>
      <c r="P33" s="2">
        <v>0.64300000000000002</v>
      </c>
      <c r="Q33" s="2">
        <v>0.64300000000000002</v>
      </c>
      <c r="R33" s="2">
        <v>1.5</v>
      </c>
      <c r="S33" s="2">
        <v>3.1</v>
      </c>
      <c r="T33" s="2">
        <v>0.5</v>
      </c>
      <c r="U33" s="2">
        <v>1.5</v>
      </c>
      <c r="V33" s="2">
        <v>8.6999999999999993</v>
      </c>
      <c r="W33" s="2">
        <v>10.199999999999999</v>
      </c>
      <c r="X33" s="2">
        <v>3.1</v>
      </c>
      <c r="Y33" s="2">
        <v>0</v>
      </c>
      <c r="Z33" s="2">
        <v>4.0999999999999996</v>
      </c>
      <c r="AA33" s="2">
        <v>4.5999999999999996</v>
      </c>
      <c r="AB33" s="2">
        <v>7.1</v>
      </c>
      <c r="AC33" s="2">
        <v>10.7</v>
      </c>
      <c r="AD33" s="2">
        <v>92</v>
      </c>
      <c r="AE33" s="2">
        <v>113</v>
      </c>
      <c r="AF33" s="2"/>
    </row>
    <row r="34" spans="1:32" x14ac:dyDescent="0.2">
      <c r="A34" t="s">
        <v>494</v>
      </c>
      <c r="B34" s="2">
        <v>22</v>
      </c>
      <c r="C34" t="s">
        <v>41</v>
      </c>
      <c r="D34" s="2" t="s">
        <v>49</v>
      </c>
      <c r="E34" s="2">
        <v>8</v>
      </c>
      <c r="F34" s="2">
        <v>0</v>
      </c>
      <c r="G34" s="2">
        <v>61</v>
      </c>
      <c r="H34" s="2">
        <v>4</v>
      </c>
      <c r="I34" s="2">
        <v>14.4</v>
      </c>
      <c r="J34" s="2">
        <v>0.27800000000000002</v>
      </c>
      <c r="K34" s="2">
        <v>0</v>
      </c>
      <c r="L34" s="2">
        <v>5.6</v>
      </c>
      <c r="M34" s="2">
        <v>0</v>
      </c>
      <c r="N34" s="2">
        <v>4</v>
      </c>
      <c r="O34" s="2">
        <v>8.8000000000000007</v>
      </c>
      <c r="P34" s="2">
        <v>0.45500000000000002</v>
      </c>
      <c r="Q34" s="2">
        <v>0.27800000000000002</v>
      </c>
      <c r="R34" s="2">
        <v>1.6</v>
      </c>
      <c r="S34" s="2">
        <v>5.6</v>
      </c>
      <c r="T34" s="2">
        <v>0.28599999999999998</v>
      </c>
      <c r="U34" s="2">
        <v>0.8</v>
      </c>
      <c r="V34" s="2">
        <v>10.4</v>
      </c>
      <c r="W34" s="2">
        <v>11.2</v>
      </c>
      <c r="X34" s="2">
        <v>0.8</v>
      </c>
      <c r="Y34" s="2">
        <v>3.2</v>
      </c>
      <c r="Z34" s="2">
        <v>1.6</v>
      </c>
      <c r="AA34" s="2">
        <v>1.6</v>
      </c>
      <c r="AB34" s="2">
        <v>4.8</v>
      </c>
      <c r="AC34" s="2">
        <v>9.6</v>
      </c>
      <c r="AD34" s="2">
        <v>60</v>
      </c>
      <c r="AE34" s="2">
        <v>111</v>
      </c>
      <c r="AF34" s="2"/>
    </row>
    <row r="35" spans="1:32" x14ac:dyDescent="0.2">
      <c r="A35" t="s">
        <v>430</v>
      </c>
      <c r="B35" s="2">
        <v>22</v>
      </c>
      <c r="C35" t="s">
        <v>75</v>
      </c>
      <c r="D35" s="2" t="s">
        <v>49</v>
      </c>
      <c r="E35" s="2">
        <v>6</v>
      </c>
      <c r="F35" s="2">
        <v>1</v>
      </c>
      <c r="G35" s="2">
        <v>90</v>
      </c>
      <c r="H35" s="2">
        <v>7.6</v>
      </c>
      <c r="I35" s="2">
        <v>19</v>
      </c>
      <c r="J35" s="2">
        <v>0.4</v>
      </c>
      <c r="K35" s="2">
        <v>1.6</v>
      </c>
      <c r="L35" s="2">
        <v>5.4</v>
      </c>
      <c r="M35" s="2">
        <v>0.3</v>
      </c>
      <c r="N35" s="2">
        <v>6</v>
      </c>
      <c r="O35" s="2">
        <v>13.6</v>
      </c>
      <c r="P35" s="2">
        <v>0.44</v>
      </c>
      <c r="Q35" s="2">
        <v>0.443</v>
      </c>
      <c r="R35" s="2">
        <v>1.6</v>
      </c>
      <c r="S35" s="2">
        <v>3.8</v>
      </c>
      <c r="T35" s="2">
        <v>0.42899999999999999</v>
      </c>
      <c r="U35" s="2">
        <v>3.8</v>
      </c>
      <c r="V35" s="2">
        <v>6</v>
      </c>
      <c r="W35" s="2">
        <v>9.8000000000000007</v>
      </c>
      <c r="X35" s="2">
        <v>7.6</v>
      </c>
      <c r="Y35" s="2">
        <v>1.1000000000000001</v>
      </c>
      <c r="Z35" s="2">
        <v>1.6</v>
      </c>
      <c r="AA35" s="2">
        <v>4.9000000000000004</v>
      </c>
      <c r="AB35" s="2">
        <v>7.1</v>
      </c>
      <c r="AC35" s="2">
        <v>18.5</v>
      </c>
      <c r="AD35" s="2">
        <v>93</v>
      </c>
      <c r="AE35" s="2">
        <v>114</v>
      </c>
      <c r="AF35" s="2"/>
    </row>
    <row r="36" spans="1:32" x14ac:dyDescent="0.2">
      <c r="A36" t="s">
        <v>148</v>
      </c>
      <c r="B36" s="2">
        <v>26</v>
      </c>
      <c r="C36" t="s">
        <v>41</v>
      </c>
      <c r="D36" s="2" t="s">
        <v>52</v>
      </c>
      <c r="E36" s="2">
        <v>19</v>
      </c>
      <c r="F36" s="2">
        <v>19</v>
      </c>
      <c r="G36" s="2">
        <v>641</v>
      </c>
      <c r="H36" s="2">
        <v>8.4</v>
      </c>
      <c r="I36" s="2">
        <v>19.100000000000001</v>
      </c>
      <c r="J36" s="2">
        <v>0.44</v>
      </c>
      <c r="K36" s="2">
        <v>3.8</v>
      </c>
      <c r="L36" s="2">
        <v>10.8</v>
      </c>
      <c r="M36" s="2">
        <v>0.35499999999999998</v>
      </c>
      <c r="N36" s="2">
        <v>4.5999999999999996</v>
      </c>
      <c r="O36" s="2">
        <v>8.3000000000000007</v>
      </c>
      <c r="P36" s="2">
        <v>0.55000000000000004</v>
      </c>
      <c r="Q36" s="2">
        <v>0.54</v>
      </c>
      <c r="R36" s="2">
        <v>3.7</v>
      </c>
      <c r="S36" s="2">
        <v>4.7</v>
      </c>
      <c r="T36" s="2">
        <v>0.77400000000000002</v>
      </c>
      <c r="U36" s="2">
        <v>1.1000000000000001</v>
      </c>
      <c r="V36" s="2">
        <v>4</v>
      </c>
      <c r="W36" s="2">
        <v>5.0999999999999996</v>
      </c>
      <c r="X36" s="2">
        <v>7</v>
      </c>
      <c r="Y36" s="2">
        <v>1.5</v>
      </c>
      <c r="Z36" s="2">
        <v>0.3</v>
      </c>
      <c r="AA36" s="2">
        <v>3.3</v>
      </c>
      <c r="AB36" s="2">
        <v>3.1</v>
      </c>
      <c r="AC36" s="2">
        <v>24.3</v>
      </c>
      <c r="AD36" s="2">
        <v>111</v>
      </c>
      <c r="AE36" s="2">
        <v>120</v>
      </c>
      <c r="AF36" s="2"/>
    </row>
    <row r="37" spans="1:32" x14ac:dyDescent="0.2">
      <c r="A37" t="s">
        <v>149</v>
      </c>
      <c r="B37" s="2">
        <v>25</v>
      </c>
      <c r="C37" t="s">
        <v>70</v>
      </c>
      <c r="D37" s="2" t="s">
        <v>52</v>
      </c>
      <c r="E37" s="2">
        <v>25</v>
      </c>
      <c r="F37" s="2">
        <v>12</v>
      </c>
      <c r="G37" s="2">
        <v>748</v>
      </c>
      <c r="H37" s="2">
        <v>7.5</v>
      </c>
      <c r="I37" s="2">
        <v>14.9</v>
      </c>
      <c r="J37" s="2">
        <v>0.502</v>
      </c>
      <c r="K37" s="2">
        <v>2</v>
      </c>
      <c r="L37" s="2">
        <v>6.1</v>
      </c>
      <c r="M37" s="2">
        <v>0.32300000000000001</v>
      </c>
      <c r="N37" s="2">
        <v>5.5</v>
      </c>
      <c r="O37" s="2">
        <v>8.9</v>
      </c>
      <c r="P37" s="2">
        <v>0.625</v>
      </c>
      <c r="Q37" s="2">
        <v>0.56799999999999995</v>
      </c>
      <c r="R37" s="2">
        <v>2.5</v>
      </c>
      <c r="S37" s="2">
        <v>3.1</v>
      </c>
      <c r="T37" s="2">
        <v>0.82</v>
      </c>
      <c r="U37" s="2">
        <v>1</v>
      </c>
      <c r="V37" s="2">
        <v>4.8</v>
      </c>
      <c r="W37" s="2">
        <v>5.8</v>
      </c>
      <c r="X37" s="2">
        <v>7</v>
      </c>
      <c r="Y37" s="2">
        <v>1</v>
      </c>
      <c r="Z37" s="2">
        <v>0.7</v>
      </c>
      <c r="AA37" s="2">
        <v>2</v>
      </c>
      <c r="AB37" s="2">
        <v>3.6</v>
      </c>
      <c r="AC37" s="2">
        <v>19.5</v>
      </c>
      <c r="AD37" s="2">
        <v>122</v>
      </c>
      <c r="AE37" s="2">
        <v>120</v>
      </c>
      <c r="AF37" s="2"/>
    </row>
    <row r="38" spans="1:32" x14ac:dyDescent="0.2">
      <c r="A38" t="s">
        <v>125</v>
      </c>
      <c r="B38" s="2">
        <v>27</v>
      </c>
      <c r="C38" t="s">
        <v>61</v>
      </c>
      <c r="D38" s="2" t="s">
        <v>42</v>
      </c>
      <c r="E38" s="2">
        <v>23</v>
      </c>
      <c r="F38" s="2">
        <v>23</v>
      </c>
      <c r="G38" s="2">
        <v>799</v>
      </c>
      <c r="H38" s="2">
        <v>8.8000000000000007</v>
      </c>
      <c r="I38" s="2">
        <v>20</v>
      </c>
      <c r="J38" s="2">
        <v>0.441</v>
      </c>
      <c r="K38" s="2">
        <v>1.4</v>
      </c>
      <c r="L38" s="2">
        <v>4.0999999999999996</v>
      </c>
      <c r="M38" s="2">
        <v>0.33300000000000002</v>
      </c>
      <c r="N38" s="2">
        <v>7.4</v>
      </c>
      <c r="O38" s="2">
        <v>15.9</v>
      </c>
      <c r="P38" s="2">
        <v>0.46899999999999997</v>
      </c>
      <c r="Q38" s="2">
        <v>0.47499999999999998</v>
      </c>
      <c r="R38" s="2">
        <v>4.2</v>
      </c>
      <c r="S38" s="2">
        <v>5.8</v>
      </c>
      <c r="T38" s="2">
        <v>0.72</v>
      </c>
      <c r="U38" s="2">
        <v>3.7</v>
      </c>
      <c r="V38" s="2">
        <v>11</v>
      </c>
      <c r="W38" s="2">
        <v>14.8</v>
      </c>
      <c r="X38" s="2">
        <v>7.4</v>
      </c>
      <c r="Y38" s="2">
        <v>2.1</v>
      </c>
      <c r="Z38" s="2">
        <v>1.1000000000000001</v>
      </c>
      <c r="AA38" s="2">
        <v>2.7</v>
      </c>
      <c r="AB38" s="2">
        <v>2.9</v>
      </c>
      <c r="AC38" s="2">
        <v>23.1</v>
      </c>
      <c r="AD38" s="2">
        <v>113</v>
      </c>
      <c r="AE38" s="2">
        <v>108</v>
      </c>
      <c r="AF38" s="2"/>
    </row>
    <row r="39" spans="1:32" x14ac:dyDescent="0.2">
      <c r="A39" t="s">
        <v>532</v>
      </c>
      <c r="B39" s="2">
        <v>24</v>
      </c>
      <c r="C39" t="s">
        <v>39</v>
      </c>
      <c r="D39" s="2" t="s">
        <v>52</v>
      </c>
      <c r="E39" s="2">
        <v>5</v>
      </c>
      <c r="F39" s="2">
        <v>0</v>
      </c>
      <c r="G39" s="2">
        <v>34</v>
      </c>
      <c r="H39" s="2">
        <v>1.4</v>
      </c>
      <c r="I39" s="2">
        <v>14.4</v>
      </c>
      <c r="J39" s="2">
        <v>0.1</v>
      </c>
      <c r="K39" s="2">
        <v>0</v>
      </c>
      <c r="L39" s="2">
        <v>8.6</v>
      </c>
      <c r="M39" s="2">
        <v>0</v>
      </c>
      <c r="N39" s="2">
        <v>1.4</v>
      </c>
      <c r="O39" s="2">
        <v>5.8</v>
      </c>
      <c r="P39" s="2">
        <v>0.25</v>
      </c>
      <c r="Q39" s="2">
        <v>0.1</v>
      </c>
      <c r="R39" s="2">
        <v>2.9</v>
      </c>
      <c r="S39" s="2">
        <v>2.9</v>
      </c>
      <c r="T39" s="2">
        <v>1</v>
      </c>
      <c r="U39" s="2">
        <v>2.9</v>
      </c>
      <c r="V39" s="2">
        <v>7.2</v>
      </c>
      <c r="W39" s="2">
        <v>10.1</v>
      </c>
      <c r="X39" s="2">
        <v>2.9</v>
      </c>
      <c r="Y39" s="2">
        <v>1.4</v>
      </c>
      <c r="Z39" s="2">
        <v>0</v>
      </c>
      <c r="AA39" s="2">
        <v>0</v>
      </c>
      <c r="AB39" s="2">
        <v>4.3</v>
      </c>
      <c r="AC39" s="2">
        <v>5.8</v>
      </c>
      <c r="AD39" s="2">
        <v>68</v>
      </c>
      <c r="AE39" s="2">
        <v>113</v>
      </c>
      <c r="AF39" s="2"/>
    </row>
    <row r="40" spans="1:32" x14ac:dyDescent="0.2">
      <c r="A40" t="s">
        <v>371</v>
      </c>
      <c r="B40" s="2">
        <v>23</v>
      </c>
      <c r="C40" t="s">
        <v>82</v>
      </c>
      <c r="D40" s="2" t="s">
        <v>52</v>
      </c>
      <c r="E40" s="2">
        <v>13</v>
      </c>
      <c r="F40" s="2">
        <v>5</v>
      </c>
      <c r="G40" s="2">
        <v>272</v>
      </c>
      <c r="H40" s="2">
        <v>4.9000000000000004</v>
      </c>
      <c r="I40" s="2">
        <v>11.6</v>
      </c>
      <c r="J40" s="2">
        <v>0.42399999999999999</v>
      </c>
      <c r="K40" s="2">
        <v>3.3</v>
      </c>
      <c r="L40" s="2">
        <v>8.3000000000000007</v>
      </c>
      <c r="M40" s="2">
        <v>0.40400000000000003</v>
      </c>
      <c r="N40" s="2">
        <v>1.6</v>
      </c>
      <c r="O40" s="2">
        <v>3.3</v>
      </c>
      <c r="P40" s="2">
        <v>0.47399999999999998</v>
      </c>
      <c r="Q40" s="2">
        <v>0.56799999999999995</v>
      </c>
      <c r="R40" s="2">
        <v>0</v>
      </c>
      <c r="S40" s="2">
        <v>0</v>
      </c>
      <c r="T40" s="2"/>
      <c r="U40" s="2">
        <v>0.9</v>
      </c>
      <c r="V40" s="2">
        <v>4.2</v>
      </c>
      <c r="W40" s="2">
        <v>5.0999999999999996</v>
      </c>
      <c r="X40" s="2">
        <v>3</v>
      </c>
      <c r="Y40" s="2">
        <v>0.9</v>
      </c>
      <c r="Z40" s="2">
        <v>0.7</v>
      </c>
      <c r="AA40" s="2">
        <v>0.9</v>
      </c>
      <c r="AB40" s="2">
        <v>5.8</v>
      </c>
      <c r="AC40" s="2">
        <v>13.2</v>
      </c>
      <c r="AD40" s="2">
        <v>115</v>
      </c>
      <c r="AE40" s="2">
        <v>121</v>
      </c>
      <c r="AF40" s="2"/>
    </row>
    <row r="41" spans="1:32" x14ac:dyDescent="0.2">
      <c r="A41" t="s">
        <v>347</v>
      </c>
      <c r="B41" s="2">
        <v>28</v>
      </c>
      <c r="C41" t="s">
        <v>103</v>
      </c>
      <c r="D41" s="2" t="s">
        <v>33</v>
      </c>
      <c r="E41" s="2">
        <v>18</v>
      </c>
      <c r="F41" s="2">
        <v>13</v>
      </c>
      <c r="G41" s="2">
        <v>425</v>
      </c>
      <c r="H41" s="2">
        <v>5.3</v>
      </c>
      <c r="I41" s="2">
        <v>8.6999999999999993</v>
      </c>
      <c r="J41" s="2">
        <v>0.60799999999999998</v>
      </c>
      <c r="K41" s="2">
        <v>0</v>
      </c>
      <c r="L41" s="2">
        <v>0</v>
      </c>
      <c r="M41" s="2"/>
      <c r="N41" s="2">
        <v>5.3</v>
      </c>
      <c r="O41" s="2">
        <v>8.6999999999999993</v>
      </c>
      <c r="P41" s="2">
        <v>0.60799999999999998</v>
      </c>
      <c r="Q41" s="2">
        <v>0.60799999999999998</v>
      </c>
      <c r="R41" s="2">
        <v>0.5</v>
      </c>
      <c r="S41" s="2">
        <v>0.9</v>
      </c>
      <c r="T41" s="2">
        <v>0.5</v>
      </c>
      <c r="U41" s="2">
        <v>2.1</v>
      </c>
      <c r="V41" s="2">
        <v>9.8000000000000007</v>
      </c>
      <c r="W41" s="2">
        <v>11.9</v>
      </c>
      <c r="X41" s="2">
        <v>13.5</v>
      </c>
      <c r="Y41" s="2">
        <v>1.8</v>
      </c>
      <c r="Z41" s="2">
        <v>1.3</v>
      </c>
      <c r="AA41" s="2">
        <v>5.0999999999999996</v>
      </c>
      <c r="AB41" s="2">
        <v>5.6</v>
      </c>
      <c r="AC41" s="2">
        <v>11</v>
      </c>
      <c r="AD41" s="2">
        <v>114</v>
      </c>
      <c r="AE41" s="2">
        <v>114</v>
      </c>
      <c r="AF41" s="2"/>
    </row>
    <row r="42" spans="1:32" x14ac:dyDescent="0.2">
      <c r="A42" t="s">
        <v>94</v>
      </c>
      <c r="B42" s="2">
        <v>22</v>
      </c>
      <c r="C42" t="s">
        <v>82</v>
      </c>
      <c r="D42" s="2" t="s">
        <v>52</v>
      </c>
      <c r="E42" s="2">
        <v>25</v>
      </c>
      <c r="F42" s="2">
        <v>20</v>
      </c>
      <c r="G42" s="2">
        <v>818</v>
      </c>
      <c r="H42" s="2">
        <v>8.6</v>
      </c>
      <c r="I42" s="2">
        <v>18.3</v>
      </c>
      <c r="J42" s="2">
        <v>0.47099999999999997</v>
      </c>
      <c r="K42" s="2">
        <v>2.2999999999999998</v>
      </c>
      <c r="L42" s="2">
        <v>5.9</v>
      </c>
      <c r="M42" s="2">
        <v>0.39</v>
      </c>
      <c r="N42" s="2">
        <v>6.3</v>
      </c>
      <c r="O42" s="2">
        <v>12.4</v>
      </c>
      <c r="P42" s="2">
        <v>0.50900000000000001</v>
      </c>
      <c r="Q42" s="2">
        <v>0.53400000000000003</v>
      </c>
      <c r="R42" s="2">
        <v>6.5</v>
      </c>
      <c r="S42" s="2">
        <v>7.7</v>
      </c>
      <c r="T42" s="2">
        <v>0.84699999999999998</v>
      </c>
      <c r="U42" s="2">
        <v>1.8</v>
      </c>
      <c r="V42" s="2">
        <v>7.4</v>
      </c>
      <c r="W42" s="2">
        <v>9.3000000000000007</v>
      </c>
      <c r="X42" s="2">
        <v>2.5</v>
      </c>
      <c r="Y42" s="2">
        <v>1</v>
      </c>
      <c r="Z42" s="2">
        <v>0.5</v>
      </c>
      <c r="AA42" s="2">
        <v>3.1</v>
      </c>
      <c r="AB42" s="2">
        <v>3.6</v>
      </c>
      <c r="AC42" s="2">
        <v>26</v>
      </c>
      <c r="AD42" s="2">
        <v>112</v>
      </c>
      <c r="AE42" s="2">
        <v>119</v>
      </c>
      <c r="AF42" s="2"/>
    </row>
    <row r="43" spans="1:32" x14ac:dyDescent="0.2">
      <c r="A43" t="s">
        <v>192</v>
      </c>
      <c r="B43" s="2">
        <v>20</v>
      </c>
      <c r="C43" t="s">
        <v>114</v>
      </c>
      <c r="D43" s="2" t="s">
        <v>49</v>
      </c>
      <c r="E43" s="2">
        <v>21</v>
      </c>
      <c r="F43" s="2">
        <v>21</v>
      </c>
      <c r="G43" s="2">
        <v>726</v>
      </c>
      <c r="H43" s="2">
        <v>5.7</v>
      </c>
      <c r="I43" s="2">
        <v>13.1</v>
      </c>
      <c r="J43" s="2">
        <v>0.433</v>
      </c>
      <c r="K43" s="2">
        <v>1.2</v>
      </c>
      <c r="L43" s="2">
        <v>4.4000000000000004</v>
      </c>
      <c r="M43" s="2">
        <v>0.26500000000000001</v>
      </c>
      <c r="N43" s="2">
        <v>4.5</v>
      </c>
      <c r="O43" s="2">
        <v>8.6999999999999993</v>
      </c>
      <c r="P43" s="2">
        <v>0.51900000000000002</v>
      </c>
      <c r="Q43" s="2">
        <v>0.47799999999999998</v>
      </c>
      <c r="R43" s="2">
        <v>3.5</v>
      </c>
      <c r="S43" s="2">
        <v>4.4000000000000004</v>
      </c>
      <c r="T43" s="2">
        <v>0.78300000000000003</v>
      </c>
      <c r="U43" s="2">
        <v>2.1</v>
      </c>
      <c r="V43" s="2">
        <v>5.0999999999999996</v>
      </c>
      <c r="W43" s="2">
        <v>7.3</v>
      </c>
      <c r="X43" s="2">
        <v>4.2</v>
      </c>
      <c r="Y43" s="2">
        <v>2.1</v>
      </c>
      <c r="Z43" s="2">
        <v>1</v>
      </c>
      <c r="AA43" s="2">
        <v>2.6</v>
      </c>
      <c r="AB43" s="2">
        <v>3.5</v>
      </c>
      <c r="AC43" s="2">
        <v>16</v>
      </c>
      <c r="AD43" s="2">
        <v>106</v>
      </c>
      <c r="AE43" s="2">
        <v>121</v>
      </c>
      <c r="AF43" s="2"/>
    </row>
    <row r="44" spans="1:32" x14ac:dyDescent="0.2">
      <c r="A44" t="s">
        <v>372</v>
      </c>
      <c r="B44" s="2">
        <v>21</v>
      </c>
      <c r="C44" t="s">
        <v>93</v>
      </c>
      <c r="D44" s="2" t="s">
        <v>52</v>
      </c>
      <c r="E44" s="2">
        <v>19</v>
      </c>
      <c r="F44" s="2">
        <v>0</v>
      </c>
      <c r="G44" s="2">
        <v>212</v>
      </c>
      <c r="H44" s="2">
        <v>6.7</v>
      </c>
      <c r="I44" s="2">
        <v>15.1</v>
      </c>
      <c r="J44" s="2">
        <v>0.439</v>
      </c>
      <c r="K44" s="2">
        <v>0.9</v>
      </c>
      <c r="L44" s="2">
        <v>4.5999999999999996</v>
      </c>
      <c r="M44" s="2">
        <v>0.2</v>
      </c>
      <c r="N44" s="2">
        <v>5.7</v>
      </c>
      <c r="O44" s="2">
        <v>10.5</v>
      </c>
      <c r="P44" s="2">
        <v>0.54300000000000004</v>
      </c>
      <c r="Q44" s="2">
        <v>0.47</v>
      </c>
      <c r="R44" s="2">
        <v>3</v>
      </c>
      <c r="S44" s="2">
        <v>4.4000000000000004</v>
      </c>
      <c r="T44" s="2">
        <v>0.68400000000000005</v>
      </c>
      <c r="U44" s="2">
        <v>1.1000000000000001</v>
      </c>
      <c r="V44" s="2">
        <v>2.2999999999999998</v>
      </c>
      <c r="W44" s="2">
        <v>3.4</v>
      </c>
      <c r="X44" s="2">
        <v>6.4</v>
      </c>
      <c r="Y44" s="2">
        <v>1.8</v>
      </c>
      <c r="Z44" s="2">
        <v>0.2</v>
      </c>
      <c r="AA44" s="2">
        <v>4.5999999999999996</v>
      </c>
      <c r="AB44" s="2">
        <v>2.5</v>
      </c>
      <c r="AC44" s="2">
        <v>17.2</v>
      </c>
      <c r="AD44" s="2">
        <v>94</v>
      </c>
      <c r="AE44" s="2">
        <v>118</v>
      </c>
      <c r="AF44" s="2"/>
    </row>
    <row r="45" spans="1:32" x14ac:dyDescent="0.2">
      <c r="A45" t="s">
        <v>152</v>
      </c>
      <c r="B45" s="2">
        <v>29</v>
      </c>
      <c r="C45" t="s">
        <v>35</v>
      </c>
      <c r="D45" s="2" t="s">
        <v>27</v>
      </c>
      <c r="E45" s="2">
        <v>23</v>
      </c>
      <c r="F45" s="2">
        <v>1</v>
      </c>
      <c r="G45" s="2">
        <v>555</v>
      </c>
      <c r="H45" s="2">
        <v>11.2</v>
      </c>
      <c r="I45" s="2">
        <v>23.4</v>
      </c>
      <c r="J45" s="2">
        <v>0.47699999999999998</v>
      </c>
      <c r="K45" s="2">
        <v>2.6</v>
      </c>
      <c r="L45" s="2">
        <v>6.7</v>
      </c>
      <c r="M45" s="2">
        <v>0.38200000000000001</v>
      </c>
      <c r="N45" s="2">
        <v>8.6</v>
      </c>
      <c r="O45" s="2">
        <v>16.7</v>
      </c>
      <c r="P45" s="2">
        <v>0.51600000000000001</v>
      </c>
      <c r="Q45" s="2">
        <v>0.53200000000000003</v>
      </c>
      <c r="R45" s="2">
        <v>1.8</v>
      </c>
      <c r="S45" s="2">
        <v>2.6</v>
      </c>
      <c r="T45" s="2">
        <v>0.72399999999999998</v>
      </c>
      <c r="U45" s="2">
        <v>3.7</v>
      </c>
      <c r="V45" s="2">
        <v>11.7</v>
      </c>
      <c r="W45" s="2">
        <v>15.4</v>
      </c>
      <c r="X45" s="2">
        <v>3.3</v>
      </c>
      <c r="Y45" s="2">
        <v>1.1000000000000001</v>
      </c>
      <c r="Z45" s="2">
        <v>1.2</v>
      </c>
      <c r="AA45" s="2">
        <v>2.5</v>
      </c>
      <c r="AB45" s="2">
        <v>3</v>
      </c>
      <c r="AC45" s="2">
        <v>26.7</v>
      </c>
      <c r="AD45" s="2">
        <v>109</v>
      </c>
      <c r="AE45" s="2">
        <v>112</v>
      </c>
      <c r="AF45" s="2"/>
    </row>
    <row r="46" spans="1:32" x14ac:dyDescent="0.2">
      <c r="A46" t="s">
        <v>303</v>
      </c>
      <c r="B46" s="2">
        <v>32</v>
      </c>
      <c r="C46" t="s">
        <v>72</v>
      </c>
      <c r="D46" s="2" t="s">
        <v>52</v>
      </c>
      <c r="E46" s="2">
        <v>11</v>
      </c>
      <c r="F46" s="2">
        <v>0</v>
      </c>
      <c r="G46" s="2">
        <v>277</v>
      </c>
      <c r="H46" s="2">
        <v>7.5</v>
      </c>
      <c r="I46" s="2">
        <v>18.8</v>
      </c>
      <c r="J46" s="2">
        <v>0.40200000000000002</v>
      </c>
      <c r="K46" s="2">
        <v>4.2</v>
      </c>
      <c r="L46" s="2">
        <v>12.6</v>
      </c>
      <c r="M46" s="2">
        <v>0.33300000000000002</v>
      </c>
      <c r="N46" s="2">
        <v>3.3</v>
      </c>
      <c r="O46" s="2">
        <v>6.2</v>
      </c>
      <c r="P46" s="2">
        <v>0.54100000000000004</v>
      </c>
      <c r="Q46" s="2">
        <v>0.51300000000000001</v>
      </c>
      <c r="R46" s="2">
        <v>2.7</v>
      </c>
      <c r="S46" s="2">
        <v>2.8</v>
      </c>
      <c r="T46" s="2">
        <v>0.94099999999999995</v>
      </c>
      <c r="U46" s="2">
        <v>1.3</v>
      </c>
      <c r="V46" s="2">
        <v>5.2</v>
      </c>
      <c r="W46" s="2">
        <v>6.5</v>
      </c>
      <c r="X46" s="2">
        <v>3.9</v>
      </c>
      <c r="Y46" s="2">
        <v>1.8</v>
      </c>
      <c r="Z46" s="2">
        <v>0.7</v>
      </c>
      <c r="AA46" s="2">
        <v>3.2</v>
      </c>
      <c r="AB46" s="2">
        <v>5</v>
      </c>
      <c r="AC46" s="2">
        <v>21.9</v>
      </c>
      <c r="AD46" s="2">
        <v>105</v>
      </c>
      <c r="AE46" s="2">
        <v>116</v>
      </c>
      <c r="AF46" s="2"/>
    </row>
    <row r="47" spans="1:32" x14ac:dyDescent="0.2">
      <c r="A47" t="s">
        <v>456</v>
      </c>
      <c r="B47" s="2">
        <v>25</v>
      </c>
      <c r="C47" t="s">
        <v>54</v>
      </c>
      <c r="D47" s="2" t="s">
        <v>27</v>
      </c>
      <c r="E47" s="2">
        <v>7</v>
      </c>
      <c r="F47" s="2">
        <v>0</v>
      </c>
      <c r="G47" s="2">
        <v>37</v>
      </c>
      <c r="H47" s="2">
        <v>12</v>
      </c>
      <c r="I47" s="2">
        <v>20</v>
      </c>
      <c r="J47" s="2">
        <v>0.6</v>
      </c>
      <c r="K47" s="2">
        <v>1.3</v>
      </c>
      <c r="L47" s="2">
        <v>6.7</v>
      </c>
      <c r="M47" s="2">
        <v>0.2</v>
      </c>
      <c r="N47" s="2">
        <v>10.6</v>
      </c>
      <c r="O47" s="2">
        <v>13.3</v>
      </c>
      <c r="P47" s="2">
        <v>0.8</v>
      </c>
      <c r="Q47" s="2">
        <v>0.63300000000000001</v>
      </c>
      <c r="R47" s="2">
        <v>5.3</v>
      </c>
      <c r="S47" s="2">
        <v>8</v>
      </c>
      <c r="T47" s="2">
        <v>0.66700000000000004</v>
      </c>
      <c r="U47" s="2">
        <v>5.3</v>
      </c>
      <c r="V47" s="2">
        <v>9.3000000000000007</v>
      </c>
      <c r="W47" s="2">
        <v>14.6</v>
      </c>
      <c r="X47" s="2">
        <v>1.3</v>
      </c>
      <c r="Y47" s="2">
        <v>0</v>
      </c>
      <c r="Z47" s="2">
        <v>0</v>
      </c>
      <c r="AA47" s="2">
        <v>4</v>
      </c>
      <c r="AB47" s="2">
        <v>1.3</v>
      </c>
      <c r="AC47" s="2">
        <v>30.6</v>
      </c>
      <c r="AD47" s="2">
        <v>115</v>
      </c>
      <c r="AE47" s="2">
        <v>119</v>
      </c>
      <c r="AF47" s="2"/>
    </row>
    <row r="48" spans="1:32" x14ac:dyDescent="0.2">
      <c r="A48" t="s">
        <v>368</v>
      </c>
      <c r="B48" s="2">
        <v>24</v>
      </c>
      <c r="C48" t="s">
        <v>77</v>
      </c>
      <c r="D48" s="2" t="s">
        <v>33</v>
      </c>
      <c r="E48" s="2">
        <v>10</v>
      </c>
      <c r="F48" s="2">
        <v>0</v>
      </c>
      <c r="G48" s="2">
        <v>104</v>
      </c>
      <c r="H48" s="2">
        <v>10.9</v>
      </c>
      <c r="I48" s="2">
        <v>27.9</v>
      </c>
      <c r="J48" s="2">
        <v>0.39</v>
      </c>
      <c r="K48" s="2">
        <v>8.5</v>
      </c>
      <c r="L48" s="2">
        <v>19.399999999999999</v>
      </c>
      <c r="M48" s="2">
        <v>0.439</v>
      </c>
      <c r="N48" s="2">
        <v>2.4</v>
      </c>
      <c r="O48" s="2">
        <v>8.5</v>
      </c>
      <c r="P48" s="2">
        <v>0.27800000000000002</v>
      </c>
      <c r="Q48" s="2">
        <v>0.54200000000000004</v>
      </c>
      <c r="R48" s="2">
        <v>6.2</v>
      </c>
      <c r="S48" s="2">
        <v>7.1</v>
      </c>
      <c r="T48" s="2">
        <v>0.86699999999999999</v>
      </c>
      <c r="U48" s="2">
        <v>1.4</v>
      </c>
      <c r="V48" s="2">
        <v>4.7</v>
      </c>
      <c r="W48" s="2">
        <v>6.2</v>
      </c>
      <c r="X48" s="2">
        <v>4.7</v>
      </c>
      <c r="Y48" s="2">
        <v>3.3</v>
      </c>
      <c r="Z48" s="2">
        <v>0.9</v>
      </c>
      <c r="AA48" s="2">
        <v>5.2</v>
      </c>
      <c r="AB48" s="2">
        <v>6.2</v>
      </c>
      <c r="AC48" s="2">
        <v>36.5</v>
      </c>
      <c r="AD48" s="2">
        <v>108</v>
      </c>
      <c r="AE48" s="2">
        <v>108</v>
      </c>
      <c r="AF48" s="2"/>
    </row>
    <row r="49" spans="1:32" x14ac:dyDescent="0.2">
      <c r="A49" t="s">
        <v>182</v>
      </c>
      <c r="B49" s="2">
        <v>31</v>
      </c>
      <c r="C49" t="s">
        <v>54</v>
      </c>
      <c r="D49" s="2" t="s">
        <v>52</v>
      </c>
      <c r="E49" s="2">
        <v>15</v>
      </c>
      <c r="F49" s="2">
        <v>15</v>
      </c>
      <c r="G49" s="2">
        <v>502</v>
      </c>
      <c r="H49" s="2">
        <v>10</v>
      </c>
      <c r="I49" s="2">
        <v>20.3</v>
      </c>
      <c r="J49" s="2">
        <v>0.49299999999999999</v>
      </c>
      <c r="K49" s="2">
        <v>3</v>
      </c>
      <c r="L49" s="2">
        <v>8.4</v>
      </c>
      <c r="M49" s="2">
        <v>0.36</v>
      </c>
      <c r="N49" s="2">
        <v>7</v>
      </c>
      <c r="O49" s="2">
        <v>11.9</v>
      </c>
      <c r="P49" s="2">
        <v>0.58699999999999997</v>
      </c>
      <c r="Q49" s="2">
        <v>0.56799999999999995</v>
      </c>
      <c r="R49" s="2">
        <v>3.1</v>
      </c>
      <c r="S49" s="2">
        <v>3.9</v>
      </c>
      <c r="T49" s="2">
        <v>0.8</v>
      </c>
      <c r="U49" s="2">
        <v>1</v>
      </c>
      <c r="V49" s="2">
        <v>5.2</v>
      </c>
      <c r="W49" s="2">
        <v>6.2</v>
      </c>
      <c r="X49" s="2">
        <v>4.8</v>
      </c>
      <c r="Y49" s="2">
        <v>1.7</v>
      </c>
      <c r="Z49" s="2">
        <v>1.1000000000000001</v>
      </c>
      <c r="AA49" s="2">
        <v>3.3</v>
      </c>
      <c r="AB49" s="2">
        <v>4.3</v>
      </c>
      <c r="AC49" s="2">
        <v>26.2</v>
      </c>
      <c r="AD49" s="2">
        <v>110</v>
      </c>
      <c r="AE49" s="2">
        <v>116</v>
      </c>
      <c r="AF49" s="2"/>
    </row>
    <row r="50" spans="1:32" x14ac:dyDescent="0.2">
      <c r="A50" t="s">
        <v>523</v>
      </c>
      <c r="B50" s="2">
        <v>25</v>
      </c>
      <c r="C50" t="s">
        <v>32</v>
      </c>
      <c r="D50" s="2" t="s">
        <v>42</v>
      </c>
      <c r="E50" s="2">
        <v>5</v>
      </c>
      <c r="F50" s="2">
        <v>0</v>
      </c>
      <c r="G50" s="2">
        <v>18</v>
      </c>
      <c r="H50" s="2">
        <v>2.7</v>
      </c>
      <c r="I50" s="2">
        <v>18.7</v>
      </c>
      <c r="J50" s="2">
        <v>0.14299999999999999</v>
      </c>
      <c r="K50" s="2">
        <v>0</v>
      </c>
      <c r="L50" s="2">
        <v>13.4</v>
      </c>
      <c r="M50" s="2">
        <v>0</v>
      </c>
      <c r="N50" s="2">
        <v>2.7</v>
      </c>
      <c r="O50" s="2">
        <v>5.3</v>
      </c>
      <c r="P50" s="2">
        <v>0.5</v>
      </c>
      <c r="Q50" s="2">
        <v>0.14299999999999999</v>
      </c>
      <c r="R50" s="2">
        <v>5.3</v>
      </c>
      <c r="S50" s="2">
        <v>5.3</v>
      </c>
      <c r="T50" s="2">
        <v>1</v>
      </c>
      <c r="U50" s="2">
        <v>8</v>
      </c>
      <c r="V50" s="2">
        <v>13.4</v>
      </c>
      <c r="W50" s="2">
        <v>21.4</v>
      </c>
      <c r="X50" s="2">
        <v>5.3</v>
      </c>
      <c r="Y50" s="2">
        <v>2.7</v>
      </c>
      <c r="Z50" s="2">
        <v>2.7</v>
      </c>
      <c r="AA50" s="2">
        <v>0</v>
      </c>
      <c r="AB50" s="2">
        <v>2.7</v>
      </c>
      <c r="AC50" s="2">
        <v>10.7</v>
      </c>
      <c r="AD50" s="2">
        <v>93</v>
      </c>
      <c r="AE50" s="2">
        <v>97</v>
      </c>
      <c r="AF50" s="2"/>
    </row>
    <row r="51" spans="1:32" x14ac:dyDescent="0.2">
      <c r="A51" t="s">
        <v>247</v>
      </c>
      <c r="B51" s="2">
        <v>21</v>
      </c>
      <c r="C51" t="s">
        <v>100</v>
      </c>
      <c r="D51" s="2" t="s">
        <v>52</v>
      </c>
      <c r="E51" s="2">
        <v>23</v>
      </c>
      <c r="F51" s="2">
        <v>8</v>
      </c>
      <c r="G51" s="2">
        <v>572</v>
      </c>
      <c r="H51" s="2">
        <v>5.9</v>
      </c>
      <c r="I51" s="2">
        <v>15.4</v>
      </c>
      <c r="J51" s="2">
        <v>0.38</v>
      </c>
      <c r="K51" s="2">
        <v>1.8</v>
      </c>
      <c r="L51" s="2">
        <v>7.1</v>
      </c>
      <c r="M51" s="2">
        <v>0.247</v>
      </c>
      <c r="N51" s="2">
        <v>4.0999999999999996</v>
      </c>
      <c r="O51" s="2">
        <v>8.3000000000000007</v>
      </c>
      <c r="P51" s="2">
        <v>0.495</v>
      </c>
      <c r="Q51" s="2">
        <v>0.438</v>
      </c>
      <c r="R51" s="2">
        <v>1.8</v>
      </c>
      <c r="S51" s="2">
        <v>2.2999999999999998</v>
      </c>
      <c r="T51" s="2">
        <v>0.75</v>
      </c>
      <c r="U51" s="2">
        <v>2</v>
      </c>
      <c r="V51" s="2">
        <v>7.2</v>
      </c>
      <c r="W51" s="2">
        <v>9.1999999999999993</v>
      </c>
      <c r="X51" s="2">
        <v>6.6</v>
      </c>
      <c r="Y51" s="2">
        <v>1.6</v>
      </c>
      <c r="Z51" s="2">
        <v>0.6</v>
      </c>
      <c r="AA51" s="2">
        <v>2.4</v>
      </c>
      <c r="AB51" s="2">
        <v>3.4</v>
      </c>
      <c r="AC51" s="2">
        <v>15.3</v>
      </c>
      <c r="AD51" s="2">
        <v>104</v>
      </c>
      <c r="AE51" s="2">
        <v>109</v>
      </c>
      <c r="AF51" s="2"/>
    </row>
    <row r="52" spans="1:32" x14ac:dyDescent="0.2">
      <c r="A52" t="s">
        <v>177</v>
      </c>
      <c r="B52" s="2">
        <v>23</v>
      </c>
      <c r="C52" t="s">
        <v>117</v>
      </c>
      <c r="D52" s="2" t="s">
        <v>52</v>
      </c>
      <c r="E52" s="2">
        <v>23</v>
      </c>
      <c r="F52" s="2">
        <v>10</v>
      </c>
      <c r="G52" s="2">
        <v>633</v>
      </c>
      <c r="H52" s="2">
        <v>8</v>
      </c>
      <c r="I52" s="2">
        <v>18.2</v>
      </c>
      <c r="J52" s="2">
        <v>0.436</v>
      </c>
      <c r="K52" s="2">
        <v>2.2999999999999998</v>
      </c>
      <c r="L52" s="2">
        <v>7.2</v>
      </c>
      <c r="M52" s="2">
        <v>0.32300000000000001</v>
      </c>
      <c r="N52" s="2">
        <v>5.6</v>
      </c>
      <c r="O52" s="2">
        <v>11</v>
      </c>
      <c r="P52" s="2">
        <v>0.51</v>
      </c>
      <c r="Q52" s="2">
        <v>0.5</v>
      </c>
      <c r="R52" s="2">
        <v>3.1</v>
      </c>
      <c r="S52" s="2">
        <v>3.6</v>
      </c>
      <c r="T52" s="2">
        <v>0.85099999999999998</v>
      </c>
      <c r="U52" s="2">
        <v>1.2</v>
      </c>
      <c r="V52" s="2">
        <v>5.3</v>
      </c>
      <c r="W52" s="2">
        <v>6.6</v>
      </c>
      <c r="X52" s="2">
        <v>5.9</v>
      </c>
      <c r="Y52" s="2">
        <v>2.6</v>
      </c>
      <c r="Z52" s="2">
        <v>0.5</v>
      </c>
      <c r="AA52" s="2">
        <v>2.7</v>
      </c>
      <c r="AB52" s="2">
        <v>3.2</v>
      </c>
      <c r="AC52" s="2">
        <v>21.3</v>
      </c>
      <c r="AD52" s="2">
        <v>109</v>
      </c>
      <c r="AE52" s="2">
        <v>118</v>
      </c>
      <c r="AF52" s="2"/>
    </row>
    <row r="53" spans="1:32" x14ac:dyDescent="0.2">
      <c r="A53" t="s">
        <v>251</v>
      </c>
      <c r="B53" s="2">
        <v>28</v>
      </c>
      <c r="C53" t="s">
        <v>80</v>
      </c>
      <c r="D53" s="2" t="s">
        <v>27</v>
      </c>
      <c r="E53" s="2">
        <v>24</v>
      </c>
      <c r="F53" s="2">
        <v>15</v>
      </c>
      <c r="G53" s="2">
        <v>444</v>
      </c>
      <c r="H53" s="2">
        <v>8.5</v>
      </c>
      <c r="I53" s="2">
        <v>13.9</v>
      </c>
      <c r="J53" s="2">
        <v>0.61199999999999999</v>
      </c>
      <c r="K53" s="2">
        <v>0.1</v>
      </c>
      <c r="L53" s="2">
        <v>1.7</v>
      </c>
      <c r="M53" s="2">
        <v>6.3E-2</v>
      </c>
      <c r="N53" s="2">
        <v>8.4</v>
      </c>
      <c r="O53" s="2">
        <v>12.2</v>
      </c>
      <c r="P53" s="2">
        <v>0.68600000000000005</v>
      </c>
      <c r="Q53" s="2">
        <v>0.61599999999999999</v>
      </c>
      <c r="R53" s="2">
        <v>1.2</v>
      </c>
      <c r="S53" s="2">
        <v>2</v>
      </c>
      <c r="T53" s="2">
        <v>0.63200000000000001</v>
      </c>
      <c r="U53" s="2">
        <v>3.9</v>
      </c>
      <c r="V53" s="2">
        <v>8.1999999999999993</v>
      </c>
      <c r="W53" s="2">
        <v>12.1</v>
      </c>
      <c r="X53" s="2">
        <v>2.5</v>
      </c>
      <c r="Y53" s="2">
        <v>2.1</v>
      </c>
      <c r="Z53" s="2">
        <v>1</v>
      </c>
      <c r="AA53" s="2">
        <v>1</v>
      </c>
      <c r="AB53" s="2">
        <v>5</v>
      </c>
      <c r="AC53" s="2">
        <v>18.3</v>
      </c>
      <c r="AD53" s="2">
        <v>130</v>
      </c>
      <c r="AE53" s="2">
        <v>107</v>
      </c>
      <c r="AF53" s="2"/>
    </row>
    <row r="54" spans="1:32" x14ac:dyDescent="0.2">
      <c r="A54" t="s">
        <v>116</v>
      </c>
      <c r="B54" s="2">
        <v>27</v>
      </c>
      <c r="C54" t="s">
        <v>117</v>
      </c>
      <c r="D54" s="2" t="s">
        <v>49</v>
      </c>
      <c r="E54" s="2">
        <v>18</v>
      </c>
      <c r="F54" s="2">
        <v>18</v>
      </c>
      <c r="G54" s="2">
        <v>595</v>
      </c>
      <c r="H54" s="2">
        <v>12.7</v>
      </c>
      <c r="I54" s="2">
        <v>27.3</v>
      </c>
      <c r="J54" s="2">
        <v>0.46500000000000002</v>
      </c>
      <c r="K54" s="2">
        <v>3.5</v>
      </c>
      <c r="L54" s="2">
        <v>9.4</v>
      </c>
      <c r="M54" s="2">
        <v>0.374</v>
      </c>
      <c r="N54" s="2">
        <v>9.1999999999999993</v>
      </c>
      <c r="O54" s="2">
        <v>17.899999999999999</v>
      </c>
      <c r="P54" s="2">
        <v>0.51400000000000001</v>
      </c>
      <c r="Q54" s="2">
        <v>0.53</v>
      </c>
      <c r="R54" s="2">
        <v>3.9</v>
      </c>
      <c r="S54" s="2">
        <v>4.5</v>
      </c>
      <c r="T54" s="2">
        <v>0.85499999999999998</v>
      </c>
      <c r="U54" s="2">
        <v>1.4</v>
      </c>
      <c r="V54" s="2">
        <v>6.8</v>
      </c>
      <c r="W54" s="2">
        <v>8.1999999999999993</v>
      </c>
      <c r="X54" s="2">
        <v>7.6</v>
      </c>
      <c r="Y54" s="2">
        <v>1.3</v>
      </c>
      <c r="Z54" s="2">
        <v>0.9</v>
      </c>
      <c r="AA54" s="2">
        <v>5.7</v>
      </c>
      <c r="AB54" s="2">
        <v>3.7</v>
      </c>
      <c r="AC54" s="2">
        <v>32.9</v>
      </c>
      <c r="AD54" s="2">
        <v>104</v>
      </c>
      <c r="AE54" s="2">
        <v>120</v>
      </c>
      <c r="AF54" s="2"/>
    </row>
    <row r="55" spans="1:32" x14ac:dyDescent="0.2">
      <c r="A55" t="s">
        <v>95</v>
      </c>
      <c r="B55" s="2">
        <v>22</v>
      </c>
      <c r="C55" t="s">
        <v>59</v>
      </c>
      <c r="D55" s="2" t="s">
        <v>49</v>
      </c>
      <c r="E55" s="2">
        <v>20</v>
      </c>
      <c r="F55" s="2">
        <v>20</v>
      </c>
      <c r="G55" s="2">
        <v>688</v>
      </c>
      <c r="H55" s="2">
        <v>11</v>
      </c>
      <c r="I55" s="2">
        <v>27.1</v>
      </c>
      <c r="J55" s="2">
        <v>0.40699999999999997</v>
      </c>
      <c r="K55" s="2">
        <v>5.8</v>
      </c>
      <c r="L55" s="2">
        <v>15.8</v>
      </c>
      <c r="M55" s="2">
        <v>0.36499999999999999</v>
      </c>
      <c r="N55" s="2">
        <v>5.3</v>
      </c>
      <c r="O55" s="2">
        <v>11.3</v>
      </c>
      <c r="P55" s="2">
        <v>0.46500000000000002</v>
      </c>
      <c r="Q55" s="2">
        <v>0.51300000000000001</v>
      </c>
      <c r="R55" s="2">
        <v>4</v>
      </c>
      <c r="S55" s="2">
        <v>4.4000000000000004</v>
      </c>
      <c r="T55" s="2">
        <v>0.90200000000000002</v>
      </c>
      <c r="U55" s="2">
        <v>1.5</v>
      </c>
      <c r="V55" s="2">
        <v>6</v>
      </c>
      <c r="W55" s="2">
        <v>7.5</v>
      </c>
      <c r="X55" s="2">
        <v>5</v>
      </c>
      <c r="Y55" s="2">
        <v>1.7</v>
      </c>
      <c r="Z55" s="2">
        <v>1.1000000000000001</v>
      </c>
      <c r="AA55" s="2">
        <v>4</v>
      </c>
      <c r="AB55" s="2">
        <v>4</v>
      </c>
      <c r="AC55" s="2">
        <v>31.8</v>
      </c>
      <c r="AD55" s="2">
        <v>108</v>
      </c>
      <c r="AE55" s="2">
        <v>116</v>
      </c>
      <c r="AF55" s="2"/>
    </row>
    <row r="56" spans="1:32" x14ac:dyDescent="0.2">
      <c r="A56" t="s">
        <v>514</v>
      </c>
      <c r="B56" s="2">
        <v>25</v>
      </c>
      <c r="C56" t="s">
        <v>63</v>
      </c>
      <c r="D56" s="2" t="s">
        <v>33</v>
      </c>
      <c r="E56" s="2">
        <v>5</v>
      </c>
      <c r="F56" s="2">
        <v>0</v>
      </c>
      <c r="G56" s="2">
        <v>21</v>
      </c>
      <c r="H56" s="2">
        <v>4.5999999999999996</v>
      </c>
      <c r="I56" s="2">
        <v>20.6</v>
      </c>
      <c r="J56" s="2">
        <v>0.222</v>
      </c>
      <c r="K56" s="2">
        <v>0</v>
      </c>
      <c r="L56" s="2">
        <v>4.5999999999999996</v>
      </c>
      <c r="M56" s="2">
        <v>0</v>
      </c>
      <c r="N56" s="2">
        <v>4.5999999999999996</v>
      </c>
      <c r="O56" s="2">
        <v>16.100000000000001</v>
      </c>
      <c r="P56" s="2">
        <v>0.28599999999999998</v>
      </c>
      <c r="Q56" s="2">
        <v>0.222</v>
      </c>
      <c r="R56" s="2">
        <v>4.5999999999999996</v>
      </c>
      <c r="S56" s="2">
        <v>6.9</v>
      </c>
      <c r="T56" s="2">
        <v>0.66700000000000004</v>
      </c>
      <c r="U56" s="2">
        <v>2.2999999999999998</v>
      </c>
      <c r="V56" s="2">
        <v>6.9</v>
      </c>
      <c r="W56" s="2">
        <v>9.1999999999999993</v>
      </c>
      <c r="X56" s="2">
        <v>4.5999999999999996</v>
      </c>
      <c r="Y56" s="2">
        <v>0</v>
      </c>
      <c r="Z56" s="2">
        <v>0</v>
      </c>
      <c r="AA56" s="2">
        <v>4.5999999999999996</v>
      </c>
      <c r="AB56" s="2">
        <v>4.5999999999999996</v>
      </c>
      <c r="AC56" s="2">
        <v>13.8</v>
      </c>
      <c r="AD56" s="2">
        <v>68</v>
      </c>
      <c r="AE56" s="2">
        <v>117</v>
      </c>
      <c r="AF56" s="2"/>
    </row>
    <row r="57" spans="1:32" x14ac:dyDescent="0.2">
      <c r="A57" t="s">
        <v>297</v>
      </c>
      <c r="B57" s="2">
        <v>21</v>
      </c>
      <c r="C57" t="s">
        <v>120</v>
      </c>
      <c r="D57" s="2" t="s">
        <v>49</v>
      </c>
      <c r="E57" s="2">
        <v>17</v>
      </c>
      <c r="F57" s="2">
        <v>0</v>
      </c>
      <c r="G57" s="2">
        <v>283</v>
      </c>
      <c r="H57" s="2">
        <v>8.4</v>
      </c>
      <c r="I57" s="2">
        <v>18.100000000000001</v>
      </c>
      <c r="J57" s="2">
        <v>0.46200000000000002</v>
      </c>
      <c r="K57" s="2">
        <v>4.8</v>
      </c>
      <c r="L57" s="2">
        <v>11.5</v>
      </c>
      <c r="M57" s="2">
        <v>0.41799999999999998</v>
      </c>
      <c r="N57" s="2">
        <v>3.6</v>
      </c>
      <c r="O57" s="2">
        <v>6.7</v>
      </c>
      <c r="P57" s="2">
        <v>0.53800000000000003</v>
      </c>
      <c r="Q57" s="2">
        <v>0.59399999999999997</v>
      </c>
      <c r="R57" s="2">
        <v>2.1</v>
      </c>
      <c r="S57" s="2">
        <v>2.2000000000000002</v>
      </c>
      <c r="T57" s="2">
        <v>0.92300000000000004</v>
      </c>
      <c r="U57" s="2">
        <v>1.9</v>
      </c>
      <c r="V57" s="2">
        <v>4.5</v>
      </c>
      <c r="W57" s="2">
        <v>6.3</v>
      </c>
      <c r="X57" s="2">
        <v>2.9</v>
      </c>
      <c r="Y57" s="2">
        <v>1.7</v>
      </c>
      <c r="Z57" s="2">
        <v>0.2</v>
      </c>
      <c r="AA57" s="2">
        <v>4.3</v>
      </c>
      <c r="AB57" s="2">
        <v>2.7</v>
      </c>
      <c r="AC57" s="2">
        <v>23.6</v>
      </c>
      <c r="AD57" s="2">
        <v>107</v>
      </c>
      <c r="AE57" s="2">
        <v>122</v>
      </c>
      <c r="AF57" s="2"/>
    </row>
    <row r="58" spans="1:32" x14ac:dyDescent="0.2">
      <c r="A58" t="s">
        <v>527</v>
      </c>
      <c r="B58" s="2">
        <v>20</v>
      </c>
      <c r="C58" t="s">
        <v>41</v>
      </c>
      <c r="D58" s="2" t="s">
        <v>52</v>
      </c>
      <c r="E58" s="2">
        <v>7</v>
      </c>
      <c r="F58" s="2">
        <v>0</v>
      </c>
      <c r="G58" s="2">
        <v>18</v>
      </c>
      <c r="H58" s="2">
        <v>2.7</v>
      </c>
      <c r="I58" s="2">
        <v>21.8</v>
      </c>
      <c r="J58" s="2">
        <v>0.125</v>
      </c>
      <c r="K58" s="2">
        <v>0</v>
      </c>
      <c r="L58" s="2">
        <v>10.9</v>
      </c>
      <c r="M58" s="2">
        <v>0</v>
      </c>
      <c r="N58" s="2">
        <v>2.7</v>
      </c>
      <c r="O58" s="2">
        <v>10.9</v>
      </c>
      <c r="P58" s="2">
        <v>0.25</v>
      </c>
      <c r="Q58" s="2">
        <v>0.125</v>
      </c>
      <c r="R58" s="2">
        <v>5.4</v>
      </c>
      <c r="S58" s="2">
        <v>5.4</v>
      </c>
      <c r="T58" s="2">
        <v>1</v>
      </c>
      <c r="U58" s="2">
        <v>2.7</v>
      </c>
      <c r="V58" s="2">
        <v>0</v>
      </c>
      <c r="W58" s="2">
        <v>2.7</v>
      </c>
      <c r="X58" s="2">
        <v>5.4</v>
      </c>
      <c r="Y58" s="2">
        <v>2.7</v>
      </c>
      <c r="Z58" s="2">
        <v>2.7</v>
      </c>
      <c r="AA58" s="2">
        <v>0</v>
      </c>
      <c r="AB58" s="2">
        <v>5.4</v>
      </c>
      <c r="AC58" s="2">
        <v>10.9</v>
      </c>
      <c r="AD58" s="2">
        <v>71</v>
      </c>
      <c r="AE58" s="2">
        <v>117</v>
      </c>
      <c r="AF58" s="2"/>
    </row>
    <row r="59" spans="1:32" x14ac:dyDescent="0.2">
      <c r="A59" t="s">
        <v>185</v>
      </c>
      <c r="B59" s="2">
        <v>36</v>
      </c>
      <c r="C59" t="s">
        <v>35</v>
      </c>
      <c r="D59" s="2" t="s">
        <v>42</v>
      </c>
      <c r="E59" s="2">
        <v>24</v>
      </c>
      <c r="F59" s="2">
        <v>24</v>
      </c>
      <c r="G59" s="2">
        <v>784</v>
      </c>
      <c r="H59" s="2">
        <v>6.2</v>
      </c>
      <c r="I59" s="2">
        <v>13.3</v>
      </c>
      <c r="J59" s="2">
        <v>0.46500000000000002</v>
      </c>
      <c r="K59" s="2">
        <v>2.7</v>
      </c>
      <c r="L59" s="2">
        <v>7.5</v>
      </c>
      <c r="M59" s="2">
        <v>0.35499999999999998</v>
      </c>
      <c r="N59" s="2">
        <v>3.5</v>
      </c>
      <c r="O59" s="2">
        <v>5.7</v>
      </c>
      <c r="P59" s="2">
        <v>0.60899999999999999</v>
      </c>
      <c r="Q59" s="2">
        <v>0.56599999999999995</v>
      </c>
      <c r="R59" s="2">
        <v>1.5</v>
      </c>
      <c r="S59" s="2">
        <v>2.1</v>
      </c>
      <c r="T59" s="2">
        <v>0.70599999999999996</v>
      </c>
      <c r="U59" s="2">
        <v>1.9</v>
      </c>
      <c r="V59" s="2">
        <v>5.6</v>
      </c>
      <c r="W59" s="2">
        <v>7.5</v>
      </c>
      <c r="X59" s="2">
        <v>2.4</v>
      </c>
      <c r="Y59" s="2">
        <v>1.6</v>
      </c>
      <c r="Z59" s="2">
        <v>3.2</v>
      </c>
      <c r="AA59" s="2">
        <v>1.7</v>
      </c>
      <c r="AB59" s="2">
        <v>3.7</v>
      </c>
      <c r="AC59" s="2">
        <v>16.5</v>
      </c>
      <c r="AD59" s="2">
        <v>113</v>
      </c>
      <c r="AE59" s="2">
        <v>112</v>
      </c>
      <c r="AF59" s="2"/>
    </row>
    <row r="60" spans="1:32" x14ac:dyDescent="0.2">
      <c r="A60" t="s">
        <v>391</v>
      </c>
      <c r="B60" s="2">
        <v>26</v>
      </c>
      <c r="C60" t="s">
        <v>66</v>
      </c>
      <c r="D60" s="2" t="s">
        <v>42</v>
      </c>
      <c r="E60" s="2">
        <v>16</v>
      </c>
      <c r="F60" s="2">
        <v>2</v>
      </c>
      <c r="G60" s="2">
        <v>143</v>
      </c>
      <c r="H60" s="2">
        <v>8.8000000000000007</v>
      </c>
      <c r="I60" s="2">
        <v>16.2</v>
      </c>
      <c r="J60" s="2">
        <v>0.54200000000000004</v>
      </c>
      <c r="K60" s="2">
        <v>0</v>
      </c>
      <c r="L60" s="2">
        <v>0</v>
      </c>
      <c r="M60" s="2"/>
      <c r="N60" s="2">
        <v>8.8000000000000007</v>
      </c>
      <c r="O60" s="2">
        <v>16.2</v>
      </c>
      <c r="P60" s="2">
        <v>0.54200000000000004</v>
      </c>
      <c r="Q60" s="2">
        <v>0.54200000000000004</v>
      </c>
      <c r="R60" s="2">
        <v>2</v>
      </c>
      <c r="S60" s="2">
        <v>2.7</v>
      </c>
      <c r="T60" s="2">
        <v>0.75</v>
      </c>
      <c r="U60" s="2">
        <v>7.1</v>
      </c>
      <c r="V60" s="2">
        <v>9.8000000000000007</v>
      </c>
      <c r="W60" s="2">
        <v>16.899999999999999</v>
      </c>
      <c r="X60" s="2">
        <v>6.1</v>
      </c>
      <c r="Y60" s="2">
        <v>1.4</v>
      </c>
      <c r="Z60" s="2">
        <v>3</v>
      </c>
      <c r="AA60" s="2">
        <v>4.7</v>
      </c>
      <c r="AB60" s="2">
        <v>8.8000000000000007</v>
      </c>
      <c r="AC60" s="2">
        <v>19.600000000000001</v>
      </c>
      <c r="AD60" s="2">
        <v>110</v>
      </c>
      <c r="AE60" s="2">
        <v>112</v>
      </c>
      <c r="AF60" s="2"/>
    </row>
    <row r="61" spans="1:32" x14ac:dyDescent="0.2">
      <c r="A61" t="s">
        <v>549</v>
      </c>
      <c r="B61" s="2">
        <v>22</v>
      </c>
      <c r="C61" t="s">
        <v>135</v>
      </c>
      <c r="D61" s="2" t="s">
        <v>52</v>
      </c>
      <c r="E61" s="2">
        <v>1</v>
      </c>
      <c r="F61" s="2">
        <v>0</v>
      </c>
      <c r="G61" s="2">
        <v>3</v>
      </c>
      <c r="H61" s="2">
        <v>16.100000000000001</v>
      </c>
      <c r="I61" s="2">
        <v>32.1</v>
      </c>
      <c r="J61" s="2">
        <v>0.5</v>
      </c>
      <c r="K61" s="2">
        <v>0</v>
      </c>
      <c r="L61" s="2">
        <v>16.100000000000001</v>
      </c>
      <c r="M61" s="2">
        <v>0</v>
      </c>
      <c r="N61" s="2">
        <v>16.100000000000001</v>
      </c>
      <c r="O61" s="2">
        <v>16.100000000000001</v>
      </c>
      <c r="P61" s="2">
        <v>1</v>
      </c>
      <c r="Q61" s="2">
        <v>0.5</v>
      </c>
      <c r="R61" s="2">
        <v>0</v>
      </c>
      <c r="S61" s="2">
        <v>0</v>
      </c>
      <c r="T61" s="2"/>
      <c r="U61" s="2">
        <v>0</v>
      </c>
      <c r="V61" s="2">
        <v>0</v>
      </c>
      <c r="W61" s="2">
        <v>0</v>
      </c>
      <c r="X61" s="2">
        <v>16.100000000000001</v>
      </c>
      <c r="Y61" s="2">
        <v>0</v>
      </c>
      <c r="Z61" s="2">
        <v>0</v>
      </c>
      <c r="AA61" s="2">
        <v>0</v>
      </c>
      <c r="AB61" s="2">
        <v>0</v>
      </c>
      <c r="AC61" s="2">
        <v>32.1</v>
      </c>
      <c r="AD61" s="2">
        <v>126</v>
      </c>
      <c r="AE61" s="2">
        <v>126</v>
      </c>
      <c r="AF61" s="2"/>
    </row>
    <row r="62" spans="1:32" x14ac:dyDescent="0.2">
      <c r="A62" t="s">
        <v>131</v>
      </c>
      <c r="B62" s="2">
        <v>32</v>
      </c>
      <c r="C62" t="s">
        <v>100</v>
      </c>
      <c r="D62" s="2" t="s">
        <v>52</v>
      </c>
      <c r="E62" s="2">
        <v>24</v>
      </c>
      <c r="F62" s="2">
        <v>4</v>
      </c>
      <c r="G62" s="2">
        <v>574</v>
      </c>
      <c r="H62" s="2">
        <v>10.3</v>
      </c>
      <c r="I62" s="2">
        <v>22.6</v>
      </c>
      <c r="J62" s="2">
        <v>0.45600000000000002</v>
      </c>
      <c r="K62" s="2">
        <v>6.5</v>
      </c>
      <c r="L62" s="2">
        <v>15.3</v>
      </c>
      <c r="M62" s="2">
        <v>0.42599999999999999</v>
      </c>
      <c r="N62" s="2">
        <v>3.8</v>
      </c>
      <c r="O62" s="2">
        <v>7.3</v>
      </c>
      <c r="P62" s="2">
        <v>0.51700000000000002</v>
      </c>
      <c r="Q62" s="2">
        <v>0.6</v>
      </c>
      <c r="R62" s="2">
        <v>2</v>
      </c>
      <c r="S62" s="2">
        <v>2.2000000000000002</v>
      </c>
      <c r="T62" s="2">
        <v>0.92300000000000004</v>
      </c>
      <c r="U62" s="2">
        <v>1.3</v>
      </c>
      <c r="V62" s="2">
        <v>5.9</v>
      </c>
      <c r="W62" s="2">
        <v>7.1</v>
      </c>
      <c r="X62" s="2">
        <v>2.8</v>
      </c>
      <c r="Y62" s="2">
        <v>1.8</v>
      </c>
      <c r="Z62" s="2">
        <v>0.7</v>
      </c>
      <c r="AA62" s="2">
        <v>2.4</v>
      </c>
      <c r="AB62" s="2">
        <v>4.0999999999999996</v>
      </c>
      <c r="AC62" s="2">
        <v>29.1</v>
      </c>
      <c r="AD62" s="2">
        <v>116</v>
      </c>
      <c r="AE62" s="2">
        <v>109</v>
      </c>
      <c r="AF62" s="2"/>
    </row>
    <row r="63" spans="1:32" x14ac:dyDescent="0.2">
      <c r="A63" t="s">
        <v>74</v>
      </c>
      <c r="B63" s="2">
        <v>23</v>
      </c>
      <c r="C63" t="s">
        <v>75</v>
      </c>
      <c r="D63" s="2" t="s">
        <v>33</v>
      </c>
      <c r="E63" s="2">
        <v>22</v>
      </c>
      <c r="F63" s="2">
        <v>22</v>
      </c>
      <c r="G63" s="2">
        <v>789</v>
      </c>
      <c r="H63" s="2">
        <v>12.2</v>
      </c>
      <c r="I63" s="2">
        <v>27</v>
      </c>
      <c r="J63" s="2">
        <v>0.45300000000000001</v>
      </c>
      <c r="K63" s="2">
        <v>3.3</v>
      </c>
      <c r="L63" s="2">
        <v>8.6</v>
      </c>
      <c r="M63" s="2">
        <v>0.38100000000000001</v>
      </c>
      <c r="N63" s="2">
        <v>8.9</v>
      </c>
      <c r="O63" s="2">
        <v>18.3</v>
      </c>
      <c r="P63" s="2">
        <v>0.48599999999999999</v>
      </c>
      <c r="Q63" s="2">
        <v>0.51400000000000001</v>
      </c>
      <c r="R63" s="2">
        <v>4.5</v>
      </c>
      <c r="S63" s="2">
        <v>5.8</v>
      </c>
      <c r="T63" s="2">
        <v>0.78500000000000003</v>
      </c>
      <c r="U63" s="2">
        <v>1.5</v>
      </c>
      <c r="V63" s="2">
        <v>8.4</v>
      </c>
      <c r="W63" s="2">
        <v>10</v>
      </c>
      <c r="X63" s="2">
        <v>12.7</v>
      </c>
      <c r="Y63" s="2">
        <v>1.2</v>
      </c>
      <c r="Z63" s="2">
        <v>1.1000000000000001</v>
      </c>
      <c r="AA63" s="2">
        <v>6.3</v>
      </c>
      <c r="AB63" s="2">
        <v>3.6</v>
      </c>
      <c r="AC63" s="2">
        <v>32.200000000000003</v>
      </c>
      <c r="AD63" s="2">
        <v>108</v>
      </c>
      <c r="AE63" s="2">
        <v>114</v>
      </c>
      <c r="AF63" s="2"/>
    </row>
    <row r="64" spans="1:32" x14ac:dyDescent="0.2">
      <c r="A64" t="s">
        <v>462</v>
      </c>
      <c r="B64" s="2">
        <v>22</v>
      </c>
      <c r="C64" t="s">
        <v>48</v>
      </c>
      <c r="D64" s="2" t="s">
        <v>49</v>
      </c>
      <c r="E64" s="2">
        <v>17</v>
      </c>
      <c r="F64" s="2">
        <v>0</v>
      </c>
      <c r="G64" s="2">
        <v>93</v>
      </c>
      <c r="H64" s="2">
        <v>3.7</v>
      </c>
      <c r="I64" s="2">
        <v>12.7</v>
      </c>
      <c r="J64" s="2">
        <v>0.29199999999999998</v>
      </c>
      <c r="K64" s="2">
        <v>2.7</v>
      </c>
      <c r="L64" s="2">
        <v>10.6</v>
      </c>
      <c r="M64" s="2">
        <v>0.25</v>
      </c>
      <c r="N64" s="2">
        <v>1.1000000000000001</v>
      </c>
      <c r="O64" s="2">
        <v>2.1</v>
      </c>
      <c r="P64" s="2">
        <v>0.5</v>
      </c>
      <c r="Q64" s="2">
        <v>0.39600000000000002</v>
      </c>
      <c r="R64" s="2">
        <v>1.1000000000000001</v>
      </c>
      <c r="S64" s="2">
        <v>1.1000000000000001</v>
      </c>
      <c r="T64" s="2">
        <v>1</v>
      </c>
      <c r="U64" s="2">
        <v>1.1000000000000001</v>
      </c>
      <c r="V64" s="2">
        <v>3.7</v>
      </c>
      <c r="W64" s="2">
        <v>4.8</v>
      </c>
      <c r="X64" s="2">
        <v>0.5</v>
      </c>
      <c r="Y64" s="2">
        <v>0</v>
      </c>
      <c r="Z64" s="2">
        <v>1.1000000000000001</v>
      </c>
      <c r="AA64" s="2">
        <v>0.5</v>
      </c>
      <c r="AB64" s="2">
        <v>3.2</v>
      </c>
      <c r="AC64" s="2">
        <v>11.1</v>
      </c>
      <c r="AD64" s="2">
        <v>93</v>
      </c>
      <c r="AE64" s="2">
        <v>113</v>
      </c>
      <c r="AF64" s="2"/>
    </row>
    <row r="65" spans="1:32" x14ac:dyDescent="0.2">
      <c r="A65" t="s">
        <v>257</v>
      </c>
      <c r="B65" s="2">
        <v>29</v>
      </c>
      <c r="C65" t="s">
        <v>122</v>
      </c>
      <c r="D65" s="2" t="s">
        <v>49</v>
      </c>
      <c r="E65" s="2">
        <v>20</v>
      </c>
      <c r="F65" s="2">
        <v>15</v>
      </c>
      <c r="G65" s="2">
        <v>582</v>
      </c>
      <c r="H65" s="2">
        <v>5.0999999999999996</v>
      </c>
      <c r="I65" s="2">
        <v>12.7</v>
      </c>
      <c r="J65" s="2">
        <v>0.40500000000000003</v>
      </c>
      <c r="K65" s="2">
        <v>1.3</v>
      </c>
      <c r="L65" s="2">
        <v>4.4000000000000004</v>
      </c>
      <c r="M65" s="2">
        <v>0.29399999999999998</v>
      </c>
      <c r="N65" s="2">
        <v>3.9</v>
      </c>
      <c r="O65" s="2">
        <v>8.3000000000000007</v>
      </c>
      <c r="P65" s="2">
        <v>0.46400000000000002</v>
      </c>
      <c r="Q65" s="2">
        <v>0.45600000000000002</v>
      </c>
      <c r="R65" s="2">
        <v>3.3</v>
      </c>
      <c r="S65" s="2">
        <v>5</v>
      </c>
      <c r="T65" s="2">
        <v>0.67200000000000004</v>
      </c>
      <c r="U65" s="2">
        <v>2.2999999999999998</v>
      </c>
      <c r="V65" s="2">
        <v>5.6</v>
      </c>
      <c r="W65" s="2">
        <v>7.9</v>
      </c>
      <c r="X65" s="2">
        <v>3.9</v>
      </c>
      <c r="Y65" s="2">
        <v>1.6</v>
      </c>
      <c r="Z65" s="2">
        <v>0.8</v>
      </c>
      <c r="AA65" s="2">
        <v>3.1</v>
      </c>
      <c r="AB65" s="2">
        <v>2.8</v>
      </c>
      <c r="AC65" s="2">
        <v>14.9</v>
      </c>
      <c r="AD65" s="2">
        <v>99</v>
      </c>
      <c r="AE65" s="2">
        <v>114</v>
      </c>
      <c r="AF65" s="2"/>
    </row>
    <row r="66" spans="1:32" x14ac:dyDescent="0.2">
      <c r="A66" t="s">
        <v>516</v>
      </c>
      <c r="B66" s="2">
        <v>19</v>
      </c>
      <c r="C66" t="s">
        <v>77</v>
      </c>
      <c r="D66" s="2" t="s">
        <v>52</v>
      </c>
      <c r="E66" s="2">
        <v>1</v>
      </c>
      <c r="F66" s="2">
        <v>0</v>
      </c>
      <c r="G66" s="2">
        <v>18</v>
      </c>
      <c r="H66" s="2">
        <v>5.5</v>
      </c>
      <c r="I66" s="2">
        <v>19.2</v>
      </c>
      <c r="J66" s="2">
        <v>0.28599999999999998</v>
      </c>
      <c r="K66" s="2">
        <v>2.7</v>
      </c>
      <c r="L66" s="2">
        <v>10.9</v>
      </c>
      <c r="M66" s="2">
        <v>0.25</v>
      </c>
      <c r="N66" s="2">
        <v>2.7</v>
      </c>
      <c r="O66" s="2">
        <v>8.1999999999999993</v>
      </c>
      <c r="P66" s="2">
        <v>0.33300000000000002</v>
      </c>
      <c r="Q66" s="2">
        <v>0.35699999999999998</v>
      </c>
      <c r="R66" s="2">
        <v>0</v>
      </c>
      <c r="S66" s="2">
        <v>0</v>
      </c>
      <c r="T66" s="2"/>
      <c r="U66" s="2">
        <v>2.7</v>
      </c>
      <c r="V66" s="2">
        <v>5.5</v>
      </c>
      <c r="W66" s="2">
        <v>8.1999999999999993</v>
      </c>
      <c r="X66" s="2">
        <v>0</v>
      </c>
      <c r="Y66" s="2">
        <v>5.5</v>
      </c>
      <c r="Z66" s="2">
        <v>0</v>
      </c>
      <c r="AA66" s="2">
        <v>2.7</v>
      </c>
      <c r="AB66" s="2">
        <v>0</v>
      </c>
      <c r="AC66" s="2">
        <v>13.7</v>
      </c>
      <c r="AD66" s="2">
        <v>72</v>
      </c>
      <c r="AE66" s="2">
        <v>104</v>
      </c>
      <c r="AF66" s="2"/>
    </row>
    <row r="67" spans="1:32" x14ac:dyDescent="0.2">
      <c r="A67" t="s">
        <v>390</v>
      </c>
      <c r="B67" s="2">
        <v>25</v>
      </c>
      <c r="C67" t="s">
        <v>41</v>
      </c>
      <c r="D67" s="2" t="s">
        <v>49</v>
      </c>
      <c r="E67" s="2">
        <v>17</v>
      </c>
      <c r="F67" s="2">
        <v>8</v>
      </c>
      <c r="G67" s="2">
        <v>339</v>
      </c>
      <c r="H67" s="2">
        <v>2.9</v>
      </c>
      <c r="I67" s="2">
        <v>5.9</v>
      </c>
      <c r="J67" s="2">
        <v>0.48799999999999999</v>
      </c>
      <c r="K67" s="2">
        <v>1.4</v>
      </c>
      <c r="L67" s="2">
        <v>3.3</v>
      </c>
      <c r="M67" s="2">
        <v>0.435</v>
      </c>
      <c r="N67" s="2">
        <v>1.4</v>
      </c>
      <c r="O67" s="2">
        <v>2.6</v>
      </c>
      <c r="P67" s="2">
        <v>0.55600000000000005</v>
      </c>
      <c r="Q67" s="2">
        <v>0.61</v>
      </c>
      <c r="R67" s="2">
        <v>1.3</v>
      </c>
      <c r="S67" s="2">
        <v>2</v>
      </c>
      <c r="T67" s="2">
        <v>0.64300000000000002</v>
      </c>
      <c r="U67" s="2">
        <v>0.9</v>
      </c>
      <c r="V67" s="2">
        <v>4</v>
      </c>
      <c r="W67" s="2">
        <v>4.9000000000000004</v>
      </c>
      <c r="X67" s="2">
        <v>1.9</v>
      </c>
      <c r="Y67" s="2">
        <v>2.6</v>
      </c>
      <c r="Z67" s="2">
        <v>0.9</v>
      </c>
      <c r="AA67" s="2">
        <v>1</v>
      </c>
      <c r="AB67" s="2">
        <v>3.9</v>
      </c>
      <c r="AC67" s="2">
        <v>8.5</v>
      </c>
      <c r="AD67" s="2">
        <v>119</v>
      </c>
      <c r="AE67" s="2">
        <v>117</v>
      </c>
      <c r="AF67" s="2"/>
    </row>
    <row r="68" spans="1:32" x14ac:dyDescent="0.2">
      <c r="A68" t="s">
        <v>482</v>
      </c>
      <c r="B68" s="2">
        <v>24</v>
      </c>
      <c r="C68" t="s">
        <v>80</v>
      </c>
      <c r="D68" s="2" t="s">
        <v>52</v>
      </c>
      <c r="E68" s="2">
        <v>3</v>
      </c>
      <c r="F68" s="2">
        <v>0</v>
      </c>
      <c r="G68" s="2">
        <v>46</v>
      </c>
      <c r="H68" s="2">
        <v>5</v>
      </c>
      <c r="I68" s="2">
        <v>10</v>
      </c>
      <c r="J68" s="2">
        <v>0.5</v>
      </c>
      <c r="K68" s="2">
        <v>2</v>
      </c>
      <c r="L68" s="2">
        <v>5</v>
      </c>
      <c r="M68" s="2">
        <v>0.4</v>
      </c>
      <c r="N68" s="2">
        <v>3</v>
      </c>
      <c r="O68" s="2">
        <v>5</v>
      </c>
      <c r="P68" s="2">
        <v>0.6</v>
      </c>
      <c r="Q68" s="2">
        <v>0.6</v>
      </c>
      <c r="R68" s="2">
        <v>4</v>
      </c>
      <c r="S68" s="2">
        <v>4</v>
      </c>
      <c r="T68" s="2">
        <v>1</v>
      </c>
      <c r="U68" s="2">
        <v>1</v>
      </c>
      <c r="V68" s="2">
        <v>5</v>
      </c>
      <c r="W68" s="2">
        <v>6</v>
      </c>
      <c r="X68" s="2">
        <v>7</v>
      </c>
      <c r="Y68" s="2">
        <v>1</v>
      </c>
      <c r="Z68" s="2">
        <v>1</v>
      </c>
      <c r="AA68" s="2">
        <v>2</v>
      </c>
      <c r="AB68" s="2">
        <v>5</v>
      </c>
      <c r="AC68" s="2">
        <v>16</v>
      </c>
      <c r="AD68" s="2">
        <v>137</v>
      </c>
      <c r="AE68" s="2">
        <v>112</v>
      </c>
      <c r="AF68" s="2"/>
    </row>
    <row r="69" spans="1:32" x14ac:dyDescent="0.2">
      <c r="A69" t="s">
        <v>107</v>
      </c>
      <c r="B69" s="2">
        <v>23</v>
      </c>
      <c r="C69" t="s">
        <v>103</v>
      </c>
      <c r="D69" s="2" t="s">
        <v>52</v>
      </c>
      <c r="E69" s="2">
        <v>17</v>
      </c>
      <c r="F69" s="2">
        <v>17</v>
      </c>
      <c r="G69" s="2">
        <v>568</v>
      </c>
      <c r="H69" s="2">
        <v>12</v>
      </c>
      <c r="I69" s="2">
        <v>26</v>
      </c>
      <c r="J69" s="2">
        <v>0.46100000000000002</v>
      </c>
      <c r="K69" s="2">
        <v>4.3</v>
      </c>
      <c r="L69" s="2">
        <v>11</v>
      </c>
      <c r="M69" s="2">
        <v>0.38900000000000001</v>
      </c>
      <c r="N69" s="2">
        <v>7.7</v>
      </c>
      <c r="O69" s="2">
        <v>15</v>
      </c>
      <c r="P69" s="2">
        <v>0.51500000000000001</v>
      </c>
      <c r="Q69" s="2">
        <v>0.54400000000000004</v>
      </c>
      <c r="R69" s="2">
        <v>8.5</v>
      </c>
      <c r="S69" s="2">
        <v>9.8000000000000007</v>
      </c>
      <c r="T69" s="2">
        <v>0.86599999999999999</v>
      </c>
      <c r="U69" s="2">
        <v>0.5</v>
      </c>
      <c r="V69" s="2">
        <v>4.3</v>
      </c>
      <c r="W69" s="2">
        <v>4.8</v>
      </c>
      <c r="X69" s="2">
        <v>5</v>
      </c>
      <c r="Y69" s="2">
        <v>1.1000000000000001</v>
      </c>
      <c r="Z69" s="2">
        <v>0.1</v>
      </c>
      <c r="AA69" s="2">
        <v>4.2</v>
      </c>
      <c r="AB69" s="2">
        <v>3</v>
      </c>
      <c r="AC69" s="2">
        <v>36.799999999999997</v>
      </c>
      <c r="AD69" s="2">
        <v>112</v>
      </c>
      <c r="AE69" s="2">
        <v>120</v>
      </c>
      <c r="AF69" s="2"/>
    </row>
    <row r="70" spans="1:32" x14ac:dyDescent="0.2">
      <c r="A70" t="s">
        <v>409</v>
      </c>
      <c r="B70" s="2">
        <v>20</v>
      </c>
      <c r="C70" t="s">
        <v>87</v>
      </c>
      <c r="D70" s="2" t="s">
        <v>49</v>
      </c>
      <c r="E70" s="2">
        <v>8</v>
      </c>
      <c r="F70" s="2">
        <v>0</v>
      </c>
      <c r="G70" s="2">
        <v>79</v>
      </c>
      <c r="H70" s="2">
        <v>11</v>
      </c>
      <c r="I70" s="2">
        <v>29.4</v>
      </c>
      <c r="J70" s="2">
        <v>0.375</v>
      </c>
      <c r="K70" s="2">
        <v>0.6</v>
      </c>
      <c r="L70" s="2">
        <v>12.9</v>
      </c>
      <c r="M70" s="2">
        <v>4.8000000000000001E-2</v>
      </c>
      <c r="N70" s="2">
        <v>10.4</v>
      </c>
      <c r="O70" s="2">
        <v>16.5</v>
      </c>
      <c r="P70" s="2">
        <v>0.63</v>
      </c>
      <c r="Q70" s="2">
        <v>0.38500000000000001</v>
      </c>
      <c r="R70" s="2">
        <v>6.1</v>
      </c>
      <c r="S70" s="2">
        <v>9.8000000000000007</v>
      </c>
      <c r="T70" s="2">
        <v>0.625</v>
      </c>
      <c r="U70" s="2">
        <v>2.4</v>
      </c>
      <c r="V70" s="2">
        <v>4.3</v>
      </c>
      <c r="W70" s="2">
        <v>6.7</v>
      </c>
      <c r="X70" s="2">
        <v>2.4</v>
      </c>
      <c r="Y70" s="2">
        <v>0.6</v>
      </c>
      <c r="Z70" s="2">
        <v>0.6</v>
      </c>
      <c r="AA70" s="2">
        <v>1.8</v>
      </c>
      <c r="AB70" s="2">
        <v>5.5</v>
      </c>
      <c r="AC70" s="2">
        <v>28.8</v>
      </c>
      <c r="AD70" s="2">
        <v>95</v>
      </c>
      <c r="AE70" s="2">
        <v>110</v>
      </c>
      <c r="AF70" s="2"/>
    </row>
    <row r="71" spans="1:32" x14ac:dyDescent="0.2">
      <c r="A71" t="s">
        <v>102</v>
      </c>
      <c r="B71" s="2">
        <v>28</v>
      </c>
      <c r="C71" t="s">
        <v>103</v>
      </c>
      <c r="D71" s="2" t="s">
        <v>27</v>
      </c>
      <c r="E71" s="2">
        <v>23</v>
      </c>
      <c r="F71" s="2">
        <v>23</v>
      </c>
      <c r="G71" s="2">
        <v>755</v>
      </c>
      <c r="H71" s="2">
        <v>9.5</v>
      </c>
      <c r="I71" s="2">
        <v>19.399999999999999</v>
      </c>
      <c r="J71" s="2">
        <v>0.48799999999999999</v>
      </c>
      <c r="K71" s="2">
        <v>5</v>
      </c>
      <c r="L71" s="2">
        <v>11.5</v>
      </c>
      <c r="M71" s="2">
        <v>0.434</v>
      </c>
      <c r="N71" s="2">
        <v>4.5</v>
      </c>
      <c r="O71" s="2">
        <v>7.9</v>
      </c>
      <c r="P71" s="2">
        <v>0.56699999999999995</v>
      </c>
      <c r="Q71" s="2">
        <v>0.61699999999999999</v>
      </c>
      <c r="R71" s="2">
        <v>4.5</v>
      </c>
      <c r="S71" s="2">
        <v>4.9000000000000004</v>
      </c>
      <c r="T71" s="2">
        <v>0.90700000000000003</v>
      </c>
      <c r="U71" s="2">
        <v>1.2</v>
      </c>
      <c r="V71" s="2">
        <v>5.3</v>
      </c>
      <c r="W71" s="2">
        <v>6.5</v>
      </c>
      <c r="X71" s="2">
        <v>4.3</v>
      </c>
      <c r="Y71" s="2">
        <v>1.3</v>
      </c>
      <c r="Z71" s="2">
        <v>0.7</v>
      </c>
      <c r="AA71" s="2">
        <v>1.5</v>
      </c>
      <c r="AB71" s="2">
        <v>2.9</v>
      </c>
      <c r="AC71" s="2">
        <v>28.5</v>
      </c>
      <c r="AD71" s="2">
        <v>129</v>
      </c>
      <c r="AE71" s="2">
        <v>118</v>
      </c>
      <c r="AF71" s="2"/>
    </row>
    <row r="72" spans="1:32" x14ac:dyDescent="0.2">
      <c r="A72" t="s">
        <v>276</v>
      </c>
      <c r="B72" s="2">
        <v>30</v>
      </c>
      <c r="C72" t="s">
        <v>44</v>
      </c>
      <c r="D72" s="2" t="s">
        <v>33</v>
      </c>
      <c r="E72" s="2">
        <v>19</v>
      </c>
      <c r="F72" s="2">
        <v>0</v>
      </c>
      <c r="G72" s="2">
        <v>332</v>
      </c>
      <c r="H72" s="2">
        <v>8.4</v>
      </c>
      <c r="I72" s="2">
        <v>19.100000000000001</v>
      </c>
      <c r="J72" s="2">
        <v>0.438</v>
      </c>
      <c r="K72" s="2">
        <v>4.8</v>
      </c>
      <c r="L72" s="2">
        <v>11.3</v>
      </c>
      <c r="M72" s="2">
        <v>0.42099999999999999</v>
      </c>
      <c r="N72" s="2">
        <v>3.6</v>
      </c>
      <c r="O72" s="2">
        <v>7.8</v>
      </c>
      <c r="P72" s="2">
        <v>0.46200000000000002</v>
      </c>
      <c r="Q72" s="2">
        <v>0.56299999999999994</v>
      </c>
      <c r="R72" s="2">
        <v>1.3</v>
      </c>
      <c r="S72" s="2">
        <v>1.6</v>
      </c>
      <c r="T72" s="2">
        <v>0.81799999999999995</v>
      </c>
      <c r="U72" s="2">
        <v>0.9</v>
      </c>
      <c r="V72" s="2">
        <v>4.3</v>
      </c>
      <c r="W72" s="2">
        <v>5.2</v>
      </c>
      <c r="X72" s="2">
        <v>8.8000000000000007</v>
      </c>
      <c r="Y72" s="2">
        <v>1.8</v>
      </c>
      <c r="Z72" s="2">
        <v>1</v>
      </c>
      <c r="AA72" s="2">
        <v>1.5</v>
      </c>
      <c r="AB72" s="2">
        <v>6.1</v>
      </c>
      <c r="AC72" s="2">
        <v>22.8</v>
      </c>
      <c r="AD72" s="2">
        <v>125</v>
      </c>
      <c r="AE72" s="2">
        <v>115</v>
      </c>
      <c r="AF72" s="2"/>
    </row>
    <row r="73" spans="1:32" x14ac:dyDescent="0.2">
      <c r="A73" t="s">
        <v>211</v>
      </c>
      <c r="B73" s="2">
        <v>30</v>
      </c>
      <c r="C73" t="s">
        <v>57</v>
      </c>
      <c r="D73" s="2" t="s">
        <v>49</v>
      </c>
      <c r="E73" s="2">
        <v>19</v>
      </c>
      <c r="F73" s="2">
        <v>0</v>
      </c>
      <c r="G73" s="2">
        <v>465</v>
      </c>
      <c r="H73" s="2">
        <v>8.1999999999999993</v>
      </c>
      <c r="I73" s="2">
        <v>15.4</v>
      </c>
      <c r="J73" s="2">
        <v>0.53700000000000003</v>
      </c>
      <c r="K73" s="2">
        <v>3.4</v>
      </c>
      <c r="L73" s="2">
        <v>7</v>
      </c>
      <c r="M73" s="2">
        <v>0.48499999999999999</v>
      </c>
      <c r="N73" s="2">
        <v>4.8</v>
      </c>
      <c r="O73" s="2">
        <v>8.3000000000000007</v>
      </c>
      <c r="P73" s="2">
        <v>0.57999999999999996</v>
      </c>
      <c r="Q73" s="2">
        <v>0.64800000000000002</v>
      </c>
      <c r="R73" s="2">
        <v>3.3</v>
      </c>
      <c r="S73" s="2">
        <v>4.7</v>
      </c>
      <c r="T73" s="2">
        <v>0.69599999999999995</v>
      </c>
      <c r="U73" s="2">
        <v>0.9</v>
      </c>
      <c r="V73" s="2">
        <v>4.7</v>
      </c>
      <c r="W73" s="2">
        <v>5.7</v>
      </c>
      <c r="X73" s="2">
        <v>8</v>
      </c>
      <c r="Y73" s="2">
        <v>1.8</v>
      </c>
      <c r="Z73" s="2">
        <v>0.8</v>
      </c>
      <c r="AA73" s="2">
        <v>2.6</v>
      </c>
      <c r="AB73" s="2">
        <v>2.7</v>
      </c>
      <c r="AC73" s="2">
        <v>23.2</v>
      </c>
      <c r="AD73" s="2">
        <v>130</v>
      </c>
      <c r="AE73" s="2">
        <v>113</v>
      </c>
      <c r="AF73" s="2"/>
    </row>
    <row r="74" spans="1:32" x14ac:dyDescent="0.2">
      <c r="A74" t="s">
        <v>229</v>
      </c>
      <c r="B74" s="2">
        <v>19</v>
      </c>
      <c r="C74" t="s">
        <v>114</v>
      </c>
      <c r="D74" s="2" t="s">
        <v>33</v>
      </c>
      <c r="E74" s="2">
        <v>22</v>
      </c>
      <c r="F74" s="2">
        <v>14</v>
      </c>
      <c r="G74" s="2">
        <v>630</v>
      </c>
      <c r="H74" s="2">
        <v>5.6</v>
      </c>
      <c r="I74" s="2">
        <v>14.2</v>
      </c>
      <c r="J74" s="2">
        <v>0.39100000000000001</v>
      </c>
      <c r="K74" s="2">
        <v>2.4</v>
      </c>
      <c r="L74" s="2">
        <v>7.5</v>
      </c>
      <c r="M74" s="2">
        <v>0.32700000000000001</v>
      </c>
      <c r="N74" s="2">
        <v>3.1</v>
      </c>
      <c r="O74" s="2">
        <v>6.7</v>
      </c>
      <c r="P74" s="2">
        <v>0.46200000000000002</v>
      </c>
      <c r="Q74" s="2">
        <v>0.47699999999999998</v>
      </c>
      <c r="R74" s="2">
        <v>1.5</v>
      </c>
      <c r="S74" s="2">
        <v>1.9</v>
      </c>
      <c r="T74" s="2">
        <v>0.8</v>
      </c>
      <c r="U74" s="2">
        <v>0.4</v>
      </c>
      <c r="V74" s="2">
        <v>6.2</v>
      </c>
      <c r="W74" s="2">
        <v>6.5</v>
      </c>
      <c r="X74" s="2">
        <v>6.7</v>
      </c>
      <c r="Y74" s="2">
        <v>1.6</v>
      </c>
      <c r="Z74" s="2">
        <v>0.4</v>
      </c>
      <c r="AA74" s="2">
        <v>3.2</v>
      </c>
      <c r="AB74" s="2">
        <v>5</v>
      </c>
      <c r="AC74" s="2">
        <v>15</v>
      </c>
      <c r="AD74" s="2">
        <v>97</v>
      </c>
      <c r="AE74" s="2">
        <v>121</v>
      </c>
      <c r="AF74" s="2"/>
    </row>
    <row r="75" spans="1:32" x14ac:dyDescent="0.2">
      <c r="A75" t="s">
        <v>263</v>
      </c>
      <c r="B75" s="2">
        <v>21</v>
      </c>
      <c r="C75" t="s">
        <v>32</v>
      </c>
      <c r="D75" s="2" t="s">
        <v>52</v>
      </c>
      <c r="E75" s="2">
        <v>24</v>
      </c>
      <c r="F75" s="2">
        <v>13</v>
      </c>
      <c r="G75" s="2">
        <v>635</v>
      </c>
      <c r="H75" s="2">
        <v>5.2</v>
      </c>
      <c r="I75" s="2">
        <v>12.4</v>
      </c>
      <c r="J75" s="2">
        <v>0.42099999999999999</v>
      </c>
      <c r="K75" s="2">
        <v>1.8</v>
      </c>
      <c r="L75" s="2">
        <v>6.1</v>
      </c>
      <c r="M75" s="2">
        <v>0.3</v>
      </c>
      <c r="N75" s="2">
        <v>3.4</v>
      </c>
      <c r="O75" s="2">
        <v>6.4</v>
      </c>
      <c r="P75" s="2">
        <v>0.53600000000000003</v>
      </c>
      <c r="Q75" s="2">
        <v>0.49399999999999999</v>
      </c>
      <c r="R75" s="2">
        <v>0.5</v>
      </c>
      <c r="S75" s="2">
        <v>0.5</v>
      </c>
      <c r="T75" s="2">
        <v>0.85699999999999998</v>
      </c>
      <c r="U75" s="2">
        <v>2.4</v>
      </c>
      <c r="V75" s="2">
        <v>4.2</v>
      </c>
      <c r="W75" s="2">
        <v>6.6</v>
      </c>
      <c r="X75" s="2">
        <v>4</v>
      </c>
      <c r="Y75" s="2">
        <v>3.3</v>
      </c>
      <c r="Z75" s="2">
        <v>1.3</v>
      </c>
      <c r="AA75" s="2">
        <v>1.1000000000000001</v>
      </c>
      <c r="AB75" s="2">
        <v>3.7</v>
      </c>
      <c r="AC75" s="2">
        <v>12.7</v>
      </c>
      <c r="AD75" s="2">
        <v>113</v>
      </c>
      <c r="AE75" s="2">
        <v>104</v>
      </c>
      <c r="AF75" s="2"/>
    </row>
    <row r="76" spans="1:32" x14ac:dyDescent="0.2">
      <c r="A76" t="s">
        <v>387</v>
      </c>
      <c r="B76" s="2">
        <v>24</v>
      </c>
      <c r="C76" t="s">
        <v>93</v>
      </c>
      <c r="D76" s="2" t="s">
        <v>42</v>
      </c>
      <c r="E76" s="2">
        <v>15</v>
      </c>
      <c r="F76" s="2">
        <v>0</v>
      </c>
      <c r="G76" s="2">
        <v>158</v>
      </c>
      <c r="H76" s="2">
        <v>8</v>
      </c>
      <c r="I76" s="2">
        <v>14.5</v>
      </c>
      <c r="J76" s="2">
        <v>0.55300000000000005</v>
      </c>
      <c r="K76" s="2">
        <v>0</v>
      </c>
      <c r="L76" s="2">
        <v>0</v>
      </c>
      <c r="M76" s="2"/>
      <c r="N76" s="2">
        <v>8</v>
      </c>
      <c r="O76" s="2">
        <v>14.5</v>
      </c>
      <c r="P76" s="2">
        <v>0.55300000000000005</v>
      </c>
      <c r="Q76" s="2">
        <v>0.55300000000000005</v>
      </c>
      <c r="R76" s="2">
        <v>3.4</v>
      </c>
      <c r="S76" s="2">
        <v>6.5</v>
      </c>
      <c r="T76" s="2">
        <v>0.52400000000000002</v>
      </c>
      <c r="U76" s="2">
        <v>6.8</v>
      </c>
      <c r="V76" s="2">
        <v>11.1</v>
      </c>
      <c r="W76" s="2">
        <v>17.8</v>
      </c>
      <c r="X76" s="2">
        <v>2.5</v>
      </c>
      <c r="Y76" s="2">
        <v>1.8</v>
      </c>
      <c r="Z76" s="2">
        <v>5.8</v>
      </c>
      <c r="AA76" s="2">
        <v>3.1</v>
      </c>
      <c r="AB76" s="2">
        <v>6.5</v>
      </c>
      <c r="AC76" s="2">
        <v>19.399999999999999</v>
      </c>
      <c r="AD76" s="2">
        <v>112</v>
      </c>
      <c r="AE76" s="2">
        <v>106</v>
      </c>
      <c r="AF76" s="2"/>
    </row>
    <row r="77" spans="1:32" x14ac:dyDescent="0.2">
      <c r="A77" t="s">
        <v>269</v>
      </c>
      <c r="B77" s="2">
        <v>22</v>
      </c>
      <c r="C77" t="s">
        <v>32</v>
      </c>
      <c r="D77" s="2" t="s">
        <v>42</v>
      </c>
      <c r="E77" s="2">
        <v>10</v>
      </c>
      <c r="F77" s="2">
        <v>10</v>
      </c>
      <c r="G77" s="2">
        <v>265</v>
      </c>
      <c r="H77" s="2">
        <v>10.199999999999999</v>
      </c>
      <c r="I77" s="2">
        <v>20.100000000000001</v>
      </c>
      <c r="J77" s="2">
        <v>0.505</v>
      </c>
      <c r="K77" s="2">
        <v>2.5</v>
      </c>
      <c r="L77" s="2">
        <v>6.7</v>
      </c>
      <c r="M77" s="2">
        <v>0.378</v>
      </c>
      <c r="N77" s="2">
        <v>7.6</v>
      </c>
      <c r="O77" s="2">
        <v>13.4</v>
      </c>
      <c r="P77" s="2">
        <v>0.56799999999999995</v>
      </c>
      <c r="Q77" s="2">
        <v>0.56799999999999995</v>
      </c>
      <c r="R77" s="2">
        <v>6.9</v>
      </c>
      <c r="S77" s="2">
        <v>8.9</v>
      </c>
      <c r="T77" s="2">
        <v>0.77600000000000002</v>
      </c>
      <c r="U77" s="2">
        <v>2.9</v>
      </c>
      <c r="V77" s="2">
        <v>12.9</v>
      </c>
      <c r="W77" s="2">
        <v>15.8</v>
      </c>
      <c r="X77" s="2">
        <v>3.6</v>
      </c>
      <c r="Y77" s="2">
        <v>1.5</v>
      </c>
      <c r="Z77" s="2">
        <v>4.7</v>
      </c>
      <c r="AA77" s="2">
        <v>4.2</v>
      </c>
      <c r="AB77" s="2">
        <v>3.3</v>
      </c>
      <c r="AC77" s="2">
        <v>29.8</v>
      </c>
      <c r="AD77" s="2">
        <v>114</v>
      </c>
      <c r="AE77" s="2">
        <v>98</v>
      </c>
      <c r="AF77" s="2"/>
    </row>
    <row r="78" spans="1:32" x14ac:dyDescent="0.2">
      <c r="A78" t="s">
        <v>207</v>
      </c>
      <c r="B78" s="2">
        <v>32</v>
      </c>
      <c r="C78" t="s">
        <v>66</v>
      </c>
      <c r="D78" s="2" t="s">
        <v>27</v>
      </c>
      <c r="E78" s="2">
        <v>23</v>
      </c>
      <c r="F78" s="2">
        <v>0</v>
      </c>
      <c r="G78" s="2">
        <v>413</v>
      </c>
      <c r="H78" s="2">
        <v>9.6999999999999993</v>
      </c>
      <c r="I78" s="2">
        <v>21.4</v>
      </c>
      <c r="J78" s="2">
        <v>0.45400000000000001</v>
      </c>
      <c r="K78" s="2">
        <v>2.8</v>
      </c>
      <c r="L78" s="2">
        <v>10.199999999999999</v>
      </c>
      <c r="M78" s="2">
        <v>0.27600000000000002</v>
      </c>
      <c r="N78" s="2">
        <v>6.9</v>
      </c>
      <c r="O78" s="2">
        <v>11.2</v>
      </c>
      <c r="P78" s="2">
        <v>0.61499999999999999</v>
      </c>
      <c r="Q78" s="2">
        <v>0.51900000000000002</v>
      </c>
      <c r="R78" s="2">
        <v>4.5999999999999996</v>
      </c>
      <c r="S78" s="2">
        <v>6</v>
      </c>
      <c r="T78" s="2">
        <v>0.76500000000000001</v>
      </c>
      <c r="U78" s="2">
        <v>3.5</v>
      </c>
      <c r="V78" s="2">
        <v>8.5</v>
      </c>
      <c r="W78" s="2">
        <v>12</v>
      </c>
      <c r="X78" s="2">
        <v>1.6</v>
      </c>
      <c r="Y78" s="2">
        <v>1.4</v>
      </c>
      <c r="Z78" s="2">
        <v>2</v>
      </c>
      <c r="AA78" s="2">
        <v>1.9</v>
      </c>
      <c r="AB78" s="2">
        <v>3.3</v>
      </c>
      <c r="AC78" s="2">
        <v>26.8</v>
      </c>
      <c r="AD78" s="2">
        <v>114</v>
      </c>
      <c r="AE78" s="2">
        <v>115</v>
      </c>
      <c r="AF78" s="2"/>
    </row>
    <row r="79" spans="1:32" x14ac:dyDescent="0.2">
      <c r="A79" t="s">
        <v>445</v>
      </c>
      <c r="B79" s="2">
        <v>27</v>
      </c>
      <c r="C79" t="s">
        <v>70</v>
      </c>
      <c r="D79" s="2" t="s">
        <v>52</v>
      </c>
      <c r="E79" s="2">
        <v>12</v>
      </c>
      <c r="F79" s="2">
        <v>0</v>
      </c>
      <c r="G79" s="2">
        <v>50</v>
      </c>
      <c r="H79" s="2">
        <v>8.3000000000000007</v>
      </c>
      <c r="I79" s="2">
        <v>16.600000000000001</v>
      </c>
      <c r="J79" s="2">
        <v>0.5</v>
      </c>
      <c r="K79" s="2">
        <v>4.5999999999999996</v>
      </c>
      <c r="L79" s="2">
        <v>11</v>
      </c>
      <c r="M79" s="2">
        <v>0.41699999999999998</v>
      </c>
      <c r="N79" s="2">
        <v>3.7</v>
      </c>
      <c r="O79" s="2">
        <v>5.5</v>
      </c>
      <c r="P79" s="2">
        <v>0.66700000000000004</v>
      </c>
      <c r="Q79" s="2">
        <v>0.63900000000000001</v>
      </c>
      <c r="R79" s="2">
        <v>5.5</v>
      </c>
      <c r="S79" s="2">
        <v>7.4</v>
      </c>
      <c r="T79" s="2">
        <v>0.75</v>
      </c>
      <c r="U79" s="2">
        <v>3.7</v>
      </c>
      <c r="V79" s="2">
        <v>9.1999999999999993</v>
      </c>
      <c r="W79" s="2">
        <v>12.9</v>
      </c>
      <c r="X79" s="2">
        <v>3.7</v>
      </c>
      <c r="Y79" s="2">
        <v>0</v>
      </c>
      <c r="Z79" s="2">
        <v>0</v>
      </c>
      <c r="AA79" s="2">
        <v>0.9</v>
      </c>
      <c r="AB79" s="2">
        <v>4.5999999999999996</v>
      </c>
      <c r="AC79" s="2">
        <v>26.7</v>
      </c>
      <c r="AD79" s="2">
        <v>139</v>
      </c>
      <c r="AE79" s="2">
        <v>121</v>
      </c>
      <c r="AF79" s="2"/>
    </row>
    <row r="80" spans="1:32" x14ac:dyDescent="0.2">
      <c r="A80" t="s">
        <v>548</v>
      </c>
      <c r="B80" s="2">
        <v>21</v>
      </c>
      <c r="C80" t="s">
        <v>35</v>
      </c>
      <c r="D80" s="2" t="s">
        <v>49</v>
      </c>
      <c r="E80" s="2">
        <v>3</v>
      </c>
      <c r="F80" s="2">
        <v>0</v>
      </c>
      <c r="G80" s="2">
        <v>6</v>
      </c>
      <c r="H80" s="2">
        <v>8.1</v>
      </c>
      <c r="I80" s="2">
        <v>16.3</v>
      </c>
      <c r="J80" s="2">
        <v>0.5</v>
      </c>
      <c r="K80" s="2">
        <v>0</v>
      </c>
      <c r="L80" s="2">
        <v>0</v>
      </c>
      <c r="M80" s="2"/>
      <c r="N80" s="2">
        <v>8.1</v>
      </c>
      <c r="O80" s="2">
        <v>16.3</v>
      </c>
      <c r="P80" s="2">
        <v>0.5</v>
      </c>
      <c r="Q80" s="2">
        <v>0.5</v>
      </c>
      <c r="R80" s="2">
        <v>0</v>
      </c>
      <c r="S80" s="2">
        <v>0</v>
      </c>
      <c r="T80" s="2"/>
      <c r="U80" s="2">
        <v>8.1</v>
      </c>
      <c r="V80" s="2">
        <v>8.1</v>
      </c>
      <c r="W80" s="2">
        <v>16.3</v>
      </c>
      <c r="X80" s="2">
        <v>8.1</v>
      </c>
      <c r="Y80" s="2">
        <v>8.1</v>
      </c>
      <c r="Z80" s="2">
        <v>0</v>
      </c>
      <c r="AA80" s="2">
        <v>8.1</v>
      </c>
      <c r="AB80" s="2">
        <v>0</v>
      </c>
      <c r="AC80" s="2">
        <v>16.3</v>
      </c>
      <c r="AD80" s="2">
        <v>96</v>
      </c>
      <c r="AE80" s="2">
        <v>99</v>
      </c>
      <c r="AF80" s="2"/>
    </row>
    <row r="81" spans="1:32" x14ac:dyDescent="0.2">
      <c r="A81" t="s">
        <v>196</v>
      </c>
      <c r="B81" s="2">
        <v>39</v>
      </c>
      <c r="C81" t="s">
        <v>93</v>
      </c>
      <c r="D81" s="2" t="s">
        <v>33</v>
      </c>
      <c r="E81" s="2">
        <v>24</v>
      </c>
      <c r="F81" s="2">
        <v>24</v>
      </c>
      <c r="G81" s="2">
        <v>693</v>
      </c>
      <c r="H81" s="2">
        <v>5.8</v>
      </c>
      <c r="I81" s="2">
        <v>13.6</v>
      </c>
      <c r="J81" s="2">
        <v>0.42799999999999999</v>
      </c>
      <c r="K81" s="2">
        <v>3.1</v>
      </c>
      <c r="L81" s="2">
        <v>8.8000000000000007</v>
      </c>
      <c r="M81" s="2">
        <v>0.35199999999999998</v>
      </c>
      <c r="N81" s="2">
        <v>2.7</v>
      </c>
      <c r="O81" s="2">
        <v>4.8</v>
      </c>
      <c r="P81" s="2">
        <v>0.56499999999999995</v>
      </c>
      <c r="Q81" s="2">
        <v>0.54100000000000004</v>
      </c>
      <c r="R81" s="2">
        <v>2.5</v>
      </c>
      <c r="S81" s="2">
        <v>2.5</v>
      </c>
      <c r="T81" s="2">
        <v>1</v>
      </c>
      <c r="U81" s="2">
        <v>1</v>
      </c>
      <c r="V81" s="2">
        <v>5.8</v>
      </c>
      <c r="W81" s="2">
        <v>6.8</v>
      </c>
      <c r="X81" s="2">
        <v>14.4</v>
      </c>
      <c r="Y81" s="2">
        <v>2.4</v>
      </c>
      <c r="Z81" s="2">
        <v>0.4</v>
      </c>
      <c r="AA81" s="2">
        <v>3</v>
      </c>
      <c r="AB81" s="2">
        <v>3.2</v>
      </c>
      <c r="AC81" s="2">
        <v>17.2</v>
      </c>
      <c r="AD81" s="2">
        <v>127</v>
      </c>
      <c r="AE81" s="2">
        <v>115</v>
      </c>
      <c r="AF81" s="2"/>
    </row>
    <row r="82" spans="1:32" x14ac:dyDescent="0.2">
      <c r="A82" t="s">
        <v>138</v>
      </c>
      <c r="B82" s="2">
        <v>23</v>
      </c>
      <c r="C82" t="s">
        <v>46</v>
      </c>
      <c r="D82" s="2" t="s">
        <v>52</v>
      </c>
      <c r="E82" s="2">
        <v>22</v>
      </c>
      <c r="F82" s="2">
        <v>22</v>
      </c>
      <c r="G82" s="2">
        <v>774</v>
      </c>
      <c r="H82" s="2">
        <v>7.8</v>
      </c>
      <c r="I82" s="2">
        <v>13.7</v>
      </c>
      <c r="J82" s="2">
        <v>0.56999999999999995</v>
      </c>
      <c r="K82" s="2">
        <v>1.5</v>
      </c>
      <c r="L82" s="2">
        <v>3.6</v>
      </c>
      <c r="M82" s="2">
        <v>0.43099999999999999</v>
      </c>
      <c r="N82" s="2">
        <v>6.3</v>
      </c>
      <c r="O82" s="2">
        <v>10.1</v>
      </c>
      <c r="P82" s="2">
        <v>0.61799999999999999</v>
      </c>
      <c r="Q82" s="2">
        <v>0.626</v>
      </c>
      <c r="R82" s="2">
        <v>3.6</v>
      </c>
      <c r="S82" s="2">
        <v>4.7</v>
      </c>
      <c r="T82" s="2">
        <v>0.77600000000000002</v>
      </c>
      <c r="U82" s="2">
        <v>1.6</v>
      </c>
      <c r="V82" s="2">
        <v>5.2</v>
      </c>
      <c r="W82" s="2">
        <v>6.8</v>
      </c>
      <c r="X82" s="2">
        <v>2.5</v>
      </c>
      <c r="Y82" s="2">
        <v>1.7</v>
      </c>
      <c r="Z82" s="2">
        <v>1</v>
      </c>
      <c r="AA82" s="2">
        <v>2</v>
      </c>
      <c r="AB82" s="2">
        <v>3.1</v>
      </c>
      <c r="AC82" s="2">
        <v>20.8</v>
      </c>
      <c r="AD82" s="2">
        <v>124</v>
      </c>
      <c r="AE82" s="2">
        <v>116</v>
      </c>
      <c r="AF82" s="2"/>
    </row>
    <row r="83" spans="1:32" x14ac:dyDescent="0.2">
      <c r="A83" t="s">
        <v>440</v>
      </c>
      <c r="B83" s="2">
        <v>24</v>
      </c>
      <c r="C83" t="s">
        <v>41</v>
      </c>
      <c r="D83" s="2" t="s">
        <v>42</v>
      </c>
      <c r="E83" s="2">
        <v>14</v>
      </c>
      <c r="F83" s="2">
        <v>0</v>
      </c>
      <c r="G83" s="2">
        <v>138</v>
      </c>
      <c r="H83" s="2">
        <v>5</v>
      </c>
      <c r="I83" s="2">
        <v>7.8</v>
      </c>
      <c r="J83" s="2">
        <v>0.63600000000000001</v>
      </c>
      <c r="K83" s="2">
        <v>0</v>
      </c>
      <c r="L83" s="2">
        <v>0.7</v>
      </c>
      <c r="M83" s="2">
        <v>0</v>
      </c>
      <c r="N83" s="2">
        <v>5</v>
      </c>
      <c r="O83" s="2">
        <v>7.1</v>
      </c>
      <c r="P83" s="2">
        <v>0.7</v>
      </c>
      <c r="Q83" s="2">
        <v>0.63600000000000001</v>
      </c>
      <c r="R83" s="2">
        <v>0.7</v>
      </c>
      <c r="S83" s="2">
        <v>0.7</v>
      </c>
      <c r="T83" s="2">
        <v>1</v>
      </c>
      <c r="U83" s="2">
        <v>4.5999999999999996</v>
      </c>
      <c r="V83" s="2">
        <v>6.4</v>
      </c>
      <c r="W83" s="2">
        <v>11</v>
      </c>
      <c r="X83" s="2">
        <v>1.4</v>
      </c>
      <c r="Y83" s="2">
        <v>1.4</v>
      </c>
      <c r="Z83" s="2">
        <v>1.4</v>
      </c>
      <c r="AA83" s="2">
        <v>1.8</v>
      </c>
      <c r="AB83" s="2">
        <v>6</v>
      </c>
      <c r="AC83" s="2">
        <v>10.6</v>
      </c>
      <c r="AD83" s="2">
        <v>126</v>
      </c>
      <c r="AE83" s="2">
        <v>117</v>
      </c>
      <c r="AF83" s="2"/>
    </row>
    <row r="84" spans="1:32" x14ac:dyDescent="0.2">
      <c r="A84" t="s">
        <v>172</v>
      </c>
      <c r="B84" s="2">
        <v>33</v>
      </c>
      <c r="C84" t="s">
        <v>117</v>
      </c>
      <c r="D84" s="2" t="s">
        <v>33</v>
      </c>
      <c r="E84" s="2">
        <v>13</v>
      </c>
      <c r="F84" s="2">
        <v>13</v>
      </c>
      <c r="G84" s="2">
        <v>439</v>
      </c>
      <c r="H84" s="2">
        <v>12.2</v>
      </c>
      <c r="I84" s="2">
        <v>27.3</v>
      </c>
      <c r="J84" s="2">
        <v>0.44900000000000001</v>
      </c>
      <c r="K84" s="2">
        <v>4.2</v>
      </c>
      <c r="L84" s="2">
        <v>12.6</v>
      </c>
      <c r="M84" s="2">
        <v>0.33600000000000002</v>
      </c>
      <c r="N84" s="2">
        <v>8</v>
      </c>
      <c r="O84" s="2">
        <v>14.7</v>
      </c>
      <c r="P84" s="2">
        <v>0.54500000000000004</v>
      </c>
      <c r="Q84" s="2">
        <v>0.52700000000000002</v>
      </c>
      <c r="R84" s="2">
        <v>2.4</v>
      </c>
      <c r="S84" s="2">
        <v>3.8</v>
      </c>
      <c r="T84" s="2">
        <v>0.64700000000000002</v>
      </c>
      <c r="U84" s="2">
        <v>1</v>
      </c>
      <c r="V84" s="2">
        <v>4.5</v>
      </c>
      <c r="W84" s="2">
        <v>5.5</v>
      </c>
      <c r="X84" s="2">
        <v>5.6</v>
      </c>
      <c r="Y84" s="2">
        <v>1.8</v>
      </c>
      <c r="Z84" s="2">
        <v>0.7</v>
      </c>
      <c r="AA84" s="2">
        <v>2.2000000000000002</v>
      </c>
      <c r="AB84" s="2">
        <v>3.2</v>
      </c>
      <c r="AC84" s="2">
        <v>31.2</v>
      </c>
      <c r="AD84" s="2">
        <v>110</v>
      </c>
      <c r="AE84" s="2">
        <v>121</v>
      </c>
      <c r="AF84" s="2"/>
    </row>
    <row r="85" spans="1:32" x14ac:dyDescent="0.2">
      <c r="A85" t="s">
        <v>183</v>
      </c>
      <c r="B85" s="2">
        <v>30</v>
      </c>
      <c r="C85" t="s">
        <v>72</v>
      </c>
      <c r="D85" s="2" t="s">
        <v>42</v>
      </c>
      <c r="E85" s="2">
        <v>26</v>
      </c>
      <c r="F85" s="2">
        <v>26</v>
      </c>
      <c r="G85" s="2">
        <v>593</v>
      </c>
      <c r="H85" s="2">
        <v>9.1999999999999993</v>
      </c>
      <c r="I85" s="2">
        <v>15.8</v>
      </c>
      <c r="J85" s="2">
        <v>0.58399999999999996</v>
      </c>
      <c r="K85" s="2">
        <v>0</v>
      </c>
      <c r="L85" s="2">
        <v>0</v>
      </c>
      <c r="M85" s="2"/>
      <c r="N85" s="2">
        <v>9.1999999999999993</v>
      </c>
      <c r="O85" s="2">
        <v>15.8</v>
      </c>
      <c r="P85" s="2">
        <v>0.58399999999999996</v>
      </c>
      <c r="Q85" s="2">
        <v>0.58399999999999996</v>
      </c>
      <c r="R85" s="2">
        <v>2.2999999999999998</v>
      </c>
      <c r="S85" s="2">
        <v>4.0999999999999996</v>
      </c>
      <c r="T85" s="2">
        <v>0.55800000000000005</v>
      </c>
      <c r="U85" s="2">
        <v>7.6</v>
      </c>
      <c r="V85" s="2">
        <v>11.7</v>
      </c>
      <c r="W85" s="2">
        <v>19.2</v>
      </c>
      <c r="X85" s="2">
        <v>2.7</v>
      </c>
      <c r="Y85" s="2">
        <v>1.3</v>
      </c>
      <c r="Z85" s="2">
        <v>1.9</v>
      </c>
      <c r="AA85" s="2">
        <v>1.5</v>
      </c>
      <c r="AB85" s="2">
        <v>4.0999999999999996</v>
      </c>
      <c r="AC85" s="2">
        <v>20.7</v>
      </c>
      <c r="AD85" s="2">
        <v>128</v>
      </c>
      <c r="AE85" s="2">
        <v>112</v>
      </c>
      <c r="AF85" s="2"/>
    </row>
    <row r="86" spans="1:32" x14ac:dyDescent="0.2">
      <c r="A86" t="s">
        <v>110</v>
      </c>
      <c r="B86" s="2">
        <v>24</v>
      </c>
      <c r="C86" t="s">
        <v>70</v>
      </c>
      <c r="D86" s="2" t="s">
        <v>52</v>
      </c>
      <c r="E86" s="2">
        <v>23</v>
      </c>
      <c r="F86" s="2">
        <v>23</v>
      </c>
      <c r="G86" s="2">
        <v>751</v>
      </c>
      <c r="H86" s="2">
        <v>8.5</v>
      </c>
      <c r="I86" s="2">
        <v>20.100000000000001</v>
      </c>
      <c r="J86" s="2">
        <v>0.42399999999999999</v>
      </c>
      <c r="K86" s="2">
        <v>4.7</v>
      </c>
      <c r="L86" s="2">
        <v>12.6</v>
      </c>
      <c r="M86" s="2">
        <v>0.371</v>
      </c>
      <c r="N86" s="2">
        <v>3.9</v>
      </c>
      <c r="O86" s="2">
        <v>7.5</v>
      </c>
      <c r="P86" s="2">
        <v>0.51200000000000001</v>
      </c>
      <c r="Q86" s="2">
        <v>0.54</v>
      </c>
      <c r="R86" s="2">
        <v>3.8</v>
      </c>
      <c r="S86" s="2">
        <v>4.3</v>
      </c>
      <c r="T86" s="2">
        <v>0.873</v>
      </c>
      <c r="U86" s="2">
        <v>0.5</v>
      </c>
      <c r="V86" s="2">
        <v>4.8</v>
      </c>
      <c r="W86" s="2">
        <v>5.3</v>
      </c>
      <c r="X86" s="2">
        <v>6.7</v>
      </c>
      <c r="Y86" s="2">
        <v>1.5</v>
      </c>
      <c r="Z86" s="2">
        <v>0.3</v>
      </c>
      <c r="AA86" s="2">
        <v>3.3</v>
      </c>
      <c r="AB86" s="2">
        <v>3.4</v>
      </c>
      <c r="AC86" s="2">
        <v>25.5</v>
      </c>
      <c r="AD86" s="2">
        <v>110</v>
      </c>
      <c r="AE86" s="2">
        <v>119</v>
      </c>
      <c r="AF86" s="2"/>
    </row>
    <row r="87" spans="1:32" x14ac:dyDescent="0.2">
      <c r="A87" t="s">
        <v>225</v>
      </c>
      <c r="B87" s="2">
        <v>29</v>
      </c>
      <c r="C87" t="s">
        <v>59</v>
      </c>
      <c r="D87" s="2" t="s">
        <v>49</v>
      </c>
      <c r="E87" s="2">
        <v>24</v>
      </c>
      <c r="F87" s="2">
        <v>5</v>
      </c>
      <c r="G87" s="2">
        <v>629</v>
      </c>
      <c r="H87" s="2">
        <v>6.1</v>
      </c>
      <c r="I87" s="2">
        <v>13.9</v>
      </c>
      <c r="J87" s="2">
        <v>0.441</v>
      </c>
      <c r="K87" s="2">
        <v>2.2999999999999998</v>
      </c>
      <c r="L87" s="2">
        <v>6.8</v>
      </c>
      <c r="M87" s="2">
        <v>0.33700000000000002</v>
      </c>
      <c r="N87" s="2">
        <v>3.9</v>
      </c>
      <c r="O87" s="2">
        <v>7.2</v>
      </c>
      <c r="P87" s="2">
        <v>0.53800000000000003</v>
      </c>
      <c r="Q87" s="2">
        <v>0.52300000000000002</v>
      </c>
      <c r="R87" s="2">
        <v>1.7</v>
      </c>
      <c r="S87" s="2">
        <v>2.5</v>
      </c>
      <c r="T87" s="2">
        <v>0.65600000000000003</v>
      </c>
      <c r="U87" s="2">
        <v>2</v>
      </c>
      <c r="V87" s="2">
        <v>7.2</v>
      </c>
      <c r="W87" s="2">
        <v>9.1999999999999993</v>
      </c>
      <c r="X87" s="2">
        <v>4.5</v>
      </c>
      <c r="Y87" s="2">
        <v>2</v>
      </c>
      <c r="Z87" s="2">
        <v>1.4</v>
      </c>
      <c r="AA87" s="2">
        <v>2</v>
      </c>
      <c r="AB87" s="2">
        <v>3.6</v>
      </c>
      <c r="AC87" s="2">
        <v>16.2</v>
      </c>
      <c r="AD87" s="2">
        <v>114</v>
      </c>
      <c r="AE87" s="2">
        <v>114</v>
      </c>
      <c r="AF87" s="2"/>
    </row>
    <row r="88" spans="1:32" x14ac:dyDescent="0.2">
      <c r="A88" t="s">
        <v>406</v>
      </c>
      <c r="B88" s="2">
        <v>20</v>
      </c>
      <c r="C88" t="s">
        <v>120</v>
      </c>
      <c r="D88" s="2" t="s">
        <v>52</v>
      </c>
      <c r="E88" s="2">
        <v>16</v>
      </c>
      <c r="F88" s="2">
        <v>7</v>
      </c>
      <c r="G88" s="2">
        <v>299</v>
      </c>
      <c r="H88" s="2">
        <v>2.9</v>
      </c>
      <c r="I88" s="2">
        <v>10.9</v>
      </c>
      <c r="J88" s="2">
        <v>0.26900000000000002</v>
      </c>
      <c r="K88" s="2">
        <v>1.1000000000000001</v>
      </c>
      <c r="L88" s="2">
        <v>6</v>
      </c>
      <c r="M88" s="2">
        <v>0.189</v>
      </c>
      <c r="N88" s="2">
        <v>1.8</v>
      </c>
      <c r="O88" s="2">
        <v>4.9000000000000004</v>
      </c>
      <c r="P88" s="2">
        <v>0.36699999999999999</v>
      </c>
      <c r="Q88" s="2">
        <v>0.32100000000000001</v>
      </c>
      <c r="R88" s="2">
        <v>1</v>
      </c>
      <c r="S88" s="2">
        <v>1.6</v>
      </c>
      <c r="T88" s="2">
        <v>0.6</v>
      </c>
      <c r="U88" s="2">
        <v>1.3</v>
      </c>
      <c r="V88" s="2">
        <v>4.7</v>
      </c>
      <c r="W88" s="2">
        <v>6</v>
      </c>
      <c r="X88" s="2">
        <v>3.1</v>
      </c>
      <c r="Y88" s="2">
        <v>1.1000000000000001</v>
      </c>
      <c r="Z88" s="2">
        <v>0.8</v>
      </c>
      <c r="AA88" s="2">
        <v>1.8</v>
      </c>
      <c r="AB88" s="2">
        <v>3.2</v>
      </c>
      <c r="AC88" s="2">
        <v>7.9</v>
      </c>
      <c r="AD88" s="2">
        <v>81</v>
      </c>
      <c r="AE88" s="2">
        <v>122</v>
      </c>
      <c r="AF88" s="2"/>
    </row>
    <row r="89" spans="1:32" x14ac:dyDescent="0.2">
      <c r="A89" t="s">
        <v>466</v>
      </c>
      <c r="B89" s="2">
        <v>22</v>
      </c>
      <c r="C89" t="s">
        <v>37</v>
      </c>
      <c r="D89" s="2" t="s">
        <v>52</v>
      </c>
      <c r="E89" s="2">
        <v>16</v>
      </c>
      <c r="F89" s="2">
        <v>0</v>
      </c>
      <c r="G89" s="2">
        <v>82</v>
      </c>
      <c r="H89" s="2">
        <v>4.7</v>
      </c>
      <c r="I89" s="2">
        <v>11.3</v>
      </c>
      <c r="J89" s="2">
        <v>0.42099999999999999</v>
      </c>
      <c r="K89" s="2">
        <v>2.4</v>
      </c>
      <c r="L89" s="2">
        <v>4.2</v>
      </c>
      <c r="M89" s="2">
        <v>0.57099999999999995</v>
      </c>
      <c r="N89" s="2">
        <v>2.4</v>
      </c>
      <c r="O89" s="2">
        <v>7.1</v>
      </c>
      <c r="P89" s="2">
        <v>0.33300000000000002</v>
      </c>
      <c r="Q89" s="2">
        <v>0.52600000000000002</v>
      </c>
      <c r="R89" s="2">
        <v>0</v>
      </c>
      <c r="S89" s="2">
        <v>0</v>
      </c>
      <c r="T89" s="2"/>
      <c r="U89" s="2">
        <v>2.4</v>
      </c>
      <c r="V89" s="2">
        <v>5.9</v>
      </c>
      <c r="W89" s="2">
        <v>8.3000000000000007</v>
      </c>
      <c r="X89" s="2">
        <v>2.4</v>
      </c>
      <c r="Y89" s="2">
        <v>2.4</v>
      </c>
      <c r="Z89" s="2">
        <v>2.4</v>
      </c>
      <c r="AA89" s="2">
        <v>3.6</v>
      </c>
      <c r="AB89" s="2">
        <v>4.7</v>
      </c>
      <c r="AC89" s="2">
        <v>11.9</v>
      </c>
      <c r="AD89" s="2">
        <v>92</v>
      </c>
      <c r="AE89" s="2">
        <v>110</v>
      </c>
      <c r="AF89" s="2"/>
    </row>
    <row r="90" spans="1:32" x14ac:dyDescent="0.2">
      <c r="A90" t="s">
        <v>308</v>
      </c>
      <c r="B90" s="2">
        <v>24</v>
      </c>
      <c r="C90" t="s">
        <v>48</v>
      </c>
      <c r="D90" s="2" t="s">
        <v>33</v>
      </c>
      <c r="E90" s="2">
        <v>24</v>
      </c>
      <c r="F90" s="2">
        <v>0</v>
      </c>
      <c r="G90" s="2">
        <v>265</v>
      </c>
      <c r="H90" s="2">
        <v>8</v>
      </c>
      <c r="I90" s="2">
        <v>21.2</v>
      </c>
      <c r="J90" s="2">
        <v>0.377</v>
      </c>
      <c r="K90" s="2">
        <v>3</v>
      </c>
      <c r="L90" s="2">
        <v>9.3000000000000007</v>
      </c>
      <c r="M90" s="2">
        <v>0.32</v>
      </c>
      <c r="N90" s="2">
        <v>5</v>
      </c>
      <c r="O90" s="2">
        <v>11.9</v>
      </c>
      <c r="P90" s="2">
        <v>0.42199999999999999</v>
      </c>
      <c r="Q90" s="2">
        <v>0.44700000000000001</v>
      </c>
      <c r="R90" s="2">
        <v>4.3</v>
      </c>
      <c r="S90" s="2">
        <v>6</v>
      </c>
      <c r="T90" s="2">
        <v>0.71899999999999997</v>
      </c>
      <c r="U90" s="2">
        <v>1.5</v>
      </c>
      <c r="V90" s="2">
        <v>7.3</v>
      </c>
      <c r="W90" s="2">
        <v>8.8000000000000007</v>
      </c>
      <c r="X90" s="2">
        <v>8.1999999999999993</v>
      </c>
      <c r="Y90" s="2">
        <v>1.9</v>
      </c>
      <c r="Z90" s="2">
        <v>0.6</v>
      </c>
      <c r="AA90" s="2">
        <v>5.2</v>
      </c>
      <c r="AB90" s="2">
        <v>6.1</v>
      </c>
      <c r="AC90" s="2">
        <v>23.3</v>
      </c>
      <c r="AD90" s="2">
        <v>96</v>
      </c>
      <c r="AE90" s="2">
        <v>108</v>
      </c>
      <c r="AF90" s="2"/>
    </row>
    <row r="91" spans="1:32" x14ac:dyDescent="0.2">
      <c r="A91" t="s">
        <v>566</v>
      </c>
      <c r="B91" s="2">
        <v>25</v>
      </c>
      <c r="C91" t="s">
        <v>75</v>
      </c>
      <c r="D91" s="2" t="s">
        <v>49</v>
      </c>
      <c r="E91" s="2">
        <v>2</v>
      </c>
      <c r="F91" s="2">
        <v>0</v>
      </c>
      <c r="G91" s="2">
        <v>13</v>
      </c>
      <c r="H91" s="2">
        <v>0</v>
      </c>
      <c r="I91" s="2">
        <v>18.8</v>
      </c>
      <c r="J91" s="2">
        <v>0</v>
      </c>
      <c r="K91" s="2">
        <v>0</v>
      </c>
      <c r="L91" s="2">
        <v>18.8</v>
      </c>
      <c r="M91" s="2">
        <v>0</v>
      </c>
      <c r="N91" s="2">
        <v>0</v>
      </c>
      <c r="O91" s="2">
        <v>0</v>
      </c>
      <c r="P91" s="2"/>
      <c r="Q91" s="2">
        <v>0</v>
      </c>
      <c r="R91" s="2">
        <v>0</v>
      </c>
      <c r="S91" s="2">
        <v>0</v>
      </c>
      <c r="T91" s="2"/>
      <c r="U91" s="2">
        <v>0</v>
      </c>
      <c r="V91" s="2">
        <v>7.5</v>
      </c>
      <c r="W91" s="2">
        <v>7.5</v>
      </c>
      <c r="X91" s="2">
        <v>3.8</v>
      </c>
      <c r="Y91" s="2">
        <v>0</v>
      </c>
      <c r="Z91" s="2">
        <v>0</v>
      </c>
      <c r="AA91" s="2">
        <v>0</v>
      </c>
      <c r="AB91" s="2">
        <v>3.8</v>
      </c>
      <c r="AC91" s="2">
        <v>0</v>
      </c>
      <c r="AD91" s="2">
        <v>15</v>
      </c>
      <c r="AE91" s="2">
        <v>118</v>
      </c>
      <c r="AF91" s="2"/>
    </row>
    <row r="92" spans="1:32" x14ac:dyDescent="0.2">
      <c r="A92" t="s">
        <v>496</v>
      </c>
      <c r="B92" s="2">
        <v>24</v>
      </c>
      <c r="C92" t="s">
        <v>80</v>
      </c>
      <c r="D92" s="2" t="s">
        <v>42</v>
      </c>
      <c r="E92" s="2">
        <v>7</v>
      </c>
      <c r="F92" s="2">
        <v>0</v>
      </c>
      <c r="G92" s="2">
        <v>21</v>
      </c>
      <c r="H92" s="2">
        <v>2.2000000000000002</v>
      </c>
      <c r="I92" s="2">
        <v>8.6999999999999993</v>
      </c>
      <c r="J92" s="2">
        <v>0.25</v>
      </c>
      <c r="K92" s="2">
        <v>0</v>
      </c>
      <c r="L92" s="2">
        <v>4.4000000000000004</v>
      </c>
      <c r="M92" s="2">
        <v>0</v>
      </c>
      <c r="N92" s="2">
        <v>2.2000000000000002</v>
      </c>
      <c r="O92" s="2">
        <v>4.4000000000000004</v>
      </c>
      <c r="P92" s="2">
        <v>0.5</v>
      </c>
      <c r="Q92" s="2">
        <v>0.25</v>
      </c>
      <c r="R92" s="2">
        <v>17.5</v>
      </c>
      <c r="S92" s="2">
        <v>17.5</v>
      </c>
      <c r="T92" s="2">
        <v>1</v>
      </c>
      <c r="U92" s="2">
        <v>4.4000000000000004</v>
      </c>
      <c r="V92" s="2">
        <v>10.9</v>
      </c>
      <c r="W92" s="2">
        <v>15.3</v>
      </c>
      <c r="X92" s="2">
        <v>0</v>
      </c>
      <c r="Y92" s="2">
        <v>0</v>
      </c>
      <c r="Z92" s="2">
        <v>2.2000000000000002</v>
      </c>
      <c r="AA92" s="2">
        <v>0</v>
      </c>
      <c r="AB92" s="2">
        <v>6.6</v>
      </c>
      <c r="AC92" s="2">
        <v>21.9</v>
      </c>
      <c r="AD92" s="2">
        <v>161</v>
      </c>
      <c r="AE92" s="2">
        <v>109</v>
      </c>
      <c r="AF92" s="2"/>
    </row>
    <row r="93" spans="1:32" x14ac:dyDescent="0.2">
      <c r="A93" t="s">
        <v>536</v>
      </c>
      <c r="B93" s="2">
        <v>25</v>
      </c>
      <c r="C93" t="s">
        <v>54</v>
      </c>
      <c r="D93" s="2" t="s">
        <v>33</v>
      </c>
      <c r="E93" s="2">
        <v>1</v>
      </c>
      <c r="F93" s="2">
        <v>0</v>
      </c>
      <c r="G93" s="2">
        <v>3</v>
      </c>
      <c r="H93" s="2">
        <v>16.399999999999999</v>
      </c>
      <c r="I93" s="2">
        <v>32.799999999999997</v>
      </c>
      <c r="J93" s="2">
        <v>0.5</v>
      </c>
      <c r="K93" s="2">
        <v>16.399999999999999</v>
      </c>
      <c r="L93" s="2">
        <v>16.399999999999999</v>
      </c>
      <c r="M93" s="2">
        <v>1</v>
      </c>
      <c r="N93" s="2">
        <v>0</v>
      </c>
      <c r="O93" s="2">
        <v>16.399999999999999</v>
      </c>
      <c r="P93" s="2">
        <v>0</v>
      </c>
      <c r="Q93" s="2">
        <v>0.75</v>
      </c>
      <c r="R93" s="2">
        <v>0</v>
      </c>
      <c r="S93" s="2">
        <v>0</v>
      </c>
      <c r="T93" s="2"/>
      <c r="U93" s="2">
        <v>0</v>
      </c>
      <c r="V93" s="2">
        <v>0</v>
      </c>
      <c r="W93" s="2">
        <v>0</v>
      </c>
      <c r="X93" s="2">
        <v>0</v>
      </c>
      <c r="Y93" s="2">
        <v>0</v>
      </c>
      <c r="Z93" s="2">
        <v>0</v>
      </c>
      <c r="AA93" s="2">
        <v>0</v>
      </c>
      <c r="AB93" s="2">
        <v>0</v>
      </c>
      <c r="AC93" s="2">
        <v>49.2</v>
      </c>
      <c r="AD93" s="2">
        <v>130</v>
      </c>
      <c r="AE93" s="2">
        <v>125</v>
      </c>
      <c r="AF93" s="2"/>
    </row>
    <row r="94" spans="1:32" x14ac:dyDescent="0.2">
      <c r="A94" t="s">
        <v>123</v>
      </c>
      <c r="B94" s="2">
        <v>26</v>
      </c>
      <c r="C94" t="s">
        <v>120</v>
      </c>
      <c r="D94" s="2" t="s">
        <v>52</v>
      </c>
      <c r="E94" s="2">
        <v>23</v>
      </c>
      <c r="F94" s="2">
        <v>21</v>
      </c>
      <c r="G94" s="2">
        <v>641</v>
      </c>
      <c r="H94" s="2">
        <v>10.1</v>
      </c>
      <c r="I94" s="2">
        <v>20.9</v>
      </c>
      <c r="J94" s="2">
        <v>0.48</v>
      </c>
      <c r="K94" s="2">
        <v>3.1</v>
      </c>
      <c r="L94" s="2">
        <v>7.2</v>
      </c>
      <c r="M94" s="2">
        <v>0.432</v>
      </c>
      <c r="N94" s="2">
        <v>7</v>
      </c>
      <c r="O94" s="2">
        <v>13.8</v>
      </c>
      <c r="P94" s="2">
        <v>0.505</v>
      </c>
      <c r="Q94" s="2">
        <v>0.55400000000000005</v>
      </c>
      <c r="R94" s="2">
        <v>6</v>
      </c>
      <c r="S94" s="2">
        <v>6.7</v>
      </c>
      <c r="T94" s="2">
        <v>0.89800000000000002</v>
      </c>
      <c r="U94" s="2">
        <v>1.3</v>
      </c>
      <c r="V94" s="2">
        <v>3.1</v>
      </c>
      <c r="W94" s="2">
        <v>4.4000000000000004</v>
      </c>
      <c r="X94" s="2">
        <v>5.6</v>
      </c>
      <c r="Y94" s="2">
        <v>1.1000000000000001</v>
      </c>
      <c r="Z94" s="2">
        <v>0.2</v>
      </c>
      <c r="AA94" s="2">
        <v>4.2</v>
      </c>
      <c r="AB94" s="2">
        <v>3.9</v>
      </c>
      <c r="AC94" s="2">
        <v>29.2</v>
      </c>
      <c r="AD94" s="2">
        <v>116</v>
      </c>
      <c r="AE94" s="2">
        <v>124</v>
      </c>
      <c r="AF94" s="2"/>
    </row>
    <row r="95" spans="1:32" x14ac:dyDescent="0.2">
      <c r="A95" t="s">
        <v>224</v>
      </c>
      <c r="B95" s="2">
        <v>25</v>
      </c>
      <c r="C95" t="s">
        <v>114</v>
      </c>
      <c r="D95" s="2" t="s">
        <v>49</v>
      </c>
      <c r="E95" s="2">
        <v>19</v>
      </c>
      <c r="F95" s="2">
        <v>0</v>
      </c>
      <c r="G95" s="2">
        <v>525</v>
      </c>
      <c r="H95" s="2">
        <v>6.8</v>
      </c>
      <c r="I95" s="2">
        <v>16.399999999999999</v>
      </c>
      <c r="J95" s="2">
        <v>0.41299999999999998</v>
      </c>
      <c r="K95" s="2">
        <v>3.1</v>
      </c>
      <c r="L95" s="2">
        <v>10</v>
      </c>
      <c r="M95" s="2">
        <v>0.313</v>
      </c>
      <c r="N95" s="2">
        <v>3.6</v>
      </c>
      <c r="O95" s="2">
        <v>6.4</v>
      </c>
      <c r="P95" s="2">
        <v>0.56899999999999995</v>
      </c>
      <c r="Q95" s="2">
        <v>0.50800000000000001</v>
      </c>
      <c r="R95" s="2">
        <v>1.8</v>
      </c>
      <c r="S95" s="2">
        <v>2.1</v>
      </c>
      <c r="T95" s="2">
        <v>0.83299999999999996</v>
      </c>
      <c r="U95" s="2">
        <v>0.6</v>
      </c>
      <c r="V95" s="2">
        <v>5.2</v>
      </c>
      <c r="W95" s="2">
        <v>5.8</v>
      </c>
      <c r="X95" s="2">
        <v>2.5</v>
      </c>
      <c r="Y95" s="2">
        <v>1.1000000000000001</v>
      </c>
      <c r="Z95" s="2">
        <v>0.3</v>
      </c>
      <c r="AA95" s="2">
        <v>1.9</v>
      </c>
      <c r="AB95" s="2">
        <v>2.8</v>
      </c>
      <c r="AC95" s="2">
        <v>18.399999999999999</v>
      </c>
      <c r="AD95" s="2">
        <v>102</v>
      </c>
      <c r="AE95" s="2">
        <v>124</v>
      </c>
      <c r="AF95" s="2"/>
    </row>
    <row r="96" spans="1:32" x14ac:dyDescent="0.2">
      <c r="A96" t="s">
        <v>485</v>
      </c>
      <c r="B96" s="2">
        <v>33</v>
      </c>
      <c r="C96" t="s">
        <v>48</v>
      </c>
      <c r="D96" s="2" t="s">
        <v>33</v>
      </c>
      <c r="E96" s="2">
        <v>13</v>
      </c>
      <c r="F96" s="2">
        <v>0</v>
      </c>
      <c r="G96" s="2">
        <v>46</v>
      </c>
      <c r="H96" s="2">
        <v>5.4</v>
      </c>
      <c r="I96" s="2">
        <v>16.100000000000001</v>
      </c>
      <c r="J96" s="2">
        <v>0.33300000000000002</v>
      </c>
      <c r="K96" s="2">
        <v>5.4</v>
      </c>
      <c r="L96" s="2">
        <v>12.9</v>
      </c>
      <c r="M96" s="2">
        <v>0.41699999999999998</v>
      </c>
      <c r="N96" s="2">
        <v>0</v>
      </c>
      <c r="O96" s="2">
        <v>3.2</v>
      </c>
      <c r="P96" s="2">
        <v>0</v>
      </c>
      <c r="Q96" s="2">
        <v>0.5</v>
      </c>
      <c r="R96" s="2">
        <v>0</v>
      </c>
      <c r="S96" s="2">
        <v>0</v>
      </c>
      <c r="T96" s="2"/>
      <c r="U96" s="2">
        <v>3.2</v>
      </c>
      <c r="V96" s="2">
        <v>6.4</v>
      </c>
      <c r="W96" s="2">
        <v>9.6999999999999993</v>
      </c>
      <c r="X96" s="2">
        <v>9.6999999999999993</v>
      </c>
      <c r="Y96" s="2">
        <v>2.1</v>
      </c>
      <c r="Z96" s="2">
        <v>2.1</v>
      </c>
      <c r="AA96" s="2">
        <v>2.1</v>
      </c>
      <c r="AB96" s="2">
        <v>3.2</v>
      </c>
      <c r="AC96" s="2">
        <v>16.100000000000001</v>
      </c>
      <c r="AD96" s="2">
        <v>118</v>
      </c>
      <c r="AE96" s="2">
        <v>106</v>
      </c>
      <c r="AF96" s="2"/>
    </row>
    <row r="97" spans="1:32" x14ac:dyDescent="0.2">
      <c r="A97" t="s">
        <v>415</v>
      </c>
      <c r="B97" s="2">
        <v>24</v>
      </c>
      <c r="C97" t="s">
        <v>57</v>
      </c>
      <c r="D97" s="2" t="s">
        <v>33</v>
      </c>
      <c r="E97" s="2">
        <v>16</v>
      </c>
      <c r="F97" s="2">
        <v>0</v>
      </c>
      <c r="G97" s="2">
        <v>151</v>
      </c>
      <c r="H97" s="2">
        <v>5.7</v>
      </c>
      <c r="I97" s="2">
        <v>9.8000000000000007</v>
      </c>
      <c r="J97" s="2">
        <v>0.58099999999999996</v>
      </c>
      <c r="K97" s="2">
        <v>1.6</v>
      </c>
      <c r="L97" s="2">
        <v>3.5</v>
      </c>
      <c r="M97" s="2">
        <v>0.45500000000000002</v>
      </c>
      <c r="N97" s="2">
        <v>4.0999999999999996</v>
      </c>
      <c r="O97" s="2">
        <v>6.3</v>
      </c>
      <c r="P97" s="2">
        <v>0.65</v>
      </c>
      <c r="Q97" s="2">
        <v>0.66100000000000003</v>
      </c>
      <c r="R97" s="2">
        <v>1</v>
      </c>
      <c r="S97" s="2">
        <v>1.6</v>
      </c>
      <c r="T97" s="2">
        <v>0.6</v>
      </c>
      <c r="U97" s="2">
        <v>0.3</v>
      </c>
      <c r="V97" s="2">
        <v>4.0999999999999996</v>
      </c>
      <c r="W97" s="2">
        <v>4.4000000000000004</v>
      </c>
      <c r="X97" s="2">
        <v>7</v>
      </c>
      <c r="Y97" s="2">
        <v>1.6</v>
      </c>
      <c r="Z97" s="2">
        <v>1.9</v>
      </c>
      <c r="AA97" s="2">
        <v>2.9</v>
      </c>
      <c r="AB97" s="2">
        <v>2.2000000000000002</v>
      </c>
      <c r="AC97" s="2">
        <v>14</v>
      </c>
      <c r="AD97" s="2">
        <v>120</v>
      </c>
      <c r="AE97" s="2">
        <v>112</v>
      </c>
      <c r="AF97" s="2"/>
    </row>
    <row r="98" spans="1:32" x14ac:dyDescent="0.2">
      <c r="A98" t="s">
        <v>534</v>
      </c>
      <c r="B98" s="2">
        <v>21</v>
      </c>
      <c r="C98" t="s">
        <v>103</v>
      </c>
      <c r="D98" s="2" t="s">
        <v>52</v>
      </c>
      <c r="E98" s="2">
        <v>5</v>
      </c>
      <c r="F98" s="2">
        <v>0</v>
      </c>
      <c r="G98" s="2">
        <v>10</v>
      </c>
      <c r="H98" s="2">
        <v>5</v>
      </c>
      <c r="I98" s="2">
        <v>34.799999999999997</v>
      </c>
      <c r="J98" s="2">
        <v>0.14299999999999999</v>
      </c>
      <c r="K98" s="2">
        <v>0</v>
      </c>
      <c r="L98" s="2">
        <v>14.9</v>
      </c>
      <c r="M98" s="2">
        <v>0</v>
      </c>
      <c r="N98" s="2">
        <v>5</v>
      </c>
      <c r="O98" s="2">
        <v>19.899999999999999</v>
      </c>
      <c r="P98" s="2">
        <v>0.25</v>
      </c>
      <c r="Q98" s="2">
        <v>0.14299999999999999</v>
      </c>
      <c r="R98" s="2">
        <v>5</v>
      </c>
      <c r="S98" s="2">
        <v>9.9</v>
      </c>
      <c r="T98" s="2">
        <v>0.5</v>
      </c>
      <c r="U98" s="2">
        <v>0</v>
      </c>
      <c r="V98" s="2">
        <v>9.9</v>
      </c>
      <c r="W98" s="2">
        <v>9.9</v>
      </c>
      <c r="X98" s="2">
        <v>0</v>
      </c>
      <c r="Y98" s="2">
        <v>0</v>
      </c>
      <c r="Z98" s="2">
        <v>0</v>
      </c>
      <c r="AA98" s="2">
        <v>0</v>
      </c>
      <c r="AB98" s="2">
        <v>0</v>
      </c>
      <c r="AC98" s="2">
        <v>14.9</v>
      </c>
      <c r="AD98" s="2">
        <v>43</v>
      </c>
      <c r="AE98" s="2">
        <v>119</v>
      </c>
      <c r="AF98" s="2"/>
    </row>
    <row r="99" spans="1:32" x14ac:dyDescent="0.2">
      <c r="A99" t="s">
        <v>533</v>
      </c>
      <c r="B99" s="2">
        <v>24</v>
      </c>
      <c r="C99" t="s">
        <v>66</v>
      </c>
      <c r="D99" s="2" t="s">
        <v>52</v>
      </c>
      <c r="E99" s="2">
        <v>4</v>
      </c>
      <c r="F99" s="2">
        <v>0</v>
      </c>
      <c r="G99" s="2">
        <v>33</v>
      </c>
      <c r="H99" s="2">
        <v>1.5</v>
      </c>
      <c r="I99" s="2">
        <v>10.199999999999999</v>
      </c>
      <c r="J99" s="2">
        <v>0.14299999999999999</v>
      </c>
      <c r="K99" s="2">
        <v>0</v>
      </c>
      <c r="L99" s="2">
        <v>4.4000000000000004</v>
      </c>
      <c r="M99" s="2">
        <v>0</v>
      </c>
      <c r="N99" s="2">
        <v>1.5</v>
      </c>
      <c r="O99" s="2">
        <v>5.9</v>
      </c>
      <c r="P99" s="2">
        <v>0.25</v>
      </c>
      <c r="Q99" s="2">
        <v>0.14299999999999999</v>
      </c>
      <c r="R99" s="2">
        <v>1.5</v>
      </c>
      <c r="S99" s="2">
        <v>1.5</v>
      </c>
      <c r="T99" s="2">
        <v>1</v>
      </c>
      <c r="U99" s="2">
        <v>0</v>
      </c>
      <c r="V99" s="2">
        <v>5.9</v>
      </c>
      <c r="W99" s="2">
        <v>5.9</v>
      </c>
      <c r="X99" s="2">
        <v>4.4000000000000004</v>
      </c>
      <c r="Y99" s="2">
        <v>2.9</v>
      </c>
      <c r="Z99" s="2">
        <v>0</v>
      </c>
      <c r="AA99" s="2">
        <v>5.9</v>
      </c>
      <c r="AB99" s="2">
        <v>1.5</v>
      </c>
      <c r="AC99" s="2">
        <v>4.4000000000000004</v>
      </c>
      <c r="AD99" s="2">
        <v>43</v>
      </c>
      <c r="AE99" s="2">
        <v>115</v>
      </c>
      <c r="AF99" s="2"/>
    </row>
    <row r="100" spans="1:32" x14ac:dyDescent="0.2">
      <c r="A100" t="s">
        <v>157</v>
      </c>
      <c r="B100" s="2">
        <v>28</v>
      </c>
      <c r="C100" t="s">
        <v>41</v>
      </c>
      <c r="D100" s="2" t="s">
        <v>33</v>
      </c>
      <c r="E100" s="2">
        <v>23</v>
      </c>
      <c r="F100" s="2">
        <v>10</v>
      </c>
      <c r="G100" s="2">
        <v>629</v>
      </c>
      <c r="H100" s="2">
        <v>8.3000000000000007</v>
      </c>
      <c r="I100" s="2">
        <v>19.5</v>
      </c>
      <c r="J100" s="2">
        <v>0.42199999999999999</v>
      </c>
      <c r="K100" s="2">
        <v>3.6</v>
      </c>
      <c r="L100" s="2">
        <v>10.4</v>
      </c>
      <c r="M100" s="2">
        <v>0.34300000000000003</v>
      </c>
      <c r="N100" s="2">
        <v>4.7</v>
      </c>
      <c r="O100" s="2">
        <v>9.1</v>
      </c>
      <c r="P100" s="2">
        <v>0.51300000000000001</v>
      </c>
      <c r="Q100" s="2">
        <v>0.51400000000000001</v>
      </c>
      <c r="R100" s="2">
        <v>3</v>
      </c>
      <c r="S100" s="2">
        <v>3.5</v>
      </c>
      <c r="T100" s="2">
        <v>0.86699999999999999</v>
      </c>
      <c r="U100" s="2">
        <v>0.5</v>
      </c>
      <c r="V100" s="2">
        <v>4.2</v>
      </c>
      <c r="W100" s="2">
        <v>4.7</v>
      </c>
      <c r="X100" s="2">
        <v>9.1999999999999993</v>
      </c>
      <c r="Y100" s="2">
        <v>1.6</v>
      </c>
      <c r="Z100" s="2">
        <v>0.2</v>
      </c>
      <c r="AA100" s="2">
        <v>3.2</v>
      </c>
      <c r="AB100" s="2">
        <v>3.3</v>
      </c>
      <c r="AC100" s="2">
        <v>23.1</v>
      </c>
      <c r="AD100" s="2">
        <v>110</v>
      </c>
      <c r="AE100" s="2">
        <v>120</v>
      </c>
      <c r="AF100" s="2"/>
    </row>
    <row r="101" spans="1:32" x14ac:dyDescent="0.2">
      <c r="A101" t="s">
        <v>554</v>
      </c>
      <c r="B101" s="2">
        <v>22</v>
      </c>
      <c r="C101" t="s">
        <v>51</v>
      </c>
      <c r="D101" s="2" t="s">
        <v>33</v>
      </c>
      <c r="E101" s="2">
        <v>3</v>
      </c>
      <c r="F101" s="2">
        <v>0</v>
      </c>
      <c r="G101" s="2">
        <v>13</v>
      </c>
      <c r="H101" s="2">
        <v>0</v>
      </c>
      <c r="I101" s="2">
        <v>3.8</v>
      </c>
      <c r="J101" s="2">
        <v>0</v>
      </c>
      <c r="K101" s="2">
        <v>0</v>
      </c>
      <c r="L101" s="2">
        <v>3.8</v>
      </c>
      <c r="M101" s="2">
        <v>0</v>
      </c>
      <c r="N101" s="2">
        <v>0</v>
      </c>
      <c r="O101" s="2">
        <v>0</v>
      </c>
      <c r="P101" s="2"/>
      <c r="Q101" s="2">
        <v>0</v>
      </c>
      <c r="R101" s="2">
        <v>3.8</v>
      </c>
      <c r="S101" s="2">
        <v>7.6</v>
      </c>
      <c r="T101" s="2">
        <v>0.5</v>
      </c>
      <c r="U101" s="2">
        <v>0</v>
      </c>
      <c r="V101" s="2">
        <v>15.1</v>
      </c>
      <c r="W101" s="2">
        <v>15.1</v>
      </c>
      <c r="X101" s="2">
        <v>11.4</v>
      </c>
      <c r="Y101" s="2">
        <v>0</v>
      </c>
      <c r="Z101" s="2">
        <v>0</v>
      </c>
      <c r="AA101" s="2">
        <v>15.1</v>
      </c>
      <c r="AB101" s="2">
        <v>3.8</v>
      </c>
      <c r="AC101" s="2">
        <v>3.8</v>
      </c>
      <c r="AD101" s="2">
        <v>44</v>
      </c>
      <c r="AE101" s="2">
        <v>109</v>
      </c>
      <c r="AF101" s="2"/>
    </row>
    <row r="102" spans="1:32" x14ac:dyDescent="0.2">
      <c r="A102" t="s">
        <v>209</v>
      </c>
      <c r="B102" s="2">
        <v>25</v>
      </c>
      <c r="C102" t="s">
        <v>135</v>
      </c>
      <c r="D102" s="2" t="s">
        <v>33</v>
      </c>
      <c r="E102" s="2">
        <v>22</v>
      </c>
      <c r="F102" s="2">
        <v>0</v>
      </c>
      <c r="G102" s="2">
        <v>378</v>
      </c>
      <c r="H102" s="2">
        <v>10.3</v>
      </c>
      <c r="I102" s="2">
        <v>23.8</v>
      </c>
      <c r="J102" s="2">
        <v>0.433</v>
      </c>
      <c r="K102" s="2">
        <v>3.8</v>
      </c>
      <c r="L102" s="2">
        <v>9.9</v>
      </c>
      <c r="M102" s="2">
        <v>0.38500000000000001</v>
      </c>
      <c r="N102" s="2">
        <v>6.5</v>
      </c>
      <c r="O102" s="2">
        <v>13.9</v>
      </c>
      <c r="P102" s="2">
        <v>0.46800000000000003</v>
      </c>
      <c r="Q102" s="2">
        <v>0.51300000000000001</v>
      </c>
      <c r="R102" s="2">
        <v>4.5</v>
      </c>
      <c r="S102" s="2">
        <v>6.6</v>
      </c>
      <c r="T102" s="2">
        <v>0.67300000000000004</v>
      </c>
      <c r="U102" s="2">
        <v>0.9</v>
      </c>
      <c r="V102" s="2">
        <v>5.6</v>
      </c>
      <c r="W102" s="2">
        <v>6.5</v>
      </c>
      <c r="X102" s="2">
        <v>7.4</v>
      </c>
      <c r="Y102" s="2">
        <v>2.7</v>
      </c>
      <c r="Z102" s="2">
        <v>1.7</v>
      </c>
      <c r="AA102" s="2">
        <v>4.8</v>
      </c>
      <c r="AB102" s="2">
        <v>3.1</v>
      </c>
      <c r="AC102" s="2">
        <v>28.9</v>
      </c>
      <c r="AD102" s="2">
        <v>104</v>
      </c>
      <c r="AE102" s="2">
        <v>114</v>
      </c>
      <c r="AF102" s="2"/>
    </row>
    <row r="103" spans="1:32" x14ac:dyDescent="0.2">
      <c r="A103" t="s">
        <v>330</v>
      </c>
      <c r="B103" s="2">
        <v>22</v>
      </c>
      <c r="C103" t="s">
        <v>70</v>
      </c>
      <c r="D103" s="2" t="s">
        <v>52</v>
      </c>
      <c r="E103" s="2">
        <v>25</v>
      </c>
      <c r="F103" s="2">
        <v>0</v>
      </c>
      <c r="G103" s="2">
        <v>337</v>
      </c>
      <c r="H103" s="2">
        <v>5</v>
      </c>
      <c r="I103" s="2">
        <v>10.1</v>
      </c>
      <c r="J103" s="2">
        <v>0.5</v>
      </c>
      <c r="K103" s="2">
        <v>1.4</v>
      </c>
      <c r="L103" s="2">
        <v>3.7</v>
      </c>
      <c r="M103" s="2">
        <v>0.37</v>
      </c>
      <c r="N103" s="2">
        <v>3.7</v>
      </c>
      <c r="O103" s="2">
        <v>6.4</v>
      </c>
      <c r="P103" s="2">
        <v>0.57399999999999995</v>
      </c>
      <c r="Q103" s="2">
        <v>0.56799999999999995</v>
      </c>
      <c r="R103" s="2">
        <v>3</v>
      </c>
      <c r="S103" s="2">
        <v>3.8</v>
      </c>
      <c r="T103" s="2">
        <v>0.78600000000000003</v>
      </c>
      <c r="U103" s="2">
        <v>2.2000000000000002</v>
      </c>
      <c r="V103" s="2">
        <v>2.6</v>
      </c>
      <c r="W103" s="2">
        <v>4.8</v>
      </c>
      <c r="X103" s="2">
        <v>3.1</v>
      </c>
      <c r="Y103" s="2">
        <v>2</v>
      </c>
      <c r="Z103" s="2">
        <v>1</v>
      </c>
      <c r="AA103" s="2">
        <v>2.9</v>
      </c>
      <c r="AB103" s="2">
        <v>4.8</v>
      </c>
      <c r="AC103" s="2">
        <v>14.5</v>
      </c>
      <c r="AD103" s="2">
        <v>111</v>
      </c>
      <c r="AE103" s="2">
        <v>118</v>
      </c>
      <c r="AF103" s="2"/>
    </row>
    <row r="104" spans="1:32" x14ac:dyDescent="0.2">
      <c r="A104" t="s">
        <v>184</v>
      </c>
      <c r="B104" s="2">
        <v>23</v>
      </c>
      <c r="C104" t="s">
        <v>41</v>
      </c>
      <c r="D104" s="2" t="s">
        <v>49</v>
      </c>
      <c r="E104" s="2">
        <v>24</v>
      </c>
      <c r="F104" s="2">
        <v>12</v>
      </c>
      <c r="G104" s="2">
        <v>583</v>
      </c>
      <c r="H104" s="2">
        <v>8.3000000000000007</v>
      </c>
      <c r="I104" s="2">
        <v>17.7</v>
      </c>
      <c r="J104" s="2">
        <v>0.46899999999999997</v>
      </c>
      <c r="K104" s="2">
        <v>4.2</v>
      </c>
      <c r="L104" s="2">
        <v>10.8</v>
      </c>
      <c r="M104" s="2">
        <v>0.39100000000000001</v>
      </c>
      <c r="N104" s="2">
        <v>4.0999999999999996</v>
      </c>
      <c r="O104" s="2">
        <v>7</v>
      </c>
      <c r="P104" s="2">
        <v>0.59</v>
      </c>
      <c r="Q104" s="2">
        <v>0.58799999999999997</v>
      </c>
      <c r="R104" s="2">
        <v>1.4</v>
      </c>
      <c r="S104" s="2">
        <v>1.8</v>
      </c>
      <c r="T104" s="2">
        <v>0.77300000000000002</v>
      </c>
      <c r="U104" s="2">
        <v>1.3</v>
      </c>
      <c r="V104" s="2">
        <v>5.9</v>
      </c>
      <c r="W104" s="2">
        <v>7.1</v>
      </c>
      <c r="X104" s="2">
        <v>2.4</v>
      </c>
      <c r="Y104" s="2">
        <v>1.1000000000000001</v>
      </c>
      <c r="Z104" s="2">
        <v>0.1</v>
      </c>
      <c r="AA104" s="2">
        <v>1.1000000000000001</v>
      </c>
      <c r="AB104" s="2">
        <v>3.1</v>
      </c>
      <c r="AC104" s="2">
        <v>22.3</v>
      </c>
      <c r="AD104" s="2">
        <v>117</v>
      </c>
      <c r="AE104" s="2">
        <v>120</v>
      </c>
      <c r="AF104" s="2"/>
    </row>
    <row r="105" spans="1:32" x14ac:dyDescent="0.2">
      <c r="A105" t="s">
        <v>64</v>
      </c>
      <c r="B105" s="2">
        <v>34</v>
      </c>
      <c r="C105" t="s">
        <v>35</v>
      </c>
      <c r="D105" s="2" t="s">
        <v>33</v>
      </c>
      <c r="E105" s="2">
        <v>21</v>
      </c>
      <c r="F105" s="2">
        <v>21</v>
      </c>
      <c r="G105" s="2">
        <v>763</v>
      </c>
      <c r="H105" s="2">
        <v>10.6</v>
      </c>
      <c r="I105" s="2">
        <v>23.4</v>
      </c>
      <c r="J105" s="2">
        <v>0.45400000000000001</v>
      </c>
      <c r="K105" s="2">
        <v>4.5</v>
      </c>
      <c r="L105" s="2">
        <v>12.2</v>
      </c>
      <c r="M105" s="2">
        <v>0.372</v>
      </c>
      <c r="N105" s="2">
        <v>6.1</v>
      </c>
      <c r="O105" s="2">
        <v>11.2</v>
      </c>
      <c r="P105" s="2">
        <v>0.54300000000000004</v>
      </c>
      <c r="Q105" s="2">
        <v>0.55100000000000005</v>
      </c>
      <c r="R105" s="2">
        <v>8.8000000000000007</v>
      </c>
      <c r="S105" s="2">
        <v>9.6</v>
      </c>
      <c r="T105" s="2">
        <v>0.92</v>
      </c>
      <c r="U105" s="2">
        <v>0.8</v>
      </c>
      <c r="V105" s="2">
        <v>5.2</v>
      </c>
      <c r="W105" s="2">
        <v>5.9</v>
      </c>
      <c r="X105" s="2">
        <v>10.199999999999999</v>
      </c>
      <c r="Y105" s="2">
        <v>1.3</v>
      </c>
      <c r="Z105" s="2">
        <v>0.3</v>
      </c>
      <c r="AA105" s="2">
        <v>4.0999999999999996</v>
      </c>
      <c r="AB105" s="2">
        <v>2.5</v>
      </c>
      <c r="AC105" s="2">
        <v>34.6</v>
      </c>
      <c r="AD105" s="2">
        <v>123</v>
      </c>
      <c r="AE105" s="2">
        <v>117</v>
      </c>
      <c r="AF105" s="2"/>
    </row>
    <row r="106" spans="1:32" x14ac:dyDescent="0.2">
      <c r="A106" t="s">
        <v>486</v>
      </c>
      <c r="B106" s="2">
        <v>32</v>
      </c>
      <c r="C106" t="s">
        <v>54</v>
      </c>
      <c r="D106" s="2" t="s">
        <v>52</v>
      </c>
      <c r="E106" s="2">
        <v>4</v>
      </c>
      <c r="F106" s="2">
        <v>0</v>
      </c>
      <c r="G106" s="2">
        <v>37</v>
      </c>
      <c r="H106" s="2">
        <v>5.3</v>
      </c>
      <c r="I106" s="2">
        <v>18.600000000000001</v>
      </c>
      <c r="J106" s="2">
        <v>0.28599999999999998</v>
      </c>
      <c r="K106" s="2">
        <v>1.3</v>
      </c>
      <c r="L106" s="2">
        <v>12</v>
      </c>
      <c r="M106" s="2">
        <v>0.111</v>
      </c>
      <c r="N106" s="2">
        <v>4</v>
      </c>
      <c r="O106" s="2">
        <v>6.7</v>
      </c>
      <c r="P106" s="2">
        <v>0.6</v>
      </c>
      <c r="Q106" s="2">
        <v>0.32100000000000001</v>
      </c>
      <c r="R106" s="2">
        <v>8</v>
      </c>
      <c r="S106" s="2">
        <v>8</v>
      </c>
      <c r="T106" s="2">
        <v>1</v>
      </c>
      <c r="U106" s="2">
        <v>0</v>
      </c>
      <c r="V106" s="2">
        <v>6.7</v>
      </c>
      <c r="W106" s="2">
        <v>6.7</v>
      </c>
      <c r="X106" s="2">
        <v>6.7</v>
      </c>
      <c r="Y106" s="2">
        <v>2.7</v>
      </c>
      <c r="Z106" s="2">
        <v>0</v>
      </c>
      <c r="AA106" s="2">
        <v>4</v>
      </c>
      <c r="AB106" s="2">
        <v>1.3</v>
      </c>
      <c r="AC106" s="2">
        <v>20</v>
      </c>
      <c r="AD106" s="2">
        <v>93</v>
      </c>
      <c r="AE106" s="2">
        <v>115</v>
      </c>
      <c r="AF106" s="2"/>
    </row>
    <row r="107" spans="1:32" x14ac:dyDescent="0.2">
      <c r="A107" t="s">
        <v>155</v>
      </c>
      <c r="B107" s="2">
        <v>26</v>
      </c>
      <c r="C107" t="s">
        <v>63</v>
      </c>
      <c r="D107" s="2" t="s">
        <v>42</v>
      </c>
      <c r="E107" s="2">
        <v>24</v>
      </c>
      <c r="F107" s="2">
        <v>12</v>
      </c>
      <c r="G107" s="2">
        <v>500</v>
      </c>
      <c r="H107" s="2">
        <v>12.2</v>
      </c>
      <c r="I107" s="2">
        <v>16.600000000000001</v>
      </c>
      <c r="J107" s="4">
        <v>0.73799999999999999</v>
      </c>
      <c r="K107" s="2">
        <v>0</v>
      </c>
      <c r="L107" s="2">
        <v>0</v>
      </c>
      <c r="M107" s="2"/>
      <c r="N107" s="2">
        <v>12.2</v>
      </c>
      <c r="O107" s="2">
        <v>16.600000000000001</v>
      </c>
      <c r="P107" s="4">
        <v>0.73799999999999999</v>
      </c>
      <c r="Q107" s="4">
        <v>0.73799999999999999</v>
      </c>
      <c r="R107" s="2">
        <v>4.4000000000000004</v>
      </c>
      <c r="S107" s="2">
        <v>6.6</v>
      </c>
      <c r="T107" s="2">
        <v>0.67600000000000005</v>
      </c>
      <c r="U107" s="2">
        <v>6.3</v>
      </c>
      <c r="V107" s="2">
        <v>8.6</v>
      </c>
      <c r="W107" s="2">
        <v>14.8</v>
      </c>
      <c r="X107" s="2">
        <v>2.9</v>
      </c>
      <c r="Y107" s="2">
        <v>1.3</v>
      </c>
      <c r="Z107" s="2">
        <v>2.9</v>
      </c>
      <c r="AA107" s="2">
        <v>2.1</v>
      </c>
      <c r="AB107" s="2">
        <v>5.8</v>
      </c>
      <c r="AC107" s="2">
        <v>28.9</v>
      </c>
      <c r="AD107" s="4">
        <v>145</v>
      </c>
      <c r="AE107" s="2">
        <v>110</v>
      </c>
      <c r="AF107" s="2"/>
    </row>
    <row r="108" spans="1:32" x14ac:dyDescent="0.2">
      <c r="A108" t="s">
        <v>380</v>
      </c>
      <c r="B108" s="2">
        <v>32</v>
      </c>
      <c r="C108" t="s">
        <v>117</v>
      </c>
      <c r="D108" s="2" t="s">
        <v>42</v>
      </c>
      <c r="E108" s="2">
        <v>18</v>
      </c>
      <c r="F108" s="2">
        <v>7</v>
      </c>
      <c r="G108" s="2">
        <v>257</v>
      </c>
      <c r="H108" s="2">
        <v>4.9000000000000004</v>
      </c>
      <c r="I108" s="2">
        <v>11.2</v>
      </c>
      <c r="J108" s="2">
        <v>0.441</v>
      </c>
      <c r="K108" s="2">
        <v>1</v>
      </c>
      <c r="L108" s="2">
        <v>3.6</v>
      </c>
      <c r="M108" s="2">
        <v>0.26300000000000001</v>
      </c>
      <c r="N108" s="2">
        <v>4</v>
      </c>
      <c r="O108" s="2">
        <v>7.6</v>
      </c>
      <c r="P108" s="2">
        <v>0.52500000000000002</v>
      </c>
      <c r="Q108" s="2">
        <v>0.48299999999999998</v>
      </c>
      <c r="R108" s="2">
        <v>1.9</v>
      </c>
      <c r="S108" s="2">
        <v>2.2999999999999998</v>
      </c>
      <c r="T108" s="2">
        <v>0.83299999999999996</v>
      </c>
      <c r="U108" s="2">
        <v>2.5</v>
      </c>
      <c r="V108" s="2">
        <v>8.9</v>
      </c>
      <c r="W108" s="2">
        <v>11.4</v>
      </c>
      <c r="X108" s="2">
        <v>4.4000000000000004</v>
      </c>
      <c r="Y108" s="2">
        <v>1.1000000000000001</v>
      </c>
      <c r="Z108" s="2">
        <v>2.1</v>
      </c>
      <c r="AA108" s="2">
        <v>2.2999999999999998</v>
      </c>
      <c r="AB108" s="2">
        <v>5.7</v>
      </c>
      <c r="AC108" s="2">
        <v>12.7</v>
      </c>
      <c r="AD108" s="2">
        <v>108</v>
      </c>
      <c r="AE108" s="2">
        <v>117</v>
      </c>
      <c r="AF108" s="2"/>
    </row>
    <row r="109" spans="1:32" x14ac:dyDescent="0.2">
      <c r="A109" t="s">
        <v>560</v>
      </c>
      <c r="B109" s="2">
        <v>23</v>
      </c>
      <c r="C109" t="s">
        <v>75</v>
      </c>
      <c r="D109" s="2" t="s">
        <v>33</v>
      </c>
      <c r="E109" s="2">
        <v>2</v>
      </c>
      <c r="F109" s="2">
        <v>0</v>
      </c>
      <c r="G109" s="2">
        <v>5</v>
      </c>
      <c r="H109" s="2">
        <v>0</v>
      </c>
      <c r="I109" s="2">
        <v>19.600000000000001</v>
      </c>
      <c r="J109" s="2">
        <v>0</v>
      </c>
      <c r="K109" s="2">
        <v>0</v>
      </c>
      <c r="L109" s="2">
        <v>19.600000000000001</v>
      </c>
      <c r="M109" s="2">
        <v>0</v>
      </c>
      <c r="N109" s="2">
        <v>0</v>
      </c>
      <c r="O109" s="2">
        <v>0</v>
      </c>
      <c r="P109" s="2"/>
      <c r="Q109" s="2">
        <v>0</v>
      </c>
      <c r="R109" s="2">
        <v>0</v>
      </c>
      <c r="S109" s="2">
        <v>0</v>
      </c>
      <c r="T109" s="2"/>
      <c r="U109" s="2">
        <v>0</v>
      </c>
      <c r="V109" s="2">
        <v>0</v>
      </c>
      <c r="W109" s="2">
        <v>0</v>
      </c>
      <c r="X109" s="2">
        <v>0</v>
      </c>
      <c r="Y109" s="2">
        <v>0</v>
      </c>
      <c r="Z109" s="2">
        <v>0</v>
      </c>
      <c r="AA109" s="2">
        <v>0</v>
      </c>
      <c r="AB109" s="2">
        <v>9.8000000000000007</v>
      </c>
      <c r="AC109" s="2">
        <v>0</v>
      </c>
      <c r="AD109" s="2">
        <v>0</v>
      </c>
      <c r="AE109" s="2">
        <v>122</v>
      </c>
      <c r="AF109" s="2"/>
    </row>
    <row r="110" spans="1:32" x14ac:dyDescent="0.2">
      <c r="A110" t="s">
        <v>431</v>
      </c>
      <c r="B110" s="2">
        <v>27</v>
      </c>
      <c r="C110" t="s">
        <v>59</v>
      </c>
      <c r="D110" s="2" t="s">
        <v>52</v>
      </c>
      <c r="E110" s="2">
        <v>3</v>
      </c>
      <c r="F110" s="2">
        <v>0</v>
      </c>
      <c r="G110" s="2">
        <v>61</v>
      </c>
      <c r="H110" s="2">
        <v>10.6</v>
      </c>
      <c r="I110" s="2">
        <v>16.3</v>
      </c>
      <c r="J110" s="2">
        <v>0.65</v>
      </c>
      <c r="K110" s="2">
        <v>4.9000000000000004</v>
      </c>
      <c r="L110" s="2">
        <v>8.1</v>
      </c>
      <c r="M110" s="2">
        <v>0.6</v>
      </c>
      <c r="N110" s="2">
        <v>5.7</v>
      </c>
      <c r="O110" s="2">
        <v>8.1</v>
      </c>
      <c r="P110" s="2">
        <v>0.7</v>
      </c>
      <c r="Q110" s="2">
        <v>0.8</v>
      </c>
      <c r="R110" s="2">
        <v>0.8</v>
      </c>
      <c r="S110" s="2">
        <v>1.6</v>
      </c>
      <c r="T110" s="2">
        <v>0.5</v>
      </c>
      <c r="U110" s="2">
        <v>2.4</v>
      </c>
      <c r="V110" s="2">
        <v>6.5</v>
      </c>
      <c r="W110" s="2">
        <v>8.9</v>
      </c>
      <c r="X110" s="2">
        <v>2.4</v>
      </c>
      <c r="Y110" s="2">
        <v>0.8</v>
      </c>
      <c r="Z110" s="2">
        <v>0.8</v>
      </c>
      <c r="AA110" s="2">
        <v>1.6</v>
      </c>
      <c r="AB110" s="2">
        <v>3.3</v>
      </c>
      <c r="AC110" s="2">
        <v>26.8</v>
      </c>
      <c r="AD110" s="2">
        <v>144</v>
      </c>
      <c r="AE110" s="2">
        <v>118</v>
      </c>
      <c r="AF110" s="2"/>
    </row>
    <row r="111" spans="1:32" x14ac:dyDescent="0.2">
      <c r="A111" t="s">
        <v>429</v>
      </c>
      <c r="B111" s="2">
        <v>30</v>
      </c>
      <c r="C111" t="s">
        <v>46</v>
      </c>
      <c r="D111" s="2" t="s">
        <v>42</v>
      </c>
      <c r="E111" s="2">
        <v>10</v>
      </c>
      <c r="F111" s="2">
        <v>3</v>
      </c>
      <c r="G111" s="2">
        <v>136</v>
      </c>
      <c r="H111" s="2">
        <v>4.2</v>
      </c>
      <c r="I111" s="2">
        <v>14</v>
      </c>
      <c r="J111" s="2">
        <v>0.3</v>
      </c>
      <c r="K111" s="2">
        <v>1.7</v>
      </c>
      <c r="L111" s="2">
        <v>6.6</v>
      </c>
      <c r="M111" s="2">
        <v>0.26300000000000001</v>
      </c>
      <c r="N111" s="2">
        <v>2.4</v>
      </c>
      <c r="O111" s="2">
        <v>7.3</v>
      </c>
      <c r="P111" s="2">
        <v>0.33300000000000002</v>
      </c>
      <c r="Q111" s="2">
        <v>0.36299999999999999</v>
      </c>
      <c r="R111" s="2">
        <v>1.7</v>
      </c>
      <c r="S111" s="2">
        <v>2.1</v>
      </c>
      <c r="T111" s="2">
        <v>0.83299999999999996</v>
      </c>
      <c r="U111" s="2">
        <v>3.1</v>
      </c>
      <c r="V111" s="2">
        <v>9.1</v>
      </c>
      <c r="W111" s="2">
        <v>12.2</v>
      </c>
      <c r="X111" s="2">
        <v>3.8</v>
      </c>
      <c r="Y111" s="2">
        <v>2.1</v>
      </c>
      <c r="Z111" s="2">
        <v>0</v>
      </c>
      <c r="AA111" s="2">
        <v>3.8</v>
      </c>
      <c r="AB111" s="2">
        <v>4.9000000000000004</v>
      </c>
      <c r="AC111" s="2">
        <v>11.9</v>
      </c>
      <c r="AD111" s="2">
        <v>84</v>
      </c>
      <c r="AE111" s="2">
        <v>113</v>
      </c>
      <c r="AF111" s="2"/>
    </row>
    <row r="112" spans="1:32" x14ac:dyDescent="0.2">
      <c r="A112" t="s">
        <v>476</v>
      </c>
      <c r="B112" s="2">
        <v>20</v>
      </c>
      <c r="C112" t="s">
        <v>103</v>
      </c>
      <c r="D112" s="2" t="s">
        <v>49</v>
      </c>
      <c r="E112" s="2">
        <v>3</v>
      </c>
      <c r="F112" s="2">
        <v>0</v>
      </c>
      <c r="G112" s="2">
        <v>26</v>
      </c>
      <c r="H112" s="2">
        <v>11.5</v>
      </c>
      <c r="I112" s="2">
        <v>21</v>
      </c>
      <c r="J112" s="2">
        <v>0.54500000000000004</v>
      </c>
      <c r="K112" s="2">
        <v>11.5</v>
      </c>
      <c r="L112" s="2">
        <v>19.100000000000001</v>
      </c>
      <c r="M112" s="2">
        <v>0.6</v>
      </c>
      <c r="N112" s="2">
        <v>0</v>
      </c>
      <c r="O112" s="2">
        <v>1.9</v>
      </c>
      <c r="P112" s="2">
        <v>0</v>
      </c>
      <c r="Q112" s="2">
        <v>0.81799999999999995</v>
      </c>
      <c r="R112" s="2">
        <v>0</v>
      </c>
      <c r="S112" s="2">
        <v>0</v>
      </c>
      <c r="T112" s="2"/>
      <c r="U112" s="2">
        <v>0</v>
      </c>
      <c r="V112" s="2">
        <v>5.7</v>
      </c>
      <c r="W112" s="2">
        <v>5.7</v>
      </c>
      <c r="X112" s="2">
        <v>1.9</v>
      </c>
      <c r="Y112" s="2">
        <v>3.8</v>
      </c>
      <c r="Z112" s="2">
        <v>1.9</v>
      </c>
      <c r="AA112" s="2">
        <v>5.7</v>
      </c>
      <c r="AB112" s="2">
        <v>1.9</v>
      </c>
      <c r="AC112" s="2">
        <v>34.4</v>
      </c>
      <c r="AD112" s="2">
        <v>107</v>
      </c>
      <c r="AE112" s="2">
        <v>111</v>
      </c>
      <c r="AF112" s="2"/>
    </row>
    <row r="113" spans="1:32" x14ac:dyDescent="0.2">
      <c r="A113" t="s">
        <v>83</v>
      </c>
      <c r="B113" s="2">
        <v>25</v>
      </c>
      <c r="C113" t="s">
        <v>57</v>
      </c>
      <c r="D113" s="2" t="s">
        <v>33</v>
      </c>
      <c r="E113" s="2">
        <v>24</v>
      </c>
      <c r="F113" s="2">
        <v>24</v>
      </c>
      <c r="G113" s="2">
        <v>728</v>
      </c>
      <c r="H113" s="2">
        <v>11.7</v>
      </c>
      <c r="I113" s="2">
        <v>24</v>
      </c>
      <c r="J113" s="2">
        <v>0.48799999999999999</v>
      </c>
      <c r="K113" s="2">
        <v>4.5</v>
      </c>
      <c r="L113" s="2">
        <v>10.7</v>
      </c>
      <c r="M113" s="2">
        <v>0.42299999999999999</v>
      </c>
      <c r="N113" s="2">
        <v>7.2</v>
      </c>
      <c r="O113" s="2">
        <v>13.3</v>
      </c>
      <c r="P113" s="2">
        <v>0.54</v>
      </c>
      <c r="Q113" s="2">
        <v>0.58199999999999996</v>
      </c>
      <c r="R113" s="2">
        <v>4.4000000000000004</v>
      </c>
      <c r="S113" s="2">
        <v>4.7</v>
      </c>
      <c r="T113" s="2">
        <v>0.94399999999999995</v>
      </c>
      <c r="U113" s="2">
        <v>0.8</v>
      </c>
      <c r="V113" s="2">
        <v>3</v>
      </c>
      <c r="W113" s="2">
        <v>3.8</v>
      </c>
      <c r="X113" s="2">
        <v>10.199999999999999</v>
      </c>
      <c r="Y113" s="2">
        <v>1.5</v>
      </c>
      <c r="Z113" s="2">
        <v>0.4</v>
      </c>
      <c r="AA113" s="2">
        <v>3.6</v>
      </c>
      <c r="AB113" s="2">
        <v>4</v>
      </c>
      <c r="AC113" s="2">
        <v>32.4</v>
      </c>
      <c r="AD113" s="2">
        <v>123</v>
      </c>
      <c r="AE113" s="2">
        <v>115</v>
      </c>
      <c r="AF113" s="2"/>
    </row>
    <row r="114" spans="1:32" x14ac:dyDescent="0.2">
      <c r="A114" t="s">
        <v>535</v>
      </c>
      <c r="B114" s="2">
        <v>25</v>
      </c>
      <c r="C114" t="s">
        <v>93</v>
      </c>
      <c r="D114" s="2" t="s">
        <v>52</v>
      </c>
      <c r="E114" s="2">
        <v>1</v>
      </c>
      <c r="F114" s="2">
        <v>0</v>
      </c>
      <c r="G114" s="2">
        <v>8</v>
      </c>
      <c r="H114" s="2">
        <v>6.1</v>
      </c>
      <c r="I114" s="2">
        <v>24.3</v>
      </c>
      <c r="J114" s="2">
        <v>0.25</v>
      </c>
      <c r="K114" s="2">
        <v>0</v>
      </c>
      <c r="L114" s="2">
        <v>6.1</v>
      </c>
      <c r="M114" s="2">
        <v>0</v>
      </c>
      <c r="N114" s="2">
        <v>6.1</v>
      </c>
      <c r="O114" s="2">
        <v>18.2</v>
      </c>
      <c r="P114" s="2">
        <v>0.33300000000000002</v>
      </c>
      <c r="Q114" s="2">
        <v>0.25</v>
      </c>
      <c r="R114" s="2">
        <v>6.1</v>
      </c>
      <c r="S114" s="2">
        <v>12.2</v>
      </c>
      <c r="T114" s="2">
        <v>0.5</v>
      </c>
      <c r="U114" s="2">
        <v>0</v>
      </c>
      <c r="V114" s="2">
        <v>0</v>
      </c>
      <c r="W114" s="2">
        <v>0</v>
      </c>
      <c r="X114" s="2">
        <v>12.2</v>
      </c>
      <c r="Y114" s="2">
        <v>0</v>
      </c>
      <c r="Z114" s="2">
        <v>0</v>
      </c>
      <c r="AA114" s="2">
        <v>0</v>
      </c>
      <c r="AB114" s="2">
        <v>6.1</v>
      </c>
      <c r="AC114" s="2">
        <v>18.2</v>
      </c>
      <c r="AD114" s="2">
        <v>89</v>
      </c>
      <c r="AE114" s="2">
        <v>124</v>
      </c>
      <c r="AF114" s="2"/>
    </row>
    <row r="115" spans="1:32" x14ac:dyDescent="0.2">
      <c r="A115" t="s">
        <v>370</v>
      </c>
      <c r="B115" s="2">
        <v>23</v>
      </c>
      <c r="C115" t="s">
        <v>72</v>
      </c>
      <c r="D115" s="2" t="s">
        <v>27</v>
      </c>
      <c r="E115" s="2">
        <v>14</v>
      </c>
      <c r="F115" s="2">
        <v>1</v>
      </c>
      <c r="G115" s="2">
        <v>204</v>
      </c>
      <c r="H115" s="2">
        <v>6.1</v>
      </c>
      <c r="I115" s="2">
        <v>10.9</v>
      </c>
      <c r="J115" s="2">
        <v>0.56299999999999994</v>
      </c>
      <c r="K115" s="2">
        <v>2.2999999999999998</v>
      </c>
      <c r="L115" s="2">
        <v>5.5</v>
      </c>
      <c r="M115" s="2">
        <v>0.41699999999999998</v>
      </c>
      <c r="N115" s="2">
        <v>3.9</v>
      </c>
      <c r="O115" s="2">
        <v>5.5</v>
      </c>
      <c r="P115" s="2">
        <v>0.70799999999999996</v>
      </c>
      <c r="Q115" s="2">
        <v>0.66700000000000004</v>
      </c>
      <c r="R115" s="2">
        <v>2.5</v>
      </c>
      <c r="S115" s="2">
        <v>3</v>
      </c>
      <c r="T115" s="2">
        <v>0.84599999999999997</v>
      </c>
      <c r="U115" s="2">
        <v>0.9</v>
      </c>
      <c r="V115" s="2">
        <v>8.1999999999999993</v>
      </c>
      <c r="W115" s="2">
        <v>9.1</v>
      </c>
      <c r="X115" s="2">
        <v>4.3</v>
      </c>
      <c r="Y115" s="2">
        <v>1.4</v>
      </c>
      <c r="Z115" s="2">
        <v>0.7</v>
      </c>
      <c r="AA115" s="2">
        <v>3</v>
      </c>
      <c r="AB115" s="2">
        <v>2.5</v>
      </c>
      <c r="AC115" s="2">
        <v>17</v>
      </c>
      <c r="AD115" s="2">
        <v>120</v>
      </c>
      <c r="AE115" s="2">
        <v>116</v>
      </c>
      <c r="AF115" s="2"/>
    </row>
    <row r="116" spans="1:32" x14ac:dyDescent="0.2">
      <c r="A116" t="s">
        <v>249</v>
      </c>
      <c r="B116" s="2">
        <v>26</v>
      </c>
      <c r="C116" t="s">
        <v>66</v>
      </c>
      <c r="D116" s="2" t="s">
        <v>33</v>
      </c>
      <c r="E116" s="2">
        <v>26</v>
      </c>
      <c r="F116" s="2">
        <v>13</v>
      </c>
      <c r="G116" s="2">
        <v>707</v>
      </c>
      <c r="H116" s="2">
        <v>4.5999999999999996</v>
      </c>
      <c r="I116" s="2">
        <v>11.5</v>
      </c>
      <c r="J116" s="2">
        <v>0.39600000000000002</v>
      </c>
      <c r="K116" s="2">
        <v>1.6</v>
      </c>
      <c r="L116" s="2">
        <v>5.5</v>
      </c>
      <c r="M116" s="2">
        <v>0.28399999999999997</v>
      </c>
      <c r="N116" s="2">
        <v>3</v>
      </c>
      <c r="O116" s="2">
        <v>6</v>
      </c>
      <c r="P116" s="2">
        <v>0.5</v>
      </c>
      <c r="Q116" s="2">
        <v>0.46400000000000002</v>
      </c>
      <c r="R116" s="2">
        <v>1.4</v>
      </c>
      <c r="S116" s="2">
        <v>2.1</v>
      </c>
      <c r="T116" s="2">
        <v>0.67700000000000005</v>
      </c>
      <c r="U116" s="2">
        <v>1</v>
      </c>
      <c r="V116" s="2">
        <v>3.1</v>
      </c>
      <c r="W116" s="2">
        <v>4.0999999999999996</v>
      </c>
      <c r="X116" s="2">
        <v>9</v>
      </c>
      <c r="Y116" s="2">
        <v>1.5</v>
      </c>
      <c r="Z116" s="2">
        <v>0.4</v>
      </c>
      <c r="AA116" s="2">
        <v>3.4</v>
      </c>
      <c r="AB116" s="2">
        <v>5.3</v>
      </c>
      <c r="AC116" s="2">
        <v>12.2</v>
      </c>
      <c r="AD116" s="2">
        <v>102</v>
      </c>
      <c r="AE116" s="2">
        <v>120</v>
      </c>
      <c r="AF116" s="2"/>
    </row>
    <row r="117" spans="1:32" x14ac:dyDescent="0.2">
      <c r="A117" t="s">
        <v>488</v>
      </c>
      <c r="B117" s="2">
        <v>23</v>
      </c>
      <c r="C117" t="s">
        <v>103</v>
      </c>
      <c r="D117" s="2" t="s">
        <v>42</v>
      </c>
      <c r="E117" s="2">
        <v>3</v>
      </c>
      <c r="F117" s="2">
        <v>0</v>
      </c>
      <c r="G117" s="2">
        <v>44</v>
      </c>
      <c r="H117" s="2">
        <v>4.5</v>
      </c>
      <c r="I117" s="2">
        <v>12.4</v>
      </c>
      <c r="J117" s="2">
        <v>0.36399999999999999</v>
      </c>
      <c r="K117" s="2">
        <v>1.1000000000000001</v>
      </c>
      <c r="L117" s="2">
        <v>2.2999999999999998</v>
      </c>
      <c r="M117" s="2">
        <v>0.5</v>
      </c>
      <c r="N117" s="2">
        <v>3.4</v>
      </c>
      <c r="O117" s="2">
        <v>10.199999999999999</v>
      </c>
      <c r="P117" s="2">
        <v>0.33300000000000002</v>
      </c>
      <c r="Q117" s="2">
        <v>0.40899999999999997</v>
      </c>
      <c r="R117" s="2">
        <v>6.8</v>
      </c>
      <c r="S117" s="2">
        <v>6.8</v>
      </c>
      <c r="T117" s="2">
        <v>1</v>
      </c>
      <c r="U117" s="2">
        <v>4.5</v>
      </c>
      <c r="V117" s="2">
        <v>5.7</v>
      </c>
      <c r="W117" s="2">
        <v>10.199999999999999</v>
      </c>
      <c r="X117" s="2">
        <v>3.4</v>
      </c>
      <c r="Y117" s="2">
        <v>4.5</v>
      </c>
      <c r="Z117" s="2">
        <v>1.1000000000000001</v>
      </c>
      <c r="AA117" s="2">
        <v>1.1000000000000001</v>
      </c>
      <c r="AB117" s="2">
        <v>4.5</v>
      </c>
      <c r="AC117" s="2">
        <v>17</v>
      </c>
      <c r="AD117" s="2">
        <v>127</v>
      </c>
      <c r="AE117" s="2">
        <v>110</v>
      </c>
      <c r="AF117" s="2"/>
    </row>
    <row r="118" spans="1:32" x14ac:dyDescent="0.2">
      <c r="A118" t="s">
        <v>36</v>
      </c>
      <c r="B118" s="2">
        <v>27</v>
      </c>
      <c r="C118" t="s">
        <v>37</v>
      </c>
      <c r="D118" s="2" t="s">
        <v>33</v>
      </c>
      <c r="E118" s="2">
        <v>26</v>
      </c>
      <c r="F118" s="2">
        <v>26</v>
      </c>
      <c r="G118" s="4">
        <v>968</v>
      </c>
      <c r="H118" s="2">
        <v>12.7</v>
      </c>
      <c r="I118" s="2">
        <v>26.2</v>
      </c>
      <c r="J118" s="2">
        <v>0.48399999999999999</v>
      </c>
      <c r="K118" s="2">
        <v>2.7</v>
      </c>
      <c r="L118" s="2">
        <v>8.1999999999999993</v>
      </c>
      <c r="M118" s="2">
        <v>0.32500000000000001</v>
      </c>
      <c r="N118" s="2">
        <v>10</v>
      </c>
      <c r="O118" s="2">
        <v>18</v>
      </c>
      <c r="P118" s="2">
        <v>0.55600000000000005</v>
      </c>
      <c r="Q118" s="2">
        <v>0.53500000000000003</v>
      </c>
      <c r="R118" s="2">
        <v>6.1</v>
      </c>
      <c r="S118" s="2">
        <v>7.6</v>
      </c>
      <c r="T118" s="2">
        <v>0.79600000000000004</v>
      </c>
      <c r="U118" s="2">
        <v>1.6</v>
      </c>
      <c r="V118" s="2">
        <v>5.0999999999999996</v>
      </c>
      <c r="W118" s="2">
        <v>6.6</v>
      </c>
      <c r="X118" s="2">
        <v>8</v>
      </c>
      <c r="Y118" s="2">
        <v>2.2000000000000002</v>
      </c>
      <c r="Z118" s="2">
        <v>0.4</v>
      </c>
      <c r="AA118" s="2">
        <v>4.5999999999999996</v>
      </c>
      <c r="AB118" s="2">
        <v>3.3</v>
      </c>
      <c r="AC118" s="2">
        <v>34.1</v>
      </c>
      <c r="AD118" s="2">
        <v>113</v>
      </c>
      <c r="AE118" s="2">
        <v>114</v>
      </c>
      <c r="AF118" s="2"/>
    </row>
    <row r="119" spans="1:32" x14ac:dyDescent="0.2">
      <c r="A119" t="s">
        <v>160</v>
      </c>
      <c r="B119" s="2">
        <v>27</v>
      </c>
      <c r="C119" t="s">
        <v>72</v>
      </c>
      <c r="D119" s="2" t="s">
        <v>49</v>
      </c>
      <c r="E119" s="2">
        <v>15</v>
      </c>
      <c r="F119" s="2">
        <v>2</v>
      </c>
      <c r="G119" s="2">
        <v>417</v>
      </c>
      <c r="H119" s="2">
        <v>10.8</v>
      </c>
      <c r="I119" s="2">
        <v>22.4</v>
      </c>
      <c r="J119" s="2">
        <v>0.48299999999999998</v>
      </c>
      <c r="K119" s="2">
        <v>4.5999999999999996</v>
      </c>
      <c r="L119" s="2">
        <v>10.199999999999999</v>
      </c>
      <c r="M119" s="2">
        <v>0.44600000000000001</v>
      </c>
      <c r="N119" s="2">
        <v>6.2</v>
      </c>
      <c r="O119" s="2">
        <v>12.1</v>
      </c>
      <c r="P119" s="2">
        <v>0.51400000000000001</v>
      </c>
      <c r="Q119" s="2">
        <v>0.58499999999999996</v>
      </c>
      <c r="R119" s="2">
        <v>6.6</v>
      </c>
      <c r="S119" s="2">
        <v>7.5</v>
      </c>
      <c r="T119" s="2">
        <v>0.88100000000000001</v>
      </c>
      <c r="U119" s="2">
        <v>1</v>
      </c>
      <c r="V119" s="2">
        <v>5.3</v>
      </c>
      <c r="W119" s="2">
        <v>6.3</v>
      </c>
      <c r="X119" s="2">
        <v>2</v>
      </c>
      <c r="Y119" s="2">
        <v>1.3</v>
      </c>
      <c r="Z119" s="2">
        <v>0.2</v>
      </c>
      <c r="AA119" s="2">
        <v>1.9</v>
      </c>
      <c r="AB119" s="2">
        <v>4.0999999999999996</v>
      </c>
      <c r="AC119" s="2">
        <v>32.700000000000003</v>
      </c>
      <c r="AD119" s="2">
        <v>124</v>
      </c>
      <c r="AE119" s="2">
        <v>118</v>
      </c>
      <c r="AF119" s="2"/>
    </row>
    <row r="120" spans="1:32" x14ac:dyDescent="0.2">
      <c r="A120" t="s">
        <v>389</v>
      </c>
      <c r="B120" s="2">
        <v>26</v>
      </c>
      <c r="C120" t="s">
        <v>100</v>
      </c>
      <c r="D120" s="2" t="s">
        <v>52</v>
      </c>
      <c r="E120" s="2">
        <v>6</v>
      </c>
      <c r="F120" s="2">
        <v>2</v>
      </c>
      <c r="G120" s="2">
        <v>121</v>
      </c>
      <c r="H120" s="2">
        <v>8.6999999999999993</v>
      </c>
      <c r="I120" s="2">
        <v>21.4</v>
      </c>
      <c r="J120" s="2">
        <v>0.40699999999999997</v>
      </c>
      <c r="K120" s="2">
        <v>5.2</v>
      </c>
      <c r="L120" s="2">
        <v>13.9</v>
      </c>
      <c r="M120" s="2">
        <v>0.371</v>
      </c>
      <c r="N120" s="2">
        <v>3.6</v>
      </c>
      <c r="O120" s="2">
        <v>7.5</v>
      </c>
      <c r="P120" s="2">
        <v>0.47399999999999998</v>
      </c>
      <c r="Q120" s="2">
        <v>0.52800000000000002</v>
      </c>
      <c r="R120" s="2">
        <v>2</v>
      </c>
      <c r="S120" s="2">
        <v>3.2</v>
      </c>
      <c r="T120" s="2">
        <v>0.625</v>
      </c>
      <c r="U120" s="2">
        <v>2.4</v>
      </c>
      <c r="V120" s="2">
        <v>5.6</v>
      </c>
      <c r="W120" s="2">
        <v>7.9</v>
      </c>
      <c r="X120" s="2">
        <v>6.7</v>
      </c>
      <c r="Y120" s="2">
        <v>2.8</v>
      </c>
      <c r="Z120" s="2">
        <v>0.8</v>
      </c>
      <c r="AA120" s="2">
        <v>4</v>
      </c>
      <c r="AB120" s="2">
        <v>7.1</v>
      </c>
      <c r="AC120" s="2">
        <v>24.6</v>
      </c>
      <c r="AD120" s="2">
        <v>106</v>
      </c>
      <c r="AE120" s="2">
        <v>107</v>
      </c>
      <c r="AF120" s="2"/>
    </row>
    <row r="121" spans="1:32" x14ac:dyDescent="0.2">
      <c r="A121" t="s">
        <v>348</v>
      </c>
      <c r="B121" s="2">
        <v>28</v>
      </c>
      <c r="C121" t="s">
        <v>57</v>
      </c>
      <c r="D121" s="2" t="s">
        <v>27</v>
      </c>
      <c r="E121" s="2">
        <v>17</v>
      </c>
      <c r="F121" s="2">
        <v>9</v>
      </c>
      <c r="G121" s="2">
        <v>376</v>
      </c>
      <c r="H121" s="2">
        <v>3.9</v>
      </c>
      <c r="I121" s="2">
        <v>11</v>
      </c>
      <c r="J121" s="2">
        <v>0.36</v>
      </c>
      <c r="K121" s="2">
        <v>3.1</v>
      </c>
      <c r="L121" s="2">
        <v>9.3000000000000007</v>
      </c>
      <c r="M121" s="2">
        <v>0.32900000000000001</v>
      </c>
      <c r="N121" s="2">
        <v>0.9</v>
      </c>
      <c r="O121" s="2">
        <v>1.7</v>
      </c>
      <c r="P121" s="2">
        <v>0.53800000000000003</v>
      </c>
      <c r="Q121" s="2">
        <v>0.5</v>
      </c>
      <c r="R121" s="2">
        <v>1</v>
      </c>
      <c r="S121" s="2">
        <v>2.4</v>
      </c>
      <c r="T121" s="2">
        <v>0.42099999999999999</v>
      </c>
      <c r="U121" s="2">
        <v>1.4</v>
      </c>
      <c r="V121" s="2">
        <v>8.5</v>
      </c>
      <c r="W121" s="2">
        <v>9.9</v>
      </c>
      <c r="X121" s="2">
        <v>3.2</v>
      </c>
      <c r="Y121" s="2">
        <v>2.2999999999999998</v>
      </c>
      <c r="Z121" s="2">
        <v>0.8</v>
      </c>
      <c r="AA121" s="2">
        <v>0.6</v>
      </c>
      <c r="AB121" s="2">
        <v>3.2</v>
      </c>
      <c r="AC121" s="2">
        <v>12</v>
      </c>
      <c r="AD121" s="2">
        <v>112</v>
      </c>
      <c r="AE121" s="2">
        <v>109</v>
      </c>
      <c r="AF121" s="2"/>
    </row>
    <row r="122" spans="1:32" x14ac:dyDescent="0.2">
      <c r="A122" t="s">
        <v>199</v>
      </c>
      <c r="B122" s="2">
        <v>26</v>
      </c>
      <c r="C122" t="s">
        <v>135</v>
      </c>
      <c r="D122" s="2" t="s">
        <v>42</v>
      </c>
      <c r="E122" s="2">
        <v>17</v>
      </c>
      <c r="F122" s="2">
        <v>17</v>
      </c>
      <c r="G122" s="2">
        <v>513</v>
      </c>
      <c r="H122" s="2">
        <v>10.5</v>
      </c>
      <c r="I122" s="2">
        <v>19</v>
      </c>
      <c r="J122" s="2">
        <v>0.55400000000000005</v>
      </c>
      <c r="K122" s="2">
        <v>0.5</v>
      </c>
      <c r="L122" s="2">
        <v>1.8</v>
      </c>
      <c r="M122" s="2">
        <v>0.26300000000000001</v>
      </c>
      <c r="N122" s="2">
        <v>10</v>
      </c>
      <c r="O122" s="2">
        <v>17.2</v>
      </c>
      <c r="P122" s="2">
        <v>0.58499999999999996</v>
      </c>
      <c r="Q122" s="2">
        <v>0.56699999999999995</v>
      </c>
      <c r="R122" s="2">
        <v>1.2</v>
      </c>
      <c r="S122" s="2">
        <v>2</v>
      </c>
      <c r="T122" s="2">
        <v>0.61899999999999999</v>
      </c>
      <c r="U122" s="2">
        <v>4.5</v>
      </c>
      <c r="V122" s="2">
        <v>11.5</v>
      </c>
      <c r="W122" s="2">
        <v>16</v>
      </c>
      <c r="X122" s="2">
        <v>2</v>
      </c>
      <c r="Y122" s="2">
        <v>1.4</v>
      </c>
      <c r="Z122" s="2">
        <v>1.2</v>
      </c>
      <c r="AA122" s="2">
        <v>2.9</v>
      </c>
      <c r="AB122" s="2">
        <v>3.7</v>
      </c>
      <c r="AC122" s="2">
        <v>22.7</v>
      </c>
      <c r="AD122" s="2">
        <v>110</v>
      </c>
      <c r="AE122" s="2">
        <v>114</v>
      </c>
      <c r="AF122" s="2"/>
    </row>
    <row r="123" spans="1:32" x14ac:dyDescent="0.2">
      <c r="A123" t="s">
        <v>449</v>
      </c>
      <c r="B123" s="2">
        <v>36</v>
      </c>
      <c r="C123" t="s">
        <v>46</v>
      </c>
      <c r="D123" s="2" t="s">
        <v>42</v>
      </c>
      <c r="E123" s="2">
        <v>10</v>
      </c>
      <c r="F123" s="2">
        <v>0</v>
      </c>
      <c r="G123" s="2">
        <v>98</v>
      </c>
      <c r="H123" s="2">
        <v>5.8</v>
      </c>
      <c r="I123" s="2">
        <v>10.199999999999999</v>
      </c>
      <c r="J123" s="2">
        <v>0.57099999999999995</v>
      </c>
      <c r="K123" s="2">
        <v>0</v>
      </c>
      <c r="L123" s="2">
        <v>0</v>
      </c>
      <c r="M123" s="2"/>
      <c r="N123" s="2">
        <v>5.8</v>
      </c>
      <c r="O123" s="2">
        <v>10.199999999999999</v>
      </c>
      <c r="P123" s="2">
        <v>0.57099999999999995</v>
      </c>
      <c r="Q123" s="2">
        <v>0.57099999999999995</v>
      </c>
      <c r="R123" s="2">
        <v>1</v>
      </c>
      <c r="S123" s="2">
        <v>3.9</v>
      </c>
      <c r="T123" s="2">
        <v>0.25</v>
      </c>
      <c r="U123" s="2">
        <v>5.3</v>
      </c>
      <c r="V123" s="2">
        <v>10.7</v>
      </c>
      <c r="W123" s="2">
        <v>16</v>
      </c>
      <c r="X123" s="2">
        <v>3.9</v>
      </c>
      <c r="Y123" s="2">
        <v>1</v>
      </c>
      <c r="Z123" s="2">
        <v>1</v>
      </c>
      <c r="AA123" s="2">
        <v>4.9000000000000004</v>
      </c>
      <c r="AB123" s="2">
        <v>5.3</v>
      </c>
      <c r="AC123" s="2">
        <v>12.6</v>
      </c>
      <c r="AD123" s="2">
        <v>95</v>
      </c>
      <c r="AE123" s="2">
        <v>114</v>
      </c>
      <c r="AF123" s="2"/>
    </row>
    <row r="124" spans="1:32" x14ac:dyDescent="0.2">
      <c r="A124" t="s">
        <v>285</v>
      </c>
      <c r="B124" s="2">
        <v>28</v>
      </c>
      <c r="C124" t="s">
        <v>117</v>
      </c>
      <c r="D124" s="2" t="s">
        <v>33</v>
      </c>
      <c r="E124" s="2">
        <v>9</v>
      </c>
      <c r="F124" s="2">
        <v>9</v>
      </c>
      <c r="G124" s="2">
        <v>295</v>
      </c>
      <c r="H124" s="2">
        <v>8.4</v>
      </c>
      <c r="I124" s="2">
        <v>24.4</v>
      </c>
      <c r="J124" s="2">
        <v>0.34699999999999998</v>
      </c>
      <c r="K124" s="2">
        <v>2.2999999999999998</v>
      </c>
      <c r="L124" s="2">
        <v>8.9</v>
      </c>
      <c r="M124" s="2">
        <v>0.25900000000000001</v>
      </c>
      <c r="N124" s="2">
        <v>6.1</v>
      </c>
      <c r="O124" s="2">
        <v>15.4</v>
      </c>
      <c r="P124" s="2">
        <v>0.39800000000000002</v>
      </c>
      <c r="Q124" s="2">
        <v>0.39500000000000002</v>
      </c>
      <c r="R124" s="2">
        <v>5.0999999999999996</v>
      </c>
      <c r="S124" s="2">
        <v>6</v>
      </c>
      <c r="T124" s="2">
        <v>0.86099999999999999</v>
      </c>
      <c r="U124" s="2">
        <v>0.5</v>
      </c>
      <c r="V124" s="2">
        <v>9.1</v>
      </c>
      <c r="W124" s="2">
        <v>9.6</v>
      </c>
      <c r="X124" s="2">
        <v>10.1</v>
      </c>
      <c r="Y124" s="2">
        <v>3.1</v>
      </c>
      <c r="Z124" s="2">
        <v>1</v>
      </c>
      <c r="AA124" s="2">
        <v>5.6</v>
      </c>
      <c r="AB124" s="2">
        <v>3.8</v>
      </c>
      <c r="AC124" s="2">
        <v>24.4</v>
      </c>
      <c r="AD124" s="2">
        <v>92</v>
      </c>
      <c r="AE124" s="2">
        <v>114</v>
      </c>
      <c r="AF124" s="2"/>
    </row>
    <row r="125" spans="1:32" x14ac:dyDescent="0.2">
      <c r="A125" t="s">
        <v>407</v>
      </c>
      <c r="B125" s="2">
        <v>32</v>
      </c>
      <c r="C125" t="s">
        <v>35</v>
      </c>
      <c r="D125" s="2" t="s">
        <v>33</v>
      </c>
      <c r="E125" s="2">
        <v>18</v>
      </c>
      <c r="F125" s="2">
        <v>2</v>
      </c>
      <c r="G125" s="2">
        <v>287</v>
      </c>
      <c r="H125" s="2">
        <v>2.9</v>
      </c>
      <c r="I125" s="2">
        <v>9</v>
      </c>
      <c r="J125" s="2">
        <v>0.32100000000000001</v>
      </c>
      <c r="K125" s="2">
        <v>1.5</v>
      </c>
      <c r="L125" s="2">
        <v>5.4</v>
      </c>
      <c r="M125" s="2">
        <v>0.28100000000000003</v>
      </c>
      <c r="N125" s="2">
        <v>1.4</v>
      </c>
      <c r="O125" s="2">
        <v>3.6</v>
      </c>
      <c r="P125" s="2">
        <v>0.38100000000000001</v>
      </c>
      <c r="Q125" s="2">
        <v>0.40600000000000003</v>
      </c>
      <c r="R125" s="2">
        <v>0.9</v>
      </c>
      <c r="S125" s="2">
        <v>1.7</v>
      </c>
      <c r="T125" s="2">
        <v>0.5</v>
      </c>
      <c r="U125" s="2">
        <v>1.9</v>
      </c>
      <c r="V125" s="2">
        <v>3.7</v>
      </c>
      <c r="W125" s="2">
        <v>5.6</v>
      </c>
      <c r="X125" s="2">
        <v>4.9000000000000004</v>
      </c>
      <c r="Y125" s="2">
        <v>2.2000000000000002</v>
      </c>
      <c r="Z125" s="2">
        <v>1</v>
      </c>
      <c r="AA125" s="2">
        <v>1.4</v>
      </c>
      <c r="AB125" s="2">
        <v>1.9</v>
      </c>
      <c r="AC125" s="2">
        <v>8.1999999999999993</v>
      </c>
      <c r="AD125" s="2">
        <v>103</v>
      </c>
      <c r="AE125" s="2">
        <v>114</v>
      </c>
      <c r="AF125" s="2"/>
    </row>
    <row r="126" spans="1:32" x14ac:dyDescent="0.2">
      <c r="A126" t="s">
        <v>88</v>
      </c>
      <c r="B126" s="2">
        <v>35</v>
      </c>
      <c r="C126" t="s">
        <v>37</v>
      </c>
      <c r="D126" s="2" t="s">
        <v>49</v>
      </c>
      <c r="E126" s="2">
        <v>21</v>
      </c>
      <c r="F126" s="2">
        <v>21</v>
      </c>
      <c r="G126" s="2">
        <v>747</v>
      </c>
      <c r="H126" s="2">
        <v>11.3</v>
      </c>
      <c r="I126" s="2">
        <v>22.7</v>
      </c>
      <c r="J126" s="2">
        <v>0.499</v>
      </c>
      <c r="K126" s="2">
        <v>1</v>
      </c>
      <c r="L126" s="2">
        <v>3</v>
      </c>
      <c r="M126" s="2">
        <v>0.32600000000000001</v>
      </c>
      <c r="N126" s="2">
        <v>10.4</v>
      </c>
      <c r="O126" s="2">
        <v>19.7</v>
      </c>
      <c r="P126" s="2">
        <v>0.52500000000000002</v>
      </c>
      <c r="Q126" s="2">
        <v>0.52</v>
      </c>
      <c r="R126" s="2">
        <v>7.6</v>
      </c>
      <c r="S126" s="2">
        <v>8.9</v>
      </c>
      <c r="T126" s="2">
        <v>0.85299999999999998</v>
      </c>
      <c r="U126" s="2">
        <v>0.7</v>
      </c>
      <c r="V126" s="2">
        <v>4.7</v>
      </c>
      <c r="W126" s="2">
        <v>5.3</v>
      </c>
      <c r="X126" s="2">
        <v>5.5</v>
      </c>
      <c r="Y126" s="2">
        <v>2.2000000000000002</v>
      </c>
      <c r="Z126" s="2">
        <v>0.7</v>
      </c>
      <c r="AA126" s="2">
        <v>2.2999999999999998</v>
      </c>
      <c r="AB126" s="2">
        <v>2.5</v>
      </c>
      <c r="AC126" s="2">
        <v>31.2</v>
      </c>
      <c r="AD126" s="2">
        <v>120</v>
      </c>
      <c r="AE126" s="2">
        <v>114</v>
      </c>
      <c r="AF126" s="2"/>
    </row>
    <row r="127" spans="1:32" x14ac:dyDescent="0.2">
      <c r="A127" t="s">
        <v>169</v>
      </c>
      <c r="B127" s="2">
        <v>24</v>
      </c>
      <c r="C127" t="s">
        <v>135</v>
      </c>
      <c r="D127" s="2" t="s">
        <v>49</v>
      </c>
      <c r="E127" s="2">
        <v>24</v>
      </c>
      <c r="F127" s="2">
        <v>12</v>
      </c>
      <c r="G127" s="2">
        <v>638</v>
      </c>
      <c r="H127" s="2">
        <v>6.9</v>
      </c>
      <c r="I127" s="2">
        <v>16.8</v>
      </c>
      <c r="J127" s="2">
        <v>0.41399999999999998</v>
      </c>
      <c r="K127" s="2">
        <v>2.4</v>
      </c>
      <c r="L127" s="2">
        <v>6.9</v>
      </c>
      <c r="M127" s="2">
        <v>0.34799999999999998</v>
      </c>
      <c r="N127" s="2">
        <v>4.5</v>
      </c>
      <c r="O127" s="2">
        <v>9.8000000000000007</v>
      </c>
      <c r="P127" s="2">
        <v>0.46200000000000002</v>
      </c>
      <c r="Q127" s="2">
        <v>0.48599999999999999</v>
      </c>
      <c r="R127" s="2">
        <v>5.0999999999999996</v>
      </c>
      <c r="S127" s="2">
        <v>6.4</v>
      </c>
      <c r="T127" s="2">
        <v>0.78800000000000003</v>
      </c>
      <c r="U127" s="2">
        <v>2.2999999999999998</v>
      </c>
      <c r="V127" s="2">
        <v>8.3000000000000007</v>
      </c>
      <c r="W127" s="2">
        <v>10.6</v>
      </c>
      <c r="X127" s="2">
        <v>5.6</v>
      </c>
      <c r="Y127" s="2">
        <v>1.8</v>
      </c>
      <c r="Z127" s="2">
        <v>1.4</v>
      </c>
      <c r="AA127" s="2">
        <v>3.6</v>
      </c>
      <c r="AB127" s="2">
        <v>3.8</v>
      </c>
      <c r="AC127" s="2">
        <v>21.4</v>
      </c>
      <c r="AD127" s="2">
        <v>109</v>
      </c>
      <c r="AE127" s="2">
        <v>115</v>
      </c>
      <c r="AF127" s="2"/>
    </row>
    <row r="128" spans="1:32" x14ac:dyDescent="0.2">
      <c r="A128" t="s">
        <v>112</v>
      </c>
      <c r="B128" s="2">
        <v>31</v>
      </c>
      <c r="C128" t="s">
        <v>103</v>
      </c>
      <c r="D128" s="2" t="s">
        <v>33</v>
      </c>
      <c r="E128" s="2">
        <v>22</v>
      </c>
      <c r="F128" s="2">
        <v>22</v>
      </c>
      <c r="G128" s="2">
        <v>746</v>
      </c>
      <c r="H128" s="2">
        <v>9.4</v>
      </c>
      <c r="I128" s="2">
        <v>21</v>
      </c>
      <c r="J128" s="2">
        <v>0.44800000000000001</v>
      </c>
      <c r="K128" s="2">
        <v>3.7</v>
      </c>
      <c r="L128" s="2">
        <v>9.5</v>
      </c>
      <c r="M128" s="2">
        <v>0.38500000000000001</v>
      </c>
      <c r="N128" s="2">
        <v>5.7</v>
      </c>
      <c r="O128" s="2">
        <v>11.5</v>
      </c>
      <c r="P128" s="2">
        <v>0.5</v>
      </c>
      <c r="Q128" s="2">
        <v>0.53500000000000003</v>
      </c>
      <c r="R128" s="2">
        <v>4.8</v>
      </c>
      <c r="S128" s="2">
        <v>5.4</v>
      </c>
      <c r="T128" s="2">
        <v>0.88900000000000001</v>
      </c>
      <c r="U128" s="2">
        <v>0.3</v>
      </c>
      <c r="V128" s="2">
        <v>4.0999999999999996</v>
      </c>
      <c r="W128" s="2">
        <v>4.3</v>
      </c>
      <c r="X128" s="2">
        <v>9.6</v>
      </c>
      <c r="Y128" s="2">
        <v>1.7</v>
      </c>
      <c r="Z128" s="2">
        <v>0.3</v>
      </c>
      <c r="AA128" s="2">
        <v>3.5</v>
      </c>
      <c r="AB128" s="2">
        <v>3.6</v>
      </c>
      <c r="AC128" s="2">
        <v>27.3</v>
      </c>
      <c r="AD128" s="2">
        <v>116</v>
      </c>
      <c r="AE128" s="2">
        <v>118</v>
      </c>
      <c r="AF128" s="2"/>
    </row>
    <row r="129" spans="1:32" x14ac:dyDescent="0.2">
      <c r="A129" t="s">
        <v>256</v>
      </c>
      <c r="B129" s="2">
        <v>20</v>
      </c>
      <c r="C129" t="s">
        <v>63</v>
      </c>
      <c r="D129" s="2" t="s">
        <v>42</v>
      </c>
      <c r="E129" s="2">
        <v>20</v>
      </c>
      <c r="F129" s="2">
        <v>13</v>
      </c>
      <c r="G129" s="2">
        <v>470</v>
      </c>
      <c r="H129" s="2">
        <v>7.3</v>
      </c>
      <c r="I129" s="2">
        <v>10.8</v>
      </c>
      <c r="J129" s="2">
        <v>0.67600000000000005</v>
      </c>
      <c r="K129" s="2">
        <v>0</v>
      </c>
      <c r="L129" s="2">
        <v>0</v>
      </c>
      <c r="M129" s="2"/>
      <c r="N129" s="2">
        <v>7.3</v>
      </c>
      <c r="O129" s="2">
        <v>10.8</v>
      </c>
      <c r="P129" s="2">
        <v>0.67600000000000005</v>
      </c>
      <c r="Q129" s="2">
        <v>0.67600000000000005</v>
      </c>
      <c r="R129" s="2">
        <v>3.4</v>
      </c>
      <c r="S129" s="2">
        <v>5.4</v>
      </c>
      <c r="T129" s="2">
        <v>0.623</v>
      </c>
      <c r="U129" s="2">
        <v>6.4</v>
      </c>
      <c r="V129" s="2">
        <v>9.5</v>
      </c>
      <c r="W129" s="2">
        <v>15.9</v>
      </c>
      <c r="X129" s="2">
        <v>4.9000000000000004</v>
      </c>
      <c r="Y129" s="2">
        <v>1.1000000000000001</v>
      </c>
      <c r="Z129" s="2">
        <v>3.3</v>
      </c>
      <c r="AA129" s="2">
        <v>2.5</v>
      </c>
      <c r="AB129" s="2">
        <v>5.8</v>
      </c>
      <c r="AC129" s="2">
        <v>17.899999999999999</v>
      </c>
      <c r="AD129" s="2">
        <v>137</v>
      </c>
      <c r="AE129" s="2">
        <v>109</v>
      </c>
      <c r="AF129" s="2"/>
    </row>
    <row r="130" spans="1:32" x14ac:dyDescent="0.2">
      <c r="A130" t="s">
        <v>188</v>
      </c>
      <c r="B130" s="2">
        <v>27</v>
      </c>
      <c r="C130" t="s">
        <v>77</v>
      </c>
      <c r="D130" s="2" t="s">
        <v>49</v>
      </c>
      <c r="E130" s="2">
        <v>25</v>
      </c>
      <c r="F130" s="2">
        <v>25</v>
      </c>
      <c r="G130" s="2">
        <v>625</v>
      </c>
      <c r="H130" s="2">
        <v>7.6</v>
      </c>
      <c r="I130" s="2">
        <v>15.3</v>
      </c>
      <c r="J130" s="2">
        <v>0.5</v>
      </c>
      <c r="K130" s="2">
        <v>2.4</v>
      </c>
      <c r="L130" s="2">
        <v>5.7</v>
      </c>
      <c r="M130" s="2">
        <v>0.41699999999999998</v>
      </c>
      <c r="N130" s="2">
        <v>5.3</v>
      </c>
      <c r="O130" s="2">
        <v>9.6</v>
      </c>
      <c r="P130" s="2">
        <v>0.54900000000000004</v>
      </c>
      <c r="Q130" s="2">
        <v>0.57699999999999996</v>
      </c>
      <c r="R130" s="2">
        <v>2.1</v>
      </c>
      <c r="S130" s="2">
        <v>2.4</v>
      </c>
      <c r="T130" s="2">
        <v>0.871</v>
      </c>
      <c r="U130" s="2">
        <v>2.4</v>
      </c>
      <c r="V130" s="2">
        <v>4.3</v>
      </c>
      <c r="W130" s="2">
        <v>6.6</v>
      </c>
      <c r="X130" s="2">
        <v>1.8</v>
      </c>
      <c r="Y130" s="2">
        <v>2.5</v>
      </c>
      <c r="Z130" s="2">
        <v>0.5</v>
      </c>
      <c r="AA130" s="2">
        <v>2.1</v>
      </c>
      <c r="AB130" s="2">
        <v>4.2</v>
      </c>
      <c r="AC130" s="2">
        <v>19.8</v>
      </c>
      <c r="AD130" s="2">
        <v>115</v>
      </c>
      <c r="AE130" s="2">
        <v>110</v>
      </c>
      <c r="AF130" s="2"/>
    </row>
    <row r="131" spans="1:32" x14ac:dyDescent="0.2">
      <c r="A131" t="s">
        <v>108</v>
      </c>
      <c r="B131" s="2">
        <v>30</v>
      </c>
      <c r="C131" t="s">
        <v>39</v>
      </c>
      <c r="D131" s="2" t="s">
        <v>52</v>
      </c>
      <c r="E131" s="2">
        <v>24</v>
      </c>
      <c r="F131" s="2">
        <v>24</v>
      </c>
      <c r="G131" s="2">
        <v>827</v>
      </c>
      <c r="H131" s="2">
        <v>8.5</v>
      </c>
      <c r="I131" s="2">
        <v>18.600000000000001</v>
      </c>
      <c r="J131" s="2">
        <v>0.45400000000000001</v>
      </c>
      <c r="K131" s="2">
        <v>5.3</v>
      </c>
      <c r="L131" s="2">
        <v>13.1</v>
      </c>
      <c r="M131" s="2">
        <v>0.40100000000000002</v>
      </c>
      <c r="N131" s="2">
        <v>3.2</v>
      </c>
      <c r="O131" s="2">
        <v>5.5</v>
      </c>
      <c r="P131" s="2">
        <v>0.58099999999999996</v>
      </c>
      <c r="Q131" s="2">
        <v>0.59499999999999997</v>
      </c>
      <c r="R131" s="2">
        <v>2.7</v>
      </c>
      <c r="S131" s="2">
        <v>3.1</v>
      </c>
      <c r="T131" s="2">
        <v>0.86499999999999999</v>
      </c>
      <c r="U131" s="2">
        <v>1.7</v>
      </c>
      <c r="V131" s="2">
        <v>5</v>
      </c>
      <c r="W131" s="2">
        <v>6.7</v>
      </c>
      <c r="X131" s="2">
        <v>6.9</v>
      </c>
      <c r="Y131" s="2">
        <v>1.5</v>
      </c>
      <c r="Z131" s="2">
        <v>1.5</v>
      </c>
      <c r="AA131" s="2">
        <v>2.1</v>
      </c>
      <c r="AB131" s="2">
        <v>3.1</v>
      </c>
      <c r="AC131" s="2">
        <v>24.9</v>
      </c>
      <c r="AD131" s="2">
        <v>128</v>
      </c>
      <c r="AE131" s="2">
        <v>112</v>
      </c>
      <c r="AF131" s="2"/>
    </row>
    <row r="132" spans="1:32" x14ac:dyDescent="0.2">
      <c r="A132" t="s">
        <v>194</v>
      </c>
      <c r="B132" s="2">
        <v>26</v>
      </c>
      <c r="C132" t="s">
        <v>80</v>
      </c>
      <c r="D132" s="2" t="s">
        <v>52</v>
      </c>
      <c r="E132" s="2">
        <v>17</v>
      </c>
      <c r="F132" s="2">
        <v>16</v>
      </c>
      <c r="G132" s="2">
        <v>481</v>
      </c>
      <c r="H132" s="2">
        <v>8.8000000000000007</v>
      </c>
      <c r="I132" s="2">
        <v>20.2</v>
      </c>
      <c r="J132" s="2">
        <v>0.434</v>
      </c>
      <c r="K132" s="2">
        <v>3</v>
      </c>
      <c r="L132" s="2">
        <v>9.1999999999999993</v>
      </c>
      <c r="M132" s="2">
        <v>0.32300000000000001</v>
      </c>
      <c r="N132" s="2">
        <v>5.8</v>
      </c>
      <c r="O132" s="2">
        <v>11.1</v>
      </c>
      <c r="P132" s="2">
        <v>0.52600000000000002</v>
      </c>
      <c r="Q132" s="2">
        <v>0.50700000000000001</v>
      </c>
      <c r="R132" s="2">
        <v>3</v>
      </c>
      <c r="S132" s="2">
        <v>3.6</v>
      </c>
      <c r="T132" s="2">
        <v>0.81599999999999995</v>
      </c>
      <c r="U132" s="2">
        <v>1.3</v>
      </c>
      <c r="V132" s="2">
        <v>8.4</v>
      </c>
      <c r="W132" s="2">
        <v>9.6999999999999993</v>
      </c>
      <c r="X132" s="2">
        <v>6.6</v>
      </c>
      <c r="Y132" s="2">
        <v>1.6</v>
      </c>
      <c r="Z132" s="2">
        <v>0.8</v>
      </c>
      <c r="AA132" s="2">
        <v>3.8</v>
      </c>
      <c r="AB132" s="2">
        <v>4.4000000000000004</v>
      </c>
      <c r="AC132" s="2">
        <v>23.5</v>
      </c>
      <c r="AD132" s="2">
        <v>106</v>
      </c>
      <c r="AE132" s="2">
        <v>108</v>
      </c>
      <c r="AF132" s="2"/>
    </row>
    <row r="133" spans="1:32" x14ac:dyDescent="0.2">
      <c r="A133" t="s">
        <v>53</v>
      </c>
      <c r="B133" s="2">
        <v>28</v>
      </c>
      <c r="C133" t="s">
        <v>54</v>
      </c>
      <c r="D133" s="2" t="s">
        <v>52</v>
      </c>
      <c r="E133" s="2">
        <v>23</v>
      </c>
      <c r="F133" s="2">
        <v>23</v>
      </c>
      <c r="G133" s="2">
        <v>851</v>
      </c>
      <c r="H133" s="2">
        <v>10.5</v>
      </c>
      <c r="I133" s="2">
        <v>24.3</v>
      </c>
      <c r="J133" s="2">
        <v>0.432</v>
      </c>
      <c r="K133" s="2">
        <v>3.4</v>
      </c>
      <c r="L133" s="2">
        <v>10.199999999999999</v>
      </c>
      <c r="M133" s="2">
        <v>0.33500000000000002</v>
      </c>
      <c r="N133" s="2">
        <v>7.1</v>
      </c>
      <c r="O133" s="2">
        <v>14.2</v>
      </c>
      <c r="P133" s="2">
        <v>0.502</v>
      </c>
      <c r="Q133" s="2">
        <v>0.502</v>
      </c>
      <c r="R133" s="2">
        <v>8.6999999999999993</v>
      </c>
      <c r="S133" s="2">
        <v>9.6</v>
      </c>
      <c r="T133" s="2">
        <v>0.90400000000000003</v>
      </c>
      <c r="U133" s="2">
        <v>1.5</v>
      </c>
      <c r="V133" s="2">
        <v>3.6</v>
      </c>
      <c r="W133" s="2">
        <v>5.0999999999999996</v>
      </c>
      <c r="X133" s="2">
        <v>8.5</v>
      </c>
      <c r="Y133" s="2">
        <v>1.5</v>
      </c>
      <c r="Z133" s="2">
        <v>0.5</v>
      </c>
      <c r="AA133" s="2">
        <v>3.2</v>
      </c>
      <c r="AB133" s="2">
        <v>3.2</v>
      </c>
      <c r="AC133" s="2">
        <v>33.1</v>
      </c>
      <c r="AD133" s="2">
        <v>120</v>
      </c>
      <c r="AE133" s="2">
        <v>119</v>
      </c>
      <c r="AF133" s="2"/>
    </row>
    <row r="134" spans="1:32" x14ac:dyDescent="0.2">
      <c r="A134" t="s">
        <v>282</v>
      </c>
      <c r="B134" s="2">
        <v>24</v>
      </c>
      <c r="C134" t="s">
        <v>93</v>
      </c>
      <c r="D134" s="2" t="s">
        <v>52</v>
      </c>
      <c r="E134" s="2">
        <v>9</v>
      </c>
      <c r="F134" s="2">
        <v>0</v>
      </c>
      <c r="G134" s="2">
        <v>216</v>
      </c>
      <c r="H134" s="2">
        <v>12.2</v>
      </c>
      <c r="I134" s="2">
        <v>25</v>
      </c>
      <c r="J134" s="2">
        <v>0.48599999999999999</v>
      </c>
      <c r="K134" s="2">
        <v>5</v>
      </c>
      <c r="L134" s="2">
        <v>11.7</v>
      </c>
      <c r="M134" s="2">
        <v>0.42299999999999999</v>
      </c>
      <c r="N134" s="2">
        <v>7.2</v>
      </c>
      <c r="O134" s="2">
        <v>13.3</v>
      </c>
      <c r="P134" s="2">
        <v>0.54200000000000004</v>
      </c>
      <c r="Q134" s="2">
        <v>0.58599999999999997</v>
      </c>
      <c r="R134" s="2">
        <v>4.3</v>
      </c>
      <c r="S134" s="2">
        <v>4.7</v>
      </c>
      <c r="T134" s="2">
        <v>0.90500000000000003</v>
      </c>
      <c r="U134" s="2">
        <v>0.7</v>
      </c>
      <c r="V134" s="2">
        <v>3.2</v>
      </c>
      <c r="W134" s="2">
        <v>3.8</v>
      </c>
      <c r="X134" s="2">
        <v>5.6</v>
      </c>
      <c r="Y134" s="2">
        <v>2.2999999999999998</v>
      </c>
      <c r="Z134" s="2">
        <v>0.9</v>
      </c>
      <c r="AA134" s="2">
        <v>3.4</v>
      </c>
      <c r="AB134" s="2">
        <v>4.5</v>
      </c>
      <c r="AC134" s="2">
        <v>33.5</v>
      </c>
      <c r="AD134" s="2">
        <v>115</v>
      </c>
      <c r="AE134" s="2">
        <v>116</v>
      </c>
      <c r="AF134" s="2"/>
    </row>
    <row r="135" spans="1:32" x14ac:dyDescent="0.2">
      <c r="A135" t="s">
        <v>150</v>
      </c>
      <c r="B135" s="2">
        <v>29</v>
      </c>
      <c r="C135" t="s">
        <v>87</v>
      </c>
      <c r="D135" s="2" t="s">
        <v>49</v>
      </c>
      <c r="E135" s="2">
        <v>25</v>
      </c>
      <c r="F135" s="2">
        <v>25</v>
      </c>
      <c r="G135" s="2">
        <v>782</v>
      </c>
      <c r="H135" s="2">
        <v>7.2</v>
      </c>
      <c r="I135" s="2">
        <v>17.100000000000001</v>
      </c>
      <c r="J135" s="2">
        <v>0.42399999999999999</v>
      </c>
      <c r="K135" s="2">
        <v>3.2</v>
      </c>
      <c r="L135" s="2">
        <v>8.3000000000000007</v>
      </c>
      <c r="M135" s="2">
        <v>0.38100000000000001</v>
      </c>
      <c r="N135" s="2">
        <v>4.0999999999999996</v>
      </c>
      <c r="O135" s="2">
        <v>8.8000000000000007</v>
      </c>
      <c r="P135" s="2">
        <v>0.46500000000000002</v>
      </c>
      <c r="Q135" s="2">
        <v>0.51600000000000001</v>
      </c>
      <c r="R135" s="2">
        <v>1.9</v>
      </c>
      <c r="S135" s="2">
        <v>2.2000000000000002</v>
      </c>
      <c r="T135" s="2">
        <v>0.83299999999999996</v>
      </c>
      <c r="U135" s="2">
        <v>1.9</v>
      </c>
      <c r="V135" s="2">
        <v>3.8</v>
      </c>
      <c r="W135" s="2">
        <v>5.8</v>
      </c>
      <c r="X135" s="2">
        <v>2.4</v>
      </c>
      <c r="Y135" s="2">
        <v>1</v>
      </c>
      <c r="Z135" s="2">
        <v>0.5</v>
      </c>
      <c r="AA135" s="2">
        <v>1.5</v>
      </c>
      <c r="AB135" s="2">
        <v>5.0999999999999996</v>
      </c>
      <c r="AC135" s="2">
        <v>19.5</v>
      </c>
      <c r="AD135" s="2">
        <v>113</v>
      </c>
      <c r="AE135" s="2">
        <v>110</v>
      </c>
      <c r="AF135" s="2"/>
    </row>
    <row r="136" spans="1:32" x14ac:dyDescent="0.2">
      <c r="A136" t="s">
        <v>404</v>
      </c>
      <c r="B136" s="2">
        <v>23</v>
      </c>
      <c r="C136" t="s">
        <v>32</v>
      </c>
      <c r="D136" s="2" t="s">
        <v>49</v>
      </c>
      <c r="E136" s="2">
        <v>21</v>
      </c>
      <c r="F136" s="2">
        <v>0</v>
      </c>
      <c r="G136" s="2">
        <v>177</v>
      </c>
      <c r="H136" s="2">
        <v>5.2</v>
      </c>
      <c r="I136" s="2">
        <v>14.9</v>
      </c>
      <c r="J136" s="2">
        <v>0.34499999999999997</v>
      </c>
      <c r="K136" s="2">
        <v>1.9</v>
      </c>
      <c r="L136" s="2">
        <v>9</v>
      </c>
      <c r="M136" s="2">
        <v>0.21199999999999999</v>
      </c>
      <c r="N136" s="2">
        <v>3.3</v>
      </c>
      <c r="O136" s="2">
        <v>6</v>
      </c>
      <c r="P136" s="2">
        <v>0.54500000000000004</v>
      </c>
      <c r="Q136" s="2">
        <v>0.40899999999999997</v>
      </c>
      <c r="R136" s="2">
        <v>1.4</v>
      </c>
      <c r="S136" s="2">
        <v>2.2000000000000002</v>
      </c>
      <c r="T136" s="2">
        <v>0.625</v>
      </c>
      <c r="U136" s="2">
        <v>4.3</v>
      </c>
      <c r="V136" s="2">
        <v>7.1</v>
      </c>
      <c r="W136" s="2">
        <v>11.4</v>
      </c>
      <c r="X136" s="2">
        <v>4.0999999999999996</v>
      </c>
      <c r="Y136" s="2">
        <v>1.1000000000000001</v>
      </c>
      <c r="Z136" s="2">
        <v>0.3</v>
      </c>
      <c r="AA136" s="2">
        <v>2.2000000000000002</v>
      </c>
      <c r="AB136" s="2">
        <v>5.2</v>
      </c>
      <c r="AC136" s="2">
        <v>13.6</v>
      </c>
      <c r="AD136" s="2">
        <v>99</v>
      </c>
      <c r="AE136" s="2">
        <v>108</v>
      </c>
      <c r="AF136" s="2"/>
    </row>
    <row r="137" spans="1:32" x14ac:dyDescent="0.2">
      <c r="A137" t="s">
        <v>78</v>
      </c>
      <c r="B137" s="2">
        <v>28</v>
      </c>
      <c r="C137" t="s">
        <v>37</v>
      </c>
      <c r="D137" s="2" t="s">
        <v>42</v>
      </c>
      <c r="E137" s="2">
        <v>24</v>
      </c>
      <c r="F137" s="2">
        <v>24</v>
      </c>
      <c r="G137" s="2">
        <v>859</v>
      </c>
      <c r="H137" s="2">
        <v>11</v>
      </c>
      <c r="I137" s="2">
        <v>17.5</v>
      </c>
      <c r="J137" s="2">
        <v>0.628</v>
      </c>
      <c r="K137" s="2">
        <v>1.4</v>
      </c>
      <c r="L137" s="2">
        <v>3.2</v>
      </c>
      <c r="M137" s="2">
        <v>0.439</v>
      </c>
      <c r="N137" s="2">
        <v>9.6</v>
      </c>
      <c r="O137" s="2">
        <v>14.3</v>
      </c>
      <c r="P137" s="2">
        <v>0.67100000000000004</v>
      </c>
      <c r="Q137" s="2">
        <v>0.66800000000000004</v>
      </c>
      <c r="R137" s="2">
        <v>5.5</v>
      </c>
      <c r="S137" s="2">
        <v>6.6</v>
      </c>
      <c r="T137" s="2">
        <v>0.82899999999999996</v>
      </c>
      <c r="U137" s="2">
        <v>4.5999999999999996</v>
      </c>
      <c r="V137" s="2">
        <v>13.1</v>
      </c>
      <c r="W137" s="2">
        <v>17.7</v>
      </c>
      <c r="X137" s="2">
        <v>8.1999999999999993</v>
      </c>
      <c r="Y137" s="2">
        <v>1</v>
      </c>
      <c r="Z137" s="2">
        <v>0.6</v>
      </c>
      <c r="AA137" s="2">
        <v>4.3</v>
      </c>
      <c r="AB137" s="2">
        <v>4.7</v>
      </c>
      <c r="AC137" s="2">
        <v>28.9</v>
      </c>
      <c r="AD137" s="2">
        <v>132</v>
      </c>
      <c r="AE137" s="2">
        <v>112</v>
      </c>
      <c r="AF137" s="2"/>
    </row>
    <row r="138" spans="1:32" x14ac:dyDescent="0.2">
      <c r="A138" t="s">
        <v>552</v>
      </c>
      <c r="B138" s="2">
        <v>21</v>
      </c>
      <c r="C138" t="s">
        <v>72</v>
      </c>
      <c r="D138" s="2" t="s">
        <v>49</v>
      </c>
      <c r="E138" s="2">
        <v>2</v>
      </c>
      <c r="F138" s="2">
        <v>0</v>
      </c>
      <c r="G138" s="2">
        <v>11</v>
      </c>
      <c r="H138" s="2">
        <v>0</v>
      </c>
      <c r="I138" s="2">
        <v>4.2</v>
      </c>
      <c r="J138" s="2">
        <v>0</v>
      </c>
      <c r="K138" s="2">
        <v>0</v>
      </c>
      <c r="L138" s="2">
        <v>0</v>
      </c>
      <c r="M138" s="2"/>
      <c r="N138" s="2">
        <v>0</v>
      </c>
      <c r="O138" s="2">
        <v>4.2</v>
      </c>
      <c r="P138" s="2">
        <v>0</v>
      </c>
      <c r="Q138" s="2">
        <v>0</v>
      </c>
      <c r="R138" s="2">
        <v>4.2</v>
      </c>
      <c r="S138" s="2">
        <v>8.4</v>
      </c>
      <c r="T138" s="2">
        <v>0.5</v>
      </c>
      <c r="U138" s="2">
        <v>0</v>
      </c>
      <c r="V138" s="2">
        <v>0</v>
      </c>
      <c r="W138" s="2">
        <v>0</v>
      </c>
      <c r="X138" s="2">
        <v>0</v>
      </c>
      <c r="Y138" s="2">
        <v>0</v>
      </c>
      <c r="Z138" s="2">
        <v>0</v>
      </c>
      <c r="AA138" s="2">
        <v>0</v>
      </c>
      <c r="AB138" s="2">
        <v>4.2</v>
      </c>
      <c r="AC138" s="2">
        <v>4.2</v>
      </c>
      <c r="AD138" s="2">
        <v>64</v>
      </c>
      <c r="AE138" s="2">
        <v>125</v>
      </c>
      <c r="AF138" s="2"/>
    </row>
    <row r="139" spans="1:32" x14ac:dyDescent="0.2">
      <c r="A139" t="s">
        <v>339</v>
      </c>
      <c r="B139" s="2">
        <v>20</v>
      </c>
      <c r="C139" t="s">
        <v>135</v>
      </c>
      <c r="D139" s="2" t="s">
        <v>42</v>
      </c>
      <c r="E139" s="2">
        <v>17</v>
      </c>
      <c r="F139" s="2">
        <v>6</v>
      </c>
      <c r="G139" s="2">
        <v>289</v>
      </c>
      <c r="H139" s="2">
        <v>6.7</v>
      </c>
      <c r="I139" s="2">
        <v>12.7</v>
      </c>
      <c r="J139" s="2">
        <v>0.52600000000000002</v>
      </c>
      <c r="K139" s="2">
        <v>0.5</v>
      </c>
      <c r="L139" s="2">
        <v>1.5</v>
      </c>
      <c r="M139" s="2">
        <v>0.33300000000000002</v>
      </c>
      <c r="N139" s="2">
        <v>6.2</v>
      </c>
      <c r="O139" s="2">
        <v>11.2</v>
      </c>
      <c r="P139" s="2">
        <v>0.55200000000000005</v>
      </c>
      <c r="Q139" s="2">
        <v>0.54600000000000004</v>
      </c>
      <c r="R139" s="2">
        <v>2.7</v>
      </c>
      <c r="S139" s="2">
        <v>3.7</v>
      </c>
      <c r="T139" s="2">
        <v>0.72699999999999998</v>
      </c>
      <c r="U139" s="2">
        <v>9</v>
      </c>
      <c r="V139" s="2">
        <v>10</v>
      </c>
      <c r="W139" s="2">
        <v>19</v>
      </c>
      <c r="X139" s="2">
        <v>0.8</v>
      </c>
      <c r="Y139" s="2">
        <v>1.5</v>
      </c>
      <c r="Z139" s="4">
        <v>6.2</v>
      </c>
      <c r="AA139" s="2">
        <v>2.8</v>
      </c>
      <c r="AB139" s="4">
        <v>8.3000000000000007</v>
      </c>
      <c r="AC139" s="2">
        <v>16.5</v>
      </c>
      <c r="AD139" s="2">
        <v>117</v>
      </c>
      <c r="AE139" s="2">
        <v>109</v>
      </c>
      <c r="AF139" s="2"/>
    </row>
    <row r="140" spans="1:32" x14ac:dyDescent="0.2">
      <c r="A140" t="s">
        <v>56</v>
      </c>
      <c r="B140" s="2">
        <v>28</v>
      </c>
      <c r="C140" t="s">
        <v>57</v>
      </c>
      <c r="D140" s="2" t="s">
        <v>52</v>
      </c>
      <c r="E140" s="2">
        <v>24</v>
      </c>
      <c r="F140" s="2">
        <v>24</v>
      </c>
      <c r="G140" s="2">
        <v>765</v>
      </c>
      <c r="H140" s="2">
        <v>12.8</v>
      </c>
      <c r="I140" s="2">
        <v>28.3</v>
      </c>
      <c r="J140" s="2">
        <v>0.45100000000000001</v>
      </c>
      <c r="K140" s="2">
        <v>5.6</v>
      </c>
      <c r="L140" s="2">
        <v>13.7</v>
      </c>
      <c r="M140" s="2">
        <v>0.41099999999999998</v>
      </c>
      <c r="N140" s="2">
        <v>7.1</v>
      </c>
      <c r="O140" s="2">
        <v>14.6</v>
      </c>
      <c r="P140" s="2">
        <v>0.48899999999999999</v>
      </c>
      <c r="Q140" s="2">
        <v>0.55100000000000005</v>
      </c>
      <c r="R140" s="2">
        <v>4.4000000000000004</v>
      </c>
      <c r="S140" s="2">
        <v>5.5</v>
      </c>
      <c r="T140" s="2">
        <v>0.80700000000000005</v>
      </c>
      <c r="U140" s="2">
        <v>0.9</v>
      </c>
      <c r="V140" s="2">
        <v>6.3</v>
      </c>
      <c r="W140" s="2">
        <v>7.1</v>
      </c>
      <c r="X140" s="2">
        <v>6.6</v>
      </c>
      <c r="Y140" s="2">
        <v>2.2999999999999998</v>
      </c>
      <c r="Z140" s="2">
        <v>0.5</v>
      </c>
      <c r="AA140" s="2">
        <v>3.3</v>
      </c>
      <c r="AB140" s="2">
        <v>3.4</v>
      </c>
      <c r="AC140" s="2">
        <v>35.6</v>
      </c>
      <c r="AD140" s="2">
        <v>114</v>
      </c>
      <c r="AE140" s="2">
        <v>111</v>
      </c>
      <c r="AF140" s="2"/>
    </row>
    <row r="141" spans="1:32" x14ac:dyDescent="0.2">
      <c r="A141" t="s">
        <v>234</v>
      </c>
      <c r="B141" s="2">
        <v>28</v>
      </c>
      <c r="C141" t="s">
        <v>51</v>
      </c>
      <c r="D141" s="2" t="s">
        <v>52</v>
      </c>
      <c r="E141" s="2">
        <v>23</v>
      </c>
      <c r="F141" s="2">
        <v>2</v>
      </c>
      <c r="G141" s="2">
        <v>579</v>
      </c>
      <c r="H141" s="2">
        <v>5.8</v>
      </c>
      <c r="I141" s="2">
        <v>16.399999999999999</v>
      </c>
      <c r="J141" s="2">
        <v>0.35199999999999998</v>
      </c>
      <c r="K141" s="2">
        <v>4.2</v>
      </c>
      <c r="L141" s="2">
        <v>12.9</v>
      </c>
      <c r="M141" s="2">
        <v>0.32200000000000001</v>
      </c>
      <c r="N141" s="2">
        <v>1.6</v>
      </c>
      <c r="O141" s="2">
        <v>3.5</v>
      </c>
      <c r="P141" s="2">
        <v>0.46300000000000002</v>
      </c>
      <c r="Q141" s="2">
        <v>0.47899999999999998</v>
      </c>
      <c r="R141" s="2">
        <v>1</v>
      </c>
      <c r="S141" s="2">
        <v>1.4</v>
      </c>
      <c r="T141" s="2">
        <v>0.75</v>
      </c>
      <c r="U141" s="2">
        <v>0.7</v>
      </c>
      <c r="V141" s="2">
        <v>5.2</v>
      </c>
      <c r="W141" s="2">
        <v>5.9</v>
      </c>
      <c r="X141" s="2">
        <v>7</v>
      </c>
      <c r="Y141" s="2">
        <v>2.5</v>
      </c>
      <c r="Z141" s="2">
        <v>0.5</v>
      </c>
      <c r="AA141" s="2">
        <v>3.3</v>
      </c>
      <c r="AB141" s="2">
        <v>3.1</v>
      </c>
      <c r="AC141" s="2">
        <v>16.7</v>
      </c>
      <c r="AD141" s="2">
        <v>99</v>
      </c>
      <c r="AE141" s="2">
        <v>109</v>
      </c>
      <c r="AF141" s="2"/>
    </row>
    <row r="142" spans="1:32" x14ac:dyDescent="0.2">
      <c r="A142" t="s">
        <v>261</v>
      </c>
      <c r="B142" s="2">
        <v>31</v>
      </c>
      <c r="C142" t="s">
        <v>103</v>
      </c>
      <c r="D142" s="2" t="s">
        <v>27</v>
      </c>
      <c r="E142" s="2">
        <v>16</v>
      </c>
      <c r="F142" s="2">
        <v>16</v>
      </c>
      <c r="G142" s="2">
        <v>466</v>
      </c>
      <c r="H142" s="2">
        <v>6.4</v>
      </c>
      <c r="I142" s="2">
        <v>13.8</v>
      </c>
      <c r="J142" s="2">
        <v>0.46500000000000002</v>
      </c>
      <c r="K142" s="2">
        <v>4.0999999999999996</v>
      </c>
      <c r="L142" s="2">
        <v>9.4</v>
      </c>
      <c r="M142" s="2">
        <v>0.432</v>
      </c>
      <c r="N142" s="2">
        <v>2.2999999999999998</v>
      </c>
      <c r="O142" s="2">
        <v>4.4000000000000004</v>
      </c>
      <c r="P142" s="2">
        <v>0.53700000000000003</v>
      </c>
      <c r="Q142" s="2">
        <v>0.61199999999999999</v>
      </c>
      <c r="R142" s="2">
        <v>1.2</v>
      </c>
      <c r="S142" s="2">
        <v>1.9</v>
      </c>
      <c r="T142" s="2">
        <v>0.61099999999999999</v>
      </c>
      <c r="U142" s="2">
        <v>2.9</v>
      </c>
      <c r="V142" s="2">
        <v>4.4000000000000004</v>
      </c>
      <c r="W142" s="2">
        <v>7.3</v>
      </c>
      <c r="X142" s="2">
        <v>3</v>
      </c>
      <c r="Y142" s="2">
        <v>1.6</v>
      </c>
      <c r="Z142" s="2">
        <v>0.9</v>
      </c>
      <c r="AA142" s="2">
        <v>1.7</v>
      </c>
      <c r="AB142" s="2">
        <v>5.3</v>
      </c>
      <c r="AC142" s="2">
        <v>18</v>
      </c>
      <c r="AD142" s="2">
        <v>120</v>
      </c>
      <c r="AE142" s="2">
        <v>118</v>
      </c>
      <c r="AF142" s="2"/>
    </row>
    <row r="143" spans="1:32" x14ac:dyDescent="0.2">
      <c r="A143" t="s">
        <v>382</v>
      </c>
      <c r="B143" s="2">
        <v>33</v>
      </c>
      <c r="C143" t="s">
        <v>37</v>
      </c>
      <c r="D143" s="2" t="s">
        <v>49</v>
      </c>
      <c r="E143" s="2">
        <v>19</v>
      </c>
      <c r="F143" s="2">
        <v>2</v>
      </c>
      <c r="G143" s="2">
        <v>155</v>
      </c>
      <c r="H143" s="2">
        <v>6.9</v>
      </c>
      <c r="I143" s="2">
        <v>17.3</v>
      </c>
      <c r="J143" s="2">
        <v>0.4</v>
      </c>
      <c r="K143" s="2">
        <v>6</v>
      </c>
      <c r="L143" s="2">
        <v>14.8</v>
      </c>
      <c r="M143" s="2">
        <v>0.40400000000000003</v>
      </c>
      <c r="N143" s="2">
        <v>0.9</v>
      </c>
      <c r="O143" s="2">
        <v>2.5</v>
      </c>
      <c r="P143" s="2">
        <v>0.375</v>
      </c>
      <c r="Q143" s="2">
        <v>0.57299999999999995</v>
      </c>
      <c r="R143" s="2">
        <v>0.9</v>
      </c>
      <c r="S143" s="2">
        <v>1.6</v>
      </c>
      <c r="T143" s="2">
        <v>0.6</v>
      </c>
      <c r="U143" s="2">
        <v>0.3</v>
      </c>
      <c r="V143" s="2">
        <v>4.0999999999999996</v>
      </c>
      <c r="W143" s="2">
        <v>4.4000000000000004</v>
      </c>
      <c r="X143" s="2">
        <v>0.9</v>
      </c>
      <c r="Y143" s="2">
        <v>0.6</v>
      </c>
      <c r="Z143" s="2">
        <v>0.3</v>
      </c>
      <c r="AA143" s="2">
        <v>0.6</v>
      </c>
      <c r="AB143" s="2">
        <v>5</v>
      </c>
      <c r="AC143" s="2">
        <v>20.7</v>
      </c>
      <c r="AD143" s="2">
        <v>114</v>
      </c>
      <c r="AE143" s="2">
        <v>118</v>
      </c>
      <c r="AF143" s="2"/>
    </row>
    <row r="144" spans="1:32" x14ac:dyDescent="0.2">
      <c r="A144" t="s">
        <v>240</v>
      </c>
      <c r="B144" s="2">
        <v>34</v>
      </c>
      <c r="C144" t="s">
        <v>100</v>
      </c>
      <c r="D144" s="2" t="s">
        <v>27</v>
      </c>
      <c r="E144" s="2">
        <v>22</v>
      </c>
      <c r="F144" s="2">
        <v>21</v>
      </c>
      <c r="G144" s="2">
        <v>629</v>
      </c>
      <c r="H144" s="2">
        <v>5</v>
      </c>
      <c r="I144" s="2">
        <v>11.4</v>
      </c>
      <c r="J144" s="2">
        <v>0.443</v>
      </c>
      <c r="K144" s="2">
        <v>2.2999999999999998</v>
      </c>
      <c r="L144" s="2">
        <v>6</v>
      </c>
      <c r="M144" s="2">
        <v>0.38</v>
      </c>
      <c r="N144" s="2">
        <v>2.7</v>
      </c>
      <c r="O144" s="2">
        <v>5.3</v>
      </c>
      <c r="P144" s="2">
        <v>0.51400000000000001</v>
      </c>
      <c r="Q144" s="2">
        <v>0.54400000000000004</v>
      </c>
      <c r="R144" s="2">
        <v>2.2999999999999998</v>
      </c>
      <c r="S144" s="2">
        <v>3.7</v>
      </c>
      <c r="T144" s="2">
        <v>0.61199999999999999</v>
      </c>
      <c r="U144" s="2">
        <v>1.4</v>
      </c>
      <c r="V144" s="2">
        <v>8.9</v>
      </c>
      <c r="W144" s="2">
        <v>10.4</v>
      </c>
      <c r="X144" s="2">
        <v>10</v>
      </c>
      <c r="Y144" s="2">
        <v>1.8</v>
      </c>
      <c r="Z144" s="2">
        <v>1.7</v>
      </c>
      <c r="AA144" s="2">
        <v>4</v>
      </c>
      <c r="AB144" s="2">
        <v>5.6</v>
      </c>
      <c r="AC144" s="2">
        <v>14.6</v>
      </c>
      <c r="AD144" s="2">
        <v>111</v>
      </c>
      <c r="AE144" s="2">
        <v>106</v>
      </c>
      <c r="AF144" s="2"/>
    </row>
    <row r="145" spans="1:32" x14ac:dyDescent="0.2">
      <c r="A145" t="s">
        <v>353</v>
      </c>
      <c r="B145" s="2">
        <v>27</v>
      </c>
      <c r="C145" t="s">
        <v>120</v>
      </c>
      <c r="D145" s="2" t="s">
        <v>42</v>
      </c>
      <c r="E145" s="2">
        <v>20</v>
      </c>
      <c r="F145" s="2">
        <v>0</v>
      </c>
      <c r="G145" s="2">
        <v>271</v>
      </c>
      <c r="H145" s="2">
        <v>6.4</v>
      </c>
      <c r="I145" s="2">
        <v>11.1</v>
      </c>
      <c r="J145" s="2">
        <v>0.58099999999999996</v>
      </c>
      <c r="K145" s="2">
        <v>0.2</v>
      </c>
      <c r="L145" s="2">
        <v>0.5</v>
      </c>
      <c r="M145" s="2">
        <v>0.33300000000000002</v>
      </c>
      <c r="N145" s="2">
        <v>6.3</v>
      </c>
      <c r="O145" s="2">
        <v>10.5</v>
      </c>
      <c r="P145" s="2">
        <v>0.59299999999999997</v>
      </c>
      <c r="Q145" s="2">
        <v>0.58899999999999997</v>
      </c>
      <c r="R145" s="2">
        <v>3</v>
      </c>
      <c r="S145" s="2">
        <v>4.8</v>
      </c>
      <c r="T145" s="2">
        <v>0.63</v>
      </c>
      <c r="U145" s="2">
        <v>4.3</v>
      </c>
      <c r="V145" s="2">
        <v>10</v>
      </c>
      <c r="W145" s="2">
        <v>14.3</v>
      </c>
      <c r="X145" s="2">
        <v>4.3</v>
      </c>
      <c r="Y145" s="2">
        <v>0.9</v>
      </c>
      <c r="Z145" s="2">
        <v>2.5</v>
      </c>
      <c r="AA145" s="2">
        <v>2.9</v>
      </c>
      <c r="AB145" s="2">
        <v>4.3</v>
      </c>
      <c r="AC145" s="2">
        <v>16.100000000000001</v>
      </c>
      <c r="AD145" s="2">
        <v>119</v>
      </c>
      <c r="AE145" s="2">
        <v>117</v>
      </c>
      <c r="AF145" s="2"/>
    </row>
    <row r="146" spans="1:32" x14ac:dyDescent="0.2">
      <c r="A146" t="s">
        <v>467</v>
      </c>
      <c r="B146" s="2">
        <v>25</v>
      </c>
      <c r="C146" t="s">
        <v>39</v>
      </c>
      <c r="D146" s="2" t="s">
        <v>27</v>
      </c>
      <c r="E146" s="2">
        <v>7</v>
      </c>
      <c r="F146" s="2">
        <v>0</v>
      </c>
      <c r="G146" s="2">
        <v>81</v>
      </c>
      <c r="H146" s="2">
        <v>3</v>
      </c>
      <c r="I146" s="2">
        <v>9.1</v>
      </c>
      <c r="J146" s="2">
        <v>0.33300000000000002</v>
      </c>
      <c r="K146" s="2">
        <v>2.4</v>
      </c>
      <c r="L146" s="2">
        <v>7.9</v>
      </c>
      <c r="M146" s="2">
        <v>0.308</v>
      </c>
      <c r="N146" s="2">
        <v>0.6</v>
      </c>
      <c r="O146" s="2">
        <v>1.2</v>
      </c>
      <c r="P146" s="2">
        <v>0.5</v>
      </c>
      <c r="Q146" s="2">
        <v>0.46700000000000003</v>
      </c>
      <c r="R146" s="2">
        <v>3.6</v>
      </c>
      <c r="S146" s="2">
        <v>4.2</v>
      </c>
      <c r="T146" s="2">
        <v>0.85699999999999998</v>
      </c>
      <c r="U146" s="2">
        <v>2.4</v>
      </c>
      <c r="V146" s="2">
        <v>7.2</v>
      </c>
      <c r="W146" s="2">
        <v>9.6999999999999993</v>
      </c>
      <c r="X146" s="2">
        <v>2.4</v>
      </c>
      <c r="Y146" s="2">
        <v>1.2</v>
      </c>
      <c r="Z146" s="2">
        <v>1.2</v>
      </c>
      <c r="AA146" s="2">
        <v>1.8</v>
      </c>
      <c r="AB146" s="2">
        <v>4.2</v>
      </c>
      <c r="AC146" s="2">
        <v>12.1</v>
      </c>
      <c r="AD146" s="2">
        <v>116</v>
      </c>
      <c r="AE146" s="2">
        <v>112</v>
      </c>
      <c r="AF146" s="2"/>
    </row>
    <row r="147" spans="1:32" x14ac:dyDescent="0.2">
      <c r="A147" t="s">
        <v>400</v>
      </c>
      <c r="B147" s="2">
        <v>27</v>
      </c>
      <c r="C147" t="s">
        <v>61</v>
      </c>
      <c r="D147" s="2" t="s">
        <v>52</v>
      </c>
      <c r="E147" s="2">
        <v>10</v>
      </c>
      <c r="F147" s="2">
        <v>0</v>
      </c>
      <c r="G147" s="2">
        <v>174</v>
      </c>
      <c r="H147" s="2">
        <v>5.7</v>
      </c>
      <c r="I147" s="2">
        <v>12</v>
      </c>
      <c r="J147" s="2">
        <v>0.47599999999999998</v>
      </c>
      <c r="K147" s="2">
        <v>2.8</v>
      </c>
      <c r="L147" s="2">
        <v>5.7</v>
      </c>
      <c r="M147" s="2">
        <v>0.5</v>
      </c>
      <c r="N147" s="2">
        <v>2.8</v>
      </c>
      <c r="O147" s="2">
        <v>6.3</v>
      </c>
      <c r="P147" s="2">
        <v>0.45500000000000002</v>
      </c>
      <c r="Q147" s="2">
        <v>0.59499999999999997</v>
      </c>
      <c r="R147" s="2">
        <v>1.1000000000000001</v>
      </c>
      <c r="S147" s="2">
        <v>1.7</v>
      </c>
      <c r="T147" s="2">
        <v>0.66700000000000004</v>
      </c>
      <c r="U147" s="2">
        <v>2.8</v>
      </c>
      <c r="V147" s="2">
        <v>6</v>
      </c>
      <c r="W147" s="2">
        <v>8.8000000000000007</v>
      </c>
      <c r="X147" s="2">
        <v>4.5999999999999996</v>
      </c>
      <c r="Y147" s="2">
        <v>2.6</v>
      </c>
      <c r="Z147" s="2">
        <v>1.4</v>
      </c>
      <c r="AA147" s="2">
        <v>2.8</v>
      </c>
      <c r="AB147" s="2">
        <v>4.3</v>
      </c>
      <c r="AC147" s="2">
        <v>15.4</v>
      </c>
      <c r="AD147" s="2">
        <v>114</v>
      </c>
      <c r="AE147" s="2">
        <v>110</v>
      </c>
      <c r="AF147" s="2"/>
    </row>
    <row r="148" spans="1:32" x14ac:dyDescent="0.2">
      <c r="A148" t="s">
        <v>198</v>
      </c>
      <c r="B148" s="2">
        <v>30</v>
      </c>
      <c r="C148" t="s">
        <v>61</v>
      </c>
      <c r="D148" s="2" t="s">
        <v>49</v>
      </c>
      <c r="E148" s="2">
        <v>22</v>
      </c>
      <c r="F148" s="2">
        <v>11</v>
      </c>
      <c r="G148" s="2">
        <v>496</v>
      </c>
      <c r="H148" s="2">
        <v>8.6999999999999993</v>
      </c>
      <c r="I148" s="2">
        <v>20.8</v>
      </c>
      <c r="J148" s="2">
        <v>0.41799999999999998</v>
      </c>
      <c r="K148" s="2">
        <v>5.4</v>
      </c>
      <c r="L148" s="2">
        <v>14.1</v>
      </c>
      <c r="M148" s="2">
        <v>0.38300000000000001</v>
      </c>
      <c r="N148" s="2">
        <v>3.3</v>
      </c>
      <c r="O148" s="2">
        <v>6.7</v>
      </c>
      <c r="P148" s="2">
        <v>0.49299999999999999</v>
      </c>
      <c r="Q148" s="2">
        <v>0.54800000000000004</v>
      </c>
      <c r="R148" s="2">
        <v>1.5</v>
      </c>
      <c r="S148" s="2">
        <v>1.8</v>
      </c>
      <c r="T148" s="2">
        <v>0.83299999999999996</v>
      </c>
      <c r="U148" s="2">
        <v>0.8</v>
      </c>
      <c r="V148" s="2">
        <v>4.3</v>
      </c>
      <c r="W148" s="2">
        <v>5.0999999999999996</v>
      </c>
      <c r="X148" s="2">
        <v>5</v>
      </c>
      <c r="Y148" s="2">
        <v>1.1000000000000001</v>
      </c>
      <c r="Z148" s="2">
        <v>0.3</v>
      </c>
      <c r="AA148" s="2">
        <v>2</v>
      </c>
      <c r="AB148" s="2">
        <v>4.5999999999999996</v>
      </c>
      <c r="AC148" s="2">
        <v>24.3</v>
      </c>
      <c r="AD148" s="2">
        <v>112</v>
      </c>
      <c r="AE148" s="2">
        <v>116</v>
      </c>
      <c r="AF148" s="2"/>
    </row>
    <row r="149" spans="1:32" x14ac:dyDescent="0.2">
      <c r="A149" t="s">
        <v>447</v>
      </c>
      <c r="B149" s="2">
        <v>28</v>
      </c>
      <c r="C149" t="s">
        <v>135</v>
      </c>
      <c r="D149" s="2" t="s">
        <v>42</v>
      </c>
      <c r="E149" s="2">
        <v>13</v>
      </c>
      <c r="F149" s="2">
        <v>0</v>
      </c>
      <c r="G149" s="2">
        <v>83</v>
      </c>
      <c r="H149" s="2">
        <v>5.8</v>
      </c>
      <c r="I149" s="2">
        <v>15.1</v>
      </c>
      <c r="J149" s="2">
        <v>0.38500000000000001</v>
      </c>
      <c r="K149" s="2">
        <v>4.0999999999999996</v>
      </c>
      <c r="L149" s="2">
        <v>11</v>
      </c>
      <c r="M149" s="2">
        <v>0.36799999999999999</v>
      </c>
      <c r="N149" s="2">
        <v>1.7</v>
      </c>
      <c r="O149" s="2">
        <v>4.0999999999999996</v>
      </c>
      <c r="P149" s="2">
        <v>0.42899999999999999</v>
      </c>
      <c r="Q149" s="2">
        <v>0.51900000000000002</v>
      </c>
      <c r="R149" s="2">
        <v>0</v>
      </c>
      <c r="S149" s="2">
        <v>0</v>
      </c>
      <c r="T149" s="2"/>
      <c r="U149" s="2">
        <v>3.5</v>
      </c>
      <c r="V149" s="2">
        <v>4.0999999999999996</v>
      </c>
      <c r="W149" s="2">
        <v>7.5</v>
      </c>
      <c r="X149" s="2">
        <v>1.7</v>
      </c>
      <c r="Y149" s="2">
        <v>0</v>
      </c>
      <c r="Z149" s="2">
        <v>1.2</v>
      </c>
      <c r="AA149" s="2">
        <v>0.6</v>
      </c>
      <c r="AB149" s="2">
        <v>5.8</v>
      </c>
      <c r="AC149" s="2">
        <v>15.7</v>
      </c>
      <c r="AD149" s="2">
        <v>118</v>
      </c>
      <c r="AE149" s="2">
        <v>122</v>
      </c>
      <c r="AF149" s="2"/>
    </row>
    <row r="150" spans="1:32" x14ac:dyDescent="0.2">
      <c r="A150" t="s">
        <v>434</v>
      </c>
      <c r="B150" s="2">
        <v>33</v>
      </c>
      <c r="C150" t="s">
        <v>63</v>
      </c>
      <c r="D150" s="2" t="s">
        <v>42</v>
      </c>
      <c r="E150" s="2">
        <v>19</v>
      </c>
      <c r="F150" s="2">
        <v>0</v>
      </c>
      <c r="G150" s="2">
        <v>154</v>
      </c>
      <c r="H150" s="2">
        <v>2.5</v>
      </c>
      <c r="I150" s="2">
        <v>3.1</v>
      </c>
      <c r="J150" s="2">
        <v>0.8</v>
      </c>
      <c r="K150" s="2">
        <v>0</v>
      </c>
      <c r="L150" s="2">
        <v>0</v>
      </c>
      <c r="M150" s="2"/>
      <c r="N150" s="2">
        <v>2.5</v>
      </c>
      <c r="O150" s="2">
        <v>3.1</v>
      </c>
      <c r="P150" s="2">
        <v>0.8</v>
      </c>
      <c r="Q150" s="2">
        <v>0.8</v>
      </c>
      <c r="R150" s="2">
        <v>5.3</v>
      </c>
      <c r="S150" s="2">
        <v>7.5</v>
      </c>
      <c r="T150" s="2">
        <v>0.70799999999999996</v>
      </c>
      <c r="U150" s="2">
        <v>3.8</v>
      </c>
      <c r="V150" s="2">
        <v>6.9</v>
      </c>
      <c r="W150" s="2">
        <v>10.6</v>
      </c>
      <c r="X150" s="2">
        <v>4.0999999999999996</v>
      </c>
      <c r="Y150" s="2">
        <v>2.2000000000000002</v>
      </c>
      <c r="Z150" s="2">
        <v>2.5</v>
      </c>
      <c r="AA150" s="2">
        <v>1.6</v>
      </c>
      <c r="AB150" s="2">
        <v>8.1</v>
      </c>
      <c r="AC150" s="2">
        <v>10.3</v>
      </c>
      <c r="AD150" s="2">
        <v>155</v>
      </c>
      <c r="AE150" s="2">
        <v>109</v>
      </c>
      <c r="AF150" s="2"/>
    </row>
    <row r="151" spans="1:32" x14ac:dyDescent="0.2">
      <c r="A151" t="s">
        <v>146</v>
      </c>
      <c r="B151" s="2">
        <v>21</v>
      </c>
      <c r="C151" t="s">
        <v>72</v>
      </c>
      <c r="D151" s="2" t="s">
        <v>52</v>
      </c>
      <c r="E151" s="2">
        <v>24</v>
      </c>
      <c r="F151" s="2">
        <v>24</v>
      </c>
      <c r="G151" s="2">
        <v>811</v>
      </c>
      <c r="H151" s="2">
        <v>7.7</v>
      </c>
      <c r="I151" s="2">
        <v>17.3</v>
      </c>
      <c r="J151" s="2">
        <v>0.44700000000000001</v>
      </c>
      <c r="K151" s="2">
        <v>1.7</v>
      </c>
      <c r="L151" s="2">
        <v>5.3</v>
      </c>
      <c r="M151" s="2">
        <v>0.312</v>
      </c>
      <c r="N151" s="2">
        <v>6.1</v>
      </c>
      <c r="O151" s="2">
        <v>12</v>
      </c>
      <c r="P151" s="2">
        <v>0.50700000000000001</v>
      </c>
      <c r="Q151" s="2">
        <v>0.495</v>
      </c>
      <c r="R151" s="2">
        <v>1.4</v>
      </c>
      <c r="S151" s="2">
        <v>2.1</v>
      </c>
      <c r="T151" s="2">
        <v>0.64900000000000002</v>
      </c>
      <c r="U151" s="2">
        <v>2.4</v>
      </c>
      <c r="V151" s="2">
        <v>4.5</v>
      </c>
      <c r="W151" s="2">
        <v>6.9</v>
      </c>
      <c r="X151" s="2">
        <v>4.5999999999999996</v>
      </c>
      <c r="Y151" s="2">
        <v>4.2</v>
      </c>
      <c r="Z151" s="2">
        <v>1.3</v>
      </c>
      <c r="AA151" s="2">
        <v>2.5</v>
      </c>
      <c r="AB151" s="2">
        <v>3.8</v>
      </c>
      <c r="AC151" s="2">
        <v>18.5</v>
      </c>
      <c r="AD151" s="2">
        <v>105</v>
      </c>
      <c r="AE151" s="2">
        <v>111</v>
      </c>
      <c r="AF151" s="2"/>
    </row>
    <row r="152" spans="1:32" x14ac:dyDescent="0.2">
      <c r="A152" t="s">
        <v>487</v>
      </c>
      <c r="B152" s="2">
        <v>24</v>
      </c>
      <c r="C152" t="s">
        <v>70</v>
      </c>
      <c r="D152" s="2" t="s">
        <v>27</v>
      </c>
      <c r="E152" s="2">
        <v>6</v>
      </c>
      <c r="F152" s="2">
        <v>0</v>
      </c>
      <c r="G152" s="2">
        <v>31</v>
      </c>
      <c r="H152" s="2">
        <v>7.4</v>
      </c>
      <c r="I152" s="2">
        <v>11.9</v>
      </c>
      <c r="J152" s="2">
        <v>0.625</v>
      </c>
      <c r="K152" s="2">
        <v>4.4000000000000004</v>
      </c>
      <c r="L152" s="2">
        <v>8.9</v>
      </c>
      <c r="M152" s="2">
        <v>0.5</v>
      </c>
      <c r="N152" s="2">
        <v>3</v>
      </c>
      <c r="O152" s="2">
        <v>3</v>
      </c>
      <c r="P152" s="2">
        <v>1</v>
      </c>
      <c r="Q152" s="2">
        <v>0.81299999999999994</v>
      </c>
      <c r="R152" s="2">
        <v>3</v>
      </c>
      <c r="S152" s="2">
        <v>3</v>
      </c>
      <c r="T152" s="2">
        <v>1</v>
      </c>
      <c r="U152" s="2">
        <v>1.5</v>
      </c>
      <c r="V152" s="2">
        <v>5.9</v>
      </c>
      <c r="W152" s="2">
        <v>7.4</v>
      </c>
      <c r="X152" s="2">
        <v>4.4000000000000004</v>
      </c>
      <c r="Y152" s="2">
        <v>1.5</v>
      </c>
      <c r="Z152" s="2">
        <v>1.5</v>
      </c>
      <c r="AA152" s="2">
        <v>3</v>
      </c>
      <c r="AB152" s="2">
        <v>11.9</v>
      </c>
      <c r="AC152" s="2">
        <v>22.2</v>
      </c>
      <c r="AD152" s="2">
        <v>139</v>
      </c>
      <c r="AE152" s="2">
        <v>117</v>
      </c>
      <c r="AF152" s="2"/>
    </row>
    <row r="153" spans="1:32" x14ac:dyDescent="0.2">
      <c r="A153" t="s">
        <v>408</v>
      </c>
      <c r="B153" s="2">
        <v>30</v>
      </c>
      <c r="C153" t="s">
        <v>117</v>
      </c>
      <c r="D153" s="2" t="s">
        <v>33</v>
      </c>
      <c r="E153" s="2">
        <v>7</v>
      </c>
      <c r="F153" s="2">
        <v>3</v>
      </c>
      <c r="G153" s="2">
        <v>144</v>
      </c>
      <c r="H153" s="2">
        <v>7.8</v>
      </c>
      <c r="I153" s="2">
        <v>15.6</v>
      </c>
      <c r="J153" s="2">
        <v>0.5</v>
      </c>
      <c r="K153" s="2">
        <v>0</v>
      </c>
      <c r="L153" s="2">
        <v>0.3</v>
      </c>
      <c r="M153" s="2">
        <v>0</v>
      </c>
      <c r="N153" s="2">
        <v>7.8</v>
      </c>
      <c r="O153" s="2">
        <v>15.3</v>
      </c>
      <c r="P153" s="2">
        <v>0.51100000000000001</v>
      </c>
      <c r="Q153" s="2">
        <v>0.5</v>
      </c>
      <c r="R153" s="2">
        <v>0.3</v>
      </c>
      <c r="S153" s="2">
        <v>0.7</v>
      </c>
      <c r="T153" s="2">
        <v>0.5</v>
      </c>
      <c r="U153" s="2">
        <v>1.7</v>
      </c>
      <c r="V153" s="2">
        <v>6.4</v>
      </c>
      <c r="W153" s="2">
        <v>8.1</v>
      </c>
      <c r="X153" s="2">
        <v>16.3</v>
      </c>
      <c r="Y153" s="2">
        <v>3.4</v>
      </c>
      <c r="Z153" s="2">
        <v>1</v>
      </c>
      <c r="AA153" s="2">
        <v>6.8</v>
      </c>
      <c r="AB153" s="2">
        <v>3.4</v>
      </c>
      <c r="AC153" s="2">
        <v>15.9</v>
      </c>
      <c r="AD153" s="2">
        <v>99</v>
      </c>
      <c r="AE153" s="2">
        <v>115</v>
      </c>
      <c r="AF153" s="2"/>
    </row>
    <row r="154" spans="1:32" x14ac:dyDescent="0.2">
      <c r="A154" t="s">
        <v>458</v>
      </c>
      <c r="B154" s="2">
        <v>24</v>
      </c>
      <c r="C154" t="s">
        <v>82</v>
      </c>
      <c r="D154" s="2" t="s">
        <v>27</v>
      </c>
      <c r="E154" s="2">
        <v>15</v>
      </c>
      <c r="F154" s="2">
        <v>1</v>
      </c>
      <c r="G154" s="2">
        <v>111</v>
      </c>
      <c r="H154" s="2">
        <v>3.5</v>
      </c>
      <c r="I154" s="2">
        <v>7.8</v>
      </c>
      <c r="J154" s="2">
        <v>0.44400000000000001</v>
      </c>
      <c r="K154" s="2">
        <v>0.4</v>
      </c>
      <c r="L154" s="2">
        <v>2.2000000000000002</v>
      </c>
      <c r="M154" s="2">
        <v>0.2</v>
      </c>
      <c r="N154" s="2">
        <v>3</v>
      </c>
      <c r="O154" s="2">
        <v>5.6</v>
      </c>
      <c r="P154" s="2">
        <v>0.53800000000000003</v>
      </c>
      <c r="Q154" s="2">
        <v>0.47199999999999998</v>
      </c>
      <c r="R154" s="2">
        <v>2.2000000000000002</v>
      </c>
      <c r="S154" s="2">
        <v>3.9</v>
      </c>
      <c r="T154" s="2">
        <v>0.55600000000000005</v>
      </c>
      <c r="U154" s="2">
        <v>1.3</v>
      </c>
      <c r="V154" s="2">
        <v>3.9</v>
      </c>
      <c r="W154" s="2">
        <v>5.2</v>
      </c>
      <c r="X154" s="2">
        <v>2.6</v>
      </c>
      <c r="Y154" s="2">
        <v>0.9</v>
      </c>
      <c r="Z154" s="2">
        <v>0.9</v>
      </c>
      <c r="AA154" s="2">
        <v>1.7</v>
      </c>
      <c r="AB154" s="2">
        <v>6.5</v>
      </c>
      <c r="AC154" s="2">
        <v>9.5</v>
      </c>
      <c r="AD154" s="2">
        <v>100</v>
      </c>
      <c r="AE154" s="2">
        <v>121</v>
      </c>
      <c r="AF154" s="2"/>
    </row>
    <row r="155" spans="1:32" x14ac:dyDescent="0.2">
      <c r="A155" t="s">
        <v>367</v>
      </c>
      <c r="B155" s="2">
        <v>36</v>
      </c>
      <c r="C155" t="s">
        <v>122</v>
      </c>
      <c r="D155" s="2" t="s">
        <v>52</v>
      </c>
      <c r="E155" s="2">
        <v>16</v>
      </c>
      <c r="F155" s="2">
        <v>1</v>
      </c>
      <c r="G155" s="2">
        <v>264</v>
      </c>
      <c r="H155" s="2">
        <v>4.7</v>
      </c>
      <c r="I155" s="2">
        <v>14.5</v>
      </c>
      <c r="J155" s="2">
        <v>0.32500000000000001</v>
      </c>
      <c r="K155" s="2">
        <v>1.9</v>
      </c>
      <c r="L155" s="2">
        <v>7.9</v>
      </c>
      <c r="M155" s="2">
        <v>0.23799999999999999</v>
      </c>
      <c r="N155" s="2">
        <v>2.8</v>
      </c>
      <c r="O155" s="2">
        <v>6.6</v>
      </c>
      <c r="P155" s="2">
        <v>0.42899999999999999</v>
      </c>
      <c r="Q155" s="2">
        <v>0.39</v>
      </c>
      <c r="R155" s="2">
        <v>3.2</v>
      </c>
      <c r="S155" s="2">
        <v>4.2</v>
      </c>
      <c r="T155" s="2">
        <v>0.77300000000000002</v>
      </c>
      <c r="U155" s="2">
        <v>0.6</v>
      </c>
      <c r="V155" s="2">
        <v>2.2999999999999998</v>
      </c>
      <c r="W155" s="2">
        <v>2.8</v>
      </c>
      <c r="X155" s="2">
        <v>4</v>
      </c>
      <c r="Y155" s="2">
        <v>1.9</v>
      </c>
      <c r="Z155" s="2">
        <v>0.9</v>
      </c>
      <c r="AA155" s="2">
        <v>2.5</v>
      </c>
      <c r="AB155" s="2">
        <v>2.5</v>
      </c>
      <c r="AC155" s="2">
        <v>14.5</v>
      </c>
      <c r="AD155" s="2">
        <v>91</v>
      </c>
      <c r="AE155" s="2">
        <v>115</v>
      </c>
      <c r="AF155" s="2"/>
    </row>
    <row r="156" spans="1:32" x14ac:dyDescent="0.2">
      <c r="A156" t="s">
        <v>96</v>
      </c>
      <c r="B156" s="2">
        <v>23</v>
      </c>
      <c r="C156" t="s">
        <v>57</v>
      </c>
      <c r="D156" s="2" t="s">
        <v>27</v>
      </c>
      <c r="E156" s="2">
        <v>24</v>
      </c>
      <c r="F156" s="2">
        <v>24</v>
      </c>
      <c r="G156" s="2">
        <v>736</v>
      </c>
      <c r="H156" s="2">
        <v>11</v>
      </c>
      <c r="I156" s="2">
        <v>19.7</v>
      </c>
      <c r="J156" s="2">
        <v>0.55800000000000005</v>
      </c>
      <c r="K156" s="2">
        <v>1.4</v>
      </c>
      <c r="L156" s="2">
        <v>3.6</v>
      </c>
      <c r="M156" s="2">
        <v>0.4</v>
      </c>
      <c r="N156" s="2">
        <v>9.6</v>
      </c>
      <c r="O156" s="2">
        <v>16.100000000000001</v>
      </c>
      <c r="P156" s="2">
        <v>0.59299999999999997</v>
      </c>
      <c r="Q156" s="2">
        <v>0.59399999999999997</v>
      </c>
      <c r="R156" s="2">
        <v>5.0999999999999996</v>
      </c>
      <c r="S156" s="2">
        <v>6.4</v>
      </c>
      <c r="T156" s="2">
        <v>0.79600000000000004</v>
      </c>
      <c r="U156" s="2">
        <v>3.5</v>
      </c>
      <c r="V156" s="2">
        <v>10.7</v>
      </c>
      <c r="W156" s="2">
        <v>14.2</v>
      </c>
      <c r="X156" s="2">
        <v>4.2</v>
      </c>
      <c r="Y156" s="2">
        <v>1.7</v>
      </c>
      <c r="Z156" s="2">
        <v>2.4</v>
      </c>
      <c r="AA156" s="2">
        <v>3.4</v>
      </c>
      <c r="AB156" s="2">
        <v>3.3</v>
      </c>
      <c r="AC156" s="2">
        <v>28.5</v>
      </c>
      <c r="AD156" s="2">
        <v>121</v>
      </c>
      <c r="AE156" s="2">
        <v>107</v>
      </c>
      <c r="AF156" s="2"/>
    </row>
    <row r="157" spans="1:32" x14ac:dyDescent="0.2">
      <c r="A157" t="s">
        <v>47</v>
      </c>
      <c r="B157" s="2">
        <v>23</v>
      </c>
      <c r="C157" t="s">
        <v>48</v>
      </c>
      <c r="D157" s="2" t="s">
        <v>49</v>
      </c>
      <c r="E157" s="2">
        <v>25</v>
      </c>
      <c r="F157" s="2">
        <v>25</v>
      </c>
      <c r="G157" s="2">
        <v>829</v>
      </c>
      <c r="H157" s="2">
        <v>13.1</v>
      </c>
      <c r="I157" s="2">
        <v>28.2</v>
      </c>
      <c r="J157" s="2">
        <v>0.46500000000000002</v>
      </c>
      <c r="K157" s="2">
        <v>3</v>
      </c>
      <c r="L157" s="2">
        <v>9.5</v>
      </c>
      <c r="M157" s="2">
        <v>0.32100000000000001</v>
      </c>
      <c r="N157" s="2">
        <v>10.1</v>
      </c>
      <c r="O157" s="2">
        <v>18.7</v>
      </c>
      <c r="P157" s="2">
        <v>0.53800000000000003</v>
      </c>
      <c r="Q157" s="2">
        <v>0.51900000000000002</v>
      </c>
      <c r="R157" s="2">
        <v>7.1</v>
      </c>
      <c r="S157" s="2">
        <v>8</v>
      </c>
      <c r="T157" s="2">
        <v>0.88100000000000001</v>
      </c>
      <c r="U157" s="2">
        <v>1.4</v>
      </c>
      <c r="V157" s="2">
        <v>7</v>
      </c>
      <c r="W157" s="2">
        <v>8.3000000000000007</v>
      </c>
      <c r="X157" s="2">
        <v>8.5</v>
      </c>
      <c r="Y157" s="2">
        <v>2.6</v>
      </c>
      <c r="Z157" s="2">
        <v>0.7</v>
      </c>
      <c r="AA157" s="2">
        <v>3.6</v>
      </c>
      <c r="AB157" s="2">
        <v>3.5</v>
      </c>
      <c r="AC157" s="2">
        <v>36.299999999999997</v>
      </c>
      <c r="AD157" s="2">
        <v>117</v>
      </c>
      <c r="AE157" s="2">
        <v>106</v>
      </c>
      <c r="AF157" s="2"/>
    </row>
    <row r="158" spans="1:32" x14ac:dyDescent="0.2">
      <c r="A158" t="s">
        <v>127</v>
      </c>
      <c r="B158" s="2">
        <v>30</v>
      </c>
      <c r="C158" t="s">
        <v>87</v>
      </c>
      <c r="D158" s="2" t="s">
        <v>33</v>
      </c>
      <c r="E158" s="2">
        <v>23</v>
      </c>
      <c r="F158" s="2">
        <v>23</v>
      </c>
      <c r="G158" s="2">
        <v>808</v>
      </c>
      <c r="H158" s="2">
        <v>7.6</v>
      </c>
      <c r="I158" s="2">
        <v>19.8</v>
      </c>
      <c r="J158" s="2">
        <v>0.38500000000000001</v>
      </c>
      <c r="K158" s="2">
        <v>3.4</v>
      </c>
      <c r="L158" s="2">
        <v>10.6</v>
      </c>
      <c r="M158" s="2">
        <v>0.316</v>
      </c>
      <c r="N158" s="2">
        <v>4.2</v>
      </c>
      <c r="O158" s="2">
        <v>9.1999999999999993</v>
      </c>
      <c r="P158" s="2">
        <v>0.46400000000000002</v>
      </c>
      <c r="Q158" s="2">
        <v>0.47</v>
      </c>
      <c r="R158" s="2">
        <v>2.9</v>
      </c>
      <c r="S158" s="2">
        <v>3.5</v>
      </c>
      <c r="T158" s="2">
        <v>0.83099999999999996</v>
      </c>
      <c r="U158" s="2">
        <v>0.8</v>
      </c>
      <c r="V158" s="2">
        <v>4.8</v>
      </c>
      <c r="W158" s="2">
        <v>5.6</v>
      </c>
      <c r="X158" s="2">
        <v>8.1</v>
      </c>
      <c r="Y158" s="2">
        <v>2</v>
      </c>
      <c r="Z158" s="2">
        <v>0.6</v>
      </c>
      <c r="AA158" s="2">
        <v>1.9</v>
      </c>
      <c r="AB158" s="2">
        <v>3.4</v>
      </c>
      <c r="AC158" s="2">
        <v>21.5</v>
      </c>
      <c r="AD158" s="2">
        <v>115</v>
      </c>
      <c r="AE158" s="2">
        <v>107</v>
      </c>
      <c r="AF158" s="2"/>
    </row>
    <row r="159" spans="1:32" x14ac:dyDescent="0.2">
      <c r="A159" t="s">
        <v>351</v>
      </c>
      <c r="B159" s="2">
        <v>28</v>
      </c>
      <c r="C159" t="s">
        <v>41</v>
      </c>
      <c r="D159" s="2" t="s">
        <v>33</v>
      </c>
      <c r="E159" s="2">
        <v>24</v>
      </c>
      <c r="F159" s="2">
        <v>3</v>
      </c>
      <c r="G159" s="2">
        <v>454</v>
      </c>
      <c r="H159" s="2">
        <v>3.9</v>
      </c>
      <c r="I159" s="2">
        <v>11.1</v>
      </c>
      <c r="J159" s="2">
        <v>0.35</v>
      </c>
      <c r="K159" s="2">
        <v>1.7</v>
      </c>
      <c r="L159" s="2">
        <v>6.6</v>
      </c>
      <c r="M159" s="2">
        <v>0.26200000000000001</v>
      </c>
      <c r="N159" s="2">
        <v>2.2000000000000002</v>
      </c>
      <c r="O159" s="2">
        <v>4.5</v>
      </c>
      <c r="P159" s="2">
        <v>0.47599999999999998</v>
      </c>
      <c r="Q159" s="2">
        <v>0.42699999999999999</v>
      </c>
      <c r="R159" s="2">
        <v>0.4</v>
      </c>
      <c r="S159" s="2">
        <v>0.9</v>
      </c>
      <c r="T159" s="2">
        <v>0.5</v>
      </c>
      <c r="U159" s="2">
        <v>0.8</v>
      </c>
      <c r="V159" s="2">
        <v>2</v>
      </c>
      <c r="W159" s="2">
        <v>2.8</v>
      </c>
      <c r="X159" s="2">
        <v>2.2000000000000002</v>
      </c>
      <c r="Y159" s="2">
        <v>2.2999999999999998</v>
      </c>
      <c r="Z159" s="2">
        <v>0.2</v>
      </c>
      <c r="AA159" s="2">
        <v>1.2</v>
      </c>
      <c r="AB159" s="2">
        <v>4.9000000000000004</v>
      </c>
      <c r="AC159" s="2">
        <v>9.9</v>
      </c>
      <c r="AD159" s="2">
        <v>89</v>
      </c>
      <c r="AE159" s="2">
        <v>120</v>
      </c>
      <c r="AF159" s="2"/>
    </row>
    <row r="160" spans="1:32" x14ac:dyDescent="0.2">
      <c r="A160" t="s">
        <v>521</v>
      </c>
      <c r="B160" s="2">
        <v>38</v>
      </c>
      <c r="C160" t="s">
        <v>66</v>
      </c>
      <c r="D160" s="2" t="s">
        <v>52</v>
      </c>
      <c r="E160" s="2">
        <v>8</v>
      </c>
      <c r="F160" s="2">
        <v>0</v>
      </c>
      <c r="G160" s="2">
        <v>31</v>
      </c>
      <c r="H160" s="2">
        <v>3.1</v>
      </c>
      <c r="I160" s="2">
        <v>9.3000000000000007</v>
      </c>
      <c r="J160" s="2">
        <v>0.33300000000000002</v>
      </c>
      <c r="K160" s="2">
        <v>1.6</v>
      </c>
      <c r="L160" s="2">
        <v>3.1</v>
      </c>
      <c r="M160" s="2">
        <v>0.5</v>
      </c>
      <c r="N160" s="2">
        <v>1.6</v>
      </c>
      <c r="O160" s="2">
        <v>6.2</v>
      </c>
      <c r="P160" s="2">
        <v>0.25</v>
      </c>
      <c r="Q160" s="2">
        <v>0.41699999999999998</v>
      </c>
      <c r="R160" s="2">
        <v>0</v>
      </c>
      <c r="S160" s="2">
        <v>0</v>
      </c>
      <c r="T160" s="2"/>
      <c r="U160" s="2">
        <v>1.6</v>
      </c>
      <c r="V160" s="2">
        <v>4.7</v>
      </c>
      <c r="W160" s="2">
        <v>6.2</v>
      </c>
      <c r="X160" s="2">
        <v>7.8</v>
      </c>
      <c r="Y160" s="2">
        <v>6.2</v>
      </c>
      <c r="Z160" s="2">
        <v>1.6</v>
      </c>
      <c r="AA160" s="2">
        <v>1.6</v>
      </c>
      <c r="AB160" s="2">
        <v>9.3000000000000007</v>
      </c>
      <c r="AC160" s="2">
        <v>7.8</v>
      </c>
      <c r="AD160" s="2">
        <v>109</v>
      </c>
      <c r="AE160" s="2">
        <v>106</v>
      </c>
      <c r="AF160" s="2"/>
    </row>
    <row r="161" spans="1:32" x14ac:dyDescent="0.2">
      <c r="A161" t="s">
        <v>280</v>
      </c>
      <c r="B161" s="2">
        <v>28</v>
      </c>
      <c r="C161" t="s">
        <v>72</v>
      </c>
      <c r="D161" s="2" t="s">
        <v>52</v>
      </c>
      <c r="E161" s="2">
        <v>19</v>
      </c>
      <c r="F161" s="2">
        <v>1</v>
      </c>
      <c r="G161" s="2">
        <v>343</v>
      </c>
      <c r="H161" s="2">
        <v>5.8</v>
      </c>
      <c r="I161" s="2">
        <v>13.4</v>
      </c>
      <c r="J161" s="2">
        <v>0.434</v>
      </c>
      <c r="K161" s="2">
        <v>5</v>
      </c>
      <c r="L161" s="2">
        <v>11.2</v>
      </c>
      <c r="M161" s="2">
        <v>0.44600000000000001</v>
      </c>
      <c r="N161" s="2">
        <v>0.8</v>
      </c>
      <c r="O161" s="2">
        <v>2.2000000000000002</v>
      </c>
      <c r="P161" s="2">
        <v>0.375</v>
      </c>
      <c r="Q161" s="2">
        <v>0.621</v>
      </c>
      <c r="R161" s="2">
        <v>3.5</v>
      </c>
      <c r="S161" s="2">
        <v>4.2</v>
      </c>
      <c r="T161" s="2">
        <v>0.83899999999999997</v>
      </c>
      <c r="U161" s="2">
        <v>0.4</v>
      </c>
      <c r="V161" s="2">
        <v>2.4</v>
      </c>
      <c r="W161" s="2">
        <v>2.8</v>
      </c>
      <c r="X161" s="2">
        <v>3.7</v>
      </c>
      <c r="Y161" s="2">
        <v>1.8</v>
      </c>
      <c r="Z161" s="2">
        <v>0.4</v>
      </c>
      <c r="AA161" s="2">
        <v>1.4</v>
      </c>
      <c r="AB161" s="2">
        <v>4.5999999999999996</v>
      </c>
      <c r="AC161" s="2">
        <v>20.100000000000001</v>
      </c>
      <c r="AD161" s="2">
        <v>130</v>
      </c>
      <c r="AE161" s="2">
        <v>118</v>
      </c>
      <c r="AF161" s="2"/>
    </row>
    <row r="162" spans="1:32" x14ac:dyDescent="0.2">
      <c r="A162" t="s">
        <v>378</v>
      </c>
      <c r="B162" s="2">
        <v>30</v>
      </c>
      <c r="C162" t="s">
        <v>48</v>
      </c>
      <c r="D162" s="2" t="s">
        <v>52</v>
      </c>
      <c r="E162" s="2">
        <v>17</v>
      </c>
      <c r="F162" s="2">
        <v>2</v>
      </c>
      <c r="G162" s="2">
        <v>282</v>
      </c>
      <c r="H162" s="2">
        <v>4.2</v>
      </c>
      <c r="I162" s="2">
        <v>10.5</v>
      </c>
      <c r="J162" s="2">
        <v>0.4</v>
      </c>
      <c r="K162" s="2">
        <v>3</v>
      </c>
      <c r="L162" s="2">
        <v>8.1</v>
      </c>
      <c r="M162" s="2">
        <v>0.37</v>
      </c>
      <c r="N162" s="2">
        <v>1.2</v>
      </c>
      <c r="O162" s="2">
        <v>2.5</v>
      </c>
      <c r="P162" s="2">
        <v>0.5</v>
      </c>
      <c r="Q162" s="2">
        <v>0.54200000000000004</v>
      </c>
      <c r="R162" s="2">
        <v>0.7</v>
      </c>
      <c r="S162" s="2">
        <v>1.1000000000000001</v>
      </c>
      <c r="T162" s="2">
        <v>0.66700000000000004</v>
      </c>
      <c r="U162" s="2">
        <v>1.6</v>
      </c>
      <c r="V162" s="2">
        <v>2.5</v>
      </c>
      <c r="W162" s="2">
        <v>4</v>
      </c>
      <c r="X162" s="2">
        <v>1.2</v>
      </c>
      <c r="Y162" s="2">
        <v>1.6</v>
      </c>
      <c r="Z162" s="2">
        <v>0.9</v>
      </c>
      <c r="AA162" s="2">
        <v>1.2</v>
      </c>
      <c r="AB162" s="2">
        <v>2.2999999999999998</v>
      </c>
      <c r="AC162" s="2">
        <v>12.1</v>
      </c>
      <c r="AD162" s="2">
        <v>109</v>
      </c>
      <c r="AE162" s="2">
        <v>111</v>
      </c>
      <c r="AF162" s="2"/>
    </row>
    <row r="163" spans="1:32" x14ac:dyDescent="0.2">
      <c r="A163" t="s">
        <v>321</v>
      </c>
      <c r="B163" s="2">
        <v>32</v>
      </c>
      <c r="C163" t="s">
        <v>100</v>
      </c>
      <c r="D163" s="2" t="s">
        <v>52</v>
      </c>
      <c r="E163" s="2">
        <v>24</v>
      </c>
      <c r="F163" s="2">
        <v>4</v>
      </c>
      <c r="G163" s="2">
        <v>325</v>
      </c>
      <c r="H163" s="2">
        <v>7.5</v>
      </c>
      <c r="I163" s="2">
        <v>13.7</v>
      </c>
      <c r="J163" s="2">
        <v>0.54800000000000004</v>
      </c>
      <c r="K163" s="2">
        <v>0.6</v>
      </c>
      <c r="L163" s="2">
        <v>4</v>
      </c>
      <c r="M163" s="2">
        <v>0.14799999999999999</v>
      </c>
      <c r="N163" s="2">
        <v>6.9</v>
      </c>
      <c r="O163" s="2">
        <v>9.6999999999999993</v>
      </c>
      <c r="P163" s="2">
        <v>0.71199999999999997</v>
      </c>
      <c r="Q163" s="2">
        <v>0.56999999999999995</v>
      </c>
      <c r="R163" s="2">
        <v>0.9</v>
      </c>
      <c r="S163" s="2">
        <v>1.6</v>
      </c>
      <c r="T163" s="2">
        <v>0.54500000000000004</v>
      </c>
      <c r="U163" s="2">
        <v>4.0999999999999996</v>
      </c>
      <c r="V163" s="2">
        <v>5.8</v>
      </c>
      <c r="W163" s="2">
        <v>9.9</v>
      </c>
      <c r="X163" s="2">
        <v>4.3</v>
      </c>
      <c r="Y163" s="2">
        <v>2.8</v>
      </c>
      <c r="Z163" s="2">
        <v>1.3</v>
      </c>
      <c r="AA163" s="2">
        <v>2.1</v>
      </c>
      <c r="AB163" s="2">
        <v>5</v>
      </c>
      <c r="AC163" s="2">
        <v>16.5</v>
      </c>
      <c r="AD163" s="2">
        <v>118</v>
      </c>
      <c r="AE163" s="2">
        <v>106</v>
      </c>
      <c r="AF163" s="2"/>
    </row>
    <row r="164" spans="1:32" x14ac:dyDescent="0.2">
      <c r="A164" t="s">
        <v>228</v>
      </c>
      <c r="B164" s="2">
        <v>26</v>
      </c>
      <c r="C164" t="s">
        <v>35</v>
      </c>
      <c r="D164" s="2" t="s">
        <v>52</v>
      </c>
      <c r="E164" s="2">
        <v>22</v>
      </c>
      <c r="F164" s="2">
        <v>7</v>
      </c>
      <c r="G164" s="2">
        <v>571</v>
      </c>
      <c r="H164" s="2">
        <v>5.9</v>
      </c>
      <c r="I164" s="2">
        <v>14.2</v>
      </c>
      <c r="J164" s="2">
        <v>0.41599999999999998</v>
      </c>
      <c r="K164" s="2">
        <v>3.8</v>
      </c>
      <c r="L164" s="2">
        <v>9.6</v>
      </c>
      <c r="M164" s="2">
        <v>0.40200000000000002</v>
      </c>
      <c r="N164" s="2">
        <v>2.1</v>
      </c>
      <c r="O164" s="2">
        <v>4.5999999999999996</v>
      </c>
      <c r="P164" s="2">
        <v>0.44400000000000001</v>
      </c>
      <c r="Q164" s="2">
        <v>0.55100000000000005</v>
      </c>
      <c r="R164" s="2">
        <v>1.8</v>
      </c>
      <c r="S164" s="2">
        <v>2</v>
      </c>
      <c r="T164" s="2">
        <v>0.91300000000000003</v>
      </c>
      <c r="U164" s="2">
        <v>0.3</v>
      </c>
      <c r="V164" s="2">
        <v>3.5</v>
      </c>
      <c r="W164" s="2">
        <v>3.8</v>
      </c>
      <c r="X164" s="2">
        <v>1.9</v>
      </c>
      <c r="Y164" s="2">
        <v>1.7</v>
      </c>
      <c r="Z164" s="2">
        <v>0</v>
      </c>
      <c r="AA164" s="2">
        <v>1</v>
      </c>
      <c r="AB164" s="2">
        <v>4.3</v>
      </c>
      <c r="AC164" s="2">
        <v>17.399999999999999</v>
      </c>
      <c r="AD164" s="2">
        <v>113</v>
      </c>
      <c r="AE164" s="2">
        <v>117</v>
      </c>
      <c r="AF164" s="2"/>
    </row>
    <row r="165" spans="1:32" x14ac:dyDescent="0.2">
      <c r="A165" t="s">
        <v>221</v>
      </c>
      <c r="B165" s="2">
        <v>31</v>
      </c>
      <c r="C165" t="s">
        <v>57</v>
      </c>
      <c r="D165" s="2" t="s">
        <v>27</v>
      </c>
      <c r="E165" s="2">
        <v>25</v>
      </c>
      <c r="F165" s="2">
        <v>1</v>
      </c>
      <c r="G165" s="2">
        <v>514</v>
      </c>
      <c r="H165" s="2">
        <v>7.5</v>
      </c>
      <c r="I165" s="2">
        <v>16.100000000000001</v>
      </c>
      <c r="J165" s="2">
        <v>0.46200000000000002</v>
      </c>
      <c r="K165" s="2">
        <v>3.8</v>
      </c>
      <c r="L165" s="2">
        <v>10.6</v>
      </c>
      <c r="M165" s="2">
        <v>0.36</v>
      </c>
      <c r="N165" s="2">
        <v>3.6</v>
      </c>
      <c r="O165" s="2">
        <v>5.5</v>
      </c>
      <c r="P165" s="2">
        <v>0.66100000000000003</v>
      </c>
      <c r="Q165" s="2">
        <v>0.58099999999999996</v>
      </c>
      <c r="R165" s="2">
        <v>0.9</v>
      </c>
      <c r="S165" s="2">
        <v>1.2</v>
      </c>
      <c r="T165" s="2">
        <v>0.76900000000000002</v>
      </c>
      <c r="U165" s="2">
        <v>1.4</v>
      </c>
      <c r="V165" s="2">
        <v>7.5</v>
      </c>
      <c r="W165" s="2">
        <v>8.9</v>
      </c>
      <c r="X165" s="2">
        <v>2.9</v>
      </c>
      <c r="Y165" s="2">
        <v>0.8</v>
      </c>
      <c r="Z165" s="2">
        <v>0.5</v>
      </c>
      <c r="AA165" s="2">
        <v>2.2999999999999998</v>
      </c>
      <c r="AB165" s="2">
        <v>5.2</v>
      </c>
      <c r="AC165" s="2">
        <v>19.7</v>
      </c>
      <c r="AD165" s="2">
        <v>110</v>
      </c>
      <c r="AE165" s="2">
        <v>114</v>
      </c>
      <c r="AF165" s="2"/>
    </row>
    <row r="166" spans="1:32" x14ac:dyDescent="0.2">
      <c r="A166" t="s">
        <v>34</v>
      </c>
      <c r="B166" s="2">
        <v>30</v>
      </c>
      <c r="C166" t="s">
        <v>35</v>
      </c>
      <c r="D166" s="2" t="s">
        <v>27</v>
      </c>
      <c r="E166" s="2">
        <v>22</v>
      </c>
      <c r="F166" s="2">
        <v>22</v>
      </c>
      <c r="G166" s="2">
        <v>772</v>
      </c>
      <c r="H166" s="4">
        <v>18</v>
      </c>
      <c r="I166" s="2">
        <v>29.3</v>
      </c>
      <c r="J166" s="2">
        <v>0.61199999999999999</v>
      </c>
      <c r="K166" s="2">
        <v>0.2</v>
      </c>
      <c r="L166" s="2">
        <v>1.1000000000000001</v>
      </c>
      <c r="M166" s="2">
        <v>0.17599999999999999</v>
      </c>
      <c r="N166" s="4">
        <v>17.8</v>
      </c>
      <c r="O166" s="4">
        <v>28.3</v>
      </c>
      <c r="P166" s="2">
        <v>0.629</v>
      </c>
      <c r="Q166" s="2">
        <v>0.61499999999999999</v>
      </c>
      <c r="R166" s="2">
        <v>9.4</v>
      </c>
      <c r="S166" s="4">
        <v>15.4</v>
      </c>
      <c r="T166" s="2">
        <v>0.61099999999999999</v>
      </c>
      <c r="U166" s="2">
        <v>2.8</v>
      </c>
      <c r="V166" s="2">
        <v>13</v>
      </c>
      <c r="W166" s="2">
        <v>15.8</v>
      </c>
      <c r="X166" s="2">
        <v>8.3000000000000007</v>
      </c>
      <c r="Y166" s="2">
        <v>0.8</v>
      </c>
      <c r="Z166" s="2">
        <v>2</v>
      </c>
      <c r="AA166" s="2">
        <v>4.8</v>
      </c>
      <c r="AB166" s="2">
        <v>3.4</v>
      </c>
      <c r="AC166" s="4">
        <v>45.5</v>
      </c>
      <c r="AD166" s="2">
        <v>121</v>
      </c>
      <c r="AE166" s="2">
        <v>111</v>
      </c>
      <c r="AF166" s="2"/>
    </row>
    <row r="167" spans="1:32" x14ac:dyDescent="0.2">
      <c r="A167" t="s">
        <v>235</v>
      </c>
      <c r="B167" s="2">
        <v>25</v>
      </c>
      <c r="C167" t="s">
        <v>48</v>
      </c>
      <c r="D167" s="2" t="s">
        <v>42</v>
      </c>
      <c r="E167" s="2">
        <v>22</v>
      </c>
      <c r="F167" s="2">
        <v>19</v>
      </c>
      <c r="G167" s="2">
        <v>516</v>
      </c>
      <c r="H167" s="2">
        <v>7.8</v>
      </c>
      <c r="I167" s="2">
        <v>12.3</v>
      </c>
      <c r="J167" s="2">
        <v>0.63600000000000001</v>
      </c>
      <c r="K167" s="2">
        <v>0</v>
      </c>
      <c r="L167" s="2">
        <v>1.1000000000000001</v>
      </c>
      <c r="M167" s="2">
        <v>0</v>
      </c>
      <c r="N167" s="2">
        <v>7.8</v>
      </c>
      <c r="O167" s="2">
        <v>11.3</v>
      </c>
      <c r="P167" s="2">
        <v>0.69499999999999995</v>
      </c>
      <c r="Q167" s="2">
        <v>0.63600000000000001</v>
      </c>
      <c r="R167" s="2">
        <v>3.1</v>
      </c>
      <c r="S167" s="2">
        <v>3.9</v>
      </c>
      <c r="T167" s="2">
        <v>0.78</v>
      </c>
      <c r="U167" s="2">
        <v>6</v>
      </c>
      <c r="V167" s="2">
        <v>9.9</v>
      </c>
      <c r="W167" s="2">
        <v>16</v>
      </c>
      <c r="X167" s="2">
        <v>4.0999999999999996</v>
      </c>
      <c r="Y167" s="2">
        <v>1.6</v>
      </c>
      <c r="Z167" s="2">
        <v>3.3</v>
      </c>
      <c r="AA167" s="2">
        <v>2.8</v>
      </c>
      <c r="AB167" s="2">
        <v>5.5</v>
      </c>
      <c r="AC167" s="2">
        <v>18.8</v>
      </c>
      <c r="AD167" s="2">
        <v>129</v>
      </c>
      <c r="AE167" s="2">
        <v>103</v>
      </c>
      <c r="AF167" s="2"/>
    </row>
    <row r="168" spans="1:32" x14ac:dyDescent="0.2">
      <c r="A168" t="s">
        <v>124</v>
      </c>
      <c r="B168" s="2">
        <v>21</v>
      </c>
      <c r="C168" t="s">
        <v>66</v>
      </c>
      <c r="D168" s="2" t="s">
        <v>52</v>
      </c>
      <c r="E168" s="2">
        <v>21</v>
      </c>
      <c r="F168" s="2">
        <v>21</v>
      </c>
      <c r="G168" s="2">
        <v>680</v>
      </c>
      <c r="H168" s="2">
        <v>9</v>
      </c>
      <c r="I168" s="2">
        <v>21.8</v>
      </c>
      <c r="J168" s="2">
        <v>0.41399999999999998</v>
      </c>
      <c r="K168" s="2">
        <v>3.8</v>
      </c>
      <c r="L168" s="2">
        <v>11</v>
      </c>
      <c r="M168" s="2">
        <v>0.34200000000000003</v>
      </c>
      <c r="N168" s="2">
        <v>5.3</v>
      </c>
      <c r="O168" s="2">
        <v>10.8</v>
      </c>
      <c r="P168" s="2">
        <v>0.48699999999999999</v>
      </c>
      <c r="Q168" s="2">
        <v>0.5</v>
      </c>
      <c r="R168" s="2">
        <v>5.0999999999999996</v>
      </c>
      <c r="S168" s="2">
        <v>5.7</v>
      </c>
      <c r="T168" s="2">
        <v>0.9</v>
      </c>
      <c r="U168" s="2">
        <v>0.9</v>
      </c>
      <c r="V168" s="2">
        <v>3.8</v>
      </c>
      <c r="W168" s="2">
        <v>4.8</v>
      </c>
      <c r="X168" s="2">
        <v>2.9</v>
      </c>
      <c r="Y168" s="2">
        <v>1.3</v>
      </c>
      <c r="Z168" s="2">
        <v>0.4</v>
      </c>
      <c r="AA168" s="2">
        <v>2.2999999999999998</v>
      </c>
      <c r="AB168" s="2">
        <v>3.2</v>
      </c>
      <c r="AC168" s="2">
        <v>26.9</v>
      </c>
      <c r="AD168" s="2">
        <v>111</v>
      </c>
      <c r="AE168" s="2">
        <v>120</v>
      </c>
      <c r="AF168" s="2"/>
    </row>
    <row r="169" spans="1:32" x14ac:dyDescent="0.2">
      <c r="A169" t="s">
        <v>265</v>
      </c>
      <c r="B169" s="2">
        <v>26</v>
      </c>
      <c r="C169" t="s">
        <v>59</v>
      </c>
      <c r="D169" s="2" t="s">
        <v>27</v>
      </c>
      <c r="E169" s="2">
        <v>16</v>
      </c>
      <c r="F169" s="2">
        <v>7</v>
      </c>
      <c r="G169" s="2">
        <v>479</v>
      </c>
      <c r="H169" s="2">
        <v>5.6</v>
      </c>
      <c r="I169" s="2">
        <v>12.7</v>
      </c>
      <c r="J169" s="2">
        <v>0.439</v>
      </c>
      <c r="K169" s="2">
        <v>2.8</v>
      </c>
      <c r="L169" s="2">
        <v>7.7</v>
      </c>
      <c r="M169" s="2">
        <v>0.36499999999999999</v>
      </c>
      <c r="N169" s="2">
        <v>2.8</v>
      </c>
      <c r="O169" s="2">
        <v>5.0999999999999996</v>
      </c>
      <c r="P169" s="2">
        <v>0.55100000000000005</v>
      </c>
      <c r="Q169" s="2">
        <v>0.54900000000000004</v>
      </c>
      <c r="R169" s="2">
        <v>3.2</v>
      </c>
      <c r="S169" s="2">
        <v>3.8</v>
      </c>
      <c r="T169" s="2">
        <v>0.83799999999999997</v>
      </c>
      <c r="U169" s="2">
        <v>1.9</v>
      </c>
      <c r="V169" s="2">
        <v>6.6</v>
      </c>
      <c r="W169" s="2">
        <v>8.5</v>
      </c>
      <c r="X169" s="2">
        <v>3.8</v>
      </c>
      <c r="Y169" s="2">
        <v>1.9</v>
      </c>
      <c r="Z169" s="2">
        <v>1.3</v>
      </c>
      <c r="AA169" s="2">
        <v>2.9</v>
      </c>
      <c r="AB169" s="2">
        <v>4.8</v>
      </c>
      <c r="AC169" s="2">
        <v>17.2</v>
      </c>
      <c r="AD169" s="2">
        <v>114</v>
      </c>
      <c r="AE169" s="2">
        <v>114</v>
      </c>
      <c r="AF169" s="2"/>
    </row>
    <row r="170" spans="1:32" x14ac:dyDescent="0.2">
      <c r="A170" t="s">
        <v>223</v>
      </c>
      <c r="B170" s="2">
        <v>29</v>
      </c>
      <c r="C170" t="s">
        <v>54</v>
      </c>
      <c r="D170" s="2" t="s">
        <v>52</v>
      </c>
      <c r="E170" s="2">
        <v>19</v>
      </c>
      <c r="F170" s="2">
        <v>1</v>
      </c>
      <c r="G170" s="2">
        <v>453</v>
      </c>
      <c r="H170" s="2">
        <v>7</v>
      </c>
      <c r="I170" s="2">
        <v>16.5</v>
      </c>
      <c r="J170" s="2">
        <v>0.42099999999999999</v>
      </c>
      <c r="K170" s="2">
        <v>4.8</v>
      </c>
      <c r="L170" s="2">
        <v>12.5</v>
      </c>
      <c r="M170" s="2">
        <v>0.38300000000000001</v>
      </c>
      <c r="N170" s="2">
        <v>2.2000000000000002</v>
      </c>
      <c r="O170" s="2">
        <v>4</v>
      </c>
      <c r="P170" s="2">
        <v>0.54100000000000004</v>
      </c>
      <c r="Q170" s="2">
        <v>0.56599999999999995</v>
      </c>
      <c r="R170" s="2">
        <v>4.0999999999999996</v>
      </c>
      <c r="S170" s="2">
        <v>5</v>
      </c>
      <c r="T170" s="2">
        <v>0.82599999999999996</v>
      </c>
      <c r="U170" s="2">
        <v>1.1000000000000001</v>
      </c>
      <c r="V170" s="2">
        <v>4.9000000000000004</v>
      </c>
      <c r="W170" s="2">
        <v>6</v>
      </c>
      <c r="X170" s="2">
        <v>4</v>
      </c>
      <c r="Y170" s="2">
        <v>1.5</v>
      </c>
      <c r="Z170" s="2">
        <v>0.7</v>
      </c>
      <c r="AA170" s="2">
        <v>2.5</v>
      </c>
      <c r="AB170" s="2">
        <v>2.8</v>
      </c>
      <c r="AC170" s="2">
        <v>22.8</v>
      </c>
      <c r="AD170" s="2">
        <v>116</v>
      </c>
      <c r="AE170" s="2">
        <v>118</v>
      </c>
      <c r="AF170" s="2"/>
    </row>
    <row r="171" spans="1:32" x14ac:dyDescent="0.2">
      <c r="A171" t="s">
        <v>216</v>
      </c>
      <c r="B171" s="2">
        <v>29</v>
      </c>
      <c r="C171" t="s">
        <v>122</v>
      </c>
      <c r="D171" s="2" t="s">
        <v>27</v>
      </c>
      <c r="E171" s="2">
        <v>22</v>
      </c>
      <c r="F171" s="2">
        <v>9</v>
      </c>
      <c r="G171" s="2">
        <v>538</v>
      </c>
      <c r="H171" s="2">
        <v>7.4</v>
      </c>
      <c r="I171" s="2">
        <v>15.1</v>
      </c>
      <c r="J171" s="2">
        <v>0.49099999999999999</v>
      </c>
      <c r="K171" s="2">
        <v>3.2</v>
      </c>
      <c r="L171" s="2">
        <v>8</v>
      </c>
      <c r="M171" s="2">
        <v>0.39500000000000002</v>
      </c>
      <c r="N171" s="2">
        <v>4.3</v>
      </c>
      <c r="O171" s="2">
        <v>7.1</v>
      </c>
      <c r="P171" s="2">
        <v>0.59699999999999998</v>
      </c>
      <c r="Q171" s="2">
        <v>0.59499999999999997</v>
      </c>
      <c r="R171" s="2">
        <v>2.1</v>
      </c>
      <c r="S171" s="2">
        <v>3.7</v>
      </c>
      <c r="T171" s="2">
        <v>0.57499999999999996</v>
      </c>
      <c r="U171" s="2">
        <v>3.7</v>
      </c>
      <c r="V171" s="2">
        <v>7.8</v>
      </c>
      <c r="W171" s="2">
        <v>11.5</v>
      </c>
      <c r="X171" s="2">
        <v>4</v>
      </c>
      <c r="Y171" s="2">
        <v>1.4</v>
      </c>
      <c r="Z171" s="2">
        <v>0.9</v>
      </c>
      <c r="AA171" s="2">
        <v>2.7</v>
      </c>
      <c r="AB171" s="2">
        <v>5.6</v>
      </c>
      <c r="AC171" s="2">
        <v>20.100000000000001</v>
      </c>
      <c r="AD171" s="2">
        <v>116</v>
      </c>
      <c r="AE171" s="2">
        <v>113</v>
      </c>
      <c r="AF171" s="2"/>
    </row>
    <row r="172" spans="1:32" x14ac:dyDescent="0.2">
      <c r="A172" t="s">
        <v>512</v>
      </c>
      <c r="B172" s="2">
        <v>22</v>
      </c>
      <c r="C172" t="s">
        <v>100</v>
      </c>
      <c r="D172" s="2" t="s">
        <v>27</v>
      </c>
      <c r="E172" s="2">
        <v>6</v>
      </c>
      <c r="F172" s="2">
        <v>0</v>
      </c>
      <c r="G172" s="2">
        <v>22</v>
      </c>
      <c r="H172" s="2">
        <v>4.4000000000000004</v>
      </c>
      <c r="I172" s="2">
        <v>10.9</v>
      </c>
      <c r="J172" s="2">
        <v>0.4</v>
      </c>
      <c r="K172" s="2">
        <v>2.2000000000000002</v>
      </c>
      <c r="L172" s="2">
        <v>6.5</v>
      </c>
      <c r="M172" s="2">
        <v>0.33300000000000002</v>
      </c>
      <c r="N172" s="2">
        <v>2.2000000000000002</v>
      </c>
      <c r="O172" s="2">
        <v>4.4000000000000004</v>
      </c>
      <c r="P172" s="2">
        <v>0.5</v>
      </c>
      <c r="Q172" s="2">
        <v>0.5</v>
      </c>
      <c r="R172" s="2">
        <v>2.2000000000000002</v>
      </c>
      <c r="S172" s="2">
        <v>4.4000000000000004</v>
      </c>
      <c r="T172" s="2">
        <v>0.5</v>
      </c>
      <c r="U172" s="2">
        <v>2.2000000000000002</v>
      </c>
      <c r="V172" s="2">
        <v>10.9</v>
      </c>
      <c r="W172" s="2">
        <v>13.1</v>
      </c>
      <c r="X172" s="2">
        <v>4.4000000000000004</v>
      </c>
      <c r="Y172" s="2">
        <v>0</v>
      </c>
      <c r="Z172" s="2">
        <v>0</v>
      </c>
      <c r="AA172" s="2">
        <v>4.4000000000000004</v>
      </c>
      <c r="AB172" s="2">
        <v>6.5</v>
      </c>
      <c r="AC172" s="2">
        <v>13.1</v>
      </c>
      <c r="AD172" s="2">
        <v>92</v>
      </c>
      <c r="AE172" s="2">
        <v>111</v>
      </c>
      <c r="AF172" s="2"/>
    </row>
    <row r="173" spans="1:32" x14ac:dyDescent="0.2">
      <c r="A173" t="s">
        <v>186</v>
      </c>
      <c r="B173" s="2">
        <v>32</v>
      </c>
      <c r="C173" t="s">
        <v>93</v>
      </c>
      <c r="D173" s="2" t="s">
        <v>27</v>
      </c>
      <c r="E173" s="2">
        <v>24</v>
      </c>
      <c r="F173" s="2">
        <v>24</v>
      </c>
      <c r="G173" s="2">
        <v>688</v>
      </c>
      <c r="H173" s="2">
        <v>6.1</v>
      </c>
      <c r="I173" s="2">
        <v>12.5</v>
      </c>
      <c r="J173" s="2">
        <v>0.48599999999999999</v>
      </c>
      <c r="K173" s="2">
        <v>2.4</v>
      </c>
      <c r="L173" s="2">
        <v>5.6</v>
      </c>
      <c r="M173" s="2">
        <v>0.43</v>
      </c>
      <c r="N173" s="2">
        <v>3.7</v>
      </c>
      <c r="O173" s="2">
        <v>6.9</v>
      </c>
      <c r="P173" s="2">
        <v>0.53100000000000003</v>
      </c>
      <c r="Q173" s="2">
        <v>0.58199999999999996</v>
      </c>
      <c r="R173" s="2">
        <v>4.0999999999999996</v>
      </c>
      <c r="S173" s="2">
        <v>5</v>
      </c>
      <c r="T173" s="2">
        <v>0.81699999999999995</v>
      </c>
      <c r="U173" s="2">
        <v>2.8</v>
      </c>
      <c r="V173" s="2">
        <v>4.5999999999999996</v>
      </c>
      <c r="W173" s="2">
        <v>7.3</v>
      </c>
      <c r="X173" s="2">
        <v>2.8</v>
      </c>
      <c r="Y173" s="2">
        <v>0.5</v>
      </c>
      <c r="Z173" s="2">
        <v>0.4</v>
      </c>
      <c r="AA173" s="2">
        <v>1.3</v>
      </c>
      <c r="AB173" s="2">
        <v>1.3</v>
      </c>
      <c r="AC173" s="2">
        <v>18.7</v>
      </c>
      <c r="AD173" s="2">
        <v>130</v>
      </c>
      <c r="AE173" s="2">
        <v>120</v>
      </c>
      <c r="AF173" s="2"/>
    </row>
    <row r="174" spans="1:32" x14ac:dyDescent="0.2">
      <c r="A174" t="s">
        <v>559</v>
      </c>
      <c r="B174" s="2">
        <v>22</v>
      </c>
      <c r="C174" t="s">
        <v>93</v>
      </c>
      <c r="D174" s="2" t="s">
        <v>49</v>
      </c>
      <c r="E174" s="2">
        <v>1</v>
      </c>
      <c r="F174" s="2">
        <v>0</v>
      </c>
      <c r="G174" s="2">
        <v>7</v>
      </c>
      <c r="H174" s="2">
        <v>0</v>
      </c>
      <c r="I174" s="2">
        <v>6.9</v>
      </c>
      <c r="J174" s="2">
        <v>0</v>
      </c>
      <c r="K174" s="2">
        <v>0</v>
      </c>
      <c r="L174" s="2">
        <v>0</v>
      </c>
      <c r="M174" s="2"/>
      <c r="N174" s="2">
        <v>0</v>
      </c>
      <c r="O174" s="2">
        <v>6.9</v>
      </c>
      <c r="P174" s="2">
        <v>0</v>
      </c>
      <c r="Q174" s="2">
        <v>0</v>
      </c>
      <c r="R174" s="2">
        <v>0</v>
      </c>
      <c r="S174" s="2">
        <v>0</v>
      </c>
      <c r="T174" s="2"/>
      <c r="U174" s="2">
        <v>0</v>
      </c>
      <c r="V174" s="2">
        <v>6.9</v>
      </c>
      <c r="W174" s="2">
        <v>6.9</v>
      </c>
      <c r="X174" s="2">
        <v>0</v>
      </c>
      <c r="Y174" s="2">
        <v>0</v>
      </c>
      <c r="Z174" s="2">
        <v>0</v>
      </c>
      <c r="AA174" s="2">
        <v>0</v>
      </c>
      <c r="AB174" s="2">
        <v>6.9</v>
      </c>
      <c r="AC174" s="2">
        <v>0</v>
      </c>
      <c r="AD174" s="2">
        <v>0</v>
      </c>
      <c r="AE174" s="2">
        <v>120</v>
      </c>
      <c r="AF174" s="2"/>
    </row>
    <row r="175" spans="1:32" x14ac:dyDescent="0.2">
      <c r="A175" t="s">
        <v>275</v>
      </c>
      <c r="B175" s="2">
        <v>28</v>
      </c>
      <c r="C175" t="s">
        <v>61</v>
      </c>
      <c r="D175" s="2" t="s">
        <v>49</v>
      </c>
      <c r="E175" s="2">
        <v>21</v>
      </c>
      <c r="F175" s="2">
        <v>15</v>
      </c>
      <c r="G175" s="2">
        <v>527</v>
      </c>
      <c r="H175" s="2">
        <v>5.3</v>
      </c>
      <c r="I175" s="2">
        <v>11.1</v>
      </c>
      <c r="J175" s="2">
        <v>0.47499999999999998</v>
      </c>
      <c r="K175" s="2">
        <v>2.6</v>
      </c>
      <c r="L175" s="2">
        <v>6.2</v>
      </c>
      <c r="M175" s="2">
        <v>0.42399999999999999</v>
      </c>
      <c r="N175" s="2">
        <v>2.6</v>
      </c>
      <c r="O175" s="2">
        <v>4.9000000000000004</v>
      </c>
      <c r="P175" s="2">
        <v>0.53800000000000003</v>
      </c>
      <c r="Q175" s="2">
        <v>0.59299999999999997</v>
      </c>
      <c r="R175" s="2">
        <v>1.2</v>
      </c>
      <c r="S175" s="2">
        <v>1.8</v>
      </c>
      <c r="T175" s="2">
        <v>0.68400000000000005</v>
      </c>
      <c r="U175" s="2">
        <v>1.6</v>
      </c>
      <c r="V175" s="2">
        <v>4.4000000000000004</v>
      </c>
      <c r="W175" s="2">
        <v>6</v>
      </c>
      <c r="X175" s="2">
        <v>2.2000000000000002</v>
      </c>
      <c r="Y175" s="2">
        <v>2.2999999999999998</v>
      </c>
      <c r="Z175" s="2">
        <v>1.5</v>
      </c>
      <c r="AA175" s="2">
        <v>1.3</v>
      </c>
      <c r="AB175" s="2">
        <v>4.0999999999999996</v>
      </c>
      <c r="AC175" s="2">
        <v>14.4</v>
      </c>
      <c r="AD175" s="2">
        <v>118</v>
      </c>
      <c r="AE175" s="2">
        <v>111</v>
      </c>
      <c r="AF175" s="2"/>
    </row>
    <row r="176" spans="1:32" x14ac:dyDescent="0.2">
      <c r="A176" t="s">
        <v>363</v>
      </c>
      <c r="B176" s="2">
        <v>26</v>
      </c>
      <c r="C176" t="s">
        <v>117</v>
      </c>
      <c r="D176" s="2" t="s">
        <v>49</v>
      </c>
      <c r="E176" s="2">
        <v>8</v>
      </c>
      <c r="F176" s="2">
        <v>8</v>
      </c>
      <c r="G176" s="2">
        <v>255</v>
      </c>
      <c r="H176" s="2">
        <v>6.1</v>
      </c>
      <c r="I176" s="2">
        <v>12.6</v>
      </c>
      <c r="J176" s="2">
        <v>0.48499999999999999</v>
      </c>
      <c r="K176" s="2">
        <v>1.5</v>
      </c>
      <c r="L176" s="2">
        <v>5.4</v>
      </c>
      <c r="M176" s="2">
        <v>0.28599999999999998</v>
      </c>
      <c r="N176" s="2">
        <v>4.5999999999999996</v>
      </c>
      <c r="O176" s="2">
        <v>7.3</v>
      </c>
      <c r="P176" s="2">
        <v>0.63200000000000001</v>
      </c>
      <c r="Q176" s="2">
        <v>0.54500000000000004</v>
      </c>
      <c r="R176" s="2">
        <v>1.9</v>
      </c>
      <c r="S176" s="2">
        <v>2.9</v>
      </c>
      <c r="T176" s="2">
        <v>0.66700000000000004</v>
      </c>
      <c r="U176" s="2">
        <v>1.3</v>
      </c>
      <c r="V176" s="2">
        <v>4.5999999999999996</v>
      </c>
      <c r="W176" s="2">
        <v>5.9</v>
      </c>
      <c r="X176" s="2">
        <v>3.4</v>
      </c>
      <c r="Y176" s="2">
        <v>2.7</v>
      </c>
      <c r="Z176" s="2">
        <v>0.8</v>
      </c>
      <c r="AA176" s="2">
        <v>2.7</v>
      </c>
      <c r="AB176" s="2">
        <v>4.4000000000000004</v>
      </c>
      <c r="AC176" s="2">
        <v>15.7</v>
      </c>
      <c r="AD176" s="2">
        <v>105</v>
      </c>
      <c r="AE176" s="2">
        <v>118</v>
      </c>
      <c r="AF176" s="2"/>
    </row>
    <row r="177" spans="1:32" x14ac:dyDescent="0.2">
      <c r="A177" t="s">
        <v>424</v>
      </c>
      <c r="B177" s="2">
        <v>24</v>
      </c>
      <c r="C177" t="s">
        <v>46</v>
      </c>
      <c r="D177" s="2" t="s">
        <v>27</v>
      </c>
      <c r="E177" s="2">
        <v>14</v>
      </c>
      <c r="F177" s="2">
        <v>0</v>
      </c>
      <c r="G177" s="2">
        <v>129</v>
      </c>
      <c r="H177" s="2">
        <v>4.4000000000000004</v>
      </c>
      <c r="I177" s="2">
        <v>10</v>
      </c>
      <c r="J177" s="2">
        <v>0.44400000000000001</v>
      </c>
      <c r="K177" s="2">
        <v>1.5</v>
      </c>
      <c r="L177" s="2">
        <v>5.9</v>
      </c>
      <c r="M177" s="2">
        <v>0.25</v>
      </c>
      <c r="N177" s="2">
        <v>3</v>
      </c>
      <c r="O177" s="2">
        <v>4.0999999999999996</v>
      </c>
      <c r="P177" s="2">
        <v>0.72699999999999998</v>
      </c>
      <c r="Q177" s="2">
        <v>0.51900000000000002</v>
      </c>
      <c r="R177" s="2">
        <v>3</v>
      </c>
      <c r="S177" s="2">
        <v>3.3</v>
      </c>
      <c r="T177" s="2">
        <v>0.88900000000000001</v>
      </c>
      <c r="U177" s="2">
        <v>2.2000000000000002</v>
      </c>
      <c r="V177" s="2">
        <v>7</v>
      </c>
      <c r="W177" s="2">
        <v>9.1999999999999993</v>
      </c>
      <c r="X177" s="2">
        <v>2.6</v>
      </c>
      <c r="Y177" s="2">
        <v>0.7</v>
      </c>
      <c r="Z177" s="2">
        <v>1.1000000000000001</v>
      </c>
      <c r="AA177" s="2">
        <v>1.8</v>
      </c>
      <c r="AB177" s="2">
        <v>5.5</v>
      </c>
      <c r="AC177" s="2">
        <v>13.3</v>
      </c>
      <c r="AD177" s="2">
        <v>116</v>
      </c>
      <c r="AE177" s="2">
        <v>117</v>
      </c>
      <c r="AF177" s="2"/>
    </row>
    <row r="178" spans="1:32" x14ac:dyDescent="0.2">
      <c r="A178" t="s">
        <v>413</v>
      </c>
      <c r="B178" s="2">
        <v>25</v>
      </c>
      <c r="C178" t="s">
        <v>66</v>
      </c>
      <c r="D178" s="2" t="s">
        <v>33</v>
      </c>
      <c r="E178" s="2">
        <v>3</v>
      </c>
      <c r="F178" s="2">
        <v>3</v>
      </c>
      <c r="G178" s="2">
        <v>68</v>
      </c>
      <c r="H178" s="2">
        <v>11.4</v>
      </c>
      <c r="I178" s="2">
        <v>29.8</v>
      </c>
      <c r="J178" s="2">
        <v>0.38100000000000001</v>
      </c>
      <c r="K178" s="2">
        <v>4.3</v>
      </c>
      <c r="L178" s="2">
        <v>11.4</v>
      </c>
      <c r="M178" s="2">
        <v>0.375</v>
      </c>
      <c r="N178" s="2">
        <v>7.1</v>
      </c>
      <c r="O178" s="2">
        <v>18.5</v>
      </c>
      <c r="P178" s="2">
        <v>0.38500000000000001</v>
      </c>
      <c r="Q178" s="2">
        <v>0.45200000000000001</v>
      </c>
      <c r="R178" s="2">
        <v>5.7</v>
      </c>
      <c r="S178" s="2">
        <v>6.4</v>
      </c>
      <c r="T178" s="2">
        <v>0.88900000000000001</v>
      </c>
      <c r="U178" s="2">
        <v>0.7</v>
      </c>
      <c r="V178" s="2">
        <v>3.6</v>
      </c>
      <c r="W178" s="2">
        <v>4.3</v>
      </c>
      <c r="X178" s="2">
        <v>8.5</v>
      </c>
      <c r="Y178" s="2">
        <v>1.4</v>
      </c>
      <c r="Z178" s="2">
        <v>0</v>
      </c>
      <c r="AA178" s="2">
        <v>2.8</v>
      </c>
      <c r="AB178" s="2">
        <v>5</v>
      </c>
      <c r="AC178" s="2">
        <v>32.700000000000003</v>
      </c>
      <c r="AD178" s="2">
        <v>109</v>
      </c>
      <c r="AE178" s="2">
        <v>120</v>
      </c>
      <c r="AF178" s="2"/>
    </row>
    <row r="179" spans="1:32" x14ac:dyDescent="0.2">
      <c r="A179" t="s">
        <v>385</v>
      </c>
      <c r="B179" s="2">
        <v>24</v>
      </c>
      <c r="C179" t="s">
        <v>37</v>
      </c>
      <c r="D179" s="2" t="s">
        <v>27</v>
      </c>
      <c r="E179" s="2">
        <v>15</v>
      </c>
      <c r="F179" s="2">
        <v>0</v>
      </c>
      <c r="G179" s="2">
        <v>142</v>
      </c>
      <c r="H179" s="2">
        <v>9.6</v>
      </c>
      <c r="I179" s="2">
        <v>14.7</v>
      </c>
      <c r="J179" s="2">
        <v>0.65100000000000002</v>
      </c>
      <c r="K179" s="2">
        <v>0.3</v>
      </c>
      <c r="L179" s="2">
        <v>1.4</v>
      </c>
      <c r="M179" s="2">
        <v>0.25</v>
      </c>
      <c r="N179" s="2">
        <v>9.3000000000000007</v>
      </c>
      <c r="O179" s="2">
        <v>13.4</v>
      </c>
      <c r="P179" s="2">
        <v>0.69199999999999995</v>
      </c>
      <c r="Q179" s="2">
        <v>0.66300000000000003</v>
      </c>
      <c r="R179" s="2">
        <v>2.4</v>
      </c>
      <c r="S179" s="2">
        <v>5.0999999999999996</v>
      </c>
      <c r="T179" s="2">
        <v>0.46700000000000003</v>
      </c>
      <c r="U179" s="2">
        <v>2.7</v>
      </c>
      <c r="V179" s="2">
        <v>5.0999999999999996</v>
      </c>
      <c r="W179" s="2">
        <v>7.9</v>
      </c>
      <c r="X179" s="2">
        <v>0.7</v>
      </c>
      <c r="Y179" s="2">
        <v>0.3</v>
      </c>
      <c r="Z179" s="2">
        <v>2.1</v>
      </c>
      <c r="AA179" s="2">
        <v>3.1</v>
      </c>
      <c r="AB179" s="2">
        <v>7.2</v>
      </c>
      <c r="AC179" s="2">
        <v>21.9</v>
      </c>
      <c r="AD179" s="2">
        <v>111</v>
      </c>
      <c r="AE179" s="2">
        <v>116</v>
      </c>
      <c r="AF179" s="2"/>
    </row>
    <row r="180" spans="1:32" x14ac:dyDescent="0.2">
      <c r="A180" t="s">
        <v>307</v>
      </c>
      <c r="B180" s="2">
        <v>24</v>
      </c>
      <c r="C180" t="s">
        <v>57</v>
      </c>
      <c r="D180" s="2" t="s">
        <v>52</v>
      </c>
      <c r="E180" s="2">
        <v>21</v>
      </c>
      <c r="F180" s="2">
        <v>14</v>
      </c>
      <c r="G180" s="2">
        <v>439</v>
      </c>
      <c r="H180" s="2">
        <v>4.9000000000000004</v>
      </c>
      <c r="I180" s="2">
        <v>10.3</v>
      </c>
      <c r="J180" s="2">
        <v>0.47899999999999998</v>
      </c>
      <c r="K180" s="2">
        <v>2.7</v>
      </c>
      <c r="L180" s="2">
        <v>5.9</v>
      </c>
      <c r="M180" s="2">
        <v>0.46300000000000002</v>
      </c>
      <c r="N180" s="2">
        <v>2.2000000000000002</v>
      </c>
      <c r="O180" s="2">
        <v>4.4000000000000004</v>
      </c>
      <c r="P180" s="2">
        <v>0.5</v>
      </c>
      <c r="Q180" s="2">
        <v>0.61199999999999999</v>
      </c>
      <c r="R180" s="2">
        <v>1.2</v>
      </c>
      <c r="S180" s="2">
        <v>1.9</v>
      </c>
      <c r="T180" s="2">
        <v>0.64700000000000002</v>
      </c>
      <c r="U180" s="2">
        <v>2.1</v>
      </c>
      <c r="V180" s="2">
        <v>3.3</v>
      </c>
      <c r="W180" s="2">
        <v>5.3</v>
      </c>
      <c r="X180" s="2">
        <v>4.0999999999999996</v>
      </c>
      <c r="Y180" s="2">
        <v>1.6</v>
      </c>
      <c r="Z180" s="2">
        <v>1</v>
      </c>
      <c r="AA180" s="2">
        <v>0.8</v>
      </c>
      <c r="AB180" s="2">
        <v>4.7</v>
      </c>
      <c r="AC180" s="2">
        <v>13.8</v>
      </c>
      <c r="AD180" s="2">
        <v>134</v>
      </c>
      <c r="AE180" s="2">
        <v>114</v>
      </c>
      <c r="AF180" s="2"/>
    </row>
    <row r="181" spans="1:32" x14ac:dyDescent="0.2">
      <c r="A181" t="s">
        <v>394</v>
      </c>
      <c r="B181" s="2">
        <v>20</v>
      </c>
      <c r="C181" t="s">
        <v>120</v>
      </c>
      <c r="D181" s="2" t="s">
        <v>33</v>
      </c>
      <c r="E181" s="2">
        <v>16</v>
      </c>
      <c r="F181" s="2">
        <v>1</v>
      </c>
      <c r="G181" s="2">
        <v>278</v>
      </c>
      <c r="H181" s="2">
        <v>3.8</v>
      </c>
      <c r="I181" s="2">
        <v>12.4</v>
      </c>
      <c r="J181" s="2">
        <v>0.31</v>
      </c>
      <c r="K181" s="2">
        <v>0.7</v>
      </c>
      <c r="L181" s="2">
        <v>4.7</v>
      </c>
      <c r="M181" s="2">
        <v>0.14799999999999999</v>
      </c>
      <c r="N181" s="2">
        <v>3.1</v>
      </c>
      <c r="O181" s="2">
        <v>7.7</v>
      </c>
      <c r="P181" s="2">
        <v>0.40899999999999997</v>
      </c>
      <c r="Q181" s="2">
        <v>0.33800000000000002</v>
      </c>
      <c r="R181" s="2">
        <v>1.4</v>
      </c>
      <c r="S181" s="2">
        <v>3.1</v>
      </c>
      <c r="T181" s="2">
        <v>0.44400000000000001</v>
      </c>
      <c r="U181" s="2">
        <v>0.2</v>
      </c>
      <c r="V181" s="2">
        <v>4.5</v>
      </c>
      <c r="W181" s="2">
        <v>4.7</v>
      </c>
      <c r="X181" s="2">
        <v>9.1999999999999993</v>
      </c>
      <c r="Y181" s="2">
        <v>2.6</v>
      </c>
      <c r="Z181" s="2">
        <v>0.3</v>
      </c>
      <c r="AA181" s="2">
        <v>6.6</v>
      </c>
      <c r="AB181" s="2">
        <v>5.0999999999999996</v>
      </c>
      <c r="AC181" s="2">
        <v>9.8000000000000007</v>
      </c>
      <c r="AD181" s="2">
        <v>72</v>
      </c>
      <c r="AE181" s="2">
        <v>119</v>
      </c>
      <c r="AF181" s="2"/>
    </row>
    <row r="182" spans="1:32" x14ac:dyDescent="0.2">
      <c r="A182" t="s">
        <v>555</v>
      </c>
      <c r="B182" s="2">
        <v>23</v>
      </c>
      <c r="C182" t="s">
        <v>37</v>
      </c>
      <c r="D182" s="2" t="s">
        <v>49</v>
      </c>
      <c r="E182" s="2">
        <v>1</v>
      </c>
      <c r="F182" s="2">
        <v>0</v>
      </c>
      <c r="G182" s="2">
        <v>5</v>
      </c>
      <c r="H182" s="2">
        <v>0</v>
      </c>
      <c r="I182" s="2">
        <v>0</v>
      </c>
      <c r="J182" s="2"/>
      <c r="K182" s="2">
        <v>0</v>
      </c>
      <c r="L182" s="2">
        <v>0</v>
      </c>
      <c r="M182" s="2"/>
      <c r="N182" s="2">
        <v>0</v>
      </c>
      <c r="O182" s="2">
        <v>0</v>
      </c>
      <c r="P182" s="2"/>
      <c r="Q182" s="2"/>
      <c r="R182" s="2">
        <v>0</v>
      </c>
      <c r="S182" s="2">
        <v>0</v>
      </c>
      <c r="T182" s="2"/>
      <c r="U182" s="2">
        <v>0</v>
      </c>
      <c r="V182" s="2">
        <v>9.6999999999999993</v>
      </c>
      <c r="W182" s="2">
        <v>9.6999999999999993</v>
      </c>
      <c r="X182" s="2">
        <v>0</v>
      </c>
      <c r="Y182" s="2">
        <v>0</v>
      </c>
      <c r="Z182" s="2">
        <v>0</v>
      </c>
      <c r="AA182" s="2">
        <v>0</v>
      </c>
      <c r="AB182" s="2">
        <v>9.6999999999999993</v>
      </c>
      <c r="AC182" s="2">
        <v>0</v>
      </c>
      <c r="AD182" s="2"/>
      <c r="AE182" s="2">
        <v>117</v>
      </c>
      <c r="AF182" s="2"/>
    </row>
    <row r="183" spans="1:32" x14ac:dyDescent="0.2">
      <c r="A183" t="s">
        <v>332</v>
      </c>
      <c r="B183" s="2">
        <v>26</v>
      </c>
      <c r="C183" t="s">
        <v>32</v>
      </c>
      <c r="D183" s="2" t="s">
        <v>42</v>
      </c>
      <c r="E183" s="2">
        <v>9</v>
      </c>
      <c r="F183" s="2">
        <v>8</v>
      </c>
      <c r="G183" s="2">
        <v>267</v>
      </c>
      <c r="H183" s="2">
        <v>8.3000000000000007</v>
      </c>
      <c r="I183" s="2">
        <v>14.9</v>
      </c>
      <c r="J183" s="2">
        <v>0.55400000000000005</v>
      </c>
      <c r="K183" s="2">
        <v>0</v>
      </c>
      <c r="L183" s="2">
        <v>0.7</v>
      </c>
      <c r="M183" s="2">
        <v>0</v>
      </c>
      <c r="N183" s="2">
        <v>8.3000000000000007</v>
      </c>
      <c r="O183" s="2">
        <v>14.2</v>
      </c>
      <c r="P183" s="2">
        <v>0.58199999999999996</v>
      </c>
      <c r="Q183" s="2">
        <v>0.55400000000000005</v>
      </c>
      <c r="R183" s="2">
        <v>2.2000000000000002</v>
      </c>
      <c r="S183" s="2">
        <v>3.8</v>
      </c>
      <c r="T183" s="2">
        <v>0.57099999999999995</v>
      </c>
      <c r="U183" s="2">
        <v>5.4</v>
      </c>
      <c r="V183" s="2">
        <v>15.3</v>
      </c>
      <c r="W183" s="2">
        <v>20.7</v>
      </c>
      <c r="X183" s="2">
        <v>7</v>
      </c>
      <c r="Y183" s="2">
        <v>1.3</v>
      </c>
      <c r="Z183" s="2">
        <v>2</v>
      </c>
      <c r="AA183" s="2">
        <v>3.4</v>
      </c>
      <c r="AB183" s="2">
        <v>5.4</v>
      </c>
      <c r="AC183" s="2">
        <v>18.7</v>
      </c>
      <c r="AD183" s="2">
        <v>117</v>
      </c>
      <c r="AE183" s="2">
        <v>99</v>
      </c>
      <c r="AF183" s="2"/>
    </row>
    <row r="184" spans="1:32" x14ac:dyDescent="0.2">
      <c r="A184" t="s">
        <v>425</v>
      </c>
      <c r="B184" s="2">
        <v>23</v>
      </c>
      <c r="C184" t="s">
        <v>82</v>
      </c>
      <c r="D184" s="2" t="s">
        <v>42</v>
      </c>
      <c r="E184" s="2">
        <v>5</v>
      </c>
      <c r="F184" s="2">
        <v>1</v>
      </c>
      <c r="G184" s="2">
        <v>84</v>
      </c>
      <c r="H184" s="2">
        <v>8</v>
      </c>
      <c r="I184" s="2">
        <v>13.1</v>
      </c>
      <c r="J184" s="2">
        <v>0.60899999999999999</v>
      </c>
      <c r="K184" s="2">
        <v>0</v>
      </c>
      <c r="L184" s="2">
        <v>0</v>
      </c>
      <c r="M184" s="2"/>
      <c r="N184" s="2">
        <v>8</v>
      </c>
      <c r="O184" s="2">
        <v>13.1</v>
      </c>
      <c r="P184" s="2">
        <v>0.60899999999999999</v>
      </c>
      <c r="Q184" s="2">
        <v>0.60899999999999999</v>
      </c>
      <c r="R184" s="2">
        <v>4</v>
      </c>
      <c r="S184" s="2">
        <v>8</v>
      </c>
      <c r="T184" s="2">
        <v>0.5</v>
      </c>
      <c r="U184" s="2">
        <v>6.3</v>
      </c>
      <c r="V184" s="2">
        <v>9.6999999999999993</v>
      </c>
      <c r="W184" s="2">
        <v>16</v>
      </c>
      <c r="X184" s="2">
        <v>2.9</v>
      </c>
      <c r="Y184" s="2">
        <v>1.7</v>
      </c>
      <c r="Z184" s="2">
        <v>4.5999999999999996</v>
      </c>
      <c r="AA184" s="2">
        <v>2.9</v>
      </c>
      <c r="AB184" s="2">
        <v>8</v>
      </c>
      <c r="AC184" s="2">
        <v>20</v>
      </c>
      <c r="AD184" s="2">
        <v>118</v>
      </c>
      <c r="AE184" s="2">
        <v>111</v>
      </c>
      <c r="AF184" s="2"/>
    </row>
    <row r="185" spans="1:32" x14ac:dyDescent="0.2">
      <c r="A185" t="s">
        <v>232</v>
      </c>
      <c r="B185" s="2">
        <v>25</v>
      </c>
      <c r="C185" t="s">
        <v>32</v>
      </c>
      <c r="D185" s="2" t="s">
        <v>52</v>
      </c>
      <c r="E185" s="2">
        <v>22</v>
      </c>
      <c r="F185" s="2">
        <v>9</v>
      </c>
      <c r="G185" s="2">
        <v>473</v>
      </c>
      <c r="H185" s="2">
        <v>7.1</v>
      </c>
      <c r="I185" s="2">
        <v>17.3</v>
      </c>
      <c r="J185" s="2">
        <v>0.41199999999999998</v>
      </c>
      <c r="K185" s="2">
        <v>5.3</v>
      </c>
      <c r="L185" s="2">
        <v>13.8</v>
      </c>
      <c r="M185" s="2">
        <v>0.38200000000000001</v>
      </c>
      <c r="N185" s="2">
        <v>1.8</v>
      </c>
      <c r="O185" s="2">
        <v>3.5</v>
      </c>
      <c r="P185" s="2">
        <v>0.52900000000000003</v>
      </c>
      <c r="Q185" s="2">
        <v>0.56499999999999995</v>
      </c>
      <c r="R185" s="2">
        <v>0.7</v>
      </c>
      <c r="S185" s="2">
        <v>1</v>
      </c>
      <c r="T185" s="2">
        <v>0.7</v>
      </c>
      <c r="U185" s="2">
        <v>1.2</v>
      </c>
      <c r="V185" s="2">
        <v>5</v>
      </c>
      <c r="W185" s="2">
        <v>6.2</v>
      </c>
      <c r="X185" s="2">
        <v>3.9</v>
      </c>
      <c r="Y185" s="2">
        <v>1.5</v>
      </c>
      <c r="Z185" s="2">
        <v>0.5</v>
      </c>
      <c r="AA185" s="2">
        <v>1</v>
      </c>
      <c r="AB185" s="2">
        <v>4</v>
      </c>
      <c r="AC185" s="2">
        <v>20.2</v>
      </c>
      <c r="AD185" s="2">
        <v>118</v>
      </c>
      <c r="AE185" s="2">
        <v>108</v>
      </c>
      <c r="AF185" s="2"/>
    </row>
    <row r="186" spans="1:32" x14ac:dyDescent="0.2">
      <c r="A186" t="s">
        <v>272</v>
      </c>
      <c r="B186" s="2">
        <v>23</v>
      </c>
      <c r="C186" t="s">
        <v>75</v>
      </c>
      <c r="D186" s="2" t="s">
        <v>42</v>
      </c>
      <c r="E186" s="2">
        <v>26</v>
      </c>
      <c r="F186" s="2">
        <v>3</v>
      </c>
      <c r="G186" s="2">
        <v>572</v>
      </c>
      <c r="H186" s="2">
        <v>5.3</v>
      </c>
      <c r="I186" s="2">
        <v>9.6</v>
      </c>
      <c r="J186" s="2">
        <v>0.55400000000000005</v>
      </c>
      <c r="K186" s="2">
        <v>0.4</v>
      </c>
      <c r="L186" s="2">
        <v>1.7</v>
      </c>
      <c r="M186" s="2">
        <v>0.25</v>
      </c>
      <c r="N186" s="2">
        <v>4.9000000000000004</v>
      </c>
      <c r="O186" s="2">
        <v>7.9</v>
      </c>
      <c r="P186" s="2">
        <v>0.62</v>
      </c>
      <c r="Q186" s="2">
        <v>0.57599999999999996</v>
      </c>
      <c r="R186" s="2">
        <v>2.5</v>
      </c>
      <c r="S186" s="2">
        <v>2.8</v>
      </c>
      <c r="T186" s="2">
        <v>0.879</v>
      </c>
      <c r="U186" s="2">
        <v>5.0999999999999996</v>
      </c>
      <c r="V186" s="2">
        <v>8.4</v>
      </c>
      <c r="W186" s="2">
        <v>13.5</v>
      </c>
      <c r="X186" s="2">
        <v>4</v>
      </c>
      <c r="Y186" s="2">
        <v>1.1000000000000001</v>
      </c>
      <c r="Z186" s="2">
        <v>2.9</v>
      </c>
      <c r="AA186" s="2">
        <v>2.4</v>
      </c>
      <c r="AB186" s="2">
        <v>6.2</v>
      </c>
      <c r="AC186" s="2">
        <v>13.5</v>
      </c>
      <c r="AD186" s="2">
        <v>126</v>
      </c>
      <c r="AE186" s="2">
        <v>111</v>
      </c>
      <c r="AF186" s="2"/>
    </row>
    <row r="187" spans="1:32" x14ac:dyDescent="0.2">
      <c r="A187" t="s">
        <v>478</v>
      </c>
      <c r="B187" s="2">
        <v>24</v>
      </c>
      <c r="C187" t="s">
        <v>59</v>
      </c>
      <c r="D187" s="2" t="s">
        <v>52</v>
      </c>
      <c r="E187" s="2">
        <v>2</v>
      </c>
      <c r="F187" s="2">
        <v>0</v>
      </c>
      <c r="G187" s="2">
        <v>29</v>
      </c>
      <c r="H187" s="2">
        <v>8.5</v>
      </c>
      <c r="I187" s="2">
        <v>18.8</v>
      </c>
      <c r="J187" s="2">
        <v>0.45500000000000002</v>
      </c>
      <c r="K187" s="2">
        <v>1.7</v>
      </c>
      <c r="L187" s="2">
        <v>3.4</v>
      </c>
      <c r="M187" s="2">
        <v>0.5</v>
      </c>
      <c r="N187" s="2">
        <v>6.8</v>
      </c>
      <c r="O187" s="2">
        <v>15.4</v>
      </c>
      <c r="P187" s="2">
        <v>0.44400000000000001</v>
      </c>
      <c r="Q187" s="2">
        <v>0.5</v>
      </c>
      <c r="R187" s="2">
        <v>12</v>
      </c>
      <c r="S187" s="2">
        <v>13.7</v>
      </c>
      <c r="T187" s="2">
        <v>0.875</v>
      </c>
      <c r="U187" s="2">
        <v>5.0999999999999996</v>
      </c>
      <c r="V187" s="2">
        <v>3.4</v>
      </c>
      <c r="W187" s="2">
        <v>8.5</v>
      </c>
      <c r="X187" s="2">
        <v>6.8</v>
      </c>
      <c r="Y187" s="2">
        <v>3.4</v>
      </c>
      <c r="Z187" s="2">
        <v>0</v>
      </c>
      <c r="AA187" s="2">
        <v>5.0999999999999996</v>
      </c>
      <c r="AB187" s="2">
        <v>8.5</v>
      </c>
      <c r="AC187" s="2">
        <v>30.8</v>
      </c>
      <c r="AD187" s="2">
        <v>122</v>
      </c>
      <c r="AE187" s="2">
        <v>114</v>
      </c>
      <c r="AF187" s="2"/>
    </row>
    <row r="188" spans="1:32" x14ac:dyDescent="0.2">
      <c r="A188" t="s">
        <v>126</v>
      </c>
      <c r="B188" s="2">
        <v>27</v>
      </c>
      <c r="C188" t="s">
        <v>77</v>
      </c>
      <c r="D188" s="2" t="s">
        <v>42</v>
      </c>
      <c r="E188" s="2">
        <v>25</v>
      </c>
      <c r="F188" s="2">
        <v>25</v>
      </c>
      <c r="G188" s="2">
        <v>811</v>
      </c>
      <c r="H188" s="2">
        <v>10</v>
      </c>
      <c r="I188" s="2">
        <v>16.600000000000001</v>
      </c>
      <c r="J188" s="2">
        <v>0.60199999999999998</v>
      </c>
      <c r="K188" s="2">
        <v>0</v>
      </c>
      <c r="L188" s="2">
        <v>0</v>
      </c>
      <c r="M188" s="2"/>
      <c r="N188" s="2">
        <v>10</v>
      </c>
      <c r="O188" s="2">
        <v>16.600000000000001</v>
      </c>
      <c r="P188" s="2">
        <v>0.60199999999999998</v>
      </c>
      <c r="Q188" s="2">
        <v>0.60199999999999998</v>
      </c>
      <c r="R188" s="2">
        <v>2.4</v>
      </c>
      <c r="S188" s="2">
        <v>4.4000000000000004</v>
      </c>
      <c r="T188" s="2">
        <v>0.53400000000000003</v>
      </c>
      <c r="U188" s="2">
        <v>6</v>
      </c>
      <c r="V188" s="2">
        <v>12.5</v>
      </c>
      <c r="W188" s="2">
        <v>18.5</v>
      </c>
      <c r="X188" s="2">
        <v>3.5</v>
      </c>
      <c r="Y188" s="2">
        <v>0.8</v>
      </c>
      <c r="Z188" s="2">
        <v>1.6</v>
      </c>
      <c r="AA188" s="2">
        <v>3</v>
      </c>
      <c r="AB188" s="2">
        <v>3.2</v>
      </c>
      <c r="AC188" s="2">
        <v>22.4</v>
      </c>
      <c r="AD188" s="2">
        <v>118</v>
      </c>
      <c r="AE188" s="2">
        <v>108</v>
      </c>
      <c r="AF188" s="2"/>
    </row>
    <row r="189" spans="1:32" x14ac:dyDescent="0.2">
      <c r="A189" t="s">
        <v>151</v>
      </c>
      <c r="B189" s="2">
        <v>25</v>
      </c>
      <c r="C189" t="s">
        <v>80</v>
      </c>
      <c r="D189" s="2" t="s">
        <v>33</v>
      </c>
      <c r="E189" s="2">
        <v>14</v>
      </c>
      <c r="F189" s="2">
        <v>14</v>
      </c>
      <c r="G189" s="2">
        <v>394</v>
      </c>
      <c r="H189" s="2">
        <v>11.9</v>
      </c>
      <c r="I189" s="2">
        <v>26</v>
      </c>
      <c r="J189" s="2">
        <v>0.45700000000000002</v>
      </c>
      <c r="K189" s="2">
        <v>2.2000000000000002</v>
      </c>
      <c r="L189" s="2">
        <v>7.3</v>
      </c>
      <c r="M189" s="2">
        <v>0.30199999999999999</v>
      </c>
      <c r="N189" s="2">
        <v>9.6999999999999993</v>
      </c>
      <c r="O189" s="2">
        <v>18.600000000000001</v>
      </c>
      <c r="P189" s="2">
        <v>0.51900000000000002</v>
      </c>
      <c r="Q189" s="2">
        <v>0.5</v>
      </c>
      <c r="R189" s="2">
        <v>9.4</v>
      </c>
      <c r="S189" s="2">
        <v>11.1</v>
      </c>
      <c r="T189" s="2">
        <v>0.85299999999999998</v>
      </c>
      <c r="U189" s="2">
        <v>0.9</v>
      </c>
      <c r="V189" s="2">
        <v>6.2</v>
      </c>
      <c r="W189" s="2">
        <v>7.1</v>
      </c>
      <c r="X189" s="2">
        <v>13.9</v>
      </c>
      <c r="Y189" s="2">
        <v>1.6</v>
      </c>
      <c r="Z189" s="2">
        <v>0.6</v>
      </c>
      <c r="AA189" s="2">
        <v>6.1</v>
      </c>
      <c r="AB189" s="2">
        <v>2.8</v>
      </c>
      <c r="AC189" s="2">
        <v>35.4</v>
      </c>
      <c r="AD189" s="2">
        <v>115</v>
      </c>
      <c r="AE189" s="2">
        <v>110</v>
      </c>
      <c r="AF189" s="2"/>
    </row>
    <row r="190" spans="1:32" x14ac:dyDescent="0.2">
      <c r="A190" t="s">
        <v>359</v>
      </c>
      <c r="B190" s="2">
        <v>20</v>
      </c>
      <c r="C190" t="s">
        <v>66</v>
      </c>
      <c r="D190" s="2" t="s">
        <v>52</v>
      </c>
      <c r="E190" s="2">
        <v>12</v>
      </c>
      <c r="F190" s="2">
        <v>4</v>
      </c>
      <c r="G190" s="2">
        <v>227</v>
      </c>
      <c r="H190" s="2">
        <v>7</v>
      </c>
      <c r="I190" s="2">
        <v>19.600000000000001</v>
      </c>
      <c r="J190" s="2">
        <v>0.35899999999999999</v>
      </c>
      <c r="K190" s="2">
        <v>2.1</v>
      </c>
      <c r="L190" s="2">
        <v>9.6</v>
      </c>
      <c r="M190" s="2">
        <v>0.222</v>
      </c>
      <c r="N190" s="2">
        <v>4.9000000000000004</v>
      </c>
      <c r="O190" s="2">
        <v>10</v>
      </c>
      <c r="P190" s="2">
        <v>0.48899999999999999</v>
      </c>
      <c r="Q190" s="2">
        <v>0.41299999999999998</v>
      </c>
      <c r="R190" s="2">
        <v>2.1</v>
      </c>
      <c r="S190" s="2">
        <v>3</v>
      </c>
      <c r="T190" s="2">
        <v>0.71399999999999997</v>
      </c>
      <c r="U190" s="2">
        <v>2.2999999999999998</v>
      </c>
      <c r="V190" s="2">
        <v>5.7</v>
      </c>
      <c r="W190" s="2">
        <v>8.1</v>
      </c>
      <c r="X190" s="2">
        <v>3.8</v>
      </c>
      <c r="Y190" s="2">
        <v>1.5</v>
      </c>
      <c r="Z190" s="2">
        <v>0.6</v>
      </c>
      <c r="AA190" s="2">
        <v>2.6</v>
      </c>
      <c r="AB190" s="2">
        <v>4.7</v>
      </c>
      <c r="AC190" s="2">
        <v>18.3</v>
      </c>
      <c r="AD190" s="2">
        <v>94</v>
      </c>
      <c r="AE190" s="2">
        <v>118</v>
      </c>
      <c r="AF190" s="2"/>
    </row>
    <row r="191" spans="1:32" x14ac:dyDescent="0.2">
      <c r="A191" t="s">
        <v>166</v>
      </c>
      <c r="B191" s="2">
        <v>21</v>
      </c>
      <c r="C191" t="s">
        <v>87</v>
      </c>
      <c r="D191" s="2" t="s">
        <v>27</v>
      </c>
      <c r="E191" s="2">
        <v>25</v>
      </c>
      <c r="F191" s="2">
        <v>25</v>
      </c>
      <c r="G191" s="2">
        <v>758</v>
      </c>
      <c r="H191" s="2">
        <v>6.6</v>
      </c>
      <c r="I191" s="2">
        <v>15.1</v>
      </c>
      <c r="J191" s="2">
        <v>0.436</v>
      </c>
      <c r="K191" s="2">
        <v>2.7</v>
      </c>
      <c r="L191" s="2">
        <v>7.8</v>
      </c>
      <c r="M191" s="2">
        <v>0.35199999999999998</v>
      </c>
      <c r="N191" s="2">
        <v>3.8</v>
      </c>
      <c r="O191" s="2">
        <v>7.3</v>
      </c>
      <c r="P191" s="2">
        <v>0.52600000000000002</v>
      </c>
      <c r="Q191" s="2">
        <v>0.52800000000000002</v>
      </c>
      <c r="R191" s="2">
        <v>2.7</v>
      </c>
      <c r="S191" s="2">
        <v>3.1</v>
      </c>
      <c r="T191" s="2">
        <v>0.85699999999999998</v>
      </c>
      <c r="U191" s="2">
        <v>2.7</v>
      </c>
      <c r="V191" s="2">
        <v>8.1</v>
      </c>
      <c r="W191" s="2">
        <v>10.8</v>
      </c>
      <c r="X191" s="2">
        <v>1.4</v>
      </c>
      <c r="Y191" s="2">
        <v>0.4</v>
      </c>
      <c r="Z191" s="2">
        <v>1.5</v>
      </c>
      <c r="AA191" s="2">
        <v>1</v>
      </c>
      <c r="AB191" s="2">
        <v>4</v>
      </c>
      <c r="AC191" s="2">
        <v>18.600000000000001</v>
      </c>
      <c r="AD191" s="2">
        <v>122</v>
      </c>
      <c r="AE191" s="2">
        <v>107</v>
      </c>
      <c r="AF191" s="2"/>
    </row>
    <row r="192" spans="1:32" x14ac:dyDescent="0.2">
      <c r="A192" t="s">
        <v>393</v>
      </c>
      <c r="B192" s="2">
        <v>22</v>
      </c>
      <c r="C192" t="s">
        <v>135</v>
      </c>
      <c r="D192" s="2" t="s">
        <v>49</v>
      </c>
      <c r="E192" s="2">
        <v>19</v>
      </c>
      <c r="F192" s="2">
        <v>0</v>
      </c>
      <c r="G192" s="2">
        <v>204</v>
      </c>
      <c r="H192" s="2">
        <v>5.2</v>
      </c>
      <c r="I192" s="2">
        <v>13.9</v>
      </c>
      <c r="J192" s="2">
        <v>0.373</v>
      </c>
      <c r="K192" s="2">
        <v>0.5</v>
      </c>
      <c r="L192" s="2">
        <v>4</v>
      </c>
      <c r="M192" s="2">
        <v>0.11799999999999999</v>
      </c>
      <c r="N192" s="2">
        <v>4.7</v>
      </c>
      <c r="O192" s="2">
        <v>9.9</v>
      </c>
      <c r="P192" s="2">
        <v>0.47599999999999998</v>
      </c>
      <c r="Q192" s="2">
        <v>0.39</v>
      </c>
      <c r="R192" s="2">
        <v>2.6</v>
      </c>
      <c r="S192" s="2">
        <v>3.1</v>
      </c>
      <c r="T192" s="2">
        <v>0.84599999999999997</v>
      </c>
      <c r="U192" s="2">
        <v>4.2</v>
      </c>
      <c r="V192" s="2">
        <v>9.4</v>
      </c>
      <c r="W192" s="2">
        <v>13.7</v>
      </c>
      <c r="X192" s="2">
        <v>3.1</v>
      </c>
      <c r="Y192" s="2">
        <v>1.4</v>
      </c>
      <c r="Z192" s="2">
        <v>0.7</v>
      </c>
      <c r="AA192" s="2">
        <v>3.1</v>
      </c>
      <c r="AB192" s="2">
        <v>5.2</v>
      </c>
      <c r="AC192" s="2">
        <v>13.5</v>
      </c>
      <c r="AD192" s="2">
        <v>94</v>
      </c>
      <c r="AE192" s="2">
        <v>115</v>
      </c>
      <c r="AF192" s="2"/>
    </row>
    <row r="193" spans="1:32" x14ac:dyDescent="0.2">
      <c r="A193" t="s">
        <v>503</v>
      </c>
      <c r="B193" s="2">
        <v>28</v>
      </c>
      <c r="C193" t="s">
        <v>87</v>
      </c>
      <c r="D193" s="2" t="s">
        <v>27</v>
      </c>
      <c r="E193" s="2">
        <v>6</v>
      </c>
      <c r="F193" s="2">
        <v>0</v>
      </c>
      <c r="G193" s="2">
        <v>21</v>
      </c>
      <c r="H193" s="2">
        <v>6.9</v>
      </c>
      <c r="I193" s="2">
        <v>25.3</v>
      </c>
      <c r="J193" s="2">
        <v>0.27300000000000002</v>
      </c>
      <c r="K193" s="2">
        <v>4.5999999999999996</v>
      </c>
      <c r="L193" s="2">
        <v>18.399999999999999</v>
      </c>
      <c r="M193" s="2">
        <v>0.25</v>
      </c>
      <c r="N193" s="2">
        <v>2.2999999999999998</v>
      </c>
      <c r="O193" s="2">
        <v>6.9</v>
      </c>
      <c r="P193" s="2">
        <v>0.33300000000000002</v>
      </c>
      <c r="Q193" s="2">
        <v>0.36399999999999999</v>
      </c>
      <c r="R193" s="2">
        <v>0</v>
      </c>
      <c r="S193" s="2">
        <v>0</v>
      </c>
      <c r="T193" s="2"/>
      <c r="U193" s="2">
        <v>2.2999999999999998</v>
      </c>
      <c r="V193" s="2">
        <v>6.9</v>
      </c>
      <c r="W193" s="2">
        <v>9.1999999999999993</v>
      </c>
      <c r="X193" s="2">
        <v>2.2999999999999998</v>
      </c>
      <c r="Y193" s="2">
        <v>0</v>
      </c>
      <c r="Z193" s="2">
        <v>2.2999999999999998</v>
      </c>
      <c r="AA193" s="2">
        <v>2.2999999999999998</v>
      </c>
      <c r="AB193" s="2">
        <v>2.2999999999999998</v>
      </c>
      <c r="AC193" s="2">
        <v>18.399999999999999</v>
      </c>
      <c r="AD193" s="2">
        <v>82</v>
      </c>
      <c r="AE193" s="2">
        <v>108</v>
      </c>
      <c r="AF193" s="2"/>
    </row>
    <row r="194" spans="1:32" x14ac:dyDescent="0.2">
      <c r="A194" t="s">
        <v>551</v>
      </c>
      <c r="B194" s="2">
        <v>24</v>
      </c>
      <c r="C194" t="s">
        <v>44</v>
      </c>
      <c r="D194" s="2" t="s">
        <v>49</v>
      </c>
      <c r="E194" s="2">
        <v>7</v>
      </c>
      <c r="F194" s="2">
        <v>0</v>
      </c>
      <c r="G194" s="2">
        <v>21</v>
      </c>
      <c r="H194" s="2">
        <v>2.4</v>
      </c>
      <c r="I194" s="2">
        <v>7.1</v>
      </c>
      <c r="J194" s="2">
        <v>0.33300000000000002</v>
      </c>
      <c r="K194" s="2">
        <v>0</v>
      </c>
      <c r="L194" s="2">
        <v>4.7</v>
      </c>
      <c r="M194" s="2">
        <v>0</v>
      </c>
      <c r="N194" s="2">
        <v>2.4</v>
      </c>
      <c r="O194" s="2">
        <v>2.4</v>
      </c>
      <c r="P194" s="2">
        <v>1</v>
      </c>
      <c r="Q194" s="2">
        <v>0.33300000000000002</v>
      </c>
      <c r="R194" s="2">
        <v>0</v>
      </c>
      <c r="S194" s="2">
        <v>0</v>
      </c>
      <c r="T194" s="2"/>
      <c r="U194" s="2">
        <v>0</v>
      </c>
      <c r="V194" s="2">
        <v>7.1</v>
      </c>
      <c r="W194" s="2">
        <v>7.1</v>
      </c>
      <c r="X194" s="2">
        <v>4.7</v>
      </c>
      <c r="Y194" s="2">
        <v>0</v>
      </c>
      <c r="Z194" s="2">
        <v>0</v>
      </c>
      <c r="AA194" s="2">
        <v>2.4</v>
      </c>
      <c r="AB194" s="2">
        <v>0</v>
      </c>
      <c r="AC194" s="2">
        <v>4.7</v>
      </c>
      <c r="AD194" s="2">
        <v>76</v>
      </c>
      <c r="AE194" s="2">
        <v>119</v>
      </c>
      <c r="AF194" s="2"/>
    </row>
    <row r="195" spans="1:32" x14ac:dyDescent="0.2">
      <c r="A195" t="s">
        <v>288</v>
      </c>
      <c r="B195" s="2">
        <v>22</v>
      </c>
      <c r="C195" t="s">
        <v>63</v>
      </c>
      <c r="D195" s="2" t="s">
        <v>52</v>
      </c>
      <c r="E195" s="2">
        <v>22</v>
      </c>
      <c r="F195" s="2">
        <v>2</v>
      </c>
      <c r="G195" s="2">
        <v>320</v>
      </c>
      <c r="H195" s="2">
        <v>7.8</v>
      </c>
      <c r="I195" s="2">
        <v>20</v>
      </c>
      <c r="J195" s="2">
        <v>0.39100000000000001</v>
      </c>
      <c r="K195" s="2">
        <v>2.7</v>
      </c>
      <c r="L195" s="2">
        <v>8.9</v>
      </c>
      <c r="M195" s="2">
        <v>0.30499999999999999</v>
      </c>
      <c r="N195" s="2">
        <v>5.0999999999999996</v>
      </c>
      <c r="O195" s="2">
        <v>11.1</v>
      </c>
      <c r="P195" s="2">
        <v>0.45900000000000002</v>
      </c>
      <c r="Q195" s="2">
        <v>0.45900000000000002</v>
      </c>
      <c r="R195" s="2">
        <v>3.3</v>
      </c>
      <c r="S195" s="2">
        <v>3.8</v>
      </c>
      <c r="T195" s="2">
        <v>0.88</v>
      </c>
      <c r="U195" s="2">
        <v>0.6</v>
      </c>
      <c r="V195" s="2">
        <v>3.9</v>
      </c>
      <c r="W195" s="2">
        <v>4.5</v>
      </c>
      <c r="X195" s="2">
        <v>4.0999999999999996</v>
      </c>
      <c r="Y195" s="2">
        <v>2.1</v>
      </c>
      <c r="Z195" s="2">
        <v>0.2</v>
      </c>
      <c r="AA195" s="2">
        <v>4.7</v>
      </c>
      <c r="AB195" s="2">
        <v>4.5</v>
      </c>
      <c r="AC195" s="2">
        <v>21.7</v>
      </c>
      <c r="AD195" s="2">
        <v>93</v>
      </c>
      <c r="AE195" s="2">
        <v>114</v>
      </c>
      <c r="AF195" s="2"/>
    </row>
    <row r="196" spans="1:32" x14ac:dyDescent="0.2">
      <c r="A196" t="s">
        <v>101</v>
      </c>
      <c r="B196" s="2">
        <v>22</v>
      </c>
      <c r="C196" t="s">
        <v>75</v>
      </c>
      <c r="D196" s="2" t="s">
        <v>52</v>
      </c>
      <c r="E196" s="2">
        <v>25</v>
      </c>
      <c r="F196" s="2">
        <v>25</v>
      </c>
      <c r="G196" s="2">
        <v>759</v>
      </c>
      <c r="H196" s="2">
        <v>9.9</v>
      </c>
      <c r="I196" s="2">
        <v>22.6</v>
      </c>
      <c r="J196" s="2">
        <v>0.436</v>
      </c>
      <c r="K196" s="2">
        <v>3</v>
      </c>
      <c r="L196" s="2">
        <v>8.1999999999999993</v>
      </c>
      <c r="M196" s="2">
        <v>0.36699999999999999</v>
      </c>
      <c r="N196" s="2">
        <v>6.8</v>
      </c>
      <c r="O196" s="2">
        <v>14.4</v>
      </c>
      <c r="P196" s="2">
        <v>0.47499999999999998</v>
      </c>
      <c r="Q196" s="2">
        <v>0.503</v>
      </c>
      <c r="R196" s="2">
        <v>5.0999999999999996</v>
      </c>
      <c r="S196" s="2">
        <v>7</v>
      </c>
      <c r="T196" s="2">
        <v>0.73099999999999998</v>
      </c>
      <c r="U196" s="2">
        <v>2.1</v>
      </c>
      <c r="V196" s="2">
        <v>4.5999999999999996</v>
      </c>
      <c r="W196" s="2">
        <v>6.6</v>
      </c>
      <c r="X196" s="2">
        <v>6.7</v>
      </c>
      <c r="Y196" s="2">
        <v>1.5</v>
      </c>
      <c r="Z196" s="2">
        <v>0.6</v>
      </c>
      <c r="AA196" s="2">
        <v>4.8</v>
      </c>
      <c r="AB196" s="2">
        <v>3.9</v>
      </c>
      <c r="AC196" s="2">
        <v>27.8</v>
      </c>
      <c r="AD196" s="2">
        <v>105</v>
      </c>
      <c r="AE196" s="2">
        <v>116</v>
      </c>
      <c r="AF196" s="2"/>
    </row>
    <row r="197" spans="1:32" x14ac:dyDescent="0.2">
      <c r="A197" t="s">
        <v>210</v>
      </c>
      <c r="B197" s="2">
        <v>24</v>
      </c>
      <c r="C197" t="s">
        <v>51</v>
      </c>
      <c r="D197" s="2" t="s">
        <v>27</v>
      </c>
      <c r="E197" s="2">
        <v>23</v>
      </c>
      <c r="F197" s="2">
        <v>23</v>
      </c>
      <c r="G197" s="2">
        <v>691</v>
      </c>
      <c r="H197" s="2">
        <v>6.5</v>
      </c>
      <c r="I197" s="2">
        <v>14.7</v>
      </c>
      <c r="J197" s="2">
        <v>0.44</v>
      </c>
      <c r="K197" s="2">
        <v>1.9</v>
      </c>
      <c r="L197" s="2">
        <v>6.3</v>
      </c>
      <c r="M197" s="2">
        <v>0.307</v>
      </c>
      <c r="N197" s="2">
        <v>4.5999999999999996</v>
      </c>
      <c r="O197" s="2">
        <v>8.5</v>
      </c>
      <c r="P197" s="2">
        <v>0.53800000000000003</v>
      </c>
      <c r="Q197" s="2">
        <v>0.505</v>
      </c>
      <c r="R197" s="2">
        <v>1.3</v>
      </c>
      <c r="S197" s="2">
        <v>1.9</v>
      </c>
      <c r="T197" s="2">
        <v>0.69199999999999995</v>
      </c>
      <c r="U197" s="2">
        <v>1.9</v>
      </c>
      <c r="V197" s="2">
        <v>4.0999999999999996</v>
      </c>
      <c r="W197" s="2">
        <v>6.1</v>
      </c>
      <c r="X197" s="2">
        <v>3</v>
      </c>
      <c r="Y197" s="2">
        <v>1.9</v>
      </c>
      <c r="Z197" s="2">
        <v>1.2</v>
      </c>
      <c r="AA197" s="2">
        <v>1.7</v>
      </c>
      <c r="AB197" s="2">
        <v>5.0999999999999996</v>
      </c>
      <c r="AC197" s="2">
        <v>16.2</v>
      </c>
      <c r="AD197" s="2">
        <v>106</v>
      </c>
      <c r="AE197" s="2">
        <v>110</v>
      </c>
      <c r="AF197" s="2"/>
    </row>
    <row r="198" spans="1:32" x14ac:dyDescent="0.2">
      <c r="A198" t="s">
        <v>513</v>
      </c>
      <c r="B198" s="2">
        <v>22</v>
      </c>
      <c r="C198" t="s">
        <v>39</v>
      </c>
      <c r="D198" s="2" t="s">
        <v>52</v>
      </c>
      <c r="E198" s="2">
        <v>7</v>
      </c>
      <c r="F198" s="2">
        <v>0</v>
      </c>
      <c r="G198" s="2">
        <v>24</v>
      </c>
      <c r="H198" s="2">
        <v>4.0999999999999996</v>
      </c>
      <c r="I198" s="2">
        <v>14.3</v>
      </c>
      <c r="J198" s="2">
        <v>0.28599999999999998</v>
      </c>
      <c r="K198" s="2">
        <v>0</v>
      </c>
      <c r="L198" s="2">
        <v>4.0999999999999996</v>
      </c>
      <c r="M198" s="2">
        <v>0</v>
      </c>
      <c r="N198" s="2">
        <v>4.0999999999999996</v>
      </c>
      <c r="O198" s="2">
        <v>10.199999999999999</v>
      </c>
      <c r="P198" s="2">
        <v>0.4</v>
      </c>
      <c r="Q198" s="2">
        <v>0.28599999999999998</v>
      </c>
      <c r="R198" s="2">
        <v>4.0999999999999996</v>
      </c>
      <c r="S198" s="2">
        <v>8.1999999999999993</v>
      </c>
      <c r="T198" s="2">
        <v>0.5</v>
      </c>
      <c r="U198" s="2">
        <v>6.1</v>
      </c>
      <c r="V198" s="2">
        <v>6.1</v>
      </c>
      <c r="W198" s="2">
        <v>12.2</v>
      </c>
      <c r="X198" s="2">
        <v>6.1</v>
      </c>
      <c r="Y198" s="2">
        <v>6.1</v>
      </c>
      <c r="Z198" s="2">
        <v>0</v>
      </c>
      <c r="AA198" s="2">
        <v>2</v>
      </c>
      <c r="AB198" s="2">
        <v>6.1</v>
      </c>
      <c r="AC198" s="2">
        <v>12.2</v>
      </c>
      <c r="AD198" s="2">
        <v>98</v>
      </c>
      <c r="AE198" s="2">
        <v>103</v>
      </c>
      <c r="AF198" s="2"/>
    </row>
    <row r="199" spans="1:32" x14ac:dyDescent="0.2">
      <c r="A199" t="s">
        <v>465</v>
      </c>
      <c r="B199" s="2">
        <v>34</v>
      </c>
      <c r="C199" t="s">
        <v>37</v>
      </c>
      <c r="D199" s="2" t="s">
        <v>49</v>
      </c>
      <c r="E199" s="2">
        <v>5</v>
      </c>
      <c r="F199" s="2">
        <v>2</v>
      </c>
      <c r="G199" s="2">
        <v>84</v>
      </c>
      <c r="H199" s="2">
        <v>3.5</v>
      </c>
      <c r="I199" s="2">
        <v>9.9</v>
      </c>
      <c r="J199" s="2">
        <v>0.35299999999999998</v>
      </c>
      <c r="K199" s="2">
        <v>1.7</v>
      </c>
      <c r="L199" s="2">
        <v>7</v>
      </c>
      <c r="M199" s="2">
        <v>0.25</v>
      </c>
      <c r="N199" s="2">
        <v>1.7</v>
      </c>
      <c r="O199" s="2">
        <v>2.9</v>
      </c>
      <c r="P199" s="2">
        <v>0.6</v>
      </c>
      <c r="Q199" s="2">
        <v>0.441</v>
      </c>
      <c r="R199" s="2">
        <v>2.9</v>
      </c>
      <c r="S199" s="2">
        <v>3.5</v>
      </c>
      <c r="T199" s="2">
        <v>0.83299999999999996</v>
      </c>
      <c r="U199" s="2">
        <v>2.9</v>
      </c>
      <c r="V199" s="2">
        <v>5.8</v>
      </c>
      <c r="W199" s="2">
        <v>8.6999999999999993</v>
      </c>
      <c r="X199" s="2">
        <v>2.2999999999999998</v>
      </c>
      <c r="Y199" s="2">
        <v>1.7</v>
      </c>
      <c r="Z199" s="2">
        <v>0</v>
      </c>
      <c r="AA199" s="2">
        <v>1.7</v>
      </c>
      <c r="AB199" s="2">
        <v>5.2</v>
      </c>
      <c r="AC199" s="2">
        <v>11.6</v>
      </c>
      <c r="AD199" s="2">
        <v>109</v>
      </c>
      <c r="AE199" s="2">
        <v>115</v>
      </c>
      <c r="AF199" s="2"/>
    </row>
    <row r="200" spans="1:32" x14ac:dyDescent="0.2">
      <c r="A200" t="s">
        <v>454</v>
      </c>
      <c r="B200" s="2">
        <v>29</v>
      </c>
      <c r="C200" t="s">
        <v>87</v>
      </c>
      <c r="D200" s="2" t="s">
        <v>49</v>
      </c>
      <c r="E200" s="2">
        <v>10</v>
      </c>
      <c r="F200" s="2">
        <v>0</v>
      </c>
      <c r="G200" s="2">
        <v>59</v>
      </c>
      <c r="H200" s="2">
        <v>7.4</v>
      </c>
      <c r="I200" s="2">
        <v>13.1</v>
      </c>
      <c r="J200" s="2">
        <v>0.56299999999999994</v>
      </c>
      <c r="K200" s="2">
        <v>0</v>
      </c>
      <c r="L200" s="2">
        <v>1.6</v>
      </c>
      <c r="M200" s="2">
        <v>0</v>
      </c>
      <c r="N200" s="2">
        <v>7.4</v>
      </c>
      <c r="O200" s="2">
        <v>11.5</v>
      </c>
      <c r="P200" s="2">
        <v>0.64300000000000002</v>
      </c>
      <c r="Q200" s="2">
        <v>0.56299999999999994</v>
      </c>
      <c r="R200" s="2">
        <v>4.9000000000000004</v>
      </c>
      <c r="S200" s="2">
        <v>7.4</v>
      </c>
      <c r="T200" s="2">
        <v>0.66700000000000004</v>
      </c>
      <c r="U200" s="2">
        <v>3.3</v>
      </c>
      <c r="V200" s="2">
        <v>14.8</v>
      </c>
      <c r="W200" s="2">
        <v>18</v>
      </c>
      <c r="X200" s="2">
        <v>4.9000000000000004</v>
      </c>
      <c r="Y200" s="2">
        <v>4.0999999999999996</v>
      </c>
      <c r="Z200" s="2">
        <v>0</v>
      </c>
      <c r="AA200" s="2">
        <v>4.9000000000000004</v>
      </c>
      <c r="AB200" s="2">
        <v>8.1999999999999993</v>
      </c>
      <c r="AC200" s="2">
        <v>19.7</v>
      </c>
      <c r="AD200" s="2">
        <v>107</v>
      </c>
      <c r="AE200" s="2">
        <v>97</v>
      </c>
      <c r="AF200" s="2"/>
    </row>
    <row r="201" spans="1:32" x14ac:dyDescent="0.2">
      <c r="A201" t="s">
        <v>270</v>
      </c>
      <c r="B201" s="2">
        <v>23</v>
      </c>
      <c r="C201" t="s">
        <v>61</v>
      </c>
      <c r="D201" s="2" t="s">
        <v>49</v>
      </c>
      <c r="E201" s="2">
        <v>19</v>
      </c>
      <c r="F201" s="2">
        <v>1</v>
      </c>
      <c r="G201" s="2">
        <v>402</v>
      </c>
      <c r="H201" s="2">
        <v>7.5</v>
      </c>
      <c r="I201" s="2">
        <v>17.899999999999999</v>
      </c>
      <c r="J201" s="2">
        <v>0.42099999999999999</v>
      </c>
      <c r="K201" s="2">
        <v>1.2</v>
      </c>
      <c r="L201" s="2">
        <v>4.5999999999999996</v>
      </c>
      <c r="M201" s="2">
        <v>0.27</v>
      </c>
      <c r="N201" s="2">
        <v>6.3</v>
      </c>
      <c r="O201" s="2">
        <v>13.3</v>
      </c>
      <c r="P201" s="2">
        <v>0.47199999999999998</v>
      </c>
      <c r="Q201" s="2">
        <v>0.45500000000000002</v>
      </c>
      <c r="R201" s="2">
        <v>3.8</v>
      </c>
      <c r="S201" s="2">
        <v>5.4</v>
      </c>
      <c r="T201" s="2">
        <v>0.70499999999999996</v>
      </c>
      <c r="U201" s="2">
        <v>3.3</v>
      </c>
      <c r="V201" s="2">
        <v>8.4</v>
      </c>
      <c r="W201" s="2">
        <v>11.7</v>
      </c>
      <c r="X201" s="2">
        <v>5.2</v>
      </c>
      <c r="Y201" s="2">
        <v>2.2999999999999998</v>
      </c>
      <c r="Z201" s="2">
        <v>0.2</v>
      </c>
      <c r="AA201" s="2">
        <v>3.5</v>
      </c>
      <c r="AB201" s="2">
        <v>3.6</v>
      </c>
      <c r="AC201" s="2">
        <v>20.100000000000001</v>
      </c>
      <c r="AD201" s="2">
        <v>102</v>
      </c>
      <c r="AE201" s="2">
        <v>110</v>
      </c>
      <c r="AF201" s="2"/>
    </row>
    <row r="202" spans="1:32" x14ac:dyDescent="0.2">
      <c r="A202" t="s">
        <v>218</v>
      </c>
      <c r="B202" s="2">
        <v>23</v>
      </c>
      <c r="C202" t="s">
        <v>80</v>
      </c>
      <c r="D202" s="2" t="s">
        <v>27</v>
      </c>
      <c r="E202" s="2">
        <v>25</v>
      </c>
      <c r="F202" s="2">
        <v>0</v>
      </c>
      <c r="G202" s="2">
        <v>584</v>
      </c>
      <c r="H202" s="2">
        <v>6</v>
      </c>
      <c r="I202" s="2">
        <v>11.9</v>
      </c>
      <c r="J202" s="2">
        <v>0.503</v>
      </c>
      <c r="K202" s="2">
        <v>1.7</v>
      </c>
      <c r="L202" s="2">
        <v>4.4000000000000004</v>
      </c>
      <c r="M202" s="2">
        <v>0.39300000000000002</v>
      </c>
      <c r="N202" s="2">
        <v>4.2</v>
      </c>
      <c r="O202" s="2">
        <v>7.5</v>
      </c>
      <c r="P202" s="2">
        <v>0.56799999999999995</v>
      </c>
      <c r="Q202" s="2">
        <v>0.57599999999999996</v>
      </c>
      <c r="R202" s="2">
        <v>3.2</v>
      </c>
      <c r="S202" s="2">
        <v>4.5999999999999996</v>
      </c>
      <c r="T202" s="2">
        <v>0.69499999999999995</v>
      </c>
      <c r="U202" s="2">
        <v>2.8</v>
      </c>
      <c r="V202" s="2">
        <v>6.4</v>
      </c>
      <c r="W202" s="2">
        <v>9.1999999999999993</v>
      </c>
      <c r="X202" s="2">
        <v>6.9</v>
      </c>
      <c r="Y202" s="2">
        <v>1.7</v>
      </c>
      <c r="Z202" s="2">
        <v>1.3</v>
      </c>
      <c r="AA202" s="2">
        <v>2.8</v>
      </c>
      <c r="AB202" s="2">
        <v>4.5999999999999996</v>
      </c>
      <c r="AC202" s="2">
        <v>16.899999999999999</v>
      </c>
      <c r="AD202" s="2">
        <v>123</v>
      </c>
      <c r="AE202" s="2">
        <v>109</v>
      </c>
      <c r="AF202" s="2"/>
    </row>
    <row r="203" spans="1:32" x14ac:dyDescent="0.2">
      <c r="A203" t="s">
        <v>118</v>
      </c>
      <c r="B203" s="2">
        <v>29</v>
      </c>
      <c r="C203" t="s">
        <v>66</v>
      </c>
      <c r="D203" s="2" t="s">
        <v>42</v>
      </c>
      <c r="E203" s="2">
        <v>25</v>
      </c>
      <c r="F203" s="2">
        <v>24</v>
      </c>
      <c r="G203" s="2">
        <v>813</v>
      </c>
      <c r="H203" s="2">
        <v>10</v>
      </c>
      <c r="I203" s="2">
        <v>16.899999999999999</v>
      </c>
      <c r="J203" s="2">
        <v>0.59299999999999997</v>
      </c>
      <c r="K203" s="2">
        <v>0</v>
      </c>
      <c r="L203" s="2">
        <v>0.1</v>
      </c>
      <c r="M203" s="2">
        <v>0</v>
      </c>
      <c r="N203" s="2">
        <v>10</v>
      </c>
      <c r="O203" s="2">
        <v>16.8</v>
      </c>
      <c r="P203" s="2">
        <v>0.59699999999999998</v>
      </c>
      <c r="Q203" s="2">
        <v>0.59299999999999997</v>
      </c>
      <c r="R203" s="2">
        <v>3.6</v>
      </c>
      <c r="S203" s="2">
        <v>5.2</v>
      </c>
      <c r="T203" s="2">
        <v>0.68200000000000005</v>
      </c>
      <c r="U203" s="2">
        <v>6</v>
      </c>
      <c r="V203" s="2">
        <v>10.8</v>
      </c>
      <c r="W203" s="2">
        <v>16.8</v>
      </c>
      <c r="X203" s="2">
        <v>4</v>
      </c>
      <c r="Y203" s="2">
        <v>1.7</v>
      </c>
      <c r="Z203" s="2">
        <v>1.9</v>
      </c>
      <c r="AA203" s="2">
        <v>3.3</v>
      </c>
      <c r="AB203" s="2">
        <v>5.5</v>
      </c>
      <c r="AC203" s="2">
        <v>23.6</v>
      </c>
      <c r="AD203" s="2">
        <v>120</v>
      </c>
      <c r="AE203" s="2">
        <v>113</v>
      </c>
      <c r="AF203" s="2"/>
    </row>
    <row r="204" spans="1:32" x14ac:dyDescent="0.2">
      <c r="A204" t="s">
        <v>553</v>
      </c>
      <c r="B204" s="2">
        <v>23</v>
      </c>
      <c r="C204" t="s">
        <v>54</v>
      </c>
      <c r="D204" s="2" t="s">
        <v>49</v>
      </c>
      <c r="E204" s="2">
        <v>2</v>
      </c>
      <c r="F204" s="2">
        <v>0</v>
      </c>
      <c r="G204" s="2">
        <v>11</v>
      </c>
      <c r="H204" s="2">
        <v>0</v>
      </c>
      <c r="I204" s="2">
        <v>8.9</v>
      </c>
      <c r="J204" s="2">
        <v>0</v>
      </c>
      <c r="K204" s="2">
        <v>0</v>
      </c>
      <c r="L204" s="2">
        <v>8.9</v>
      </c>
      <c r="M204" s="2">
        <v>0</v>
      </c>
      <c r="N204" s="2">
        <v>0</v>
      </c>
      <c r="O204" s="2">
        <v>0</v>
      </c>
      <c r="P204" s="2"/>
      <c r="Q204" s="2">
        <v>0</v>
      </c>
      <c r="R204" s="2">
        <v>4.5</v>
      </c>
      <c r="S204" s="2">
        <v>8.9</v>
      </c>
      <c r="T204" s="2">
        <v>0.5</v>
      </c>
      <c r="U204" s="2">
        <v>0</v>
      </c>
      <c r="V204" s="2">
        <v>4.5</v>
      </c>
      <c r="W204" s="2">
        <v>4.5</v>
      </c>
      <c r="X204" s="2">
        <v>0</v>
      </c>
      <c r="Y204" s="2">
        <v>0</v>
      </c>
      <c r="Z204" s="2">
        <v>0</v>
      </c>
      <c r="AA204" s="2">
        <v>8.9</v>
      </c>
      <c r="AB204" s="2">
        <v>0</v>
      </c>
      <c r="AC204" s="2">
        <v>4.5</v>
      </c>
      <c r="AD204" s="2">
        <v>22</v>
      </c>
      <c r="AE204" s="2">
        <v>122</v>
      </c>
      <c r="AF204" s="2"/>
    </row>
    <row r="205" spans="1:32" x14ac:dyDescent="0.2">
      <c r="A205" t="s">
        <v>43</v>
      </c>
      <c r="B205" s="2">
        <v>28</v>
      </c>
      <c r="C205" t="s">
        <v>44</v>
      </c>
      <c r="D205" s="2" t="s">
        <v>33</v>
      </c>
      <c r="E205" s="2">
        <v>25</v>
      </c>
      <c r="F205" s="2">
        <v>25</v>
      </c>
      <c r="G205" s="2">
        <v>857</v>
      </c>
      <c r="H205" s="2">
        <v>12.2</v>
      </c>
      <c r="I205" s="2">
        <v>24.9</v>
      </c>
      <c r="J205" s="2">
        <v>0.49099999999999999</v>
      </c>
      <c r="K205" s="2">
        <v>3.8</v>
      </c>
      <c r="L205" s="2">
        <v>8.9</v>
      </c>
      <c r="M205" s="2">
        <v>0.42899999999999999</v>
      </c>
      <c r="N205" s="2">
        <v>8.4</v>
      </c>
      <c r="O205" s="2">
        <v>16</v>
      </c>
      <c r="P205" s="2">
        <v>0.52500000000000002</v>
      </c>
      <c r="Q205" s="2">
        <v>0.56699999999999995</v>
      </c>
      <c r="R205" s="2">
        <v>7.5</v>
      </c>
      <c r="S205" s="2">
        <v>9.1</v>
      </c>
      <c r="T205" s="2">
        <v>0.82299999999999995</v>
      </c>
      <c r="U205" s="2">
        <v>0.6</v>
      </c>
      <c r="V205" s="2">
        <v>3.6</v>
      </c>
      <c r="W205" s="2">
        <v>4.3</v>
      </c>
      <c r="X205" s="2">
        <v>11.3</v>
      </c>
      <c r="Y205" s="2">
        <v>0.9</v>
      </c>
      <c r="Z205" s="2">
        <v>0.1</v>
      </c>
      <c r="AA205" s="2">
        <v>3.4</v>
      </c>
      <c r="AB205" s="2">
        <v>3.2</v>
      </c>
      <c r="AC205" s="2">
        <v>35.700000000000003</v>
      </c>
      <c r="AD205" s="2">
        <v>126</v>
      </c>
      <c r="AE205" s="2">
        <v>119</v>
      </c>
      <c r="AF205" s="2"/>
    </row>
    <row r="206" spans="1:32" x14ac:dyDescent="0.2">
      <c r="A206" t="s">
        <v>226</v>
      </c>
      <c r="B206" s="2">
        <v>21</v>
      </c>
      <c r="C206" t="s">
        <v>75</v>
      </c>
      <c r="D206" s="2" t="s">
        <v>42</v>
      </c>
      <c r="E206" s="2">
        <v>23</v>
      </c>
      <c r="F206" s="2">
        <v>23</v>
      </c>
      <c r="G206" s="2">
        <v>550</v>
      </c>
      <c r="H206" s="2">
        <v>7.4</v>
      </c>
      <c r="I206" s="2">
        <v>10.8</v>
      </c>
      <c r="J206" s="2">
        <v>0.68</v>
      </c>
      <c r="K206" s="2">
        <v>0</v>
      </c>
      <c r="L206" s="2">
        <v>0</v>
      </c>
      <c r="M206" s="2"/>
      <c r="N206" s="2">
        <v>7.4</v>
      </c>
      <c r="O206" s="2">
        <v>10.8</v>
      </c>
      <c r="P206" s="2">
        <v>0.68</v>
      </c>
      <c r="Q206" s="2">
        <v>0.68</v>
      </c>
      <c r="R206" s="2">
        <v>3.4</v>
      </c>
      <c r="S206" s="2">
        <v>5.9</v>
      </c>
      <c r="T206" s="2">
        <v>0.57599999999999996</v>
      </c>
      <c r="U206" s="2">
        <v>6.2</v>
      </c>
      <c r="V206" s="2">
        <v>12</v>
      </c>
      <c r="W206" s="2">
        <v>18.2</v>
      </c>
      <c r="X206" s="2">
        <v>4.8</v>
      </c>
      <c r="Y206" s="2">
        <v>0.8</v>
      </c>
      <c r="Z206" s="2">
        <v>2.6</v>
      </c>
      <c r="AA206" s="2">
        <v>4</v>
      </c>
      <c r="AB206" s="2">
        <v>6.5</v>
      </c>
      <c r="AC206" s="2">
        <v>18.100000000000001</v>
      </c>
      <c r="AD206" s="2">
        <v>122</v>
      </c>
      <c r="AE206" s="2">
        <v>110</v>
      </c>
      <c r="AF206" s="2"/>
    </row>
    <row r="207" spans="1:32" x14ac:dyDescent="0.2">
      <c r="A207" t="s">
        <v>86</v>
      </c>
      <c r="B207" s="2">
        <v>22</v>
      </c>
      <c r="C207" t="s">
        <v>87</v>
      </c>
      <c r="D207" s="2" t="s">
        <v>52</v>
      </c>
      <c r="E207" s="2">
        <v>25</v>
      </c>
      <c r="F207" s="2">
        <v>25</v>
      </c>
      <c r="G207" s="2">
        <v>813</v>
      </c>
      <c r="H207" s="2">
        <v>9.6</v>
      </c>
      <c r="I207" s="2">
        <v>24.2</v>
      </c>
      <c r="J207" s="2">
        <v>0.39700000000000002</v>
      </c>
      <c r="K207" s="2">
        <v>3.7</v>
      </c>
      <c r="L207" s="2">
        <v>11.5</v>
      </c>
      <c r="M207" s="2">
        <v>0.32100000000000001</v>
      </c>
      <c r="N207" s="2">
        <v>5.9</v>
      </c>
      <c r="O207" s="2">
        <v>12.7</v>
      </c>
      <c r="P207" s="2">
        <v>0.46500000000000002</v>
      </c>
      <c r="Q207" s="2">
        <v>0.47299999999999998</v>
      </c>
      <c r="R207" s="2">
        <v>5.8</v>
      </c>
      <c r="S207" s="2">
        <v>6.6</v>
      </c>
      <c r="T207" s="2">
        <v>0.874</v>
      </c>
      <c r="U207" s="2">
        <v>0.8</v>
      </c>
      <c r="V207" s="2">
        <v>6.2</v>
      </c>
      <c r="W207" s="2">
        <v>7</v>
      </c>
      <c r="X207" s="2">
        <v>3.9</v>
      </c>
      <c r="Y207" s="2">
        <v>1.7</v>
      </c>
      <c r="Z207" s="2">
        <v>0.4</v>
      </c>
      <c r="AA207" s="2">
        <v>4</v>
      </c>
      <c r="AB207" s="2">
        <v>2.5</v>
      </c>
      <c r="AC207" s="2">
        <v>28.6</v>
      </c>
      <c r="AD207" s="2">
        <v>104</v>
      </c>
      <c r="AE207" s="2">
        <v>107</v>
      </c>
      <c r="AF207" s="2"/>
    </row>
    <row r="208" spans="1:32" x14ac:dyDescent="0.2">
      <c r="A208" t="s">
        <v>526</v>
      </c>
      <c r="B208" s="2">
        <v>21</v>
      </c>
      <c r="C208" t="s">
        <v>41</v>
      </c>
      <c r="D208" s="2" t="s">
        <v>52</v>
      </c>
      <c r="E208" s="2">
        <v>2</v>
      </c>
      <c r="F208" s="2">
        <v>0</v>
      </c>
      <c r="G208" s="2">
        <v>14</v>
      </c>
      <c r="H208" s="2">
        <v>3.5</v>
      </c>
      <c r="I208" s="2">
        <v>3.5</v>
      </c>
      <c r="J208" s="2">
        <v>1</v>
      </c>
      <c r="K208" s="2">
        <v>0</v>
      </c>
      <c r="L208" s="2">
        <v>0</v>
      </c>
      <c r="M208" s="2"/>
      <c r="N208" s="2">
        <v>3.5</v>
      </c>
      <c r="O208" s="2">
        <v>3.5</v>
      </c>
      <c r="P208" s="2">
        <v>1</v>
      </c>
      <c r="Q208" s="2">
        <v>1</v>
      </c>
      <c r="R208" s="2">
        <v>7</v>
      </c>
      <c r="S208" s="2">
        <v>7</v>
      </c>
      <c r="T208" s="2">
        <v>1</v>
      </c>
      <c r="U208" s="2">
        <v>3.5</v>
      </c>
      <c r="V208" s="2">
        <v>0</v>
      </c>
      <c r="W208" s="2">
        <v>3.5</v>
      </c>
      <c r="X208" s="2">
        <v>3.5</v>
      </c>
      <c r="Y208" s="2">
        <v>0</v>
      </c>
      <c r="Z208" s="2">
        <v>3.5</v>
      </c>
      <c r="AA208" s="2">
        <v>3.5</v>
      </c>
      <c r="AB208" s="2">
        <v>10.5</v>
      </c>
      <c r="AC208" s="2">
        <v>14</v>
      </c>
      <c r="AD208" s="2">
        <v>151</v>
      </c>
      <c r="AE208" s="2">
        <v>122</v>
      </c>
      <c r="AF208" s="2"/>
    </row>
    <row r="209" spans="1:32" x14ac:dyDescent="0.2">
      <c r="A209" t="s">
        <v>89</v>
      </c>
      <c r="B209" s="2">
        <v>23</v>
      </c>
      <c r="C209" t="s">
        <v>72</v>
      </c>
      <c r="D209" s="2" t="s">
        <v>49</v>
      </c>
      <c r="E209" s="2">
        <v>24</v>
      </c>
      <c r="F209" s="2">
        <v>24</v>
      </c>
      <c r="G209" s="2">
        <v>877</v>
      </c>
      <c r="H209" s="2">
        <v>10</v>
      </c>
      <c r="I209" s="2">
        <v>19.899999999999999</v>
      </c>
      <c r="J209" s="2">
        <v>0.503</v>
      </c>
      <c r="K209" s="2">
        <v>2</v>
      </c>
      <c r="L209" s="2">
        <v>5.8</v>
      </c>
      <c r="M209" s="2">
        <v>0.34899999999999998</v>
      </c>
      <c r="N209" s="2">
        <v>8</v>
      </c>
      <c r="O209" s="2">
        <v>14.1</v>
      </c>
      <c r="P209" s="2">
        <v>0.56599999999999995</v>
      </c>
      <c r="Q209" s="2">
        <v>0.55300000000000005</v>
      </c>
      <c r="R209" s="2">
        <v>3.2</v>
      </c>
      <c r="S209" s="2">
        <v>4.2</v>
      </c>
      <c r="T209" s="2">
        <v>0.75</v>
      </c>
      <c r="U209" s="2">
        <v>2.2000000000000002</v>
      </c>
      <c r="V209" s="2">
        <v>10.6</v>
      </c>
      <c r="W209" s="2">
        <v>12.8</v>
      </c>
      <c r="X209" s="2">
        <v>7.1</v>
      </c>
      <c r="Y209" s="2">
        <v>1.7</v>
      </c>
      <c r="Z209" s="2">
        <v>1.4</v>
      </c>
      <c r="AA209" s="2">
        <v>4.2</v>
      </c>
      <c r="AB209" s="2">
        <v>2.5</v>
      </c>
      <c r="AC209" s="2">
        <v>25.2</v>
      </c>
      <c r="AD209" s="2">
        <v>110</v>
      </c>
      <c r="AE209" s="2">
        <v>112</v>
      </c>
      <c r="AF209" s="2"/>
    </row>
    <row r="210" spans="1:32" x14ac:dyDescent="0.2">
      <c r="A210" t="s">
        <v>519</v>
      </c>
      <c r="B210" s="2">
        <v>25</v>
      </c>
      <c r="C210" t="s">
        <v>46</v>
      </c>
      <c r="D210" s="2" t="s">
        <v>52</v>
      </c>
      <c r="E210" s="2">
        <v>4</v>
      </c>
      <c r="F210" s="2">
        <v>0</v>
      </c>
      <c r="G210" s="2">
        <v>37</v>
      </c>
      <c r="H210" s="2">
        <v>2.6</v>
      </c>
      <c r="I210" s="2">
        <v>5.0999999999999996</v>
      </c>
      <c r="J210" s="2">
        <v>0.5</v>
      </c>
      <c r="K210" s="2">
        <v>1.3</v>
      </c>
      <c r="L210" s="2">
        <v>3.9</v>
      </c>
      <c r="M210" s="2">
        <v>0.33300000000000002</v>
      </c>
      <c r="N210" s="2">
        <v>1.3</v>
      </c>
      <c r="O210" s="2">
        <v>1.3</v>
      </c>
      <c r="P210" s="2">
        <v>1</v>
      </c>
      <c r="Q210" s="2">
        <v>0.625</v>
      </c>
      <c r="R210" s="2">
        <v>0</v>
      </c>
      <c r="S210" s="2">
        <v>0</v>
      </c>
      <c r="T210" s="2"/>
      <c r="U210" s="2">
        <v>1.3</v>
      </c>
      <c r="V210" s="2">
        <v>5.0999999999999996</v>
      </c>
      <c r="W210" s="2">
        <v>6.4</v>
      </c>
      <c r="X210" s="2">
        <v>9</v>
      </c>
      <c r="Y210" s="2">
        <v>1.3</v>
      </c>
      <c r="Z210" s="2">
        <v>0</v>
      </c>
      <c r="AA210" s="2">
        <v>2.6</v>
      </c>
      <c r="AB210" s="2">
        <v>7.7</v>
      </c>
      <c r="AC210" s="2">
        <v>6.4</v>
      </c>
      <c r="AD210" s="2">
        <v>122</v>
      </c>
      <c r="AE210" s="2">
        <v>118</v>
      </c>
      <c r="AF210" s="2"/>
    </row>
    <row r="211" spans="1:32" x14ac:dyDescent="0.2">
      <c r="A211" t="s">
        <v>254</v>
      </c>
      <c r="B211" s="2">
        <v>24</v>
      </c>
      <c r="C211" t="s">
        <v>70</v>
      </c>
      <c r="D211" s="2" t="s">
        <v>42</v>
      </c>
      <c r="E211" s="2">
        <v>22</v>
      </c>
      <c r="F211" s="2">
        <v>0</v>
      </c>
      <c r="G211" s="2">
        <v>325</v>
      </c>
      <c r="H211" s="2">
        <v>8.6</v>
      </c>
      <c r="I211" s="2">
        <v>18.7</v>
      </c>
      <c r="J211" s="2">
        <v>0.46200000000000002</v>
      </c>
      <c r="K211" s="2">
        <v>3.8</v>
      </c>
      <c r="L211" s="2">
        <v>10.6</v>
      </c>
      <c r="M211" s="2">
        <v>0.36</v>
      </c>
      <c r="N211" s="2">
        <v>4.8</v>
      </c>
      <c r="O211" s="2">
        <v>8.1</v>
      </c>
      <c r="P211" s="2">
        <v>0.59599999999999997</v>
      </c>
      <c r="Q211" s="2">
        <v>0.56399999999999995</v>
      </c>
      <c r="R211" s="2">
        <v>3.8</v>
      </c>
      <c r="S211" s="2">
        <v>4.8</v>
      </c>
      <c r="T211" s="2">
        <v>0.79400000000000004</v>
      </c>
      <c r="U211" s="2">
        <v>4.2</v>
      </c>
      <c r="V211" s="2">
        <v>11.6</v>
      </c>
      <c r="W211" s="2">
        <v>15.8</v>
      </c>
      <c r="X211" s="2">
        <v>2.1</v>
      </c>
      <c r="Y211" s="2">
        <v>1.1000000000000001</v>
      </c>
      <c r="Z211" s="2">
        <v>2.1</v>
      </c>
      <c r="AA211" s="2">
        <v>2</v>
      </c>
      <c r="AB211" s="2">
        <v>5</v>
      </c>
      <c r="AC211" s="2">
        <v>24.9</v>
      </c>
      <c r="AD211" s="2">
        <v>119</v>
      </c>
      <c r="AE211" s="2">
        <v>114</v>
      </c>
      <c r="AF211" s="2"/>
    </row>
    <row r="212" spans="1:32" x14ac:dyDescent="0.2">
      <c r="A212" t="s">
        <v>104</v>
      </c>
      <c r="B212" s="2">
        <v>23</v>
      </c>
      <c r="C212" t="s">
        <v>48</v>
      </c>
      <c r="D212" s="2" t="s">
        <v>33</v>
      </c>
      <c r="E212" s="2">
        <v>26</v>
      </c>
      <c r="F212" s="2">
        <v>26</v>
      </c>
      <c r="G212" s="2">
        <v>789</v>
      </c>
      <c r="H212" s="2">
        <v>9.3000000000000007</v>
      </c>
      <c r="I212" s="2">
        <v>22.3</v>
      </c>
      <c r="J212" s="2">
        <v>0.41599999999999998</v>
      </c>
      <c r="K212" s="2">
        <v>3.8</v>
      </c>
      <c r="L212" s="2">
        <v>11.8</v>
      </c>
      <c r="M212" s="2">
        <v>0.317</v>
      </c>
      <c r="N212" s="2">
        <v>5.5</v>
      </c>
      <c r="O212" s="2">
        <v>10.4</v>
      </c>
      <c r="P212" s="2">
        <v>0.52700000000000002</v>
      </c>
      <c r="Q212" s="2">
        <v>0.5</v>
      </c>
      <c r="R212" s="2">
        <v>4.7</v>
      </c>
      <c r="S212" s="2">
        <v>5.0999999999999996</v>
      </c>
      <c r="T212" s="2">
        <v>0.91500000000000004</v>
      </c>
      <c r="U212" s="2">
        <v>1.1000000000000001</v>
      </c>
      <c r="V212" s="2">
        <v>5.6</v>
      </c>
      <c r="W212" s="2">
        <v>6.7</v>
      </c>
      <c r="X212" s="2">
        <v>6.1</v>
      </c>
      <c r="Y212" s="2">
        <v>2.6</v>
      </c>
      <c r="Z212" s="2">
        <v>1.5</v>
      </c>
      <c r="AA212" s="2">
        <v>4.5999999999999996</v>
      </c>
      <c r="AB212" s="2">
        <v>4.4000000000000004</v>
      </c>
      <c r="AC212" s="2">
        <v>27</v>
      </c>
      <c r="AD212" s="2">
        <v>104</v>
      </c>
      <c r="AE212" s="2">
        <v>106</v>
      </c>
      <c r="AF212" s="2"/>
    </row>
    <row r="213" spans="1:32" x14ac:dyDescent="0.2">
      <c r="A213" t="s">
        <v>73</v>
      </c>
      <c r="B213" s="2">
        <v>23</v>
      </c>
      <c r="C213" t="s">
        <v>32</v>
      </c>
      <c r="D213" s="2" t="s">
        <v>52</v>
      </c>
      <c r="E213" s="2">
        <v>24</v>
      </c>
      <c r="F213" s="2">
        <v>24</v>
      </c>
      <c r="G213" s="2">
        <v>764</v>
      </c>
      <c r="H213" s="2">
        <v>12.8</v>
      </c>
      <c r="I213" s="2">
        <v>25.4</v>
      </c>
      <c r="J213" s="2">
        <v>0.505</v>
      </c>
      <c r="K213" s="2">
        <v>3</v>
      </c>
      <c r="L213" s="2">
        <v>7.9</v>
      </c>
      <c r="M213" s="2">
        <v>0.38400000000000001</v>
      </c>
      <c r="N213" s="2">
        <v>9.8000000000000007</v>
      </c>
      <c r="O213" s="2">
        <v>17.600000000000001</v>
      </c>
      <c r="P213" s="2">
        <v>0.55900000000000005</v>
      </c>
      <c r="Q213" s="2">
        <v>0.56399999999999995</v>
      </c>
      <c r="R213" s="2">
        <v>4.2</v>
      </c>
      <c r="S213" s="2">
        <v>5.2</v>
      </c>
      <c r="T213" s="2">
        <v>0.80700000000000005</v>
      </c>
      <c r="U213" s="2">
        <v>1.4</v>
      </c>
      <c r="V213" s="2">
        <v>7.9</v>
      </c>
      <c r="W213" s="2">
        <v>9.1999999999999993</v>
      </c>
      <c r="X213" s="2">
        <v>7.6</v>
      </c>
      <c r="Y213" s="2">
        <v>3.1</v>
      </c>
      <c r="Z213" s="2">
        <v>1.3</v>
      </c>
      <c r="AA213" s="2">
        <v>3.3</v>
      </c>
      <c r="AB213" s="2">
        <v>4.0999999999999996</v>
      </c>
      <c r="AC213" s="2">
        <v>32.9</v>
      </c>
      <c r="AD213" s="2">
        <v>117</v>
      </c>
      <c r="AE213" s="2">
        <v>102</v>
      </c>
      <c r="AF213" s="2"/>
    </row>
    <row r="214" spans="1:32" x14ac:dyDescent="0.2">
      <c r="A214" t="s">
        <v>230</v>
      </c>
      <c r="B214" s="2">
        <v>24</v>
      </c>
      <c r="C214" t="s">
        <v>103</v>
      </c>
      <c r="D214" s="2" t="s">
        <v>27</v>
      </c>
      <c r="E214" s="2">
        <v>23</v>
      </c>
      <c r="F214" s="2">
        <v>6</v>
      </c>
      <c r="G214" s="2">
        <v>575</v>
      </c>
      <c r="H214" s="2">
        <v>5.9</v>
      </c>
      <c r="I214" s="2">
        <v>13.7</v>
      </c>
      <c r="J214" s="2">
        <v>0.43</v>
      </c>
      <c r="K214" s="2">
        <v>2.6</v>
      </c>
      <c r="L214" s="2">
        <v>7.5</v>
      </c>
      <c r="M214" s="2">
        <v>0.34499999999999997</v>
      </c>
      <c r="N214" s="2">
        <v>3.3</v>
      </c>
      <c r="O214" s="2">
        <v>6.1</v>
      </c>
      <c r="P214" s="2">
        <v>0.53500000000000003</v>
      </c>
      <c r="Q214" s="2">
        <v>0.52500000000000002</v>
      </c>
      <c r="R214" s="2">
        <v>3</v>
      </c>
      <c r="S214" s="2">
        <v>3.5</v>
      </c>
      <c r="T214" s="2">
        <v>0.875</v>
      </c>
      <c r="U214" s="2">
        <v>2.1</v>
      </c>
      <c r="V214" s="2">
        <v>5</v>
      </c>
      <c r="W214" s="2">
        <v>7.1</v>
      </c>
      <c r="X214" s="2">
        <v>3.4</v>
      </c>
      <c r="Y214" s="2">
        <v>0.7</v>
      </c>
      <c r="Z214" s="2">
        <v>0.1</v>
      </c>
      <c r="AA214" s="2">
        <v>1.7</v>
      </c>
      <c r="AB214" s="2">
        <v>4.5999999999999996</v>
      </c>
      <c r="AC214" s="2">
        <v>17.399999999999999</v>
      </c>
      <c r="AD214" s="2">
        <v>116</v>
      </c>
      <c r="AE214" s="2">
        <v>120</v>
      </c>
      <c r="AF214" s="2"/>
    </row>
    <row r="215" spans="1:32" x14ac:dyDescent="0.2">
      <c r="A215" t="s">
        <v>376</v>
      </c>
      <c r="B215" s="2">
        <v>25</v>
      </c>
      <c r="C215" t="s">
        <v>117</v>
      </c>
      <c r="D215" s="2" t="s">
        <v>49</v>
      </c>
      <c r="E215" s="2">
        <v>15</v>
      </c>
      <c r="F215" s="2">
        <v>0</v>
      </c>
      <c r="G215" s="2">
        <v>217</v>
      </c>
      <c r="H215" s="2">
        <v>5.6</v>
      </c>
      <c r="I215" s="2">
        <v>11.9</v>
      </c>
      <c r="J215" s="2">
        <v>0.47199999999999998</v>
      </c>
      <c r="K215" s="2">
        <v>2</v>
      </c>
      <c r="L215" s="2">
        <v>6.1</v>
      </c>
      <c r="M215" s="2">
        <v>0.33300000000000002</v>
      </c>
      <c r="N215" s="2">
        <v>3.6</v>
      </c>
      <c r="O215" s="2">
        <v>5.9</v>
      </c>
      <c r="P215" s="2">
        <v>0.61499999999999999</v>
      </c>
      <c r="Q215" s="2">
        <v>0.55700000000000005</v>
      </c>
      <c r="R215" s="2">
        <v>2.2999999999999998</v>
      </c>
      <c r="S215" s="2">
        <v>3.6</v>
      </c>
      <c r="T215" s="2">
        <v>0.625</v>
      </c>
      <c r="U215" s="2">
        <v>2.9</v>
      </c>
      <c r="V215" s="2">
        <v>6.3</v>
      </c>
      <c r="W215" s="2">
        <v>9.1999999999999993</v>
      </c>
      <c r="X215" s="2">
        <v>2.2999999999999998</v>
      </c>
      <c r="Y215" s="2">
        <v>1.8</v>
      </c>
      <c r="Z215" s="2">
        <v>1.6</v>
      </c>
      <c r="AA215" s="2">
        <v>1.6</v>
      </c>
      <c r="AB215" s="2">
        <v>4.5</v>
      </c>
      <c r="AC215" s="2">
        <v>15.5</v>
      </c>
      <c r="AD215" s="2">
        <v>117</v>
      </c>
      <c r="AE215" s="2">
        <v>118</v>
      </c>
      <c r="AF215" s="2"/>
    </row>
    <row r="216" spans="1:32" x14ac:dyDescent="0.2">
      <c r="A216" t="s">
        <v>154</v>
      </c>
      <c r="B216" s="2">
        <v>27</v>
      </c>
      <c r="C216" t="s">
        <v>46</v>
      </c>
      <c r="D216" s="2" t="s">
        <v>33</v>
      </c>
      <c r="E216" s="2">
        <v>17</v>
      </c>
      <c r="F216" s="2">
        <v>17</v>
      </c>
      <c r="G216" s="2">
        <v>613</v>
      </c>
      <c r="H216" s="2">
        <v>8.4</v>
      </c>
      <c r="I216" s="2">
        <v>19.899999999999999</v>
      </c>
      <c r="J216" s="2">
        <v>0.42</v>
      </c>
      <c r="K216" s="2">
        <v>2.6</v>
      </c>
      <c r="L216" s="2">
        <v>7.7</v>
      </c>
      <c r="M216" s="2">
        <v>0.33300000000000002</v>
      </c>
      <c r="N216" s="2">
        <v>5.8</v>
      </c>
      <c r="O216" s="2">
        <v>12.3</v>
      </c>
      <c r="P216" s="2">
        <v>0.47499999999999998</v>
      </c>
      <c r="Q216" s="2">
        <v>0.48399999999999999</v>
      </c>
      <c r="R216" s="2">
        <v>4.0999999999999996</v>
      </c>
      <c r="S216" s="2">
        <v>5.0999999999999996</v>
      </c>
      <c r="T216" s="2">
        <v>0.80300000000000005</v>
      </c>
      <c r="U216" s="2">
        <v>0.7</v>
      </c>
      <c r="V216" s="2">
        <v>4.5999999999999996</v>
      </c>
      <c r="W216" s="2">
        <v>5.3</v>
      </c>
      <c r="X216" s="2">
        <v>8.1999999999999993</v>
      </c>
      <c r="Y216" s="2">
        <v>1.8</v>
      </c>
      <c r="Z216" s="2">
        <v>0.8</v>
      </c>
      <c r="AA216" s="2">
        <v>2.5</v>
      </c>
      <c r="AB216" s="2">
        <v>2.2999999999999998</v>
      </c>
      <c r="AC216" s="2">
        <v>23.4</v>
      </c>
      <c r="AD216" s="2">
        <v>112</v>
      </c>
      <c r="AE216" s="2">
        <v>116</v>
      </c>
      <c r="AF216" s="2"/>
    </row>
    <row r="217" spans="1:32" x14ac:dyDescent="0.2">
      <c r="A217" t="s">
        <v>327</v>
      </c>
      <c r="B217" s="2">
        <v>22</v>
      </c>
      <c r="C217" t="s">
        <v>66</v>
      </c>
      <c r="D217" s="2" t="s">
        <v>33</v>
      </c>
      <c r="E217" s="2">
        <v>24</v>
      </c>
      <c r="F217" s="2">
        <v>0</v>
      </c>
      <c r="G217" s="2">
        <v>338</v>
      </c>
      <c r="H217" s="2">
        <v>6.1</v>
      </c>
      <c r="I217" s="2">
        <v>16.100000000000001</v>
      </c>
      <c r="J217" s="2">
        <v>0.38100000000000001</v>
      </c>
      <c r="K217" s="2">
        <v>2</v>
      </c>
      <c r="L217" s="2">
        <v>6.4</v>
      </c>
      <c r="M217" s="2">
        <v>0.311</v>
      </c>
      <c r="N217" s="2">
        <v>4.0999999999999996</v>
      </c>
      <c r="O217" s="2">
        <v>9.6999999999999993</v>
      </c>
      <c r="P217" s="2">
        <v>0.42599999999999999</v>
      </c>
      <c r="Q217" s="2">
        <v>0.442</v>
      </c>
      <c r="R217" s="2">
        <v>1.3</v>
      </c>
      <c r="S217" s="2">
        <v>1.7</v>
      </c>
      <c r="T217" s="2">
        <v>0.75</v>
      </c>
      <c r="U217" s="2">
        <v>0.3</v>
      </c>
      <c r="V217" s="2">
        <v>2.7</v>
      </c>
      <c r="W217" s="2">
        <v>3</v>
      </c>
      <c r="X217" s="2">
        <v>9.4</v>
      </c>
      <c r="Y217" s="2">
        <v>1.6</v>
      </c>
      <c r="Z217" s="2">
        <v>0.3</v>
      </c>
      <c r="AA217" s="2">
        <v>4.4000000000000004</v>
      </c>
      <c r="AB217" s="2">
        <v>6.3</v>
      </c>
      <c r="AC217" s="2">
        <v>15.6</v>
      </c>
      <c r="AD217" s="2">
        <v>94</v>
      </c>
      <c r="AE217" s="2">
        <v>120</v>
      </c>
      <c r="AF217" s="2"/>
    </row>
    <row r="218" spans="1:32" x14ac:dyDescent="0.2">
      <c r="A218" t="s">
        <v>76</v>
      </c>
      <c r="B218" s="2">
        <v>35</v>
      </c>
      <c r="C218" t="s">
        <v>77</v>
      </c>
      <c r="D218" s="2" t="s">
        <v>33</v>
      </c>
      <c r="E218" s="2">
        <v>24</v>
      </c>
      <c r="F218" s="2">
        <v>24</v>
      </c>
      <c r="G218" s="2">
        <v>814</v>
      </c>
      <c r="H218" s="2">
        <v>9</v>
      </c>
      <c r="I218" s="2">
        <v>23.7</v>
      </c>
      <c r="J218" s="2">
        <v>0.379</v>
      </c>
      <c r="K218" s="2">
        <v>4.0999999999999996</v>
      </c>
      <c r="L218" s="2">
        <v>12.2</v>
      </c>
      <c r="M218" s="2">
        <v>0.33800000000000002</v>
      </c>
      <c r="N218" s="2">
        <v>4.8</v>
      </c>
      <c r="O218" s="2">
        <v>11.5</v>
      </c>
      <c r="P218" s="2">
        <v>0.42099999999999999</v>
      </c>
      <c r="Q218" s="2">
        <v>0.46500000000000002</v>
      </c>
      <c r="R218" s="2">
        <v>9.4</v>
      </c>
      <c r="S218" s="2">
        <v>10.5</v>
      </c>
      <c r="T218" s="2">
        <v>0.89600000000000002</v>
      </c>
      <c r="U218" s="2">
        <v>0.8</v>
      </c>
      <c r="V218" s="2">
        <v>9</v>
      </c>
      <c r="W218" s="2">
        <v>9.8000000000000007</v>
      </c>
      <c r="X218" s="2">
        <v>12.4</v>
      </c>
      <c r="Y218" s="2">
        <v>2.2999999999999998</v>
      </c>
      <c r="Z218" s="2">
        <v>1</v>
      </c>
      <c r="AA218" s="2">
        <v>6.4</v>
      </c>
      <c r="AB218" s="2">
        <v>2.8</v>
      </c>
      <c r="AC218" s="2">
        <v>31.4</v>
      </c>
      <c r="AD218" s="2">
        <v>110</v>
      </c>
      <c r="AE218" s="2">
        <v>108</v>
      </c>
      <c r="AF218" s="2"/>
    </row>
    <row r="219" spans="1:32" x14ac:dyDescent="0.2">
      <c r="A219" t="s">
        <v>528</v>
      </c>
      <c r="B219" s="2">
        <v>37</v>
      </c>
      <c r="C219" t="s">
        <v>82</v>
      </c>
      <c r="D219" s="2" t="s">
        <v>27</v>
      </c>
      <c r="E219" s="2">
        <v>3</v>
      </c>
      <c r="F219" s="2">
        <v>0</v>
      </c>
      <c r="G219" s="2">
        <v>10</v>
      </c>
      <c r="H219" s="2">
        <v>9.6</v>
      </c>
      <c r="I219" s="2">
        <v>19.2</v>
      </c>
      <c r="J219" s="2">
        <v>0.5</v>
      </c>
      <c r="K219" s="2">
        <v>0</v>
      </c>
      <c r="L219" s="2">
        <v>4.8</v>
      </c>
      <c r="M219" s="2">
        <v>0</v>
      </c>
      <c r="N219" s="2">
        <v>9.6</v>
      </c>
      <c r="O219" s="2">
        <v>14.4</v>
      </c>
      <c r="P219" s="2">
        <v>0.66700000000000004</v>
      </c>
      <c r="Q219" s="2">
        <v>0.5</v>
      </c>
      <c r="R219" s="2">
        <v>0</v>
      </c>
      <c r="S219" s="2">
        <v>0</v>
      </c>
      <c r="T219" s="2"/>
      <c r="U219" s="2">
        <v>0</v>
      </c>
      <c r="V219" s="2">
        <v>9.6</v>
      </c>
      <c r="W219" s="2">
        <v>9.6</v>
      </c>
      <c r="X219" s="2">
        <v>9.6</v>
      </c>
      <c r="Y219" s="2">
        <v>0</v>
      </c>
      <c r="Z219" s="2">
        <v>4.8</v>
      </c>
      <c r="AA219" s="2">
        <v>14.4</v>
      </c>
      <c r="AB219" s="2">
        <v>0</v>
      </c>
      <c r="AC219" s="2">
        <v>19.2</v>
      </c>
      <c r="AD219" s="2">
        <v>67</v>
      </c>
      <c r="AE219" s="2">
        <v>115</v>
      </c>
      <c r="AF219" s="2"/>
    </row>
    <row r="220" spans="1:32" x14ac:dyDescent="0.2">
      <c r="A220" t="s">
        <v>515</v>
      </c>
      <c r="B220" s="2">
        <v>23</v>
      </c>
      <c r="C220" t="s">
        <v>82</v>
      </c>
      <c r="D220" s="2" t="s">
        <v>42</v>
      </c>
      <c r="E220" s="2">
        <v>1</v>
      </c>
      <c r="F220" s="2">
        <v>0</v>
      </c>
      <c r="G220" s="2">
        <v>5</v>
      </c>
      <c r="H220" s="2">
        <v>19.2</v>
      </c>
      <c r="I220" s="2">
        <v>38.4</v>
      </c>
      <c r="J220" s="2">
        <v>0.5</v>
      </c>
      <c r="K220" s="2">
        <v>0</v>
      </c>
      <c r="L220" s="2">
        <v>9.6</v>
      </c>
      <c r="M220" s="2">
        <v>0</v>
      </c>
      <c r="N220" s="2">
        <v>19.2</v>
      </c>
      <c r="O220" s="2">
        <v>28.8</v>
      </c>
      <c r="P220" s="2">
        <v>0.66700000000000004</v>
      </c>
      <c r="Q220" s="2">
        <v>0.5</v>
      </c>
      <c r="R220" s="2">
        <v>19.2</v>
      </c>
      <c r="S220" s="2">
        <v>19.2</v>
      </c>
      <c r="T220" s="2">
        <v>1</v>
      </c>
      <c r="U220" s="2">
        <v>0</v>
      </c>
      <c r="V220" s="2">
        <v>9.6</v>
      </c>
      <c r="W220" s="2">
        <v>9.6</v>
      </c>
      <c r="X220" s="2">
        <v>0</v>
      </c>
      <c r="Y220" s="2">
        <v>0</v>
      </c>
      <c r="Z220" s="2">
        <v>0</v>
      </c>
      <c r="AA220" s="2">
        <v>0</v>
      </c>
      <c r="AB220" s="2">
        <v>0</v>
      </c>
      <c r="AC220" s="2">
        <v>57.5</v>
      </c>
      <c r="AD220" s="2">
        <v>126</v>
      </c>
      <c r="AE220" s="2">
        <v>121</v>
      </c>
      <c r="AF220" s="2"/>
    </row>
    <row r="221" spans="1:32" x14ac:dyDescent="0.2">
      <c r="A221" t="s">
        <v>295</v>
      </c>
      <c r="B221" s="2">
        <v>23</v>
      </c>
      <c r="C221" t="s">
        <v>66</v>
      </c>
      <c r="D221" s="2" t="s">
        <v>49</v>
      </c>
      <c r="E221" s="2">
        <v>24</v>
      </c>
      <c r="F221" s="2">
        <v>0</v>
      </c>
      <c r="G221" s="2">
        <v>326</v>
      </c>
      <c r="H221" s="2">
        <v>7.3</v>
      </c>
      <c r="I221" s="2">
        <v>15</v>
      </c>
      <c r="J221" s="2">
        <v>0.48499999999999999</v>
      </c>
      <c r="K221" s="2">
        <v>4.9000000000000004</v>
      </c>
      <c r="L221" s="2">
        <v>11.1</v>
      </c>
      <c r="M221" s="2">
        <v>0.44</v>
      </c>
      <c r="N221" s="2">
        <v>2.4</v>
      </c>
      <c r="O221" s="2">
        <v>3.9</v>
      </c>
      <c r="P221" s="2">
        <v>0.61499999999999999</v>
      </c>
      <c r="Q221" s="2">
        <v>0.64900000000000002</v>
      </c>
      <c r="R221" s="2">
        <v>1.3</v>
      </c>
      <c r="S221" s="2">
        <v>1.6</v>
      </c>
      <c r="T221" s="2">
        <v>0.81799999999999995</v>
      </c>
      <c r="U221" s="2">
        <v>2.1</v>
      </c>
      <c r="V221" s="2">
        <v>5</v>
      </c>
      <c r="W221" s="2">
        <v>7.1</v>
      </c>
      <c r="X221" s="2">
        <v>3.3</v>
      </c>
      <c r="Y221" s="2">
        <v>0.4</v>
      </c>
      <c r="Z221" s="2">
        <v>0.6</v>
      </c>
      <c r="AA221" s="2">
        <v>1.2</v>
      </c>
      <c r="AB221" s="2">
        <v>4.0999999999999996</v>
      </c>
      <c r="AC221" s="2">
        <v>20.7</v>
      </c>
      <c r="AD221" s="2">
        <v>133</v>
      </c>
      <c r="AE221" s="2">
        <v>121</v>
      </c>
      <c r="AF221" s="2"/>
    </row>
    <row r="222" spans="1:32" x14ac:dyDescent="0.2">
      <c r="A222" t="s">
        <v>294</v>
      </c>
      <c r="B222" s="2">
        <v>21</v>
      </c>
      <c r="C222" t="s">
        <v>82</v>
      </c>
      <c r="D222" s="2" t="s">
        <v>27</v>
      </c>
      <c r="E222" s="2">
        <v>25</v>
      </c>
      <c r="F222" s="2">
        <v>1</v>
      </c>
      <c r="G222" s="2">
        <v>456</v>
      </c>
      <c r="H222" s="2">
        <v>5.2</v>
      </c>
      <c r="I222" s="2">
        <v>11.9</v>
      </c>
      <c r="J222" s="2">
        <v>0.434</v>
      </c>
      <c r="K222" s="2">
        <v>2.5</v>
      </c>
      <c r="L222" s="2">
        <v>6.4</v>
      </c>
      <c r="M222" s="2">
        <v>0.39300000000000002</v>
      </c>
      <c r="N222" s="2">
        <v>2.6</v>
      </c>
      <c r="O222" s="2">
        <v>5.5</v>
      </c>
      <c r="P222" s="2">
        <v>0.48099999999999998</v>
      </c>
      <c r="Q222" s="2">
        <v>0.54</v>
      </c>
      <c r="R222" s="2">
        <v>2</v>
      </c>
      <c r="S222" s="2">
        <v>3.3</v>
      </c>
      <c r="T222" s="2">
        <v>0.61299999999999999</v>
      </c>
      <c r="U222" s="2">
        <v>1.3</v>
      </c>
      <c r="V222" s="2">
        <v>8</v>
      </c>
      <c r="W222" s="2">
        <v>9.3000000000000007</v>
      </c>
      <c r="X222" s="2">
        <v>4.0999999999999996</v>
      </c>
      <c r="Y222" s="2">
        <v>3.2</v>
      </c>
      <c r="Z222" s="2">
        <v>0.9</v>
      </c>
      <c r="AA222" s="2">
        <v>3.8</v>
      </c>
      <c r="AB222" s="2">
        <v>4.3</v>
      </c>
      <c r="AC222" s="2">
        <v>14.8</v>
      </c>
      <c r="AD222" s="2">
        <v>97</v>
      </c>
      <c r="AE222" s="2">
        <v>113</v>
      </c>
      <c r="AF222" s="2"/>
    </row>
    <row r="223" spans="1:32" x14ac:dyDescent="0.2">
      <c r="A223" t="s">
        <v>343</v>
      </c>
      <c r="B223" s="2">
        <v>24</v>
      </c>
      <c r="C223" t="s">
        <v>114</v>
      </c>
      <c r="D223" s="2" t="s">
        <v>52</v>
      </c>
      <c r="E223" s="2">
        <v>17</v>
      </c>
      <c r="F223" s="2">
        <v>0</v>
      </c>
      <c r="G223" s="2">
        <v>180</v>
      </c>
      <c r="H223" s="2">
        <v>9.9</v>
      </c>
      <c r="I223" s="2">
        <v>22.1</v>
      </c>
      <c r="J223" s="2">
        <v>0.44700000000000001</v>
      </c>
      <c r="K223" s="2">
        <v>1.3</v>
      </c>
      <c r="L223" s="2">
        <v>5.7</v>
      </c>
      <c r="M223" s="2">
        <v>0.22700000000000001</v>
      </c>
      <c r="N223" s="2">
        <v>8.6</v>
      </c>
      <c r="O223" s="2">
        <v>16.3</v>
      </c>
      <c r="P223" s="2">
        <v>0.52400000000000002</v>
      </c>
      <c r="Q223" s="2">
        <v>0.47599999999999998</v>
      </c>
      <c r="R223" s="2">
        <v>4.2</v>
      </c>
      <c r="S223" s="2">
        <v>5.7</v>
      </c>
      <c r="T223" s="2">
        <v>0.72699999999999998</v>
      </c>
      <c r="U223" s="2">
        <v>1</v>
      </c>
      <c r="V223" s="2">
        <v>2.9</v>
      </c>
      <c r="W223" s="2">
        <v>3.9</v>
      </c>
      <c r="X223" s="2">
        <v>11.9</v>
      </c>
      <c r="Y223" s="2">
        <v>1.6</v>
      </c>
      <c r="Z223" s="2">
        <v>0.5</v>
      </c>
      <c r="AA223" s="2">
        <v>3.1</v>
      </c>
      <c r="AB223" s="2">
        <v>5.2</v>
      </c>
      <c r="AC223" s="2">
        <v>25.2</v>
      </c>
      <c r="AD223" s="2">
        <v>110</v>
      </c>
      <c r="AE223" s="2">
        <v>124</v>
      </c>
      <c r="AF223" s="2"/>
    </row>
    <row r="224" spans="1:32" x14ac:dyDescent="0.2">
      <c r="A224" t="s">
        <v>133</v>
      </c>
      <c r="B224" s="2">
        <v>20</v>
      </c>
      <c r="C224" t="s">
        <v>122</v>
      </c>
      <c r="D224" s="2" t="s">
        <v>52</v>
      </c>
      <c r="E224" s="2">
        <v>22</v>
      </c>
      <c r="F224" s="2">
        <v>8</v>
      </c>
      <c r="G224" s="2">
        <v>563</v>
      </c>
      <c r="H224" s="2">
        <v>11</v>
      </c>
      <c r="I224" s="2">
        <v>23.7</v>
      </c>
      <c r="J224" s="2">
        <v>0.46300000000000002</v>
      </c>
      <c r="K224" s="2">
        <v>4.4000000000000004</v>
      </c>
      <c r="L224" s="2">
        <v>11.6</v>
      </c>
      <c r="M224" s="2">
        <v>0.38200000000000001</v>
      </c>
      <c r="N224" s="2">
        <v>6.6</v>
      </c>
      <c r="O224" s="2">
        <v>12.1</v>
      </c>
      <c r="P224" s="2">
        <v>0.54</v>
      </c>
      <c r="Q224" s="2">
        <v>0.55600000000000005</v>
      </c>
      <c r="R224" s="2">
        <v>4.3</v>
      </c>
      <c r="S224" s="2">
        <v>5</v>
      </c>
      <c r="T224" s="2">
        <v>0.875</v>
      </c>
      <c r="U224" s="2">
        <v>1.2</v>
      </c>
      <c r="V224" s="2">
        <v>3.7</v>
      </c>
      <c r="W224" s="2">
        <v>4.9000000000000004</v>
      </c>
      <c r="X224" s="2">
        <v>5</v>
      </c>
      <c r="Y224" s="2">
        <v>1.3</v>
      </c>
      <c r="Z224" s="2">
        <v>0</v>
      </c>
      <c r="AA224" s="2">
        <v>3.1</v>
      </c>
      <c r="AB224" s="2">
        <v>2.8</v>
      </c>
      <c r="AC224" s="2">
        <v>30.7</v>
      </c>
      <c r="AD224" s="2">
        <v>114</v>
      </c>
      <c r="AE224" s="2">
        <v>117</v>
      </c>
      <c r="AF224" s="2"/>
    </row>
    <row r="225" spans="1:32" x14ac:dyDescent="0.2">
      <c r="A225" t="s">
        <v>531</v>
      </c>
      <c r="B225" s="2">
        <v>25</v>
      </c>
      <c r="C225" t="s">
        <v>59</v>
      </c>
      <c r="D225" s="2" t="s">
        <v>52</v>
      </c>
      <c r="E225" s="2">
        <v>4</v>
      </c>
      <c r="F225" s="2">
        <v>0</v>
      </c>
      <c r="G225" s="2">
        <v>12</v>
      </c>
      <c r="H225" s="2">
        <v>8.3000000000000007</v>
      </c>
      <c r="I225" s="2">
        <v>33</v>
      </c>
      <c r="J225" s="2">
        <v>0.25</v>
      </c>
      <c r="K225" s="2">
        <v>0</v>
      </c>
      <c r="L225" s="2">
        <v>8.3000000000000007</v>
      </c>
      <c r="M225" s="2">
        <v>0</v>
      </c>
      <c r="N225" s="2">
        <v>8.3000000000000007</v>
      </c>
      <c r="O225" s="2">
        <v>24.8</v>
      </c>
      <c r="P225" s="2">
        <v>0.33300000000000002</v>
      </c>
      <c r="Q225" s="2">
        <v>0.25</v>
      </c>
      <c r="R225" s="2">
        <v>0</v>
      </c>
      <c r="S225" s="2">
        <v>0</v>
      </c>
      <c r="T225" s="2"/>
      <c r="U225" s="2">
        <v>8.3000000000000007</v>
      </c>
      <c r="V225" s="2">
        <v>8.3000000000000007</v>
      </c>
      <c r="W225" s="2">
        <v>16.5</v>
      </c>
      <c r="X225" s="2">
        <v>8.3000000000000007</v>
      </c>
      <c r="Y225" s="2">
        <v>4.0999999999999996</v>
      </c>
      <c r="Z225" s="2">
        <v>0</v>
      </c>
      <c r="AA225" s="2">
        <v>4.0999999999999996</v>
      </c>
      <c r="AB225" s="2">
        <v>4.0999999999999996</v>
      </c>
      <c r="AC225" s="2">
        <v>16.5</v>
      </c>
      <c r="AD225" s="2">
        <v>74</v>
      </c>
      <c r="AE225" s="2">
        <v>110</v>
      </c>
      <c r="AF225" s="2"/>
    </row>
    <row r="226" spans="1:32" x14ac:dyDescent="0.2">
      <c r="A226" t="s">
        <v>79</v>
      </c>
      <c r="B226" s="2">
        <v>25</v>
      </c>
      <c r="C226" t="s">
        <v>80</v>
      </c>
      <c r="D226" s="2" t="s">
        <v>42</v>
      </c>
      <c r="E226" s="2">
        <v>23</v>
      </c>
      <c r="F226" s="2">
        <v>23</v>
      </c>
      <c r="G226" s="2">
        <v>645</v>
      </c>
      <c r="H226" s="2">
        <v>12.9</v>
      </c>
      <c r="I226" s="2">
        <v>24.9</v>
      </c>
      <c r="J226" s="2">
        <v>0.51700000000000002</v>
      </c>
      <c r="K226" s="2">
        <v>3</v>
      </c>
      <c r="L226" s="2">
        <v>8.5</v>
      </c>
      <c r="M226" s="2">
        <v>0.35</v>
      </c>
      <c r="N226" s="2">
        <v>9.9</v>
      </c>
      <c r="O226" s="2">
        <v>16.399999999999999</v>
      </c>
      <c r="P226" s="2">
        <v>0.60399999999999998</v>
      </c>
      <c r="Q226" s="2">
        <v>0.57699999999999996</v>
      </c>
      <c r="R226" s="2">
        <v>7.1</v>
      </c>
      <c r="S226" s="2">
        <v>8.8000000000000007</v>
      </c>
      <c r="T226" s="2">
        <v>0.81299999999999994</v>
      </c>
      <c r="U226" s="2">
        <v>2.1</v>
      </c>
      <c r="V226" s="2">
        <v>7.4</v>
      </c>
      <c r="W226" s="2">
        <v>9.5</v>
      </c>
      <c r="X226" s="2">
        <v>2.1</v>
      </c>
      <c r="Y226" s="2">
        <v>2.2999999999999998</v>
      </c>
      <c r="Z226" s="2">
        <v>3.1</v>
      </c>
      <c r="AA226" s="2">
        <v>3.5</v>
      </c>
      <c r="AB226" s="2">
        <v>5.3</v>
      </c>
      <c r="AC226" s="2">
        <v>35.9</v>
      </c>
      <c r="AD226" s="2">
        <v>117</v>
      </c>
      <c r="AE226" s="2">
        <v>105</v>
      </c>
      <c r="AF226" s="2"/>
    </row>
    <row r="227" spans="1:32" x14ac:dyDescent="0.2">
      <c r="A227" t="s">
        <v>143</v>
      </c>
      <c r="B227" s="2">
        <v>26</v>
      </c>
      <c r="C227" t="s">
        <v>57</v>
      </c>
      <c r="D227" s="2" t="s">
        <v>42</v>
      </c>
      <c r="E227" s="2">
        <v>25</v>
      </c>
      <c r="F227" s="2">
        <v>25</v>
      </c>
      <c r="G227" s="2">
        <v>745</v>
      </c>
      <c r="H227" s="2">
        <v>8.6999999999999993</v>
      </c>
      <c r="I227" s="2">
        <v>12.8</v>
      </c>
      <c r="J227" s="2">
        <v>0.68300000000000005</v>
      </c>
      <c r="K227" s="2">
        <v>0</v>
      </c>
      <c r="L227" s="2">
        <v>0.1</v>
      </c>
      <c r="M227" s="2">
        <v>0</v>
      </c>
      <c r="N227" s="2">
        <v>8.6999999999999993</v>
      </c>
      <c r="O227" s="2">
        <v>12.7</v>
      </c>
      <c r="P227" s="2">
        <v>0.68700000000000006</v>
      </c>
      <c r="Q227" s="2">
        <v>0.68300000000000005</v>
      </c>
      <c r="R227" s="2">
        <v>4</v>
      </c>
      <c r="S227" s="2">
        <v>5.4</v>
      </c>
      <c r="T227" s="2">
        <v>0.73799999999999999</v>
      </c>
      <c r="U227" s="2">
        <v>3.7</v>
      </c>
      <c r="V227" s="2">
        <v>13</v>
      </c>
      <c r="W227" s="2">
        <v>16.7</v>
      </c>
      <c r="X227" s="2">
        <v>2.9</v>
      </c>
      <c r="Y227" s="2">
        <v>1.5</v>
      </c>
      <c r="Z227" s="2">
        <v>1.4</v>
      </c>
      <c r="AA227" s="2">
        <v>1.7</v>
      </c>
      <c r="AB227" s="2">
        <v>2</v>
      </c>
      <c r="AC227" s="2">
        <v>21.5</v>
      </c>
      <c r="AD227" s="2">
        <v>140</v>
      </c>
      <c r="AE227" s="2">
        <v>108</v>
      </c>
      <c r="AF227" s="2"/>
    </row>
    <row r="228" spans="1:32" x14ac:dyDescent="0.2">
      <c r="A228" t="s">
        <v>279</v>
      </c>
      <c r="B228" s="2">
        <v>31</v>
      </c>
      <c r="C228" t="s">
        <v>117</v>
      </c>
      <c r="D228" s="2" t="s">
        <v>52</v>
      </c>
      <c r="E228" s="2">
        <v>24</v>
      </c>
      <c r="F228" s="2">
        <v>12</v>
      </c>
      <c r="G228" s="2">
        <v>560</v>
      </c>
      <c r="H228" s="2">
        <v>4.5</v>
      </c>
      <c r="I228" s="2">
        <v>10.6</v>
      </c>
      <c r="J228" s="2">
        <v>0.42599999999999999</v>
      </c>
      <c r="K228" s="2">
        <v>1.5</v>
      </c>
      <c r="L228" s="2">
        <v>4.7</v>
      </c>
      <c r="M228" s="2">
        <v>0.315</v>
      </c>
      <c r="N228" s="2">
        <v>3.1</v>
      </c>
      <c r="O228" s="2">
        <v>5.9</v>
      </c>
      <c r="P228" s="2">
        <v>0.51500000000000001</v>
      </c>
      <c r="Q228" s="2">
        <v>0.496</v>
      </c>
      <c r="R228" s="2">
        <v>2.6</v>
      </c>
      <c r="S228" s="2">
        <v>3.4</v>
      </c>
      <c r="T228" s="2">
        <v>0.76900000000000002</v>
      </c>
      <c r="U228" s="2">
        <v>2.1</v>
      </c>
      <c r="V228" s="2">
        <v>4.8</v>
      </c>
      <c r="W228" s="2">
        <v>6.9</v>
      </c>
      <c r="X228" s="2">
        <v>1.7</v>
      </c>
      <c r="Y228" s="2">
        <v>2.4</v>
      </c>
      <c r="Z228" s="2">
        <v>1.5</v>
      </c>
      <c r="AA228" s="2">
        <v>1.2</v>
      </c>
      <c r="AB228" s="2">
        <v>2.6</v>
      </c>
      <c r="AC228" s="2">
        <v>13.2</v>
      </c>
      <c r="AD228" s="2">
        <v>113</v>
      </c>
      <c r="AE228" s="2">
        <v>118</v>
      </c>
      <c r="AF228" s="2"/>
    </row>
    <row r="229" spans="1:32" x14ac:dyDescent="0.2">
      <c r="A229" t="s">
        <v>375</v>
      </c>
      <c r="B229" s="2">
        <v>24</v>
      </c>
      <c r="C229" t="s">
        <v>41</v>
      </c>
      <c r="D229" s="2" t="s">
        <v>42</v>
      </c>
      <c r="E229" s="2">
        <v>11</v>
      </c>
      <c r="F229" s="2">
        <v>1</v>
      </c>
      <c r="G229" s="2">
        <v>192</v>
      </c>
      <c r="H229" s="2">
        <v>6.6</v>
      </c>
      <c r="I229" s="2">
        <v>9.1999999999999993</v>
      </c>
      <c r="J229" s="2">
        <v>0.72199999999999998</v>
      </c>
      <c r="K229" s="2">
        <v>0</v>
      </c>
      <c r="L229" s="2">
        <v>0</v>
      </c>
      <c r="M229" s="2"/>
      <c r="N229" s="2">
        <v>6.6</v>
      </c>
      <c r="O229" s="2">
        <v>9.1999999999999993</v>
      </c>
      <c r="P229" s="2">
        <v>0.72199999999999998</v>
      </c>
      <c r="Q229" s="2">
        <v>0.72199999999999998</v>
      </c>
      <c r="R229" s="2">
        <v>4.5999999999999996</v>
      </c>
      <c r="S229" s="2">
        <v>5.9</v>
      </c>
      <c r="T229" s="2">
        <v>0.78300000000000003</v>
      </c>
      <c r="U229" s="2">
        <v>5.4</v>
      </c>
      <c r="V229" s="2">
        <v>7.4</v>
      </c>
      <c r="W229" s="2">
        <v>12.8</v>
      </c>
      <c r="X229" s="2">
        <v>2.2999999999999998</v>
      </c>
      <c r="Y229" s="2">
        <v>1</v>
      </c>
      <c r="Z229" s="2">
        <v>2.2999999999999998</v>
      </c>
      <c r="AA229" s="2">
        <v>2</v>
      </c>
      <c r="AB229" s="2">
        <v>7.1</v>
      </c>
      <c r="AC229" s="2">
        <v>17.899999999999999</v>
      </c>
      <c r="AD229" s="2">
        <v>143</v>
      </c>
      <c r="AE229" s="2">
        <v>117</v>
      </c>
      <c r="AF229" s="2"/>
    </row>
    <row r="230" spans="1:32" x14ac:dyDescent="0.2">
      <c r="A230" t="s">
        <v>203</v>
      </c>
      <c r="B230" s="2">
        <v>26</v>
      </c>
      <c r="C230" t="s">
        <v>80</v>
      </c>
      <c r="D230" s="2" t="s">
        <v>42</v>
      </c>
      <c r="E230" s="2">
        <v>25</v>
      </c>
      <c r="F230" s="2">
        <v>1</v>
      </c>
      <c r="G230" s="2">
        <v>392</v>
      </c>
      <c r="H230" s="2">
        <v>9.6</v>
      </c>
      <c r="I230" s="2">
        <v>18.5</v>
      </c>
      <c r="J230" s="2">
        <v>0.51900000000000002</v>
      </c>
      <c r="K230" s="2">
        <v>5</v>
      </c>
      <c r="L230" s="2">
        <v>12.2</v>
      </c>
      <c r="M230" s="2">
        <v>0.41299999999999998</v>
      </c>
      <c r="N230" s="2">
        <v>4.5999999999999996</v>
      </c>
      <c r="O230" s="2">
        <v>6.3</v>
      </c>
      <c r="P230" s="2">
        <v>0.72199999999999998</v>
      </c>
      <c r="Q230" s="2">
        <v>0.65500000000000003</v>
      </c>
      <c r="R230" s="2">
        <v>3.6</v>
      </c>
      <c r="S230" s="2">
        <v>4.8</v>
      </c>
      <c r="T230" s="2">
        <v>0.75600000000000001</v>
      </c>
      <c r="U230" s="2">
        <v>1.6</v>
      </c>
      <c r="V230" s="2">
        <v>6.3</v>
      </c>
      <c r="W230" s="2">
        <v>8</v>
      </c>
      <c r="X230" s="2">
        <v>2.5</v>
      </c>
      <c r="Y230" s="2">
        <v>0.8</v>
      </c>
      <c r="Z230" s="2">
        <v>3.7</v>
      </c>
      <c r="AA230" s="2">
        <v>1.9</v>
      </c>
      <c r="AB230" s="2">
        <v>4.8</v>
      </c>
      <c r="AC230" s="2">
        <v>27.9</v>
      </c>
      <c r="AD230" s="2">
        <v>128</v>
      </c>
      <c r="AE230" s="2">
        <v>108</v>
      </c>
      <c r="AF230" s="2"/>
    </row>
    <row r="231" spans="1:32" x14ac:dyDescent="0.2">
      <c r="A231" t="s">
        <v>84</v>
      </c>
      <c r="B231" s="2">
        <v>28</v>
      </c>
      <c r="C231" t="s">
        <v>39</v>
      </c>
      <c r="D231" s="2" t="s">
        <v>49</v>
      </c>
      <c r="E231" s="2">
        <v>20</v>
      </c>
      <c r="F231" s="2">
        <v>20</v>
      </c>
      <c r="G231" s="2">
        <v>716</v>
      </c>
      <c r="H231" s="2">
        <v>11.7</v>
      </c>
      <c r="I231" s="2">
        <v>26.2</v>
      </c>
      <c r="J231" s="2">
        <v>0.44600000000000001</v>
      </c>
      <c r="K231" s="2">
        <v>3.4</v>
      </c>
      <c r="L231" s="2">
        <v>10</v>
      </c>
      <c r="M231" s="2">
        <v>0.34200000000000003</v>
      </c>
      <c r="N231" s="2">
        <v>8.3000000000000007</v>
      </c>
      <c r="O231" s="2">
        <v>16.2</v>
      </c>
      <c r="P231" s="2">
        <v>0.51100000000000001</v>
      </c>
      <c r="Q231" s="2">
        <v>0.51200000000000001</v>
      </c>
      <c r="R231" s="2">
        <v>6.6</v>
      </c>
      <c r="S231" s="2">
        <v>8.6999999999999993</v>
      </c>
      <c r="T231" s="2">
        <v>0.76400000000000001</v>
      </c>
      <c r="U231" s="2">
        <v>2</v>
      </c>
      <c r="V231" s="2">
        <v>6.4</v>
      </c>
      <c r="W231" s="2">
        <v>8.4</v>
      </c>
      <c r="X231" s="2">
        <v>6.4</v>
      </c>
      <c r="Y231" s="2">
        <v>1.5</v>
      </c>
      <c r="Z231" s="2">
        <v>0.5</v>
      </c>
      <c r="AA231" s="2">
        <v>3.6</v>
      </c>
      <c r="AB231" s="2">
        <v>3.6</v>
      </c>
      <c r="AC231" s="2">
        <v>33.4</v>
      </c>
      <c r="AD231" s="2">
        <v>113</v>
      </c>
      <c r="AE231" s="2">
        <v>112</v>
      </c>
      <c r="AF231" s="2"/>
    </row>
    <row r="232" spans="1:32" x14ac:dyDescent="0.2">
      <c r="A232" t="s">
        <v>537</v>
      </c>
      <c r="B232" s="2">
        <v>21</v>
      </c>
      <c r="C232" t="s">
        <v>103</v>
      </c>
      <c r="D232" s="2" t="s">
        <v>49</v>
      </c>
      <c r="E232" s="2">
        <v>2</v>
      </c>
      <c r="F232" s="2">
        <v>0</v>
      </c>
      <c r="G232" s="2">
        <v>3</v>
      </c>
      <c r="H232" s="2">
        <v>16.600000000000001</v>
      </c>
      <c r="I232" s="2">
        <v>16.600000000000001</v>
      </c>
      <c r="J232" s="2">
        <v>1</v>
      </c>
      <c r="K232" s="2">
        <v>16.600000000000001</v>
      </c>
      <c r="L232" s="2">
        <v>16.600000000000001</v>
      </c>
      <c r="M232" s="2">
        <v>1</v>
      </c>
      <c r="N232" s="2">
        <v>0</v>
      </c>
      <c r="O232" s="2">
        <v>0</v>
      </c>
      <c r="P232" s="2"/>
      <c r="Q232" s="2">
        <v>1.5</v>
      </c>
      <c r="R232" s="2">
        <v>0</v>
      </c>
      <c r="S232" s="2">
        <v>0</v>
      </c>
      <c r="T232" s="2"/>
      <c r="U232" s="2">
        <v>0</v>
      </c>
      <c r="V232" s="2">
        <v>0</v>
      </c>
      <c r="W232" s="2">
        <v>0</v>
      </c>
      <c r="X232" s="2">
        <v>0</v>
      </c>
      <c r="Y232" s="2">
        <v>0</v>
      </c>
      <c r="Z232" s="2">
        <v>0</v>
      </c>
      <c r="AA232" s="2">
        <v>0</v>
      </c>
      <c r="AB232" s="2">
        <v>16.600000000000001</v>
      </c>
      <c r="AC232" s="2">
        <v>49.7</v>
      </c>
      <c r="AD232" s="2">
        <v>300</v>
      </c>
      <c r="AE232" s="2">
        <v>124</v>
      </c>
      <c r="AF232" s="2"/>
    </row>
    <row r="233" spans="1:32" x14ac:dyDescent="0.2">
      <c r="A233" t="s">
        <v>379</v>
      </c>
      <c r="B233" s="2">
        <v>25</v>
      </c>
      <c r="C233" t="s">
        <v>117</v>
      </c>
      <c r="D233" s="2" t="s">
        <v>52</v>
      </c>
      <c r="E233" s="2">
        <v>8</v>
      </c>
      <c r="F233" s="2">
        <v>0</v>
      </c>
      <c r="G233" s="2">
        <v>168</v>
      </c>
      <c r="H233" s="2">
        <v>7.6</v>
      </c>
      <c r="I233" s="2">
        <v>21.2</v>
      </c>
      <c r="J233" s="2">
        <v>0.35599999999999998</v>
      </c>
      <c r="K233" s="2">
        <v>2.2999999999999998</v>
      </c>
      <c r="L233" s="2">
        <v>7.9</v>
      </c>
      <c r="M233" s="2">
        <v>0.29599999999999999</v>
      </c>
      <c r="N233" s="2">
        <v>5.2</v>
      </c>
      <c r="O233" s="2">
        <v>13.4</v>
      </c>
      <c r="P233" s="2">
        <v>0.39100000000000001</v>
      </c>
      <c r="Q233" s="2">
        <v>0.41099999999999998</v>
      </c>
      <c r="R233" s="2">
        <v>2</v>
      </c>
      <c r="S233" s="2">
        <v>3.2</v>
      </c>
      <c r="T233" s="2">
        <v>0.63600000000000001</v>
      </c>
      <c r="U233" s="2">
        <v>1.7</v>
      </c>
      <c r="V233" s="2">
        <v>4.0999999999999996</v>
      </c>
      <c r="W233" s="2">
        <v>5.8</v>
      </c>
      <c r="X233" s="2">
        <v>5.2</v>
      </c>
      <c r="Y233" s="2">
        <v>0.3</v>
      </c>
      <c r="Z233" s="2">
        <v>1.2</v>
      </c>
      <c r="AA233" s="2">
        <v>2.2999999999999998</v>
      </c>
      <c r="AB233" s="2">
        <v>2.6</v>
      </c>
      <c r="AC233" s="2">
        <v>19.5</v>
      </c>
      <c r="AD233" s="2">
        <v>94</v>
      </c>
      <c r="AE233" s="2">
        <v>124</v>
      </c>
      <c r="AF233" s="2"/>
    </row>
    <row r="234" spans="1:32" x14ac:dyDescent="0.2">
      <c r="A234" t="s">
        <v>168</v>
      </c>
      <c r="B234" s="2">
        <v>21</v>
      </c>
      <c r="C234" t="s">
        <v>80</v>
      </c>
      <c r="D234" s="2" t="s">
        <v>52</v>
      </c>
      <c r="E234" s="2">
        <v>25</v>
      </c>
      <c r="F234" s="2">
        <v>20</v>
      </c>
      <c r="G234" s="2">
        <v>621</v>
      </c>
      <c r="H234" s="2">
        <v>7.6</v>
      </c>
      <c r="I234" s="2">
        <v>16.899999999999999</v>
      </c>
      <c r="J234" s="2">
        <v>0.45200000000000001</v>
      </c>
      <c r="K234" s="2">
        <v>3.4</v>
      </c>
      <c r="L234" s="2">
        <v>8.9</v>
      </c>
      <c r="M234" s="2">
        <v>0.38300000000000001</v>
      </c>
      <c r="N234" s="2">
        <v>4.2</v>
      </c>
      <c r="O234" s="2">
        <v>8</v>
      </c>
      <c r="P234" s="2">
        <v>0.52800000000000002</v>
      </c>
      <c r="Q234" s="2">
        <v>0.55300000000000005</v>
      </c>
      <c r="R234" s="2">
        <v>2.7</v>
      </c>
      <c r="S234" s="2">
        <v>3.3</v>
      </c>
      <c r="T234" s="2">
        <v>0.8</v>
      </c>
      <c r="U234" s="2">
        <v>1.8</v>
      </c>
      <c r="V234" s="2">
        <v>4.4000000000000004</v>
      </c>
      <c r="W234" s="2">
        <v>6.1</v>
      </c>
      <c r="X234" s="2">
        <v>3.2</v>
      </c>
      <c r="Y234" s="2">
        <v>0.7</v>
      </c>
      <c r="Z234" s="2">
        <v>0.4</v>
      </c>
      <c r="AA234" s="2">
        <v>2.4</v>
      </c>
      <c r="AB234" s="2">
        <v>3.3</v>
      </c>
      <c r="AC234" s="2">
        <v>21.3</v>
      </c>
      <c r="AD234" s="2">
        <v>113</v>
      </c>
      <c r="AE234" s="2">
        <v>114</v>
      </c>
      <c r="AF234" s="2"/>
    </row>
    <row r="235" spans="1:32" x14ac:dyDescent="0.2">
      <c r="A235" t="s">
        <v>443</v>
      </c>
      <c r="B235" s="2">
        <v>22</v>
      </c>
      <c r="C235" t="s">
        <v>57</v>
      </c>
      <c r="D235" s="2" t="s">
        <v>52</v>
      </c>
      <c r="E235" s="2">
        <v>14</v>
      </c>
      <c r="F235" s="2">
        <v>1</v>
      </c>
      <c r="G235" s="2">
        <v>108</v>
      </c>
      <c r="H235" s="2">
        <v>5.3</v>
      </c>
      <c r="I235" s="2">
        <v>12</v>
      </c>
      <c r="J235" s="2">
        <v>0.44400000000000001</v>
      </c>
      <c r="K235" s="2">
        <v>1.3</v>
      </c>
      <c r="L235" s="2">
        <v>4.9000000000000004</v>
      </c>
      <c r="M235" s="2">
        <v>0.27300000000000002</v>
      </c>
      <c r="N235" s="2">
        <v>4</v>
      </c>
      <c r="O235" s="2">
        <v>7.1</v>
      </c>
      <c r="P235" s="2">
        <v>0.56299999999999994</v>
      </c>
      <c r="Q235" s="2">
        <v>0.5</v>
      </c>
      <c r="R235" s="2">
        <v>1.3</v>
      </c>
      <c r="S235" s="2">
        <v>2.7</v>
      </c>
      <c r="T235" s="2">
        <v>0.5</v>
      </c>
      <c r="U235" s="2">
        <v>4.4000000000000004</v>
      </c>
      <c r="V235" s="2">
        <v>6.2</v>
      </c>
      <c r="W235" s="2">
        <v>10.6</v>
      </c>
      <c r="X235" s="2">
        <v>4.9000000000000004</v>
      </c>
      <c r="Y235" s="2">
        <v>1.8</v>
      </c>
      <c r="Z235" s="2">
        <v>0</v>
      </c>
      <c r="AA235" s="2">
        <v>2.7</v>
      </c>
      <c r="AB235" s="2">
        <v>8</v>
      </c>
      <c r="AC235" s="2">
        <v>13.3</v>
      </c>
      <c r="AD235" s="2">
        <v>111</v>
      </c>
      <c r="AE235" s="2">
        <v>113</v>
      </c>
      <c r="AF235" s="2"/>
    </row>
    <row r="236" spans="1:32" x14ac:dyDescent="0.2">
      <c r="A236" t="s">
        <v>38</v>
      </c>
      <c r="B236" s="2">
        <v>26</v>
      </c>
      <c r="C236" t="s">
        <v>39</v>
      </c>
      <c r="D236" s="2" t="s">
        <v>27</v>
      </c>
      <c r="E236" s="2">
        <v>23</v>
      </c>
      <c r="F236" s="2">
        <v>23</v>
      </c>
      <c r="G236" s="2">
        <v>839</v>
      </c>
      <c r="H236" s="2">
        <v>12.2</v>
      </c>
      <c r="I236" s="2">
        <v>27.1</v>
      </c>
      <c r="J236" s="2">
        <v>0.45300000000000001</v>
      </c>
      <c r="K236" s="2">
        <v>5.0999999999999996</v>
      </c>
      <c r="L236" s="2">
        <v>14.1</v>
      </c>
      <c r="M236" s="2">
        <v>0.36399999999999999</v>
      </c>
      <c r="N236" s="2">
        <v>7.1</v>
      </c>
      <c r="O236" s="2">
        <v>12.9</v>
      </c>
      <c r="P236" s="2">
        <v>0.55000000000000004</v>
      </c>
      <c r="Q236" s="2">
        <v>0.54700000000000004</v>
      </c>
      <c r="R236" s="2">
        <v>8.1999999999999993</v>
      </c>
      <c r="S236" s="2">
        <v>10.199999999999999</v>
      </c>
      <c r="T236" s="2">
        <v>0.8</v>
      </c>
      <c r="U236" s="2">
        <v>0.7</v>
      </c>
      <c r="V236" s="2">
        <v>11.2</v>
      </c>
      <c r="W236" s="2">
        <v>11.9</v>
      </c>
      <c r="X236" s="2">
        <v>7.7</v>
      </c>
      <c r="Y236" s="2">
        <v>1.6</v>
      </c>
      <c r="Z236" s="2">
        <v>0.7</v>
      </c>
      <c r="AA236" s="2">
        <v>3.7</v>
      </c>
      <c r="AB236" s="2">
        <v>3.3</v>
      </c>
      <c r="AC236" s="2">
        <v>37.799999999999997</v>
      </c>
      <c r="AD236" s="2">
        <v>119</v>
      </c>
      <c r="AE236" s="2">
        <v>109</v>
      </c>
      <c r="AF236" s="2"/>
    </row>
    <row r="237" spans="1:32" x14ac:dyDescent="0.2">
      <c r="A237" t="s">
        <v>502</v>
      </c>
      <c r="B237" s="2">
        <v>21</v>
      </c>
      <c r="C237" t="s">
        <v>63</v>
      </c>
      <c r="D237" s="2" t="s">
        <v>33</v>
      </c>
      <c r="E237" s="2">
        <v>6</v>
      </c>
      <c r="F237" s="2">
        <v>0</v>
      </c>
      <c r="G237" s="2">
        <v>14</v>
      </c>
      <c r="H237" s="2">
        <v>10.3</v>
      </c>
      <c r="I237" s="2">
        <v>17.2</v>
      </c>
      <c r="J237" s="2">
        <v>0.6</v>
      </c>
      <c r="K237" s="2">
        <v>6.9</v>
      </c>
      <c r="L237" s="2">
        <v>10.3</v>
      </c>
      <c r="M237" s="2">
        <v>0.66700000000000004</v>
      </c>
      <c r="N237" s="2">
        <v>3.4</v>
      </c>
      <c r="O237" s="2">
        <v>6.9</v>
      </c>
      <c r="P237" s="2">
        <v>0.5</v>
      </c>
      <c r="Q237" s="2">
        <v>0.8</v>
      </c>
      <c r="R237" s="2">
        <v>0</v>
      </c>
      <c r="S237" s="2">
        <v>0</v>
      </c>
      <c r="T237" s="2"/>
      <c r="U237" s="2">
        <v>3.4</v>
      </c>
      <c r="V237" s="2">
        <v>0</v>
      </c>
      <c r="W237" s="2">
        <v>3.4</v>
      </c>
      <c r="X237" s="2">
        <v>0</v>
      </c>
      <c r="Y237" s="2">
        <v>0</v>
      </c>
      <c r="Z237" s="2">
        <v>3.4</v>
      </c>
      <c r="AA237" s="2">
        <v>3.4</v>
      </c>
      <c r="AB237" s="2">
        <v>6.9</v>
      </c>
      <c r="AC237" s="2">
        <v>27.5</v>
      </c>
      <c r="AD237" s="2">
        <v>125</v>
      </c>
      <c r="AE237" s="2">
        <v>118</v>
      </c>
      <c r="AF237" s="2"/>
    </row>
    <row r="238" spans="1:32" x14ac:dyDescent="0.2">
      <c r="A238" t="s">
        <v>509</v>
      </c>
      <c r="B238" s="2">
        <v>22</v>
      </c>
      <c r="C238" t="s">
        <v>39</v>
      </c>
      <c r="D238" s="2" t="s">
        <v>33</v>
      </c>
      <c r="E238" s="2">
        <v>5</v>
      </c>
      <c r="F238" s="2">
        <v>0</v>
      </c>
      <c r="G238" s="2">
        <v>24</v>
      </c>
      <c r="H238" s="2">
        <v>4.0999999999999996</v>
      </c>
      <c r="I238" s="2">
        <v>10.199999999999999</v>
      </c>
      <c r="J238" s="2">
        <v>0.4</v>
      </c>
      <c r="K238" s="2">
        <v>2</v>
      </c>
      <c r="L238" s="2">
        <v>6.1</v>
      </c>
      <c r="M238" s="2">
        <v>0.33300000000000002</v>
      </c>
      <c r="N238" s="2">
        <v>2</v>
      </c>
      <c r="O238" s="2">
        <v>4.0999999999999996</v>
      </c>
      <c r="P238" s="2">
        <v>0.5</v>
      </c>
      <c r="Q238" s="2">
        <v>0.5</v>
      </c>
      <c r="R238" s="2">
        <v>2</v>
      </c>
      <c r="S238" s="2">
        <v>4.0999999999999996</v>
      </c>
      <c r="T238" s="2">
        <v>0.5</v>
      </c>
      <c r="U238" s="2">
        <v>0</v>
      </c>
      <c r="V238" s="2">
        <v>4.0999999999999996</v>
      </c>
      <c r="W238" s="2">
        <v>4.0999999999999996</v>
      </c>
      <c r="X238" s="2">
        <v>2</v>
      </c>
      <c r="Y238" s="2">
        <v>2</v>
      </c>
      <c r="Z238" s="2">
        <v>0</v>
      </c>
      <c r="AA238" s="2">
        <v>12.2</v>
      </c>
      <c r="AB238" s="2">
        <v>2</v>
      </c>
      <c r="AC238" s="2">
        <v>12.2</v>
      </c>
      <c r="AD238" s="2">
        <v>51</v>
      </c>
      <c r="AE238" s="2">
        <v>113</v>
      </c>
      <c r="AF238" s="2"/>
    </row>
    <row r="239" spans="1:32" x14ac:dyDescent="0.2">
      <c r="A239" t="s">
        <v>508</v>
      </c>
      <c r="B239" s="2">
        <v>25</v>
      </c>
      <c r="C239" t="s">
        <v>87</v>
      </c>
      <c r="D239" s="2" t="s">
        <v>52</v>
      </c>
      <c r="E239" s="2">
        <v>3</v>
      </c>
      <c r="F239" s="2">
        <v>0</v>
      </c>
      <c r="G239" s="2">
        <v>10</v>
      </c>
      <c r="H239" s="2">
        <v>14.5</v>
      </c>
      <c r="I239" s="2">
        <v>19.3</v>
      </c>
      <c r="J239" s="2">
        <v>0.75</v>
      </c>
      <c r="K239" s="2">
        <v>4.8</v>
      </c>
      <c r="L239" s="2">
        <v>9.6999999999999993</v>
      </c>
      <c r="M239" s="2">
        <v>0.5</v>
      </c>
      <c r="N239" s="2">
        <v>9.6999999999999993</v>
      </c>
      <c r="O239" s="2">
        <v>9.6999999999999993</v>
      </c>
      <c r="P239" s="2">
        <v>1</v>
      </c>
      <c r="Q239" s="2">
        <v>0.875</v>
      </c>
      <c r="R239" s="2">
        <v>0</v>
      </c>
      <c r="S239" s="2">
        <v>0</v>
      </c>
      <c r="T239" s="2"/>
      <c r="U239" s="2">
        <v>0</v>
      </c>
      <c r="V239" s="2">
        <v>14.5</v>
      </c>
      <c r="W239" s="2">
        <v>14.5</v>
      </c>
      <c r="X239" s="2">
        <v>0</v>
      </c>
      <c r="Y239" s="2">
        <v>4.8</v>
      </c>
      <c r="Z239" s="2">
        <v>0</v>
      </c>
      <c r="AA239" s="2">
        <v>0</v>
      </c>
      <c r="AB239" s="2">
        <v>0</v>
      </c>
      <c r="AC239" s="2">
        <v>33.9</v>
      </c>
      <c r="AD239" s="2">
        <v>168</v>
      </c>
      <c r="AE239" s="2">
        <v>96</v>
      </c>
      <c r="AF239" s="2"/>
    </row>
    <row r="240" spans="1:32" x14ac:dyDescent="0.2">
      <c r="A240" t="s">
        <v>481</v>
      </c>
      <c r="B240" s="2">
        <v>27</v>
      </c>
      <c r="C240" t="s">
        <v>122</v>
      </c>
      <c r="D240" s="2" t="s">
        <v>33</v>
      </c>
      <c r="E240" s="2">
        <v>8</v>
      </c>
      <c r="F240" s="2">
        <v>0</v>
      </c>
      <c r="G240" s="2">
        <v>80</v>
      </c>
      <c r="H240" s="2">
        <v>3.7</v>
      </c>
      <c r="I240" s="2">
        <v>11.8</v>
      </c>
      <c r="J240" s="2">
        <v>0.316</v>
      </c>
      <c r="K240" s="2">
        <v>0.6</v>
      </c>
      <c r="L240" s="2">
        <v>5</v>
      </c>
      <c r="M240" s="2">
        <v>0.125</v>
      </c>
      <c r="N240" s="2">
        <v>3.1</v>
      </c>
      <c r="O240" s="2">
        <v>6.9</v>
      </c>
      <c r="P240" s="2">
        <v>0.45500000000000002</v>
      </c>
      <c r="Q240" s="2">
        <v>0.34200000000000003</v>
      </c>
      <c r="R240" s="2">
        <v>1.9</v>
      </c>
      <c r="S240" s="2">
        <v>2.5</v>
      </c>
      <c r="T240" s="2">
        <v>0.75</v>
      </c>
      <c r="U240" s="2">
        <v>1.2</v>
      </c>
      <c r="V240" s="2">
        <v>3.7</v>
      </c>
      <c r="W240" s="2">
        <v>5</v>
      </c>
      <c r="X240" s="2">
        <v>5.6</v>
      </c>
      <c r="Y240" s="2">
        <v>1.9</v>
      </c>
      <c r="Z240" s="2">
        <v>0</v>
      </c>
      <c r="AA240" s="2">
        <v>0.6</v>
      </c>
      <c r="AB240" s="2">
        <v>3.1</v>
      </c>
      <c r="AC240" s="2">
        <v>10</v>
      </c>
      <c r="AD240" s="2">
        <v>101</v>
      </c>
      <c r="AE240" s="2">
        <v>116</v>
      </c>
      <c r="AF240" s="2"/>
    </row>
    <row r="241" spans="1:32" x14ac:dyDescent="0.2">
      <c r="A241" t="s">
        <v>480</v>
      </c>
      <c r="B241" s="2">
        <v>38</v>
      </c>
      <c r="C241" t="s">
        <v>87</v>
      </c>
      <c r="D241" s="2" t="s">
        <v>27</v>
      </c>
      <c r="E241" s="2">
        <v>7</v>
      </c>
      <c r="F241" s="2">
        <v>0</v>
      </c>
      <c r="G241" s="2">
        <v>40</v>
      </c>
      <c r="H241" s="2">
        <v>8.5</v>
      </c>
      <c r="I241" s="2">
        <v>15.7</v>
      </c>
      <c r="J241" s="2">
        <v>0.53800000000000003</v>
      </c>
      <c r="K241" s="2">
        <v>3.6</v>
      </c>
      <c r="L241" s="2">
        <v>9.6999999999999993</v>
      </c>
      <c r="M241" s="2">
        <v>0.375</v>
      </c>
      <c r="N241" s="2">
        <v>4.8</v>
      </c>
      <c r="O241" s="2">
        <v>6</v>
      </c>
      <c r="P241" s="2">
        <v>0.8</v>
      </c>
      <c r="Q241" s="2">
        <v>0.65400000000000003</v>
      </c>
      <c r="R241" s="2">
        <v>0</v>
      </c>
      <c r="S241" s="2">
        <v>0</v>
      </c>
      <c r="T241" s="2"/>
      <c r="U241" s="2">
        <v>0</v>
      </c>
      <c r="V241" s="2">
        <v>4.8</v>
      </c>
      <c r="W241" s="2">
        <v>4.8</v>
      </c>
      <c r="X241" s="2">
        <v>1.2</v>
      </c>
      <c r="Y241" s="2">
        <v>2.4</v>
      </c>
      <c r="Z241" s="2">
        <v>0</v>
      </c>
      <c r="AA241" s="2">
        <v>2.4</v>
      </c>
      <c r="AB241" s="2">
        <v>2.4</v>
      </c>
      <c r="AC241" s="2">
        <v>20.6</v>
      </c>
      <c r="AD241" s="2">
        <v>113</v>
      </c>
      <c r="AE241" s="2">
        <v>107</v>
      </c>
      <c r="AF241" s="2"/>
    </row>
    <row r="242" spans="1:32" x14ac:dyDescent="0.2">
      <c r="A242" t="s">
        <v>139</v>
      </c>
      <c r="B242" s="2">
        <v>30</v>
      </c>
      <c r="C242" t="s">
        <v>135</v>
      </c>
      <c r="D242" s="2" t="s">
        <v>27</v>
      </c>
      <c r="E242" s="2">
        <v>22</v>
      </c>
      <c r="F242" s="2">
        <v>22</v>
      </c>
      <c r="G242" s="2">
        <v>714</v>
      </c>
      <c r="H242" s="2">
        <v>7.4</v>
      </c>
      <c r="I242" s="2">
        <v>19.399999999999999</v>
      </c>
      <c r="J242" s="2">
        <v>0.38</v>
      </c>
      <c r="K242" s="2">
        <v>3.3</v>
      </c>
      <c r="L242" s="2">
        <v>9.3000000000000007</v>
      </c>
      <c r="M242" s="2">
        <v>0.35499999999999998</v>
      </c>
      <c r="N242" s="2">
        <v>4</v>
      </c>
      <c r="O242" s="2">
        <v>10</v>
      </c>
      <c r="P242" s="2">
        <v>0.40300000000000002</v>
      </c>
      <c r="Q242" s="2">
        <v>0.46500000000000002</v>
      </c>
      <c r="R242" s="2">
        <v>4.7</v>
      </c>
      <c r="S242" s="2">
        <v>5.7</v>
      </c>
      <c r="T242" s="2">
        <v>0.82399999999999995</v>
      </c>
      <c r="U242" s="2">
        <v>0.7</v>
      </c>
      <c r="V242" s="2">
        <v>4.5</v>
      </c>
      <c r="W242" s="2">
        <v>5.2</v>
      </c>
      <c r="X242" s="2">
        <v>3.4</v>
      </c>
      <c r="Y242" s="2">
        <v>1.4</v>
      </c>
      <c r="Z242" s="2">
        <v>1.6</v>
      </c>
      <c r="AA242" s="2">
        <v>2.1</v>
      </c>
      <c r="AB242" s="2">
        <v>3.4</v>
      </c>
      <c r="AC242" s="2">
        <v>22.7</v>
      </c>
      <c r="AD242" s="2">
        <v>108</v>
      </c>
      <c r="AE242" s="2">
        <v>118</v>
      </c>
      <c r="AF242" s="2"/>
    </row>
    <row r="243" spans="1:32" x14ac:dyDescent="0.2">
      <c r="A243" t="s">
        <v>250</v>
      </c>
      <c r="B243" s="2">
        <v>24</v>
      </c>
      <c r="C243" t="s">
        <v>117</v>
      </c>
      <c r="D243" s="2" t="s">
        <v>27</v>
      </c>
      <c r="E243" s="2">
        <v>25</v>
      </c>
      <c r="F243" s="2">
        <v>4</v>
      </c>
      <c r="G243" s="2">
        <v>507</v>
      </c>
      <c r="H243" s="2">
        <v>6.5</v>
      </c>
      <c r="I243" s="2">
        <v>14.7</v>
      </c>
      <c r="J243" s="2">
        <v>0.438</v>
      </c>
      <c r="K243" s="2">
        <v>2</v>
      </c>
      <c r="L243" s="2">
        <v>6.3</v>
      </c>
      <c r="M243" s="2">
        <v>0.32300000000000001</v>
      </c>
      <c r="N243" s="2">
        <v>4.4000000000000004</v>
      </c>
      <c r="O243" s="2">
        <v>8.5</v>
      </c>
      <c r="P243" s="2">
        <v>0.52300000000000002</v>
      </c>
      <c r="Q243" s="2">
        <v>0.50700000000000001</v>
      </c>
      <c r="R243" s="2">
        <v>2.2000000000000002</v>
      </c>
      <c r="S243" s="2">
        <v>2.5</v>
      </c>
      <c r="T243" s="2">
        <v>0.88500000000000001</v>
      </c>
      <c r="U243" s="2">
        <v>5.0999999999999996</v>
      </c>
      <c r="V243" s="2">
        <v>7.1</v>
      </c>
      <c r="W243" s="2">
        <v>12.2</v>
      </c>
      <c r="X243" s="2">
        <v>2.9</v>
      </c>
      <c r="Y243" s="2">
        <v>1.8</v>
      </c>
      <c r="Z243" s="2">
        <v>0.3</v>
      </c>
      <c r="AA243" s="2">
        <v>2.1</v>
      </c>
      <c r="AB243" s="2">
        <v>3.4</v>
      </c>
      <c r="AC243" s="2">
        <v>17.2</v>
      </c>
      <c r="AD243" s="2">
        <v>114</v>
      </c>
      <c r="AE243" s="2">
        <v>119</v>
      </c>
      <c r="AF243" s="2"/>
    </row>
    <row r="244" spans="1:32" x14ac:dyDescent="0.2">
      <c r="A244" t="s">
        <v>271</v>
      </c>
      <c r="B244" s="2">
        <v>21</v>
      </c>
      <c r="C244" t="s">
        <v>93</v>
      </c>
      <c r="D244" s="2" t="s">
        <v>27</v>
      </c>
      <c r="E244" s="2">
        <v>11</v>
      </c>
      <c r="F244" s="2">
        <v>8</v>
      </c>
      <c r="G244" s="2">
        <v>304</v>
      </c>
      <c r="H244" s="2">
        <v>10.1</v>
      </c>
      <c r="I244" s="2">
        <v>20.2</v>
      </c>
      <c r="J244" s="2">
        <v>0.5</v>
      </c>
      <c r="K244" s="2">
        <v>0.6</v>
      </c>
      <c r="L244" s="2">
        <v>3</v>
      </c>
      <c r="M244" s="2">
        <v>0.21099999999999999</v>
      </c>
      <c r="N244" s="2">
        <v>9.4</v>
      </c>
      <c r="O244" s="2">
        <v>17.100000000000001</v>
      </c>
      <c r="P244" s="2">
        <v>0.55100000000000005</v>
      </c>
      <c r="Q244" s="2">
        <v>0.51600000000000001</v>
      </c>
      <c r="R244" s="2">
        <v>4.5999999999999996</v>
      </c>
      <c r="S244" s="2">
        <v>6.7</v>
      </c>
      <c r="T244" s="2">
        <v>0.69</v>
      </c>
      <c r="U244" s="2">
        <v>5.0999999999999996</v>
      </c>
      <c r="V244" s="2">
        <v>9.3000000000000007</v>
      </c>
      <c r="W244" s="2">
        <v>14.4</v>
      </c>
      <c r="X244" s="2">
        <v>4.5</v>
      </c>
      <c r="Y244" s="2">
        <v>1.8</v>
      </c>
      <c r="Z244" s="2">
        <v>1</v>
      </c>
      <c r="AA244" s="2">
        <v>3.2</v>
      </c>
      <c r="AB244" s="2">
        <v>4.5999999999999996</v>
      </c>
      <c r="AC244" s="2">
        <v>25.4</v>
      </c>
      <c r="AD244" s="2">
        <v>112</v>
      </c>
      <c r="AE244" s="2">
        <v>113</v>
      </c>
      <c r="AF244" s="2"/>
    </row>
    <row r="245" spans="1:32" x14ac:dyDescent="0.2">
      <c r="A245" t="s">
        <v>418</v>
      </c>
      <c r="B245" s="2">
        <v>26</v>
      </c>
      <c r="C245" t="s">
        <v>44</v>
      </c>
      <c r="D245" s="2" t="s">
        <v>42</v>
      </c>
      <c r="E245" s="2">
        <v>24</v>
      </c>
      <c r="F245" s="2">
        <v>2</v>
      </c>
      <c r="G245" s="2">
        <v>299</v>
      </c>
      <c r="H245" s="2">
        <v>3.1</v>
      </c>
      <c r="I245" s="2">
        <v>4.5</v>
      </c>
      <c r="J245" s="2">
        <v>0.70399999999999996</v>
      </c>
      <c r="K245" s="2">
        <v>0</v>
      </c>
      <c r="L245" s="2">
        <v>0</v>
      </c>
      <c r="M245" s="2"/>
      <c r="N245" s="2">
        <v>3.1</v>
      </c>
      <c r="O245" s="2">
        <v>4.5</v>
      </c>
      <c r="P245" s="2">
        <v>0.70399999999999996</v>
      </c>
      <c r="Q245" s="2">
        <v>0.70399999999999996</v>
      </c>
      <c r="R245" s="2">
        <v>0.7</v>
      </c>
      <c r="S245" s="2">
        <v>1.2</v>
      </c>
      <c r="T245" s="2">
        <v>0.57099999999999995</v>
      </c>
      <c r="U245" s="2">
        <v>5.0999999999999996</v>
      </c>
      <c r="V245" s="2">
        <v>9.3000000000000007</v>
      </c>
      <c r="W245" s="2">
        <v>14.4</v>
      </c>
      <c r="X245" s="2">
        <v>2.5</v>
      </c>
      <c r="Y245" s="2">
        <v>1</v>
      </c>
      <c r="Z245" s="2">
        <v>1.5</v>
      </c>
      <c r="AA245" s="2">
        <v>2.2000000000000002</v>
      </c>
      <c r="AB245" s="2">
        <v>5.3</v>
      </c>
      <c r="AC245" s="2">
        <v>7</v>
      </c>
      <c r="AD245" s="2">
        <v>131</v>
      </c>
      <c r="AE245" s="2">
        <v>114</v>
      </c>
      <c r="AF245" s="2"/>
    </row>
    <row r="246" spans="1:32" x14ac:dyDescent="0.2">
      <c r="A246" t="s">
        <v>333</v>
      </c>
      <c r="B246" s="2">
        <v>21</v>
      </c>
      <c r="C246" t="s">
        <v>48</v>
      </c>
      <c r="D246" s="2" t="s">
        <v>49</v>
      </c>
      <c r="E246" s="2">
        <v>25</v>
      </c>
      <c r="F246" s="2">
        <v>0</v>
      </c>
      <c r="G246" s="2">
        <v>268</v>
      </c>
      <c r="H246" s="2">
        <v>6.8</v>
      </c>
      <c r="I246" s="2">
        <v>18.100000000000001</v>
      </c>
      <c r="J246" s="2">
        <v>0.378</v>
      </c>
      <c r="K246" s="2">
        <v>4.4000000000000004</v>
      </c>
      <c r="L246" s="2">
        <v>13.8</v>
      </c>
      <c r="M246" s="2">
        <v>0.32</v>
      </c>
      <c r="N246" s="2">
        <v>2.4</v>
      </c>
      <c r="O246" s="2">
        <v>4.2</v>
      </c>
      <c r="P246" s="2">
        <v>0.56499999999999995</v>
      </c>
      <c r="Q246" s="2">
        <v>0.5</v>
      </c>
      <c r="R246" s="2">
        <v>1.1000000000000001</v>
      </c>
      <c r="S246" s="2">
        <v>1.3</v>
      </c>
      <c r="T246" s="2">
        <v>0.85699999999999998</v>
      </c>
      <c r="U246" s="2">
        <v>1.8</v>
      </c>
      <c r="V246" s="2">
        <v>3.7</v>
      </c>
      <c r="W246" s="2">
        <v>5.5</v>
      </c>
      <c r="X246" s="2">
        <v>2.2000000000000002</v>
      </c>
      <c r="Y246" s="2">
        <v>0.9</v>
      </c>
      <c r="Z246" s="2">
        <v>1.1000000000000001</v>
      </c>
      <c r="AA246" s="2">
        <v>1.3</v>
      </c>
      <c r="AB246" s="2">
        <v>4.0999999999999996</v>
      </c>
      <c r="AC246" s="2">
        <v>19.2</v>
      </c>
      <c r="AD246" s="2">
        <v>107</v>
      </c>
      <c r="AE246" s="2">
        <v>111</v>
      </c>
      <c r="AF246" s="2"/>
    </row>
    <row r="247" spans="1:32" x14ac:dyDescent="0.2">
      <c r="A247" t="s">
        <v>475</v>
      </c>
      <c r="B247" s="2">
        <v>29</v>
      </c>
      <c r="C247" t="s">
        <v>70</v>
      </c>
      <c r="D247" s="2" t="s">
        <v>33</v>
      </c>
      <c r="E247" s="2">
        <v>11</v>
      </c>
      <c r="F247" s="2">
        <v>0</v>
      </c>
      <c r="G247" s="2">
        <v>53</v>
      </c>
      <c r="H247" s="2">
        <v>6.1</v>
      </c>
      <c r="I247" s="2">
        <v>20</v>
      </c>
      <c r="J247" s="2">
        <v>0.30399999999999999</v>
      </c>
      <c r="K247" s="2">
        <v>3.5</v>
      </c>
      <c r="L247" s="2">
        <v>13.9</v>
      </c>
      <c r="M247" s="2">
        <v>0.25</v>
      </c>
      <c r="N247" s="2">
        <v>2.6</v>
      </c>
      <c r="O247" s="2">
        <v>6.1</v>
      </c>
      <c r="P247" s="2">
        <v>0.42899999999999999</v>
      </c>
      <c r="Q247" s="2">
        <v>0.39100000000000001</v>
      </c>
      <c r="R247" s="2">
        <v>0</v>
      </c>
      <c r="S247" s="2">
        <v>0</v>
      </c>
      <c r="T247" s="2"/>
      <c r="U247" s="2">
        <v>0.9</v>
      </c>
      <c r="V247" s="2">
        <v>6.1</v>
      </c>
      <c r="W247" s="2">
        <v>6.9</v>
      </c>
      <c r="X247" s="2">
        <v>5.2</v>
      </c>
      <c r="Y247" s="2">
        <v>2.6</v>
      </c>
      <c r="Z247" s="2">
        <v>0</v>
      </c>
      <c r="AA247" s="2">
        <v>3.5</v>
      </c>
      <c r="AB247" s="2">
        <v>0.9</v>
      </c>
      <c r="AC247" s="2">
        <v>15.6</v>
      </c>
      <c r="AD247" s="2">
        <v>80</v>
      </c>
      <c r="AE247" s="2">
        <v>117</v>
      </c>
      <c r="AF247" s="2"/>
    </row>
    <row r="248" spans="1:32" x14ac:dyDescent="0.2">
      <c r="A248" t="s">
        <v>144</v>
      </c>
      <c r="B248" s="2">
        <v>35</v>
      </c>
      <c r="C248" t="s">
        <v>61</v>
      </c>
      <c r="D248" s="2" t="s">
        <v>27</v>
      </c>
      <c r="E248" s="2">
        <v>18</v>
      </c>
      <c r="F248" s="2">
        <v>18</v>
      </c>
      <c r="G248" s="2">
        <v>575</v>
      </c>
      <c r="H248" s="2">
        <v>9.5</v>
      </c>
      <c r="I248" s="2">
        <v>17.2</v>
      </c>
      <c r="J248" s="2">
        <v>0.55000000000000004</v>
      </c>
      <c r="K248" s="2">
        <v>0.8</v>
      </c>
      <c r="L248" s="2">
        <v>2.2000000000000002</v>
      </c>
      <c r="M248" s="2">
        <v>0.36</v>
      </c>
      <c r="N248" s="2">
        <v>8.6999999999999993</v>
      </c>
      <c r="O248" s="2">
        <v>15.1</v>
      </c>
      <c r="P248" s="2">
        <v>0.57699999999999996</v>
      </c>
      <c r="Q248" s="2">
        <v>0.57299999999999995</v>
      </c>
      <c r="R248" s="2">
        <v>9.1</v>
      </c>
      <c r="S248" s="2">
        <v>11.6</v>
      </c>
      <c r="T248" s="2">
        <v>0.77800000000000002</v>
      </c>
      <c r="U248" s="2">
        <v>3.8</v>
      </c>
      <c r="V248" s="2">
        <v>4.5</v>
      </c>
      <c r="W248" s="2">
        <v>8.3000000000000007</v>
      </c>
      <c r="X248" s="2">
        <v>7.3</v>
      </c>
      <c r="Y248" s="2">
        <v>1.8</v>
      </c>
      <c r="Z248" s="2">
        <v>0.6</v>
      </c>
      <c r="AA248" s="2">
        <v>2.2000000000000002</v>
      </c>
      <c r="AB248" s="2">
        <v>1.7</v>
      </c>
      <c r="AC248" s="2">
        <v>28.8</v>
      </c>
      <c r="AD248" s="2">
        <v>135</v>
      </c>
      <c r="AE248" s="2">
        <v>114</v>
      </c>
      <c r="AF248" s="2"/>
    </row>
    <row r="249" spans="1:32" x14ac:dyDescent="0.2">
      <c r="A249" t="s">
        <v>397</v>
      </c>
      <c r="B249" s="2">
        <v>29</v>
      </c>
      <c r="C249" t="s">
        <v>87</v>
      </c>
      <c r="D249" s="2" t="s">
        <v>42</v>
      </c>
      <c r="E249" s="2">
        <v>14</v>
      </c>
      <c r="F249" s="2">
        <v>0</v>
      </c>
      <c r="G249" s="2">
        <v>156</v>
      </c>
      <c r="H249" s="2">
        <v>6.5</v>
      </c>
      <c r="I249" s="2">
        <v>14.6</v>
      </c>
      <c r="J249" s="2">
        <v>0.44700000000000001</v>
      </c>
      <c r="K249" s="2">
        <v>0.9</v>
      </c>
      <c r="L249" s="2">
        <v>1.9</v>
      </c>
      <c r="M249" s="2">
        <v>0.5</v>
      </c>
      <c r="N249" s="2">
        <v>5.6</v>
      </c>
      <c r="O249" s="2">
        <v>12.7</v>
      </c>
      <c r="P249" s="2">
        <v>0.439</v>
      </c>
      <c r="Q249" s="2">
        <v>0.47899999999999998</v>
      </c>
      <c r="R249" s="2">
        <v>3.1</v>
      </c>
      <c r="S249" s="2">
        <v>5.9</v>
      </c>
      <c r="T249" s="2">
        <v>0.52600000000000002</v>
      </c>
      <c r="U249" s="2">
        <v>6.2</v>
      </c>
      <c r="V249" s="2">
        <v>8.1</v>
      </c>
      <c r="W249" s="2">
        <v>14.3</v>
      </c>
      <c r="X249" s="2">
        <v>4.3</v>
      </c>
      <c r="Y249" s="2">
        <v>0.9</v>
      </c>
      <c r="Z249" s="2">
        <v>1.9</v>
      </c>
      <c r="AA249" s="2">
        <v>2.2000000000000002</v>
      </c>
      <c r="AB249" s="2">
        <v>4.3</v>
      </c>
      <c r="AC249" s="2">
        <v>17.100000000000001</v>
      </c>
      <c r="AD249" s="2">
        <v>113</v>
      </c>
      <c r="AE249" s="2">
        <v>106</v>
      </c>
      <c r="AF249" s="2"/>
    </row>
    <row r="250" spans="1:32" x14ac:dyDescent="0.2">
      <c r="A250" t="s">
        <v>558</v>
      </c>
      <c r="B250" s="2">
        <v>37</v>
      </c>
      <c r="C250" t="s">
        <v>51</v>
      </c>
      <c r="D250" s="2" t="s">
        <v>49</v>
      </c>
      <c r="E250" s="2">
        <v>7</v>
      </c>
      <c r="F250" s="2">
        <v>0</v>
      </c>
      <c r="G250" s="2">
        <v>26</v>
      </c>
      <c r="H250" s="2">
        <v>0</v>
      </c>
      <c r="I250" s="2">
        <v>3.8</v>
      </c>
      <c r="J250" s="2">
        <v>0</v>
      </c>
      <c r="K250" s="2">
        <v>0</v>
      </c>
      <c r="L250" s="2">
        <v>3.8</v>
      </c>
      <c r="M250" s="2">
        <v>0</v>
      </c>
      <c r="N250" s="2">
        <v>0</v>
      </c>
      <c r="O250" s="2">
        <v>0</v>
      </c>
      <c r="P250" s="2"/>
      <c r="Q250" s="2">
        <v>0</v>
      </c>
      <c r="R250" s="2">
        <v>0</v>
      </c>
      <c r="S250" s="2">
        <v>0</v>
      </c>
      <c r="T250" s="2"/>
      <c r="U250" s="2">
        <v>3.8</v>
      </c>
      <c r="V250" s="2">
        <v>0</v>
      </c>
      <c r="W250" s="2">
        <v>3.8</v>
      </c>
      <c r="X250" s="2">
        <v>17</v>
      </c>
      <c r="Y250" s="2">
        <v>0</v>
      </c>
      <c r="Z250" s="2">
        <v>0</v>
      </c>
      <c r="AA250" s="2">
        <v>1.9</v>
      </c>
      <c r="AB250" s="2">
        <v>9.5</v>
      </c>
      <c r="AC250" s="2">
        <v>0</v>
      </c>
      <c r="AD250" s="2">
        <v>129</v>
      </c>
      <c r="AE250" s="2">
        <v>118</v>
      </c>
      <c r="AF250" s="2"/>
    </row>
    <row r="251" spans="1:32" x14ac:dyDescent="0.2">
      <c r="A251" t="s">
        <v>324</v>
      </c>
      <c r="B251" s="2">
        <v>30</v>
      </c>
      <c r="C251" t="s">
        <v>122</v>
      </c>
      <c r="D251" s="2" t="s">
        <v>42</v>
      </c>
      <c r="E251" s="2">
        <v>5</v>
      </c>
      <c r="F251" s="2">
        <v>5</v>
      </c>
      <c r="G251" s="2">
        <v>158</v>
      </c>
      <c r="H251" s="2">
        <v>11</v>
      </c>
      <c r="I251" s="2">
        <v>27.1</v>
      </c>
      <c r="J251" s="2">
        <v>0.40699999999999997</v>
      </c>
      <c r="K251" s="2">
        <v>0.9</v>
      </c>
      <c r="L251" s="2">
        <v>7.3</v>
      </c>
      <c r="M251" s="2">
        <v>0.13</v>
      </c>
      <c r="N251" s="2">
        <v>10.1</v>
      </c>
      <c r="O251" s="2">
        <v>19.899999999999999</v>
      </c>
      <c r="P251" s="2">
        <v>0.50800000000000001</v>
      </c>
      <c r="Q251" s="2">
        <v>0.42399999999999999</v>
      </c>
      <c r="R251" s="2">
        <v>11.7</v>
      </c>
      <c r="S251" s="2">
        <v>12</v>
      </c>
      <c r="T251" s="4">
        <v>0.97399999999999998</v>
      </c>
      <c r="U251" s="2">
        <v>2.5</v>
      </c>
      <c r="V251" s="2">
        <v>10.7</v>
      </c>
      <c r="W251" s="2">
        <v>13.3</v>
      </c>
      <c r="X251" s="2">
        <v>5.7</v>
      </c>
      <c r="Y251" s="2">
        <v>0.6</v>
      </c>
      <c r="Z251" s="2">
        <v>1.9</v>
      </c>
      <c r="AA251" s="2">
        <v>6</v>
      </c>
      <c r="AB251" s="2">
        <v>4.7</v>
      </c>
      <c r="AC251" s="2">
        <v>34.700000000000003</v>
      </c>
      <c r="AD251" s="2">
        <v>103</v>
      </c>
      <c r="AE251" s="2">
        <v>112</v>
      </c>
      <c r="AF251" s="2"/>
    </row>
    <row r="252" spans="1:32" x14ac:dyDescent="0.2">
      <c r="A252" t="s">
        <v>119</v>
      </c>
      <c r="B252" s="2">
        <v>27</v>
      </c>
      <c r="C252" t="s">
        <v>120</v>
      </c>
      <c r="D252" s="2" t="s">
        <v>27</v>
      </c>
      <c r="E252" s="2">
        <v>22</v>
      </c>
      <c r="F252" s="2">
        <v>13</v>
      </c>
      <c r="G252" s="2">
        <v>634</v>
      </c>
      <c r="H252" s="2">
        <v>11.2</v>
      </c>
      <c r="I252" s="2">
        <v>21</v>
      </c>
      <c r="J252" s="2">
        <v>0.53500000000000003</v>
      </c>
      <c r="K252" s="2">
        <v>2.2999999999999998</v>
      </c>
      <c r="L252" s="2">
        <v>5.3</v>
      </c>
      <c r="M252" s="2">
        <v>0.435</v>
      </c>
      <c r="N252" s="2">
        <v>8.9</v>
      </c>
      <c r="O252" s="2">
        <v>15.7</v>
      </c>
      <c r="P252" s="2">
        <v>0.56799999999999995</v>
      </c>
      <c r="Q252" s="2">
        <v>0.58899999999999997</v>
      </c>
      <c r="R252" s="2">
        <v>5.4</v>
      </c>
      <c r="S252" s="2">
        <v>5.9</v>
      </c>
      <c r="T252" s="2">
        <v>0.92200000000000004</v>
      </c>
      <c r="U252" s="2">
        <v>4.0999999999999996</v>
      </c>
      <c r="V252" s="2">
        <v>9.9</v>
      </c>
      <c r="W252" s="2">
        <v>14</v>
      </c>
      <c r="X252" s="2">
        <v>4.2</v>
      </c>
      <c r="Y252" s="2">
        <v>1.8</v>
      </c>
      <c r="Z252" s="2">
        <v>1.4</v>
      </c>
      <c r="AA252" s="2">
        <v>4.0999999999999996</v>
      </c>
      <c r="AB252" s="2">
        <v>4.9000000000000004</v>
      </c>
      <c r="AC252" s="2">
        <v>30.2</v>
      </c>
      <c r="AD252" s="2">
        <v>121</v>
      </c>
      <c r="AE252" s="2">
        <v>116</v>
      </c>
      <c r="AF252" s="2"/>
    </row>
    <row r="253" spans="1:32" x14ac:dyDescent="0.2">
      <c r="A253" t="s">
        <v>435</v>
      </c>
      <c r="B253" s="2">
        <v>28</v>
      </c>
      <c r="C253" t="s">
        <v>80</v>
      </c>
      <c r="D253" s="2" t="s">
        <v>52</v>
      </c>
      <c r="E253" s="2">
        <v>12</v>
      </c>
      <c r="F253" s="2">
        <v>0</v>
      </c>
      <c r="G253" s="2">
        <v>154</v>
      </c>
      <c r="H253" s="2">
        <v>3.3</v>
      </c>
      <c r="I253" s="2">
        <v>6.6</v>
      </c>
      <c r="J253" s="2">
        <v>0.5</v>
      </c>
      <c r="K253" s="2">
        <v>2.1</v>
      </c>
      <c r="L253" s="2">
        <v>5.4</v>
      </c>
      <c r="M253" s="2">
        <v>0.38900000000000001</v>
      </c>
      <c r="N253" s="2">
        <v>1.2</v>
      </c>
      <c r="O253" s="2">
        <v>1.2</v>
      </c>
      <c r="P253" s="2">
        <v>1</v>
      </c>
      <c r="Q253" s="2">
        <v>0.65900000000000003</v>
      </c>
      <c r="R253" s="2">
        <v>0.9</v>
      </c>
      <c r="S253" s="2">
        <v>1.2</v>
      </c>
      <c r="T253" s="2">
        <v>0.75</v>
      </c>
      <c r="U253" s="2">
        <v>3.6</v>
      </c>
      <c r="V253" s="2">
        <v>7.5</v>
      </c>
      <c r="W253" s="2">
        <v>11</v>
      </c>
      <c r="X253" s="2">
        <v>3.3</v>
      </c>
      <c r="Y253" s="2">
        <v>2.1</v>
      </c>
      <c r="Z253" s="2">
        <v>1.8</v>
      </c>
      <c r="AA253" s="2">
        <v>1.8</v>
      </c>
      <c r="AB253" s="2">
        <v>3</v>
      </c>
      <c r="AC253" s="2">
        <v>9.5</v>
      </c>
      <c r="AD253" s="2">
        <v>130</v>
      </c>
      <c r="AE253" s="2">
        <v>107</v>
      </c>
      <c r="AF253" s="2"/>
    </row>
    <row r="254" spans="1:32" x14ac:dyDescent="0.2">
      <c r="A254" t="s">
        <v>399</v>
      </c>
      <c r="B254" s="2">
        <v>22</v>
      </c>
      <c r="C254" t="s">
        <v>114</v>
      </c>
      <c r="D254" s="2" t="s">
        <v>52</v>
      </c>
      <c r="E254" s="2">
        <v>17</v>
      </c>
      <c r="F254" s="2">
        <v>0</v>
      </c>
      <c r="G254" s="2">
        <v>142</v>
      </c>
      <c r="H254" s="2">
        <v>7.2</v>
      </c>
      <c r="I254" s="2">
        <v>14.5</v>
      </c>
      <c r="J254" s="2">
        <v>0.5</v>
      </c>
      <c r="K254" s="2">
        <v>1.3</v>
      </c>
      <c r="L254" s="2">
        <v>3.9</v>
      </c>
      <c r="M254" s="2">
        <v>0.33300000000000002</v>
      </c>
      <c r="N254" s="2">
        <v>5.9</v>
      </c>
      <c r="O254" s="2">
        <v>10.5</v>
      </c>
      <c r="P254" s="2">
        <v>0.56299999999999994</v>
      </c>
      <c r="Q254" s="2">
        <v>0.54500000000000004</v>
      </c>
      <c r="R254" s="2">
        <v>2</v>
      </c>
      <c r="S254" s="2">
        <v>3</v>
      </c>
      <c r="T254" s="2">
        <v>0.66700000000000004</v>
      </c>
      <c r="U254" s="2">
        <v>2</v>
      </c>
      <c r="V254" s="2">
        <v>6.2</v>
      </c>
      <c r="W254" s="2">
        <v>8.1999999999999993</v>
      </c>
      <c r="X254" s="2">
        <v>1.6</v>
      </c>
      <c r="Y254" s="2">
        <v>3</v>
      </c>
      <c r="Z254" s="2">
        <v>1</v>
      </c>
      <c r="AA254" s="2">
        <v>1.3</v>
      </c>
      <c r="AB254" s="2">
        <v>4.3</v>
      </c>
      <c r="AC254" s="2">
        <v>17.8</v>
      </c>
      <c r="AD254" s="2">
        <v>111</v>
      </c>
      <c r="AE254" s="2">
        <v>118</v>
      </c>
      <c r="AF254" s="2"/>
    </row>
    <row r="255" spans="1:32" x14ac:dyDescent="0.2">
      <c r="A255" t="s">
        <v>403</v>
      </c>
      <c r="B255" s="2">
        <v>20</v>
      </c>
      <c r="C255" t="s">
        <v>82</v>
      </c>
      <c r="D255" s="2" t="s">
        <v>52</v>
      </c>
      <c r="E255" s="2">
        <v>15</v>
      </c>
      <c r="F255" s="2">
        <v>0</v>
      </c>
      <c r="G255" s="2">
        <v>150</v>
      </c>
      <c r="H255" s="2">
        <v>5.4</v>
      </c>
      <c r="I255" s="2">
        <v>13.4</v>
      </c>
      <c r="J255" s="2">
        <v>0.40500000000000003</v>
      </c>
      <c r="K255" s="2">
        <v>3.2</v>
      </c>
      <c r="L255" s="2">
        <v>7.7</v>
      </c>
      <c r="M255" s="2">
        <v>0.41699999999999998</v>
      </c>
      <c r="N255" s="2">
        <v>2.2000000000000002</v>
      </c>
      <c r="O255" s="2">
        <v>5.8</v>
      </c>
      <c r="P255" s="2">
        <v>0.38900000000000001</v>
      </c>
      <c r="Q255" s="2">
        <v>0.52400000000000002</v>
      </c>
      <c r="R255" s="2">
        <v>2.2000000000000002</v>
      </c>
      <c r="S255" s="2">
        <v>2.2000000000000002</v>
      </c>
      <c r="T255" s="2">
        <v>1</v>
      </c>
      <c r="U255" s="2">
        <v>3.2</v>
      </c>
      <c r="V255" s="2">
        <v>3.8</v>
      </c>
      <c r="W255" s="2">
        <v>7</v>
      </c>
      <c r="X255" s="2">
        <v>1.9</v>
      </c>
      <c r="Y255" s="2">
        <v>1.6</v>
      </c>
      <c r="Z255" s="2">
        <v>1.3</v>
      </c>
      <c r="AA255" s="2">
        <v>2.6</v>
      </c>
      <c r="AB255" s="2">
        <v>3.8</v>
      </c>
      <c r="AC255" s="2">
        <v>16.3</v>
      </c>
      <c r="AD255" s="2">
        <v>108</v>
      </c>
      <c r="AE255" s="2">
        <v>119</v>
      </c>
      <c r="AF255" s="2"/>
    </row>
    <row r="256" spans="1:32" x14ac:dyDescent="0.2">
      <c r="A256" t="s">
        <v>305</v>
      </c>
      <c r="B256" s="2">
        <v>23</v>
      </c>
      <c r="C256" t="s">
        <v>120</v>
      </c>
      <c r="D256" s="2" t="s">
        <v>52</v>
      </c>
      <c r="E256" s="2">
        <v>19</v>
      </c>
      <c r="F256" s="2">
        <v>0</v>
      </c>
      <c r="G256" s="2">
        <v>328</v>
      </c>
      <c r="H256" s="2">
        <v>6.5</v>
      </c>
      <c r="I256" s="2">
        <v>16.5</v>
      </c>
      <c r="J256" s="2">
        <v>0.39300000000000002</v>
      </c>
      <c r="K256" s="2">
        <v>4.3</v>
      </c>
      <c r="L256" s="2">
        <v>11.8</v>
      </c>
      <c r="M256" s="2">
        <v>0.36299999999999999</v>
      </c>
      <c r="N256" s="2">
        <v>2.2000000000000002</v>
      </c>
      <c r="O256" s="2">
        <v>4.7</v>
      </c>
      <c r="P256" s="2">
        <v>0.46899999999999997</v>
      </c>
      <c r="Q256" s="2">
        <v>0.52200000000000002</v>
      </c>
      <c r="R256" s="2">
        <v>1.6</v>
      </c>
      <c r="S256" s="2">
        <v>1.9</v>
      </c>
      <c r="T256" s="2">
        <v>0.84599999999999997</v>
      </c>
      <c r="U256" s="2">
        <v>1.5</v>
      </c>
      <c r="V256" s="2">
        <v>4.5999999999999996</v>
      </c>
      <c r="W256" s="2">
        <v>6.1</v>
      </c>
      <c r="X256" s="2">
        <v>3.1</v>
      </c>
      <c r="Y256" s="2">
        <v>1</v>
      </c>
      <c r="Z256" s="2">
        <v>0.6</v>
      </c>
      <c r="AA256" s="2">
        <v>1.6</v>
      </c>
      <c r="AB256" s="2">
        <v>5.5</v>
      </c>
      <c r="AC256" s="2">
        <v>18.899999999999999</v>
      </c>
      <c r="AD256" s="2">
        <v>113</v>
      </c>
      <c r="AE256" s="2">
        <v>123</v>
      </c>
      <c r="AF256" s="2"/>
    </row>
    <row r="257" spans="1:32" x14ac:dyDescent="0.2">
      <c r="A257" t="s">
        <v>175</v>
      </c>
      <c r="B257" s="2">
        <v>32</v>
      </c>
      <c r="C257" t="s">
        <v>114</v>
      </c>
      <c r="D257" s="2" t="s">
        <v>42</v>
      </c>
      <c r="E257" s="2">
        <v>22</v>
      </c>
      <c r="F257" s="2">
        <v>6</v>
      </c>
      <c r="G257" s="2">
        <v>447</v>
      </c>
      <c r="H257" s="2">
        <v>11.6</v>
      </c>
      <c r="I257" s="2">
        <v>20.5</v>
      </c>
      <c r="J257" s="2">
        <v>0.56599999999999995</v>
      </c>
      <c r="K257" s="2">
        <v>0.2</v>
      </c>
      <c r="L257" s="2">
        <v>1</v>
      </c>
      <c r="M257" s="2">
        <v>0.2</v>
      </c>
      <c r="N257" s="2">
        <v>11.4</v>
      </c>
      <c r="O257" s="2">
        <v>19.399999999999999</v>
      </c>
      <c r="P257" s="2">
        <v>0.58599999999999997</v>
      </c>
      <c r="Q257" s="2">
        <v>0.57099999999999995</v>
      </c>
      <c r="R257" s="2">
        <v>5.6</v>
      </c>
      <c r="S257" s="2">
        <v>6.2</v>
      </c>
      <c r="T257" s="2">
        <v>0.91500000000000004</v>
      </c>
      <c r="U257" s="2">
        <v>5.9</v>
      </c>
      <c r="V257" s="2">
        <v>12.7</v>
      </c>
      <c r="W257" s="2">
        <v>18.600000000000001</v>
      </c>
      <c r="X257" s="2">
        <v>5</v>
      </c>
      <c r="Y257" s="2">
        <v>0.8</v>
      </c>
      <c r="Z257" s="2">
        <v>2</v>
      </c>
      <c r="AA257" s="2">
        <v>4.2</v>
      </c>
      <c r="AB257" s="2">
        <v>3.9</v>
      </c>
      <c r="AC257" s="2">
        <v>29</v>
      </c>
      <c r="AD257" s="2">
        <v>119</v>
      </c>
      <c r="AE257" s="2">
        <v>117</v>
      </c>
      <c r="AF257" s="2"/>
    </row>
    <row r="258" spans="1:32" x14ac:dyDescent="0.2">
      <c r="A258" t="s">
        <v>299</v>
      </c>
      <c r="B258" s="2">
        <v>27</v>
      </c>
      <c r="C258" t="s">
        <v>48</v>
      </c>
      <c r="D258" s="2" t="s">
        <v>27</v>
      </c>
      <c r="E258" s="2">
        <v>21</v>
      </c>
      <c r="F258" s="2">
        <v>0</v>
      </c>
      <c r="G258" s="2">
        <v>355</v>
      </c>
      <c r="H258" s="2">
        <v>7</v>
      </c>
      <c r="I258" s="2">
        <v>15.7</v>
      </c>
      <c r="J258" s="2">
        <v>0.442</v>
      </c>
      <c r="K258" s="2">
        <v>2.4</v>
      </c>
      <c r="L258" s="2">
        <v>8.1</v>
      </c>
      <c r="M258" s="2">
        <v>0.29299999999999998</v>
      </c>
      <c r="N258" s="2">
        <v>4.5999999999999996</v>
      </c>
      <c r="O258" s="2">
        <v>7.6</v>
      </c>
      <c r="P258" s="2">
        <v>0.6</v>
      </c>
      <c r="Q258" s="2">
        <v>0.51800000000000002</v>
      </c>
      <c r="R258" s="2">
        <v>2.6</v>
      </c>
      <c r="S258" s="2">
        <v>3.9</v>
      </c>
      <c r="T258" s="2">
        <v>0.67900000000000005</v>
      </c>
      <c r="U258" s="2">
        <v>5.0999999999999996</v>
      </c>
      <c r="V258" s="2">
        <v>8.6</v>
      </c>
      <c r="W258" s="2">
        <v>13.8</v>
      </c>
      <c r="X258" s="2">
        <v>0.7</v>
      </c>
      <c r="Y258" s="2">
        <v>2.5</v>
      </c>
      <c r="Z258" s="2">
        <v>4.2</v>
      </c>
      <c r="AA258" s="2">
        <v>1.3</v>
      </c>
      <c r="AB258" s="2">
        <v>4.3</v>
      </c>
      <c r="AC258" s="2">
        <v>18.899999999999999</v>
      </c>
      <c r="AD258" s="2">
        <v>116</v>
      </c>
      <c r="AE258" s="2">
        <v>101</v>
      </c>
      <c r="AF258" s="2"/>
    </row>
    <row r="259" spans="1:32" x14ac:dyDescent="0.2">
      <c r="A259" t="s">
        <v>141</v>
      </c>
      <c r="B259" s="2">
        <v>22</v>
      </c>
      <c r="C259" t="s">
        <v>100</v>
      </c>
      <c r="D259" s="2" t="s">
        <v>27</v>
      </c>
      <c r="E259" s="2">
        <v>22</v>
      </c>
      <c r="F259" s="2">
        <v>9</v>
      </c>
      <c r="G259" s="2">
        <v>550</v>
      </c>
      <c r="H259" s="2">
        <v>11.2</v>
      </c>
      <c r="I259" s="2">
        <v>25.1</v>
      </c>
      <c r="J259" s="2">
        <v>0.44400000000000001</v>
      </c>
      <c r="K259" s="2">
        <v>2.2999999999999998</v>
      </c>
      <c r="L259" s="2">
        <v>7.3</v>
      </c>
      <c r="M259" s="2">
        <v>0.31</v>
      </c>
      <c r="N259" s="2">
        <v>8.9</v>
      </c>
      <c r="O259" s="2">
        <v>17.8</v>
      </c>
      <c r="P259" s="2">
        <v>0.5</v>
      </c>
      <c r="Q259" s="2">
        <v>0.49</v>
      </c>
      <c r="R259" s="2">
        <v>4.5999999999999996</v>
      </c>
      <c r="S259" s="2">
        <v>7.9</v>
      </c>
      <c r="T259" s="2">
        <v>0.58199999999999996</v>
      </c>
      <c r="U259" s="2">
        <v>2.4</v>
      </c>
      <c r="V259" s="2">
        <v>6.2</v>
      </c>
      <c r="W259" s="2">
        <v>8.5</v>
      </c>
      <c r="X259" s="2">
        <v>3.4</v>
      </c>
      <c r="Y259" s="2">
        <v>1.9</v>
      </c>
      <c r="Z259" s="2">
        <v>1.2</v>
      </c>
      <c r="AA259" s="2">
        <v>3</v>
      </c>
      <c r="AB259" s="2">
        <v>4</v>
      </c>
      <c r="AC259" s="2">
        <v>29.2</v>
      </c>
      <c r="AD259" s="2">
        <v>102</v>
      </c>
      <c r="AE259" s="2">
        <v>108</v>
      </c>
      <c r="AF259" s="2"/>
    </row>
    <row r="260" spans="1:32" x14ac:dyDescent="0.2">
      <c r="A260" t="s">
        <v>287</v>
      </c>
      <c r="B260" s="2">
        <v>23</v>
      </c>
      <c r="C260" t="s">
        <v>66</v>
      </c>
      <c r="D260" s="2" t="s">
        <v>27</v>
      </c>
      <c r="E260" s="2">
        <v>26</v>
      </c>
      <c r="F260" s="2">
        <v>2</v>
      </c>
      <c r="G260" s="2">
        <v>439</v>
      </c>
      <c r="H260" s="2">
        <v>5.9</v>
      </c>
      <c r="I260" s="2">
        <v>12.5</v>
      </c>
      <c r="J260" s="2">
        <v>0.47399999999999998</v>
      </c>
      <c r="K260" s="2">
        <v>0.8</v>
      </c>
      <c r="L260" s="2">
        <v>2.2000000000000002</v>
      </c>
      <c r="M260" s="2">
        <v>0.35</v>
      </c>
      <c r="N260" s="2">
        <v>5.2</v>
      </c>
      <c r="O260" s="2">
        <v>10.3</v>
      </c>
      <c r="P260" s="2">
        <v>0.5</v>
      </c>
      <c r="Q260" s="2">
        <v>0.504</v>
      </c>
      <c r="R260" s="2">
        <v>3.3</v>
      </c>
      <c r="S260" s="2">
        <v>4.5999999999999996</v>
      </c>
      <c r="T260" s="2">
        <v>0.71399999999999997</v>
      </c>
      <c r="U260" s="2">
        <v>6.2</v>
      </c>
      <c r="V260" s="2">
        <v>7</v>
      </c>
      <c r="W260" s="2">
        <v>13.2</v>
      </c>
      <c r="X260" s="2">
        <v>5.0999999999999996</v>
      </c>
      <c r="Y260" s="2">
        <v>2.4</v>
      </c>
      <c r="Z260" s="2">
        <v>1.2</v>
      </c>
      <c r="AA260" s="2">
        <v>2.5</v>
      </c>
      <c r="AB260" s="2">
        <v>5.2</v>
      </c>
      <c r="AC260" s="2">
        <v>16</v>
      </c>
      <c r="AD260" s="2">
        <v>119</v>
      </c>
      <c r="AE260" s="2">
        <v>114</v>
      </c>
      <c r="AF260" s="2"/>
    </row>
    <row r="261" spans="1:32" x14ac:dyDescent="0.2">
      <c r="A261" t="s">
        <v>236</v>
      </c>
      <c r="B261" s="2">
        <v>32</v>
      </c>
      <c r="C261" t="s">
        <v>120</v>
      </c>
      <c r="D261" s="2" t="s">
        <v>52</v>
      </c>
      <c r="E261" s="2">
        <v>13</v>
      </c>
      <c r="F261" s="2">
        <v>2</v>
      </c>
      <c r="G261" s="2">
        <v>338</v>
      </c>
      <c r="H261" s="2">
        <v>9.6999999999999993</v>
      </c>
      <c r="I261" s="2">
        <v>24.9</v>
      </c>
      <c r="J261" s="2">
        <v>0.39100000000000001</v>
      </c>
      <c r="K261" s="2">
        <v>3.2</v>
      </c>
      <c r="L261" s="2">
        <v>11.5</v>
      </c>
      <c r="M261" s="2">
        <v>0.27500000000000002</v>
      </c>
      <c r="N261" s="2">
        <v>6.6</v>
      </c>
      <c r="O261" s="2">
        <v>13.5</v>
      </c>
      <c r="P261" s="2">
        <v>0.48899999999999999</v>
      </c>
      <c r="Q261" s="2">
        <v>0.45400000000000001</v>
      </c>
      <c r="R261" s="2">
        <v>5.3</v>
      </c>
      <c r="S261" s="2">
        <v>6.6</v>
      </c>
      <c r="T261" s="2">
        <v>0.80400000000000005</v>
      </c>
      <c r="U261" s="2">
        <v>1.4</v>
      </c>
      <c r="V261" s="2">
        <v>5.7</v>
      </c>
      <c r="W261" s="2">
        <v>7.2</v>
      </c>
      <c r="X261" s="2">
        <v>7.2</v>
      </c>
      <c r="Y261" s="2">
        <v>1.6</v>
      </c>
      <c r="Z261" s="2">
        <v>0.1</v>
      </c>
      <c r="AA261" s="2">
        <v>3.7</v>
      </c>
      <c r="AB261" s="2">
        <v>2.7</v>
      </c>
      <c r="AC261" s="2">
        <v>28</v>
      </c>
      <c r="AD261" s="2">
        <v>105</v>
      </c>
      <c r="AE261" s="2">
        <v>121</v>
      </c>
      <c r="AF261" s="2"/>
    </row>
    <row r="262" spans="1:32" x14ac:dyDescent="0.2">
      <c r="A262" t="s">
        <v>289</v>
      </c>
      <c r="B262" s="2">
        <v>22</v>
      </c>
      <c r="C262" t="s">
        <v>117</v>
      </c>
      <c r="D262" s="2" t="s">
        <v>52</v>
      </c>
      <c r="E262" s="2">
        <v>11</v>
      </c>
      <c r="F262" s="2">
        <v>3</v>
      </c>
      <c r="G262" s="2">
        <v>302</v>
      </c>
      <c r="H262" s="2">
        <v>7.6</v>
      </c>
      <c r="I262" s="2">
        <v>20.399999999999999</v>
      </c>
      <c r="J262" s="2">
        <v>0.373</v>
      </c>
      <c r="K262" s="2">
        <v>3.6</v>
      </c>
      <c r="L262" s="2">
        <v>10.7</v>
      </c>
      <c r="M262" s="2">
        <v>0.33300000000000002</v>
      </c>
      <c r="N262" s="2">
        <v>4</v>
      </c>
      <c r="O262" s="2">
        <v>9.6999999999999993</v>
      </c>
      <c r="P262" s="2">
        <v>0.41699999999999998</v>
      </c>
      <c r="Q262" s="2">
        <v>0.46</v>
      </c>
      <c r="R262" s="2">
        <v>4.5</v>
      </c>
      <c r="S262" s="2">
        <v>5</v>
      </c>
      <c r="T262" s="2">
        <v>0.90300000000000002</v>
      </c>
      <c r="U262" s="2">
        <v>0.8</v>
      </c>
      <c r="V262" s="2">
        <v>6</v>
      </c>
      <c r="W262" s="2">
        <v>6.8</v>
      </c>
      <c r="X262" s="2">
        <v>2.2999999999999998</v>
      </c>
      <c r="Y262" s="2">
        <v>0.5</v>
      </c>
      <c r="Z262" s="2">
        <v>0.6</v>
      </c>
      <c r="AA262" s="2">
        <v>2.2999999999999998</v>
      </c>
      <c r="AB262" s="2">
        <v>1.9</v>
      </c>
      <c r="AC262" s="2">
        <v>23.3</v>
      </c>
      <c r="AD262" s="2">
        <v>103</v>
      </c>
      <c r="AE262" s="2">
        <v>123</v>
      </c>
      <c r="AF262" s="2"/>
    </row>
    <row r="263" spans="1:32" x14ac:dyDescent="0.2">
      <c r="A263" t="s">
        <v>412</v>
      </c>
      <c r="B263" s="2">
        <v>28</v>
      </c>
      <c r="C263" t="s">
        <v>37</v>
      </c>
      <c r="D263" s="2" t="s">
        <v>33</v>
      </c>
      <c r="E263" s="2">
        <v>20</v>
      </c>
      <c r="F263" s="2">
        <v>0</v>
      </c>
      <c r="G263" s="2">
        <v>158</v>
      </c>
      <c r="H263" s="2">
        <v>4.3</v>
      </c>
      <c r="I263" s="2">
        <v>11.7</v>
      </c>
      <c r="J263" s="2">
        <v>0.36799999999999999</v>
      </c>
      <c r="K263" s="2">
        <v>2.5</v>
      </c>
      <c r="L263" s="2">
        <v>6.8</v>
      </c>
      <c r="M263" s="2">
        <v>0.36399999999999999</v>
      </c>
      <c r="N263" s="2">
        <v>1.8</v>
      </c>
      <c r="O263" s="2">
        <v>4.9000000000000004</v>
      </c>
      <c r="P263" s="2">
        <v>0.375</v>
      </c>
      <c r="Q263" s="2">
        <v>0.47399999999999998</v>
      </c>
      <c r="R263" s="2">
        <v>3.1</v>
      </c>
      <c r="S263" s="2">
        <v>4.3</v>
      </c>
      <c r="T263" s="2">
        <v>0.71399999999999997</v>
      </c>
      <c r="U263" s="2">
        <v>0.9</v>
      </c>
      <c r="V263" s="2">
        <v>4.9000000000000004</v>
      </c>
      <c r="W263" s="2">
        <v>5.9</v>
      </c>
      <c r="X263" s="2">
        <v>5.9</v>
      </c>
      <c r="Y263" s="2">
        <v>2.8</v>
      </c>
      <c r="Z263" s="2">
        <v>0</v>
      </c>
      <c r="AA263" s="2">
        <v>2.5</v>
      </c>
      <c r="AB263" s="2">
        <v>3.4</v>
      </c>
      <c r="AC263" s="2">
        <v>14.2</v>
      </c>
      <c r="AD263" s="2">
        <v>108</v>
      </c>
      <c r="AE263" s="2">
        <v>113</v>
      </c>
      <c r="AF263" s="2"/>
    </row>
    <row r="264" spans="1:32" x14ac:dyDescent="0.2">
      <c r="A264" t="s">
        <v>325</v>
      </c>
      <c r="B264" s="2">
        <v>25</v>
      </c>
      <c r="C264" t="s">
        <v>77</v>
      </c>
      <c r="D264" s="2" t="s">
        <v>49</v>
      </c>
      <c r="E264" s="2">
        <v>14</v>
      </c>
      <c r="F264" s="2">
        <v>0</v>
      </c>
      <c r="G264" s="2">
        <v>228</v>
      </c>
      <c r="H264" s="2">
        <v>9.3000000000000007</v>
      </c>
      <c r="I264" s="2">
        <v>19.899999999999999</v>
      </c>
      <c r="J264" s="2">
        <v>0.46700000000000003</v>
      </c>
      <c r="K264" s="2">
        <v>1.5</v>
      </c>
      <c r="L264" s="2">
        <v>5</v>
      </c>
      <c r="M264" s="2">
        <v>0.30399999999999999</v>
      </c>
      <c r="N264" s="2">
        <v>7.8</v>
      </c>
      <c r="O264" s="2">
        <v>14.9</v>
      </c>
      <c r="P264" s="2">
        <v>0.52200000000000002</v>
      </c>
      <c r="Q264" s="2">
        <v>0.505</v>
      </c>
      <c r="R264" s="2">
        <v>3.7</v>
      </c>
      <c r="S264" s="2">
        <v>4.8</v>
      </c>
      <c r="T264" s="2">
        <v>0.77300000000000002</v>
      </c>
      <c r="U264" s="2">
        <v>3.7</v>
      </c>
      <c r="V264" s="2">
        <v>3.9</v>
      </c>
      <c r="W264" s="2">
        <v>7.6</v>
      </c>
      <c r="X264" s="2">
        <v>3.9</v>
      </c>
      <c r="Y264" s="2">
        <v>1.1000000000000001</v>
      </c>
      <c r="Z264" s="2">
        <v>0.4</v>
      </c>
      <c r="AA264" s="2">
        <v>3</v>
      </c>
      <c r="AB264" s="2">
        <v>3.5</v>
      </c>
      <c r="AC264" s="2">
        <v>23.8</v>
      </c>
      <c r="AD264" s="2">
        <v>109</v>
      </c>
      <c r="AE264" s="2">
        <v>114</v>
      </c>
      <c r="AF264" s="2"/>
    </row>
    <row r="265" spans="1:32" x14ac:dyDescent="0.2">
      <c r="A265" t="s">
        <v>113</v>
      </c>
      <c r="B265" s="2">
        <v>25</v>
      </c>
      <c r="C265" t="s">
        <v>114</v>
      </c>
      <c r="D265" s="2" t="s">
        <v>52</v>
      </c>
      <c r="E265" s="2">
        <v>20</v>
      </c>
      <c r="F265" s="2">
        <v>20</v>
      </c>
      <c r="G265" s="2">
        <v>606</v>
      </c>
      <c r="H265" s="2">
        <v>10.3</v>
      </c>
      <c r="I265" s="2">
        <v>23.7</v>
      </c>
      <c r="J265" s="2">
        <v>0.436</v>
      </c>
      <c r="K265" s="2">
        <v>4.9000000000000004</v>
      </c>
      <c r="L265" s="2">
        <v>12.1</v>
      </c>
      <c r="M265" s="2">
        <v>0.40799999999999997</v>
      </c>
      <c r="N265" s="2">
        <v>5.4</v>
      </c>
      <c r="O265" s="2">
        <v>11.6</v>
      </c>
      <c r="P265" s="2">
        <v>0.46700000000000003</v>
      </c>
      <c r="Q265" s="2">
        <v>0.54100000000000004</v>
      </c>
      <c r="R265" s="2">
        <v>5.9</v>
      </c>
      <c r="S265" s="2">
        <v>6.9</v>
      </c>
      <c r="T265" s="2">
        <v>0.85399999999999998</v>
      </c>
      <c r="U265" s="2">
        <v>0.3</v>
      </c>
      <c r="V265" s="2">
        <v>3.1</v>
      </c>
      <c r="W265" s="2">
        <v>3.4</v>
      </c>
      <c r="X265" s="2">
        <v>7.7</v>
      </c>
      <c r="Y265" s="2">
        <v>2.5</v>
      </c>
      <c r="Z265" s="2">
        <v>0.6</v>
      </c>
      <c r="AA265" s="2">
        <v>5.2</v>
      </c>
      <c r="AB265" s="2">
        <v>5.0999999999999996</v>
      </c>
      <c r="AC265" s="2">
        <v>31.4</v>
      </c>
      <c r="AD265" s="2">
        <v>107</v>
      </c>
      <c r="AE265" s="2">
        <v>121</v>
      </c>
      <c r="AF265" s="2"/>
    </row>
    <row r="266" spans="1:32" x14ac:dyDescent="0.2">
      <c r="A266" t="s">
        <v>457</v>
      </c>
      <c r="B266" s="2">
        <v>20</v>
      </c>
      <c r="C266" t="s">
        <v>39</v>
      </c>
      <c r="D266" s="2" t="s">
        <v>27</v>
      </c>
      <c r="E266" s="2">
        <v>17</v>
      </c>
      <c r="F266" s="2">
        <v>1</v>
      </c>
      <c r="G266" s="2">
        <v>154</v>
      </c>
      <c r="H266" s="2">
        <v>2.9</v>
      </c>
      <c r="I266" s="2">
        <v>9.1999999999999993</v>
      </c>
      <c r="J266" s="2">
        <v>0.31</v>
      </c>
      <c r="K266" s="2">
        <v>1.6</v>
      </c>
      <c r="L266" s="2">
        <v>7</v>
      </c>
      <c r="M266" s="2">
        <v>0.22700000000000001</v>
      </c>
      <c r="N266" s="2">
        <v>1.3</v>
      </c>
      <c r="O266" s="2">
        <v>2.2000000000000002</v>
      </c>
      <c r="P266" s="2">
        <v>0.57099999999999995</v>
      </c>
      <c r="Q266" s="2">
        <v>0.39700000000000002</v>
      </c>
      <c r="R266" s="2">
        <v>0</v>
      </c>
      <c r="S266" s="2">
        <v>0.3</v>
      </c>
      <c r="T266" s="2">
        <v>0</v>
      </c>
      <c r="U266" s="2">
        <v>1.9</v>
      </c>
      <c r="V266" s="2">
        <v>4.4000000000000004</v>
      </c>
      <c r="W266" s="2">
        <v>6.4</v>
      </c>
      <c r="X266" s="2">
        <v>1.3</v>
      </c>
      <c r="Y266" s="2">
        <v>1.6</v>
      </c>
      <c r="Z266" s="2">
        <v>1.9</v>
      </c>
      <c r="AA266" s="2">
        <v>1.3</v>
      </c>
      <c r="AB266" s="2">
        <v>3.5</v>
      </c>
      <c r="AC266" s="2">
        <v>7.3</v>
      </c>
      <c r="AD266" s="2">
        <v>87</v>
      </c>
      <c r="AE266" s="2">
        <v>111</v>
      </c>
      <c r="AF266" s="2"/>
    </row>
    <row r="267" spans="1:32" x14ac:dyDescent="0.2">
      <c r="A267" t="s">
        <v>317</v>
      </c>
      <c r="B267" s="2">
        <v>26</v>
      </c>
      <c r="C267" t="s">
        <v>117</v>
      </c>
      <c r="D267" s="2" t="s">
        <v>33</v>
      </c>
      <c r="E267" s="2">
        <v>11</v>
      </c>
      <c r="F267" s="2">
        <v>7</v>
      </c>
      <c r="G267" s="2">
        <v>282</v>
      </c>
      <c r="H267" s="2">
        <v>6.9</v>
      </c>
      <c r="I267" s="2">
        <v>17.5</v>
      </c>
      <c r="J267" s="2">
        <v>0.39600000000000002</v>
      </c>
      <c r="K267" s="2">
        <v>4.2</v>
      </c>
      <c r="L267" s="2">
        <v>10.4</v>
      </c>
      <c r="M267" s="2">
        <v>0.4</v>
      </c>
      <c r="N267" s="2">
        <v>2.8</v>
      </c>
      <c r="O267" s="2">
        <v>7.1</v>
      </c>
      <c r="P267" s="2">
        <v>0.39</v>
      </c>
      <c r="Q267" s="2">
        <v>0.51500000000000001</v>
      </c>
      <c r="R267" s="2">
        <v>2.4</v>
      </c>
      <c r="S267" s="2">
        <v>2.9</v>
      </c>
      <c r="T267" s="2">
        <v>0.82399999999999995</v>
      </c>
      <c r="U267" s="2">
        <v>1</v>
      </c>
      <c r="V267" s="2">
        <v>3.1</v>
      </c>
      <c r="W267" s="2">
        <v>4.2</v>
      </c>
      <c r="X267" s="2">
        <v>8.5</v>
      </c>
      <c r="Y267" s="2">
        <v>2.9</v>
      </c>
      <c r="Z267" s="2">
        <v>0.5</v>
      </c>
      <c r="AA267" s="2">
        <v>2.4</v>
      </c>
      <c r="AB267" s="2">
        <v>4.5</v>
      </c>
      <c r="AC267" s="2">
        <v>20.399999999999999</v>
      </c>
      <c r="AD267" s="2">
        <v>116</v>
      </c>
      <c r="AE267" s="2">
        <v>119</v>
      </c>
      <c r="AF267" s="2"/>
    </row>
    <row r="268" spans="1:32" x14ac:dyDescent="0.2">
      <c r="A268" t="s">
        <v>161</v>
      </c>
      <c r="B268" s="2">
        <v>22</v>
      </c>
      <c r="C268" t="s">
        <v>70</v>
      </c>
      <c r="D268" s="2" t="s">
        <v>33</v>
      </c>
      <c r="E268" s="2">
        <v>25</v>
      </c>
      <c r="F268" s="2">
        <v>25</v>
      </c>
      <c r="G268" s="2">
        <v>679</v>
      </c>
      <c r="H268" s="2">
        <v>7.6</v>
      </c>
      <c r="I268" s="2">
        <v>17.100000000000001</v>
      </c>
      <c r="J268" s="2">
        <v>0.443</v>
      </c>
      <c r="K268" s="2">
        <v>2</v>
      </c>
      <c r="L268" s="2">
        <v>6.2</v>
      </c>
      <c r="M268" s="2">
        <v>0.31900000000000001</v>
      </c>
      <c r="N268" s="2">
        <v>5.6</v>
      </c>
      <c r="O268" s="2">
        <v>11</v>
      </c>
      <c r="P268" s="2">
        <v>0.51200000000000001</v>
      </c>
      <c r="Q268" s="2">
        <v>0.5</v>
      </c>
      <c r="R268" s="2">
        <v>2.7</v>
      </c>
      <c r="S268" s="2">
        <v>3.9</v>
      </c>
      <c r="T268" s="2">
        <v>0.69</v>
      </c>
      <c r="U268" s="2">
        <v>2</v>
      </c>
      <c r="V268" s="2">
        <v>8.5</v>
      </c>
      <c r="W268" s="2">
        <v>10.5</v>
      </c>
      <c r="X268" s="2">
        <v>11.6</v>
      </c>
      <c r="Y268" s="2">
        <v>1.4</v>
      </c>
      <c r="Z268" s="2">
        <v>0.7</v>
      </c>
      <c r="AA268" s="2">
        <v>4.4000000000000004</v>
      </c>
      <c r="AB268" s="2">
        <v>2.6</v>
      </c>
      <c r="AC268" s="2">
        <v>19.8</v>
      </c>
      <c r="AD268" s="2">
        <v>109</v>
      </c>
      <c r="AE268" s="2">
        <v>117</v>
      </c>
      <c r="AF268" s="2"/>
    </row>
    <row r="269" spans="1:32" x14ac:dyDescent="0.2">
      <c r="A269" t="s">
        <v>264</v>
      </c>
      <c r="B269" s="2">
        <v>24</v>
      </c>
      <c r="C269" t="s">
        <v>59</v>
      </c>
      <c r="D269" s="2" t="s">
        <v>52</v>
      </c>
      <c r="E269" s="2">
        <v>22</v>
      </c>
      <c r="F269" s="2">
        <v>21</v>
      </c>
      <c r="G269" s="2">
        <v>608</v>
      </c>
      <c r="H269" s="2">
        <v>4.9000000000000004</v>
      </c>
      <c r="I269" s="2">
        <v>11.2</v>
      </c>
      <c r="J269" s="2">
        <v>0.438</v>
      </c>
      <c r="K269" s="2">
        <v>2.7</v>
      </c>
      <c r="L269" s="2">
        <v>6</v>
      </c>
      <c r="M269" s="2">
        <v>0.45200000000000001</v>
      </c>
      <c r="N269" s="2">
        <v>2.2000000000000002</v>
      </c>
      <c r="O269" s="2">
        <v>5.2</v>
      </c>
      <c r="P269" s="2">
        <v>0.42199999999999999</v>
      </c>
      <c r="Q269" s="2">
        <v>0.55800000000000005</v>
      </c>
      <c r="R269" s="2">
        <v>1.1000000000000001</v>
      </c>
      <c r="S269" s="2">
        <v>1.8</v>
      </c>
      <c r="T269" s="2">
        <v>0.59099999999999997</v>
      </c>
      <c r="U269" s="2">
        <v>1.7</v>
      </c>
      <c r="V269" s="2">
        <v>3</v>
      </c>
      <c r="W269" s="2">
        <v>4.7</v>
      </c>
      <c r="X269" s="2">
        <v>3</v>
      </c>
      <c r="Y269" s="2">
        <v>1.5</v>
      </c>
      <c r="Z269" s="2">
        <v>0.6</v>
      </c>
      <c r="AA269" s="2">
        <v>1.5</v>
      </c>
      <c r="AB269" s="2">
        <v>5.2</v>
      </c>
      <c r="AC269" s="2">
        <v>13.5</v>
      </c>
      <c r="AD269" s="2">
        <v>116</v>
      </c>
      <c r="AE269" s="2">
        <v>118</v>
      </c>
      <c r="AF269" s="2"/>
    </row>
    <row r="270" spans="1:32" x14ac:dyDescent="0.2">
      <c r="A270" t="s">
        <v>128</v>
      </c>
      <c r="B270" s="2">
        <v>29</v>
      </c>
      <c r="C270" t="s">
        <v>44</v>
      </c>
      <c r="D270" s="2" t="s">
        <v>52</v>
      </c>
      <c r="E270" s="2">
        <v>25</v>
      </c>
      <c r="F270" s="2">
        <v>25</v>
      </c>
      <c r="G270" s="2">
        <v>924</v>
      </c>
      <c r="H270" s="2">
        <v>7.3</v>
      </c>
      <c r="I270" s="2">
        <v>12.3</v>
      </c>
      <c r="J270" s="2">
        <v>0.59599999999999997</v>
      </c>
      <c r="K270" s="2">
        <v>1.9</v>
      </c>
      <c r="L270" s="2">
        <v>4.5999999999999996</v>
      </c>
      <c r="M270" s="2">
        <v>0.40699999999999997</v>
      </c>
      <c r="N270" s="2">
        <v>5.5</v>
      </c>
      <c r="O270" s="2">
        <v>7.7</v>
      </c>
      <c r="P270" s="2">
        <v>0.70799999999999996</v>
      </c>
      <c r="Q270" s="2">
        <v>0.67200000000000004</v>
      </c>
      <c r="R270" s="2">
        <v>2.4</v>
      </c>
      <c r="S270" s="2">
        <v>2.8</v>
      </c>
      <c r="T270" s="2">
        <v>0.84899999999999998</v>
      </c>
      <c r="U270" s="2">
        <v>2.1</v>
      </c>
      <c r="V270" s="2">
        <v>9</v>
      </c>
      <c r="W270" s="2">
        <v>11.2</v>
      </c>
      <c r="X270" s="2">
        <v>7.4</v>
      </c>
      <c r="Y270" s="2">
        <v>1.8</v>
      </c>
      <c r="Z270" s="2">
        <v>0.4</v>
      </c>
      <c r="AA270" s="2">
        <v>2.2999999999999998</v>
      </c>
      <c r="AB270" s="2">
        <v>3.2</v>
      </c>
      <c r="AC270" s="2">
        <v>19</v>
      </c>
      <c r="AD270" s="2">
        <v>137</v>
      </c>
      <c r="AE270" s="2">
        <v>113</v>
      </c>
      <c r="AF270" s="2"/>
    </row>
    <row r="271" spans="1:32" x14ac:dyDescent="0.2">
      <c r="A271" t="s">
        <v>446</v>
      </c>
      <c r="B271" s="2">
        <v>22</v>
      </c>
      <c r="C271" t="s">
        <v>51</v>
      </c>
      <c r="D271" s="2" t="s">
        <v>49</v>
      </c>
      <c r="E271" s="2">
        <v>11</v>
      </c>
      <c r="F271" s="2">
        <v>0</v>
      </c>
      <c r="G271" s="2">
        <v>82</v>
      </c>
      <c r="H271" s="2">
        <v>6.6</v>
      </c>
      <c r="I271" s="2">
        <v>11.4</v>
      </c>
      <c r="J271" s="2">
        <v>0.57899999999999996</v>
      </c>
      <c r="K271" s="2">
        <v>1.2</v>
      </c>
      <c r="L271" s="2">
        <v>6</v>
      </c>
      <c r="M271" s="2">
        <v>0.2</v>
      </c>
      <c r="N271" s="2">
        <v>5.4</v>
      </c>
      <c r="O271" s="2">
        <v>5.4</v>
      </c>
      <c r="P271" s="2">
        <v>1</v>
      </c>
      <c r="Q271" s="2">
        <v>0.63200000000000001</v>
      </c>
      <c r="R271" s="2">
        <v>1.8</v>
      </c>
      <c r="S271" s="2">
        <v>3</v>
      </c>
      <c r="T271" s="2">
        <v>0.6</v>
      </c>
      <c r="U271" s="2">
        <v>0.6</v>
      </c>
      <c r="V271" s="2">
        <v>7.8</v>
      </c>
      <c r="W271" s="2">
        <v>8.4</v>
      </c>
      <c r="X271" s="2">
        <v>3</v>
      </c>
      <c r="Y271" s="2">
        <v>1.8</v>
      </c>
      <c r="Z271" s="2">
        <v>1.8</v>
      </c>
      <c r="AA271" s="2">
        <v>3</v>
      </c>
      <c r="AB271" s="2">
        <v>7.2</v>
      </c>
      <c r="AC271" s="2">
        <v>16.2</v>
      </c>
      <c r="AD271" s="2">
        <v>107</v>
      </c>
      <c r="AE271" s="2">
        <v>107</v>
      </c>
      <c r="AF271" s="2"/>
    </row>
    <row r="272" spans="1:32" x14ac:dyDescent="0.2">
      <c r="A272" t="s">
        <v>342</v>
      </c>
      <c r="B272" s="2">
        <v>26</v>
      </c>
      <c r="C272" t="s">
        <v>54</v>
      </c>
      <c r="D272" s="2" t="s">
        <v>52</v>
      </c>
      <c r="E272" s="2">
        <v>13</v>
      </c>
      <c r="F272" s="2">
        <v>1</v>
      </c>
      <c r="G272" s="2">
        <v>194</v>
      </c>
      <c r="H272" s="2">
        <v>9.1</v>
      </c>
      <c r="I272" s="2">
        <v>17.8</v>
      </c>
      <c r="J272" s="2">
        <v>0.51400000000000001</v>
      </c>
      <c r="K272" s="2">
        <v>2.5</v>
      </c>
      <c r="L272" s="2">
        <v>5.8</v>
      </c>
      <c r="M272" s="2">
        <v>0.435</v>
      </c>
      <c r="N272" s="2">
        <v>6.6</v>
      </c>
      <c r="O272" s="2">
        <v>11.9</v>
      </c>
      <c r="P272" s="2">
        <v>0.55300000000000005</v>
      </c>
      <c r="Q272" s="2">
        <v>0.58599999999999997</v>
      </c>
      <c r="R272" s="2">
        <v>4.0999999999999996</v>
      </c>
      <c r="S272" s="2">
        <v>5.8</v>
      </c>
      <c r="T272" s="2">
        <v>0.69599999999999995</v>
      </c>
      <c r="U272" s="2">
        <v>4.3</v>
      </c>
      <c r="V272" s="2">
        <v>6.3</v>
      </c>
      <c r="W272" s="2">
        <v>10.7</v>
      </c>
      <c r="X272" s="2">
        <v>2</v>
      </c>
      <c r="Y272" s="2">
        <v>3</v>
      </c>
      <c r="Z272" s="2">
        <v>1</v>
      </c>
      <c r="AA272" s="2">
        <v>2.5</v>
      </c>
      <c r="AB272" s="2">
        <v>3.8</v>
      </c>
      <c r="AC272" s="2">
        <v>24.9</v>
      </c>
      <c r="AD272" s="2">
        <v>117</v>
      </c>
      <c r="AE272" s="2">
        <v>113</v>
      </c>
      <c r="AF272" s="2"/>
    </row>
    <row r="273" spans="1:32" x14ac:dyDescent="0.2">
      <c r="A273" t="s">
        <v>437</v>
      </c>
      <c r="B273" s="2">
        <v>31</v>
      </c>
      <c r="C273" t="s">
        <v>61</v>
      </c>
      <c r="D273" s="2" t="s">
        <v>52</v>
      </c>
      <c r="E273" s="2">
        <v>8</v>
      </c>
      <c r="F273" s="2">
        <v>0</v>
      </c>
      <c r="G273" s="2">
        <v>150</v>
      </c>
      <c r="H273" s="2">
        <v>3.6</v>
      </c>
      <c r="I273" s="2">
        <v>12.6</v>
      </c>
      <c r="J273" s="2">
        <v>0.28899999999999998</v>
      </c>
      <c r="K273" s="2">
        <v>2</v>
      </c>
      <c r="L273" s="2">
        <v>7.3</v>
      </c>
      <c r="M273" s="2">
        <v>0.27300000000000002</v>
      </c>
      <c r="N273" s="2">
        <v>1.7</v>
      </c>
      <c r="O273" s="2">
        <v>5.3</v>
      </c>
      <c r="P273" s="2">
        <v>0.313</v>
      </c>
      <c r="Q273" s="2">
        <v>0.36799999999999999</v>
      </c>
      <c r="R273" s="2">
        <v>1.3</v>
      </c>
      <c r="S273" s="2">
        <v>1.3</v>
      </c>
      <c r="T273" s="2">
        <v>1</v>
      </c>
      <c r="U273" s="2">
        <v>2</v>
      </c>
      <c r="V273" s="2">
        <v>2</v>
      </c>
      <c r="W273" s="2">
        <v>4</v>
      </c>
      <c r="X273" s="2">
        <v>4</v>
      </c>
      <c r="Y273" s="2">
        <v>2.6</v>
      </c>
      <c r="Z273" s="2">
        <v>0.3</v>
      </c>
      <c r="AA273" s="2">
        <v>2.6</v>
      </c>
      <c r="AB273" s="2">
        <v>5.6</v>
      </c>
      <c r="AC273" s="2">
        <v>10.6</v>
      </c>
      <c r="AD273" s="2">
        <v>88</v>
      </c>
      <c r="AE273" s="2">
        <v>113</v>
      </c>
      <c r="AF273" s="2"/>
    </row>
    <row r="274" spans="1:32" x14ac:dyDescent="0.2">
      <c r="A274" t="s">
        <v>176</v>
      </c>
      <c r="B274" s="2">
        <v>34</v>
      </c>
      <c r="C274" t="s">
        <v>39</v>
      </c>
      <c r="D274" s="2" t="s">
        <v>33</v>
      </c>
      <c r="E274" s="2">
        <v>22</v>
      </c>
      <c r="F274" s="2">
        <v>22</v>
      </c>
      <c r="G274" s="2">
        <v>681</v>
      </c>
      <c r="H274" s="2">
        <v>7.1</v>
      </c>
      <c r="I274" s="2">
        <v>16.3</v>
      </c>
      <c r="J274" s="2">
        <v>0.436</v>
      </c>
      <c r="K274" s="2">
        <v>3</v>
      </c>
      <c r="L274" s="2">
        <v>9.1</v>
      </c>
      <c r="M274" s="2">
        <v>0.33300000000000002</v>
      </c>
      <c r="N274" s="2">
        <v>4.0999999999999996</v>
      </c>
      <c r="O274" s="2">
        <v>7.3</v>
      </c>
      <c r="P274" s="2">
        <v>0.56399999999999995</v>
      </c>
      <c r="Q274" s="2">
        <v>0.52900000000000003</v>
      </c>
      <c r="R274" s="2">
        <v>2.7</v>
      </c>
      <c r="S274" s="2">
        <v>2.9</v>
      </c>
      <c r="T274" s="2">
        <v>0.90200000000000002</v>
      </c>
      <c r="U274" s="2">
        <v>1.9</v>
      </c>
      <c r="V274" s="2">
        <v>5</v>
      </c>
      <c r="W274" s="2">
        <v>6.9</v>
      </c>
      <c r="X274" s="2">
        <v>6.5</v>
      </c>
      <c r="Y274" s="2">
        <v>1.1000000000000001</v>
      </c>
      <c r="Z274" s="2">
        <v>0.6</v>
      </c>
      <c r="AA274" s="2">
        <v>2.2999999999999998</v>
      </c>
      <c r="AB274" s="2">
        <v>2.2999999999999998</v>
      </c>
      <c r="AC274" s="2">
        <v>19.899999999999999</v>
      </c>
      <c r="AD274" s="2">
        <v>119</v>
      </c>
      <c r="AE274" s="2">
        <v>114</v>
      </c>
      <c r="AF274" s="2"/>
    </row>
    <row r="275" spans="1:32" x14ac:dyDescent="0.2">
      <c r="A275" t="s">
        <v>473</v>
      </c>
      <c r="B275" s="2">
        <v>22</v>
      </c>
      <c r="C275" t="s">
        <v>57</v>
      </c>
      <c r="D275" s="2" t="s">
        <v>27</v>
      </c>
      <c r="E275" s="2">
        <v>3</v>
      </c>
      <c r="F275" s="2">
        <v>0</v>
      </c>
      <c r="G275" s="2">
        <v>16</v>
      </c>
      <c r="H275" s="2">
        <v>21</v>
      </c>
      <c r="I275" s="2">
        <v>21</v>
      </c>
      <c r="J275" s="2">
        <v>1</v>
      </c>
      <c r="K275" s="2">
        <v>9</v>
      </c>
      <c r="L275" s="2">
        <v>9</v>
      </c>
      <c r="M275" s="2">
        <v>1</v>
      </c>
      <c r="N275" s="2">
        <v>12</v>
      </c>
      <c r="O275" s="2">
        <v>12</v>
      </c>
      <c r="P275" s="2">
        <v>1</v>
      </c>
      <c r="Q275" s="2">
        <v>1.214</v>
      </c>
      <c r="R275" s="2">
        <v>6</v>
      </c>
      <c r="S275" s="2">
        <v>6</v>
      </c>
      <c r="T275" s="2">
        <v>1</v>
      </c>
      <c r="U275" s="2">
        <v>0</v>
      </c>
      <c r="V275" s="2">
        <v>6</v>
      </c>
      <c r="W275" s="2">
        <v>6</v>
      </c>
      <c r="X275" s="2">
        <v>0</v>
      </c>
      <c r="Y275" s="2">
        <v>6</v>
      </c>
      <c r="Z275" s="2">
        <v>6</v>
      </c>
      <c r="AA275" s="2">
        <v>6</v>
      </c>
      <c r="AB275" s="2">
        <v>6</v>
      </c>
      <c r="AC275" s="2">
        <v>56.9</v>
      </c>
      <c r="AD275" s="2">
        <v>153</v>
      </c>
      <c r="AE275" s="2">
        <v>96</v>
      </c>
      <c r="AF275" s="2"/>
    </row>
    <row r="276" spans="1:32" x14ac:dyDescent="0.2">
      <c r="A276" t="s">
        <v>153</v>
      </c>
      <c r="B276" s="2">
        <v>23</v>
      </c>
      <c r="C276" t="s">
        <v>93</v>
      </c>
      <c r="D276" s="2" t="s">
        <v>49</v>
      </c>
      <c r="E276" s="2">
        <v>24</v>
      </c>
      <c r="F276" s="2">
        <v>24</v>
      </c>
      <c r="G276" s="2">
        <v>711</v>
      </c>
      <c r="H276" s="2">
        <v>7</v>
      </c>
      <c r="I276" s="2">
        <v>16.3</v>
      </c>
      <c r="J276" s="2">
        <v>0.433</v>
      </c>
      <c r="K276" s="2">
        <v>4.0999999999999996</v>
      </c>
      <c r="L276" s="2">
        <v>11.6</v>
      </c>
      <c r="M276" s="2">
        <v>0.35499999999999998</v>
      </c>
      <c r="N276" s="2">
        <v>2.9</v>
      </c>
      <c r="O276" s="2">
        <v>4.7</v>
      </c>
      <c r="P276" s="2">
        <v>0.623</v>
      </c>
      <c r="Q276" s="2">
        <v>0.55900000000000005</v>
      </c>
      <c r="R276" s="2">
        <v>2.5</v>
      </c>
      <c r="S276" s="2">
        <v>2.7</v>
      </c>
      <c r="T276" s="2">
        <v>0.92300000000000004</v>
      </c>
      <c r="U276" s="2">
        <v>1.4</v>
      </c>
      <c r="V276" s="2">
        <v>7</v>
      </c>
      <c r="W276" s="2">
        <v>8.4</v>
      </c>
      <c r="X276" s="2">
        <v>2.5</v>
      </c>
      <c r="Y276" s="2">
        <v>1.4</v>
      </c>
      <c r="Z276" s="2">
        <v>1</v>
      </c>
      <c r="AA276" s="2">
        <v>1.8</v>
      </c>
      <c r="AB276" s="2">
        <v>2.5</v>
      </c>
      <c r="AC276" s="2">
        <v>20.7</v>
      </c>
      <c r="AD276" s="2">
        <v>115</v>
      </c>
      <c r="AE276" s="2">
        <v>115</v>
      </c>
      <c r="AF276" s="2"/>
    </row>
    <row r="277" spans="1:32" x14ac:dyDescent="0.2">
      <c r="A277" t="s">
        <v>328</v>
      </c>
      <c r="B277" s="2">
        <v>21</v>
      </c>
      <c r="C277" t="s">
        <v>70</v>
      </c>
      <c r="D277" s="2" t="s">
        <v>49</v>
      </c>
      <c r="E277" s="2">
        <v>24</v>
      </c>
      <c r="F277" s="2">
        <v>2</v>
      </c>
      <c r="G277" s="2">
        <v>344</v>
      </c>
      <c r="H277" s="2">
        <v>5.0999999999999996</v>
      </c>
      <c r="I277" s="2">
        <v>12.3</v>
      </c>
      <c r="J277" s="2">
        <v>0.41299999999999998</v>
      </c>
      <c r="K277" s="2">
        <v>2.4</v>
      </c>
      <c r="L277" s="2">
        <v>7.6</v>
      </c>
      <c r="M277" s="2">
        <v>0.316</v>
      </c>
      <c r="N277" s="2">
        <v>2.7</v>
      </c>
      <c r="O277" s="2">
        <v>4.7</v>
      </c>
      <c r="P277" s="2">
        <v>0.57099999999999995</v>
      </c>
      <c r="Q277" s="2">
        <v>0.51100000000000001</v>
      </c>
      <c r="R277" s="2">
        <v>1.7</v>
      </c>
      <c r="S277" s="2">
        <v>2.8</v>
      </c>
      <c r="T277" s="2">
        <v>0.61899999999999999</v>
      </c>
      <c r="U277" s="2">
        <v>2.5</v>
      </c>
      <c r="V277" s="2">
        <v>4.0999999999999996</v>
      </c>
      <c r="W277" s="2">
        <v>6.7</v>
      </c>
      <c r="X277" s="2">
        <v>1.5</v>
      </c>
      <c r="Y277" s="2">
        <v>2.1</v>
      </c>
      <c r="Z277" s="2">
        <v>0.8</v>
      </c>
      <c r="AA277" s="2">
        <v>1.3</v>
      </c>
      <c r="AB277" s="2">
        <v>4.3</v>
      </c>
      <c r="AC277" s="2">
        <v>14.3</v>
      </c>
      <c r="AD277" s="2">
        <v>107</v>
      </c>
      <c r="AE277" s="2">
        <v>118</v>
      </c>
      <c r="AF277" s="2"/>
    </row>
    <row r="278" spans="1:32" x14ac:dyDescent="0.2">
      <c r="A278" t="s">
        <v>233</v>
      </c>
      <c r="B278" s="2">
        <v>22</v>
      </c>
      <c r="C278" t="s">
        <v>46</v>
      </c>
      <c r="D278" s="2" t="s">
        <v>52</v>
      </c>
      <c r="E278" s="2">
        <v>22</v>
      </c>
      <c r="F278" s="2">
        <v>0</v>
      </c>
      <c r="G278" s="2">
        <v>458</v>
      </c>
      <c r="H278" s="2">
        <v>7.2</v>
      </c>
      <c r="I278" s="2">
        <v>15.5</v>
      </c>
      <c r="J278" s="2">
        <v>0.46300000000000002</v>
      </c>
      <c r="K278" s="2">
        <v>3.2</v>
      </c>
      <c r="L278" s="2">
        <v>7.9</v>
      </c>
      <c r="M278" s="2">
        <v>0.40799999999999997</v>
      </c>
      <c r="N278" s="2">
        <v>3.9</v>
      </c>
      <c r="O278" s="2">
        <v>7.6</v>
      </c>
      <c r="P278" s="2">
        <v>0.52100000000000002</v>
      </c>
      <c r="Q278" s="2">
        <v>0.56699999999999995</v>
      </c>
      <c r="R278" s="2">
        <v>3</v>
      </c>
      <c r="S278" s="2">
        <v>3.7</v>
      </c>
      <c r="T278" s="2">
        <v>0.80600000000000005</v>
      </c>
      <c r="U278" s="2">
        <v>0.7</v>
      </c>
      <c r="V278" s="2">
        <v>3.8</v>
      </c>
      <c r="W278" s="2">
        <v>4.5999999999999996</v>
      </c>
      <c r="X278" s="2">
        <v>3.2</v>
      </c>
      <c r="Y278" s="2">
        <v>1.9</v>
      </c>
      <c r="Z278" s="2">
        <v>0.9</v>
      </c>
      <c r="AA278" s="2">
        <v>2.2000000000000002</v>
      </c>
      <c r="AB278" s="2">
        <v>6.1</v>
      </c>
      <c r="AC278" s="2">
        <v>20.6</v>
      </c>
      <c r="AD278" s="2">
        <v>113</v>
      </c>
      <c r="AE278" s="2">
        <v>116</v>
      </c>
      <c r="AF278" s="2"/>
    </row>
    <row r="279" spans="1:32" x14ac:dyDescent="0.2">
      <c r="A279" t="s">
        <v>91</v>
      </c>
      <c r="B279" s="2">
        <v>30</v>
      </c>
      <c r="C279" t="s">
        <v>51</v>
      </c>
      <c r="D279" s="2" t="s">
        <v>27</v>
      </c>
      <c r="E279" s="2">
        <v>23</v>
      </c>
      <c r="F279" s="2">
        <v>23</v>
      </c>
      <c r="G279" s="2">
        <v>763</v>
      </c>
      <c r="H279" s="2">
        <v>10.4</v>
      </c>
      <c r="I279" s="2">
        <v>21.2</v>
      </c>
      <c r="J279" s="2">
        <v>0.48899999999999999</v>
      </c>
      <c r="K279" s="2">
        <v>2.6</v>
      </c>
      <c r="L279" s="2">
        <v>7</v>
      </c>
      <c r="M279" s="2">
        <v>0.36699999999999999</v>
      </c>
      <c r="N279" s="2">
        <v>7.8</v>
      </c>
      <c r="O279" s="2">
        <v>14.2</v>
      </c>
      <c r="P279" s="2">
        <v>0.55000000000000004</v>
      </c>
      <c r="Q279" s="2">
        <v>0.55000000000000004</v>
      </c>
      <c r="R279" s="2">
        <v>7</v>
      </c>
      <c r="S279" s="2">
        <v>8.4</v>
      </c>
      <c r="T279" s="2">
        <v>0.82399999999999995</v>
      </c>
      <c r="U279" s="2">
        <v>2.6</v>
      </c>
      <c r="V279" s="2">
        <v>7.7</v>
      </c>
      <c r="W279" s="2">
        <v>10.3</v>
      </c>
      <c r="X279" s="2">
        <v>6</v>
      </c>
      <c r="Y279" s="2">
        <v>1.2</v>
      </c>
      <c r="Z279" s="2">
        <v>0.2</v>
      </c>
      <c r="AA279" s="2">
        <v>4</v>
      </c>
      <c r="AB279" s="2">
        <v>3.7</v>
      </c>
      <c r="AC279" s="2">
        <v>30.3</v>
      </c>
      <c r="AD279" s="2">
        <v>117</v>
      </c>
      <c r="AE279" s="2">
        <v>111</v>
      </c>
      <c r="AF279" s="2"/>
    </row>
    <row r="280" spans="1:32" x14ac:dyDescent="0.2">
      <c r="A280" t="s">
        <v>410</v>
      </c>
      <c r="B280" s="2">
        <v>23</v>
      </c>
      <c r="C280" t="s">
        <v>114</v>
      </c>
      <c r="D280" s="2" t="s">
        <v>49</v>
      </c>
      <c r="E280" s="2">
        <v>5</v>
      </c>
      <c r="F280" s="2">
        <v>2</v>
      </c>
      <c r="G280" s="2">
        <v>105</v>
      </c>
      <c r="H280" s="2">
        <v>8.5</v>
      </c>
      <c r="I280" s="2">
        <v>15.1</v>
      </c>
      <c r="J280" s="2">
        <v>0.55900000000000005</v>
      </c>
      <c r="K280" s="2">
        <v>2.2000000000000002</v>
      </c>
      <c r="L280" s="2">
        <v>5.3</v>
      </c>
      <c r="M280" s="2">
        <v>0.41699999999999998</v>
      </c>
      <c r="N280" s="2">
        <v>6.2</v>
      </c>
      <c r="O280" s="2">
        <v>9.8000000000000007</v>
      </c>
      <c r="P280" s="2">
        <v>0.63600000000000001</v>
      </c>
      <c r="Q280" s="2">
        <v>0.63200000000000001</v>
      </c>
      <c r="R280" s="2">
        <v>1.3</v>
      </c>
      <c r="S280" s="2">
        <v>2.2000000000000002</v>
      </c>
      <c r="T280" s="2">
        <v>0.6</v>
      </c>
      <c r="U280" s="2">
        <v>4.4000000000000004</v>
      </c>
      <c r="V280" s="2">
        <v>5.8</v>
      </c>
      <c r="W280" s="2">
        <v>10.199999999999999</v>
      </c>
      <c r="X280" s="2">
        <v>2.2000000000000002</v>
      </c>
      <c r="Y280" s="2">
        <v>3.1</v>
      </c>
      <c r="Z280" s="2">
        <v>0.9</v>
      </c>
      <c r="AA280" s="2">
        <v>2.2000000000000002</v>
      </c>
      <c r="AB280" s="2">
        <v>5.3</v>
      </c>
      <c r="AC280" s="2">
        <v>20.5</v>
      </c>
      <c r="AD280" s="2">
        <v>120</v>
      </c>
      <c r="AE280" s="2">
        <v>118</v>
      </c>
      <c r="AF280" s="2"/>
    </row>
    <row r="281" spans="1:32" x14ac:dyDescent="0.2">
      <c r="A281" t="s">
        <v>524</v>
      </c>
      <c r="B281" s="2">
        <v>21</v>
      </c>
      <c r="C281" t="s">
        <v>122</v>
      </c>
      <c r="D281" s="2" t="s">
        <v>49</v>
      </c>
      <c r="E281" s="2">
        <v>2</v>
      </c>
      <c r="F281" s="2">
        <v>0</v>
      </c>
      <c r="G281" s="2">
        <v>9</v>
      </c>
      <c r="H281" s="2">
        <v>11.1</v>
      </c>
      <c r="I281" s="2">
        <v>16.600000000000001</v>
      </c>
      <c r="J281" s="2">
        <v>0.66700000000000004</v>
      </c>
      <c r="K281" s="2">
        <v>0</v>
      </c>
      <c r="L281" s="2">
        <v>5.5</v>
      </c>
      <c r="M281" s="2">
        <v>0</v>
      </c>
      <c r="N281" s="2">
        <v>11.1</v>
      </c>
      <c r="O281" s="2">
        <v>11.1</v>
      </c>
      <c r="P281" s="2">
        <v>1</v>
      </c>
      <c r="Q281" s="2">
        <v>0.66700000000000004</v>
      </c>
      <c r="R281" s="2">
        <v>0</v>
      </c>
      <c r="S281" s="2">
        <v>5.5</v>
      </c>
      <c r="T281" s="2">
        <v>0</v>
      </c>
      <c r="U281" s="2">
        <v>0</v>
      </c>
      <c r="V281" s="2">
        <v>11.1</v>
      </c>
      <c r="W281" s="2">
        <v>11.1</v>
      </c>
      <c r="X281" s="2">
        <v>5.5</v>
      </c>
      <c r="Y281" s="2">
        <v>0</v>
      </c>
      <c r="Z281" s="2">
        <v>0</v>
      </c>
      <c r="AA281" s="2">
        <v>0</v>
      </c>
      <c r="AB281" s="2">
        <v>0</v>
      </c>
      <c r="AC281" s="2">
        <v>22.2</v>
      </c>
      <c r="AD281" s="2">
        <v>123</v>
      </c>
      <c r="AE281" s="2">
        <v>115</v>
      </c>
      <c r="AF281" s="2"/>
    </row>
    <row r="282" spans="1:32" x14ac:dyDescent="0.2">
      <c r="A282" t="s">
        <v>564</v>
      </c>
      <c r="B282" s="2">
        <v>25</v>
      </c>
      <c r="C282" t="s">
        <v>135</v>
      </c>
      <c r="D282" s="2" t="s">
        <v>49</v>
      </c>
      <c r="E282" s="2">
        <v>1</v>
      </c>
      <c r="F282" s="2">
        <v>0</v>
      </c>
      <c r="G282" s="2">
        <v>6</v>
      </c>
      <c r="H282" s="2">
        <v>0</v>
      </c>
      <c r="I282" s="2">
        <v>0</v>
      </c>
      <c r="J282" s="2"/>
      <c r="K282" s="2">
        <v>0</v>
      </c>
      <c r="L282" s="2">
        <v>0</v>
      </c>
      <c r="M282" s="2"/>
      <c r="N282" s="2">
        <v>0</v>
      </c>
      <c r="O282" s="2">
        <v>0</v>
      </c>
      <c r="P282" s="2"/>
      <c r="Q282" s="2"/>
      <c r="R282" s="2">
        <v>0</v>
      </c>
      <c r="S282" s="2">
        <v>0</v>
      </c>
      <c r="T282" s="2"/>
      <c r="U282" s="2">
        <v>0</v>
      </c>
      <c r="V282" s="2">
        <v>8</v>
      </c>
      <c r="W282" s="2">
        <v>8</v>
      </c>
      <c r="X282" s="2">
        <v>0</v>
      </c>
      <c r="Y282" s="2">
        <v>0</v>
      </c>
      <c r="Z282" s="2">
        <v>0</v>
      </c>
      <c r="AA282" s="2">
        <v>0</v>
      </c>
      <c r="AB282" s="2">
        <v>8</v>
      </c>
      <c r="AC282" s="2">
        <v>0</v>
      </c>
      <c r="AD282" s="2"/>
      <c r="AE282" s="2">
        <v>120</v>
      </c>
      <c r="AF282" s="2"/>
    </row>
    <row r="283" spans="1:32" x14ac:dyDescent="0.2">
      <c r="A283" t="s">
        <v>293</v>
      </c>
      <c r="B283" s="2">
        <v>30</v>
      </c>
      <c r="C283" t="s">
        <v>54</v>
      </c>
      <c r="D283" s="2" t="s">
        <v>42</v>
      </c>
      <c r="E283" s="2">
        <v>16</v>
      </c>
      <c r="F283" s="2">
        <v>16</v>
      </c>
      <c r="G283" s="2">
        <v>385</v>
      </c>
      <c r="H283" s="2">
        <v>6</v>
      </c>
      <c r="I283" s="2">
        <v>14.3</v>
      </c>
      <c r="J283" s="2">
        <v>0.42</v>
      </c>
      <c r="K283" s="2">
        <v>1.8</v>
      </c>
      <c r="L283" s="2">
        <v>6</v>
      </c>
      <c r="M283" s="2">
        <v>0.29799999999999999</v>
      </c>
      <c r="N283" s="2">
        <v>4.2</v>
      </c>
      <c r="O283" s="2">
        <v>8.3000000000000007</v>
      </c>
      <c r="P283" s="2">
        <v>0.50800000000000001</v>
      </c>
      <c r="Q283" s="2">
        <v>0.48199999999999998</v>
      </c>
      <c r="R283" s="2">
        <v>4.5</v>
      </c>
      <c r="S283" s="2">
        <v>6.6</v>
      </c>
      <c r="T283" s="2">
        <v>0.67300000000000004</v>
      </c>
      <c r="U283" s="2">
        <v>3.7</v>
      </c>
      <c r="V283" s="2">
        <v>16.600000000000001</v>
      </c>
      <c r="W283" s="2">
        <v>20.3</v>
      </c>
      <c r="X283" s="2">
        <v>2.7</v>
      </c>
      <c r="Y283" s="2">
        <v>1.9</v>
      </c>
      <c r="Z283" s="2">
        <v>1.3</v>
      </c>
      <c r="AA283" s="2">
        <v>4.7</v>
      </c>
      <c r="AB283" s="2">
        <v>6</v>
      </c>
      <c r="AC283" s="2">
        <v>18.3</v>
      </c>
      <c r="AD283" s="2">
        <v>96</v>
      </c>
      <c r="AE283" s="2">
        <v>109</v>
      </c>
      <c r="AF283" s="2"/>
    </row>
    <row r="284" spans="1:32" x14ac:dyDescent="0.2">
      <c r="A284" t="s">
        <v>423</v>
      </c>
      <c r="B284" s="2">
        <v>24</v>
      </c>
      <c r="C284" t="s">
        <v>77</v>
      </c>
      <c r="D284" s="2" t="s">
        <v>42</v>
      </c>
      <c r="E284" s="2">
        <v>16</v>
      </c>
      <c r="F284" s="2">
        <v>0</v>
      </c>
      <c r="G284" s="2">
        <v>139</v>
      </c>
      <c r="H284" s="2">
        <v>5.3</v>
      </c>
      <c r="I284" s="2">
        <v>7.1</v>
      </c>
      <c r="J284" s="2">
        <v>0.75</v>
      </c>
      <c r="K284" s="2">
        <v>0</v>
      </c>
      <c r="L284" s="2">
        <v>0</v>
      </c>
      <c r="M284" s="2"/>
      <c r="N284" s="2">
        <v>5.3</v>
      </c>
      <c r="O284" s="2">
        <v>7.1</v>
      </c>
      <c r="P284" s="2">
        <v>0.75</v>
      </c>
      <c r="Q284" s="2">
        <v>0.75</v>
      </c>
      <c r="R284" s="2">
        <v>2.5</v>
      </c>
      <c r="S284" s="2">
        <v>3.5</v>
      </c>
      <c r="T284" s="2">
        <v>0.7</v>
      </c>
      <c r="U284" s="2">
        <v>3.9</v>
      </c>
      <c r="V284" s="2">
        <v>7.1</v>
      </c>
      <c r="W284" s="2">
        <v>11</v>
      </c>
      <c r="X284" s="2">
        <v>2.1</v>
      </c>
      <c r="Y284" s="2">
        <v>1.4</v>
      </c>
      <c r="Z284" s="2">
        <v>3.2</v>
      </c>
      <c r="AA284" s="2">
        <v>2.5</v>
      </c>
      <c r="AB284" s="2">
        <v>6</v>
      </c>
      <c r="AC284" s="2">
        <v>13.1</v>
      </c>
      <c r="AD284" s="2">
        <v>130</v>
      </c>
      <c r="AE284" s="2">
        <v>108</v>
      </c>
      <c r="AF284" s="2"/>
    </row>
    <row r="285" spans="1:32" x14ac:dyDescent="0.2">
      <c r="A285" t="s">
        <v>55</v>
      </c>
      <c r="B285" s="2">
        <v>29</v>
      </c>
      <c r="C285" t="s">
        <v>44</v>
      </c>
      <c r="D285" s="2" t="s">
        <v>42</v>
      </c>
      <c r="E285" s="2">
        <v>23</v>
      </c>
      <c r="F285" s="2">
        <v>23</v>
      </c>
      <c r="G285" s="2">
        <v>781</v>
      </c>
      <c r="H285" s="2">
        <v>12.9</v>
      </c>
      <c r="I285" s="2">
        <v>24.4</v>
      </c>
      <c r="J285" s="2">
        <v>0.52900000000000003</v>
      </c>
      <c r="K285" s="2">
        <v>3.4</v>
      </c>
      <c r="L285" s="2">
        <v>7.6</v>
      </c>
      <c r="M285" s="2">
        <v>0.442</v>
      </c>
      <c r="N285" s="2">
        <v>9.5</v>
      </c>
      <c r="O285" s="2">
        <v>16.7</v>
      </c>
      <c r="P285" s="2">
        <v>0.56799999999999995</v>
      </c>
      <c r="Q285" s="2">
        <v>0.59799999999999998</v>
      </c>
      <c r="R285" s="2">
        <v>7.2</v>
      </c>
      <c r="S285" s="2">
        <v>8.6</v>
      </c>
      <c r="T285" s="2">
        <v>0.83699999999999997</v>
      </c>
      <c r="U285" s="2">
        <v>4.2</v>
      </c>
      <c r="V285" s="4">
        <v>15.5</v>
      </c>
      <c r="W285" s="2">
        <v>19.8</v>
      </c>
      <c r="X285" s="2">
        <v>4.7</v>
      </c>
      <c r="Y285" s="2">
        <v>1.3</v>
      </c>
      <c r="Z285" s="2">
        <v>1.5</v>
      </c>
      <c r="AA285" s="2">
        <v>3.5</v>
      </c>
      <c r="AB285" s="2">
        <v>5</v>
      </c>
      <c r="AC285" s="2">
        <v>36.299999999999997</v>
      </c>
      <c r="AD285" s="2">
        <v>126</v>
      </c>
      <c r="AE285" s="2">
        <v>109</v>
      </c>
      <c r="AF285" s="2"/>
    </row>
    <row r="286" spans="1:32" x14ac:dyDescent="0.2">
      <c r="A286" t="s">
        <v>530</v>
      </c>
      <c r="B286" s="2">
        <v>23</v>
      </c>
      <c r="C286" t="s">
        <v>117</v>
      </c>
      <c r="D286" s="2" t="s">
        <v>27</v>
      </c>
      <c r="E286" s="2">
        <v>5</v>
      </c>
      <c r="F286" s="2">
        <v>0</v>
      </c>
      <c r="G286" s="2">
        <v>39</v>
      </c>
      <c r="H286" s="2">
        <v>2.5</v>
      </c>
      <c r="I286" s="2">
        <v>6.3</v>
      </c>
      <c r="J286" s="2">
        <v>0.4</v>
      </c>
      <c r="K286" s="2">
        <v>0</v>
      </c>
      <c r="L286" s="2">
        <v>0</v>
      </c>
      <c r="M286" s="2"/>
      <c r="N286" s="2">
        <v>2.5</v>
      </c>
      <c r="O286" s="2">
        <v>6.3</v>
      </c>
      <c r="P286" s="2">
        <v>0.4</v>
      </c>
      <c r="Q286" s="2">
        <v>0.4</v>
      </c>
      <c r="R286" s="2">
        <v>0</v>
      </c>
      <c r="S286" s="2">
        <v>0</v>
      </c>
      <c r="T286" s="2"/>
      <c r="U286" s="2">
        <v>7.5</v>
      </c>
      <c r="V286" s="2">
        <v>5</v>
      </c>
      <c r="W286" s="2">
        <v>12.5</v>
      </c>
      <c r="X286" s="2">
        <v>0</v>
      </c>
      <c r="Y286" s="2">
        <v>3.8</v>
      </c>
      <c r="Z286" s="2">
        <v>3.8</v>
      </c>
      <c r="AA286" s="2">
        <v>5</v>
      </c>
      <c r="AB286" s="2">
        <v>5</v>
      </c>
      <c r="AC286" s="2">
        <v>5</v>
      </c>
      <c r="AD286" s="2">
        <v>74</v>
      </c>
      <c r="AE286" s="2">
        <v>112</v>
      </c>
      <c r="AF286" s="2"/>
    </row>
    <row r="287" spans="1:32" x14ac:dyDescent="0.2">
      <c r="A287" t="s">
        <v>396</v>
      </c>
      <c r="B287" s="2">
        <v>25</v>
      </c>
      <c r="C287" t="s">
        <v>72</v>
      </c>
      <c r="D287" s="2" t="s">
        <v>33</v>
      </c>
      <c r="E287" s="2">
        <v>12</v>
      </c>
      <c r="F287" s="2">
        <v>1</v>
      </c>
      <c r="G287" s="2">
        <v>194</v>
      </c>
      <c r="H287" s="2">
        <v>5.3</v>
      </c>
      <c r="I287" s="2">
        <v>13.1</v>
      </c>
      <c r="J287" s="2">
        <v>0.4</v>
      </c>
      <c r="K287" s="2">
        <v>1.9</v>
      </c>
      <c r="L287" s="2">
        <v>6.2</v>
      </c>
      <c r="M287" s="2">
        <v>0.308</v>
      </c>
      <c r="N287" s="2">
        <v>3.3</v>
      </c>
      <c r="O287" s="2">
        <v>6.9</v>
      </c>
      <c r="P287" s="2">
        <v>0.48299999999999998</v>
      </c>
      <c r="Q287" s="2">
        <v>0.47299999999999998</v>
      </c>
      <c r="R287" s="2">
        <v>1</v>
      </c>
      <c r="S287" s="2">
        <v>1</v>
      </c>
      <c r="T287" s="2">
        <v>1</v>
      </c>
      <c r="U287" s="2">
        <v>0.5</v>
      </c>
      <c r="V287" s="2">
        <v>3.8</v>
      </c>
      <c r="W287" s="2">
        <v>4.3</v>
      </c>
      <c r="X287" s="2">
        <v>5.3</v>
      </c>
      <c r="Y287" s="2">
        <v>2.4</v>
      </c>
      <c r="Z287" s="2">
        <v>1.4</v>
      </c>
      <c r="AA287" s="2">
        <v>2.9</v>
      </c>
      <c r="AB287" s="2">
        <v>3.1</v>
      </c>
      <c r="AC287" s="2">
        <v>13.4</v>
      </c>
      <c r="AD287" s="2">
        <v>97</v>
      </c>
      <c r="AE287" s="2">
        <v>115</v>
      </c>
      <c r="AF287" s="2"/>
    </row>
    <row r="288" spans="1:32" x14ac:dyDescent="0.2">
      <c r="A288" t="s">
        <v>147</v>
      </c>
      <c r="B288" s="2">
        <v>24</v>
      </c>
      <c r="C288" t="s">
        <v>37</v>
      </c>
      <c r="D288" s="2" t="s">
        <v>27</v>
      </c>
      <c r="E288" s="2">
        <v>26</v>
      </c>
      <c r="F288" s="2">
        <v>26</v>
      </c>
      <c r="G288" s="2">
        <v>944</v>
      </c>
      <c r="H288" s="2">
        <v>6.5</v>
      </c>
      <c r="I288" s="2">
        <v>15.2</v>
      </c>
      <c r="J288" s="2">
        <v>0.42899999999999999</v>
      </c>
      <c r="K288" s="2">
        <v>2.2000000000000002</v>
      </c>
      <c r="L288" s="2">
        <v>7.4</v>
      </c>
      <c r="M288" s="2">
        <v>0.29899999999999999</v>
      </c>
      <c r="N288" s="2">
        <v>4.3</v>
      </c>
      <c r="O288" s="2">
        <v>7.7</v>
      </c>
      <c r="P288" s="2">
        <v>0.55300000000000005</v>
      </c>
      <c r="Q288" s="2">
        <v>0.502</v>
      </c>
      <c r="R288" s="2">
        <v>1.4</v>
      </c>
      <c r="S288" s="2">
        <v>1.7</v>
      </c>
      <c r="T288" s="2">
        <v>0.84399999999999997</v>
      </c>
      <c r="U288" s="2">
        <v>3.2</v>
      </c>
      <c r="V288" s="2">
        <v>7.1</v>
      </c>
      <c r="W288" s="2">
        <v>10.3</v>
      </c>
      <c r="X288" s="2">
        <v>2</v>
      </c>
      <c r="Y288" s="2">
        <v>0.9</v>
      </c>
      <c r="Z288" s="2">
        <v>1.1000000000000001</v>
      </c>
      <c r="AA288" s="2">
        <v>1.4</v>
      </c>
      <c r="AB288" s="2">
        <v>4.0999999999999996</v>
      </c>
      <c r="AC288" s="2">
        <v>16.600000000000001</v>
      </c>
      <c r="AD288" s="2">
        <v>111</v>
      </c>
      <c r="AE288" s="2">
        <v>115</v>
      </c>
      <c r="AF288" s="2"/>
    </row>
    <row r="289" spans="1:32" x14ac:dyDescent="0.2">
      <c r="A289" t="s">
        <v>455</v>
      </c>
      <c r="B289" s="2">
        <v>20</v>
      </c>
      <c r="C289" t="s">
        <v>61</v>
      </c>
      <c r="D289" s="2" t="s">
        <v>42</v>
      </c>
      <c r="E289" s="2">
        <v>10</v>
      </c>
      <c r="F289" s="2">
        <v>0</v>
      </c>
      <c r="G289" s="2">
        <v>69</v>
      </c>
      <c r="H289" s="2">
        <v>7.2</v>
      </c>
      <c r="I289" s="2">
        <v>18</v>
      </c>
      <c r="J289" s="2">
        <v>0.4</v>
      </c>
      <c r="K289" s="2">
        <v>1.4</v>
      </c>
      <c r="L289" s="2">
        <v>5</v>
      </c>
      <c r="M289" s="2">
        <v>0.28599999999999998</v>
      </c>
      <c r="N289" s="2">
        <v>5.7</v>
      </c>
      <c r="O289" s="2">
        <v>12.9</v>
      </c>
      <c r="P289" s="2">
        <v>0.44400000000000001</v>
      </c>
      <c r="Q289" s="2">
        <v>0.44</v>
      </c>
      <c r="R289" s="2">
        <v>1.4</v>
      </c>
      <c r="S289" s="2">
        <v>1.4</v>
      </c>
      <c r="T289" s="2">
        <v>1</v>
      </c>
      <c r="U289" s="2">
        <v>1.4</v>
      </c>
      <c r="V289" s="2">
        <v>10.1</v>
      </c>
      <c r="W289" s="2">
        <v>11.5</v>
      </c>
      <c r="X289" s="2">
        <v>0.7</v>
      </c>
      <c r="Y289" s="2">
        <v>2.2000000000000002</v>
      </c>
      <c r="Z289" s="2">
        <v>3.6</v>
      </c>
      <c r="AA289" s="2">
        <v>2.9</v>
      </c>
      <c r="AB289" s="2">
        <v>4.3</v>
      </c>
      <c r="AC289" s="2">
        <v>17.2</v>
      </c>
      <c r="AD289" s="2">
        <v>85</v>
      </c>
      <c r="AE289" s="2">
        <v>105</v>
      </c>
      <c r="AF289" s="2"/>
    </row>
    <row r="290" spans="1:32" x14ac:dyDescent="0.2">
      <c r="A290" t="s">
        <v>164</v>
      </c>
      <c r="B290" s="2">
        <v>25</v>
      </c>
      <c r="C290" t="s">
        <v>93</v>
      </c>
      <c r="D290" s="2" t="s">
        <v>49</v>
      </c>
      <c r="E290" s="2">
        <v>23</v>
      </c>
      <c r="F290" s="2">
        <v>0</v>
      </c>
      <c r="G290" s="2">
        <v>583</v>
      </c>
      <c r="H290" s="2">
        <v>8.9</v>
      </c>
      <c r="I290" s="2">
        <v>19.899999999999999</v>
      </c>
      <c r="J290" s="2">
        <v>0.44800000000000001</v>
      </c>
      <c r="K290" s="2">
        <v>2.2000000000000002</v>
      </c>
      <c r="L290" s="2">
        <v>7.6</v>
      </c>
      <c r="M290" s="2">
        <v>0.28599999999999998</v>
      </c>
      <c r="N290" s="2">
        <v>6.8</v>
      </c>
      <c r="O290" s="2">
        <v>12.3</v>
      </c>
      <c r="P290" s="2">
        <v>0.54700000000000004</v>
      </c>
      <c r="Q290" s="2">
        <v>0.502</v>
      </c>
      <c r="R290" s="2">
        <v>4.3</v>
      </c>
      <c r="S290" s="2">
        <v>5.6</v>
      </c>
      <c r="T290" s="2">
        <v>0.76100000000000001</v>
      </c>
      <c r="U290" s="2">
        <v>2.2000000000000002</v>
      </c>
      <c r="V290" s="2">
        <v>8.1</v>
      </c>
      <c r="W290" s="2">
        <v>10.3</v>
      </c>
      <c r="X290" s="2">
        <v>3.1</v>
      </c>
      <c r="Y290" s="2">
        <v>1.5</v>
      </c>
      <c r="Z290" s="2">
        <v>0.4</v>
      </c>
      <c r="AA290" s="2">
        <v>1.5</v>
      </c>
      <c r="AB290" s="2">
        <v>3.4</v>
      </c>
      <c r="AC290" s="2">
        <v>24.3</v>
      </c>
      <c r="AD290" s="2">
        <v>113</v>
      </c>
      <c r="AE290" s="2">
        <v>115</v>
      </c>
      <c r="AF290" s="2"/>
    </row>
    <row r="291" spans="1:32" x14ac:dyDescent="0.2">
      <c r="A291" t="s">
        <v>472</v>
      </c>
      <c r="B291" s="2">
        <v>33</v>
      </c>
      <c r="C291" t="s">
        <v>66</v>
      </c>
      <c r="D291" s="2" t="s">
        <v>42</v>
      </c>
      <c r="E291" s="2">
        <v>3</v>
      </c>
      <c r="F291" s="2">
        <v>0</v>
      </c>
      <c r="G291" s="2">
        <v>41</v>
      </c>
      <c r="H291" s="2">
        <v>7.1</v>
      </c>
      <c r="I291" s="2">
        <v>20</v>
      </c>
      <c r="J291" s="2">
        <v>0.35299999999999998</v>
      </c>
      <c r="K291" s="2">
        <v>3.5</v>
      </c>
      <c r="L291" s="2">
        <v>8.1999999999999993</v>
      </c>
      <c r="M291" s="2">
        <v>0.42899999999999999</v>
      </c>
      <c r="N291" s="2">
        <v>3.5</v>
      </c>
      <c r="O291" s="2">
        <v>11.8</v>
      </c>
      <c r="P291" s="2">
        <v>0.3</v>
      </c>
      <c r="Q291" s="2">
        <v>0.441</v>
      </c>
      <c r="R291" s="2">
        <v>4.7</v>
      </c>
      <c r="S291" s="2">
        <v>7.1</v>
      </c>
      <c r="T291" s="2">
        <v>0.66700000000000004</v>
      </c>
      <c r="U291" s="2">
        <v>4.7</v>
      </c>
      <c r="V291" s="2">
        <v>9.4</v>
      </c>
      <c r="W291" s="2">
        <v>14.1</v>
      </c>
      <c r="X291" s="2">
        <v>4.7</v>
      </c>
      <c r="Y291" s="2">
        <v>5.9</v>
      </c>
      <c r="Z291" s="2">
        <v>1.2</v>
      </c>
      <c r="AA291" s="2">
        <v>3.5</v>
      </c>
      <c r="AB291" s="2">
        <v>3.5</v>
      </c>
      <c r="AC291" s="2">
        <v>22.4</v>
      </c>
      <c r="AD291" s="2">
        <v>103</v>
      </c>
      <c r="AE291" s="2">
        <v>105</v>
      </c>
      <c r="AF291" s="2"/>
    </row>
    <row r="292" spans="1:32" x14ac:dyDescent="0.2">
      <c r="A292" t="s">
        <v>170</v>
      </c>
      <c r="B292" s="2">
        <v>29</v>
      </c>
      <c r="C292" t="s">
        <v>122</v>
      </c>
      <c r="D292" s="2" t="s">
        <v>49</v>
      </c>
      <c r="E292" s="2">
        <v>22</v>
      </c>
      <c r="F292" s="2">
        <v>19</v>
      </c>
      <c r="G292" s="2">
        <v>691</v>
      </c>
      <c r="H292" s="2">
        <v>7.8</v>
      </c>
      <c r="I292" s="2">
        <v>17.5</v>
      </c>
      <c r="J292" s="2">
        <v>0.44400000000000001</v>
      </c>
      <c r="K292" s="2">
        <v>2.2000000000000002</v>
      </c>
      <c r="L292" s="2">
        <v>7</v>
      </c>
      <c r="M292" s="2">
        <v>0.32</v>
      </c>
      <c r="N292" s="2">
        <v>5.6</v>
      </c>
      <c r="O292" s="2">
        <v>10.5</v>
      </c>
      <c r="P292" s="2">
        <v>0.52700000000000002</v>
      </c>
      <c r="Q292" s="2">
        <v>0.50800000000000001</v>
      </c>
      <c r="R292" s="2">
        <v>2.6</v>
      </c>
      <c r="S292" s="2">
        <v>3.5</v>
      </c>
      <c r="T292" s="2">
        <v>0.75</v>
      </c>
      <c r="U292" s="2">
        <v>2.4</v>
      </c>
      <c r="V292" s="2">
        <v>6.1</v>
      </c>
      <c r="W292" s="2">
        <v>8.4</v>
      </c>
      <c r="X292" s="2">
        <v>2.2000000000000002</v>
      </c>
      <c r="Y292" s="2">
        <v>2</v>
      </c>
      <c r="Z292" s="2">
        <v>0.8</v>
      </c>
      <c r="AA292" s="2">
        <v>2.1</v>
      </c>
      <c r="AB292" s="2">
        <v>4.9000000000000004</v>
      </c>
      <c r="AC292" s="2">
        <v>20.399999999999999</v>
      </c>
      <c r="AD292" s="2">
        <v>107</v>
      </c>
      <c r="AE292" s="2">
        <v>113</v>
      </c>
      <c r="AF292" s="2"/>
    </row>
    <row r="293" spans="1:32" x14ac:dyDescent="0.2">
      <c r="A293" t="s">
        <v>364</v>
      </c>
      <c r="B293" s="2">
        <v>30</v>
      </c>
      <c r="C293" t="s">
        <v>32</v>
      </c>
      <c r="D293" s="2" t="s">
        <v>27</v>
      </c>
      <c r="E293" s="2">
        <v>14</v>
      </c>
      <c r="F293" s="2">
        <v>0</v>
      </c>
      <c r="G293" s="2">
        <v>185</v>
      </c>
      <c r="H293" s="2">
        <v>8.1</v>
      </c>
      <c r="I293" s="2">
        <v>14.6</v>
      </c>
      <c r="J293" s="2">
        <v>0.55400000000000005</v>
      </c>
      <c r="K293" s="2">
        <v>3.4</v>
      </c>
      <c r="L293" s="2">
        <v>8.1</v>
      </c>
      <c r="M293" s="2">
        <v>0.41899999999999998</v>
      </c>
      <c r="N293" s="2">
        <v>4.7</v>
      </c>
      <c r="O293" s="2">
        <v>6.5</v>
      </c>
      <c r="P293" s="2">
        <v>0.72</v>
      </c>
      <c r="Q293" s="2">
        <v>0.67</v>
      </c>
      <c r="R293" s="2">
        <v>1.6</v>
      </c>
      <c r="S293" s="2">
        <v>1.6</v>
      </c>
      <c r="T293" s="2">
        <v>1</v>
      </c>
      <c r="U293" s="2">
        <v>3.1</v>
      </c>
      <c r="V293" s="2">
        <v>7.8</v>
      </c>
      <c r="W293" s="2">
        <v>10.9</v>
      </c>
      <c r="X293" s="2">
        <v>3.4</v>
      </c>
      <c r="Y293" s="2">
        <v>2.2999999999999998</v>
      </c>
      <c r="Z293" s="2">
        <v>1</v>
      </c>
      <c r="AA293" s="2">
        <v>0.5</v>
      </c>
      <c r="AB293" s="2">
        <v>5.7</v>
      </c>
      <c r="AC293" s="2">
        <v>21</v>
      </c>
      <c r="AD293" s="2">
        <v>145</v>
      </c>
      <c r="AE293" s="2">
        <v>104</v>
      </c>
      <c r="AF293" s="2"/>
    </row>
    <row r="294" spans="1:32" x14ac:dyDescent="0.2">
      <c r="A294" t="s">
        <v>219</v>
      </c>
      <c r="B294" s="2">
        <v>31</v>
      </c>
      <c r="C294" t="s">
        <v>48</v>
      </c>
      <c r="D294" s="2" t="s">
        <v>52</v>
      </c>
      <c r="E294" s="2">
        <v>26</v>
      </c>
      <c r="F294" s="2">
        <v>26</v>
      </c>
      <c r="G294" s="2">
        <v>786</v>
      </c>
      <c r="H294" s="2">
        <v>4.5999999999999996</v>
      </c>
      <c r="I294" s="2">
        <v>11.6</v>
      </c>
      <c r="J294" s="2">
        <v>0.4</v>
      </c>
      <c r="K294" s="2">
        <v>2.2999999999999998</v>
      </c>
      <c r="L294" s="2">
        <v>7.8</v>
      </c>
      <c r="M294" s="2">
        <v>0.29799999999999999</v>
      </c>
      <c r="N294" s="2">
        <v>2.2999999999999998</v>
      </c>
      <c r="O294" s="2">
        <v>3.8</v>
      </c>
      <c r="P294" s="2">
        <v>0.60699999999999998</v>
      </c>
      <c r="Q294" s="2">
        <v>0.5</v>
      </c>
      <c r="R294" s="2">
        <v>1.8</v>
      </c>
      <c r="S294" s="2">
        <v>2.1</v>
      </c>
      <c r="T294" s="2">
        <v>0.879</v>
      </c>
      <c r="U294" s="2">
        <v>0.6</v>
      </c>
      <c r="V294" s="2">
        <v>2.8</v>
      </c>
      <c r="W294" s="2">
        <v>3.4</v>
      </c>
      <c r="X294" s="2">
        <v>2.8</v>
      </c>
      <c r="Y294" s="2">
        <v>2.7</v>
      </c>
      <c r="Z294" s="2">
        <v>0.9</v>
      </c>
      <c r="AA294" s="2">
        <v>1.2</v>
      </c>
      <c r="AB294" s="2">
        <v>3.5</v>
      </c>
      <c r="AC294" s="2">
        <v>13.4</v>
      </c>
      <c r="AD294" s="2">
        <v>110</v>
      </c>
      <c r="AE294" s="2">
        <v>108</v>
      </c>
      <c r="AF294" s="2"/>
    </row>
    <row r="295" spans="1:32" x14ac:dyDescent="0.2">
      <c r="A295" t="s">
        <v>277</v>
      </c>
      <c r="B295" s="2">
        <v>25</v>
      </c>
      <c r="C295" t="s">
        <v>37</v>
      </c>
      <c r="D295" s="2" t="s">
        <v>52</v>
      </c>
      <c r="E295" s="2">
        <v>24</v>
      </c>
      <c r="F295" s="2">
        <v>4</v>
      </c>
      <c r="G295" s="2">
        <v>491</v>
      </c>
      <c r="H295" s="2">
        <v>4.9000000000000004</v>
      </c>
      <c r="I295" s="2">
        <v>10.4</v>
      </c>
      <c r="J295" s="2">
        <v>0.46700000000000003</v>
      </c>
      <c r="K295" s="2">
        <v>3.2</v>
      </c>
      <c r="L295" s="2">
        <v>7.5</v>
      </c>
      <c r="M295" s="2">
        <v>0.42099999999999999</v>
      </c>
      <c r="N295" s="2">
        <v>1.7</v>
      </c>
      <c r="O295" s="2">
        <v>2.9</v>
      </c>
      <c r="P295" s="2">
        <v>0.58599999999999997</v>
      </c>
      <c r="Q295" s="2">
        <v>0.61899999999999999</v>
      </c>
      <c r="R295" s="2">
        <v>2.2000000000000002</v>
      </c>
      <c r="S295" s="2">
        <v>2.7</v>
      </c>
      <c r="T295" s="2">
        <v>0.81499999999999995</v>
      </c>
      <c r="U295" s="2">
        <v>1.8</v>
      </c>
      <c r="V295" s="2">
        <v>3.2</v>
      </c>
      <c r="W295" s="2">
        <v>5</v>
      </c>
      <c r="X295" s="2">
        <v>2.7</v>
      </c>
      <c r="Y295" s="2">
        <v>2.9</v>
      </c>
      <c r="Z295" s="2">
        <v>1.9</v>
      </c>
      <c r="AA295" s="2">
        <v>2</v>
      </c>
      <c r="AB295" s="2">
        <v>4.8</v>
      </c>
      <c r="AC295" s="2">
        <v>15.1</v>
      </c>
      <c r="AD295" s="2">
        <v>122</v>
      </c>
      <c r="AE295" s="2">
        <v>112</v>
      </c>
      <c r="AF295" s="2"/>
    </row>
    <row r="296" spans="1:32" x14ac:dyDescent="0.2">
      <c r="A296" t="s">
        <v>309</v>
      </c>
      <c r="B296" s="2">
        <v>22</v>
      </c>
      <c r="C296" t="s">
        <v>103</v>
      </c>
      <c r="D296" s="2" t="s">
        <v>52</v>
      </c>
      <c r="E296" s="2">
        <v>22</v>
      </c>
      <c r="F296" s="2">
        <v>3</v>
      </c>
      <c r="G296" s="2">
        <v>373</v>
      </c>
      <c r="H296" s="2">
        <v>6.1</v>
      </c>
      <c r="I296" s="2">
        <v>17.600000000000001</v>
      </c>
      <c r="J296" s="2">
        <v>0.34799999999999998</v>
      </c>
      <c r="K296" s="2">
        <v>3.3</v>
      </c>
      <c r="L296" s="2">
        <v>11.1</v>
      </c>
      <c r="M296" s="2">
        <v>0.30099999999999999</v>
      </c>
      <c r="N296" s="2">
        <v>2.8</v>
      </c>
      <c r="O296" s="2">
        <v>6.5</v>
      </c>
      <c r="P296" s="2">
        <v>0.42899999999999999</v>
      </c>
      <c r="Q296" s="2">
        <v>0.443</v>
      </c>
      <c r="R296" s="2">
        <v>1.1000000000000001</v>
      </c>
      <c r="S296" s="2">
        <v>1.5</v>
      </c>
      <c r="T296" s="2">
        <v>0.72699999999999998</v>
      </c>
      <c r="U296" s="2">
        <v>1.7</v>
      </c>
      <c r="V296" s="2">
        <v>6.7</v>
      </c>
      <c r="W296" s="2">
        <v>8.4</v>
      </c>
      <c r="X296" s="2">
        <v>3.2</v>
      </c>
      <c r="Y296" s="2">
        <v>1.6</v>
      </c>
      <c r="Z296" s="2">
        <v>0.9</v>
      </c>
      <c r="AA296" s="2">
        <v>2.8</v>
      </c>
      <c r="AB296" s="2">
        <v>6.1</v>
      </c>
      <c r="AC296" s="2">
        <v>16.7</v>
      </c>
      <c r="AD296" s="2">
        <v>90</v>
      </c>
      <c r="AE296" s="2">
        <v>116</v>
      </c>
      <c r="AF296" s="2"/>
    </row>
    <row r="297" spans="1:32" x14ac:dyDescent="0.2">
      <c r="A297" t="s">
        <v>546</v>
      </c>
      <c r="B297" s="2">
        <v>23</v>
      </c>
      <c r="C297" t="s">
        <v>61</v>
      </c>
      <c r="D297" s="2" t="s">
        <v>49</v>
      </c>
      <c r="E297" s="2">
        <v>2</v>
      </c>
      <c r="F297" s="2">
        <v>0</v>
      </c>
      <c r="G297" s="2">
        <v>12</v>
      </c>
      <c r="H297" s="2">
        <v>4.0999999999999996</v>
      </c>
      <c r="I297" s="2">
        <v>8.3000000000000007</v>
      </c>
      <c r="J297" s="2">
        <v>0.5</v>
      </c>
      <c r="K297" s="2">
        <v>0</v>
      </c>
      <c r="L297" s="2">
        <v>4.0999999999999996</v>
      </c>
      <c r="M297" s="2">
        <v>0</v>
      </c>
      <c r="N297" s="2">
        <v>4.0999999999999996</v>
      </c>
      <c r="O297" s="2">
        <v>4.0999999999999996</v>
      </c>
      <c r="P297" s="2">
        <v>1</v>
      </c>
      <c r="Q297" s="2">
        <v>0.5</v>
      </c>
      <c r="R297" s="2">
        <v>0</v>
      </c>
      <c r="S297" s="2">
        <v>0</v>
      </c>
      <c r="T297" s="2"/>
      <c r="U297" s="2">
        <v>0</v>
      </c>
      <c r="V297" s="2">
        <v>8.3000000000000007</v>
      </c>
      <c r="W297" s="2">
        <v>8.3000000000000007</v>
      </c>
      <c r="X297" s="2">
        <v>0</v>
      </c>
      <c r="Y297" s="2">
        <v>0</v>
      </c>
      <c r="Z297" s="2">
        <v>0</v>
      </c>
      <c r="AA297" s="2">
        <v>0</v>
      </c>
      <c r="AB297" s="2">
        <v>0</v>
      </c>
      <c r="AC297" s="2">
        <v>8.3000000000000007</v>
      </c>
      <c r="AD297" s="2">
        <v>101</v>
      </c>
      <c r="AE297" s="2">
        <v>116</v>
      </c>
      <c r="AF297" s="2"/>
    </row>
    <row r="298" spans="1:32" x14ac:dyDescent="0.2">
      <c r="A298" t="s">
        <v>557</v>
      </c>
      <c r="B298" s="2">
        <v>24</v>
      </c>
      <c r="C298" t="s">
        <v>63</v>
      </c>
      <c r="D298" s="2" t="s">
        <v>49</v>
      </c>
      <c r="E298" s="2">
        <v>5</v>
      </c>
      <c r="F298" s="2">
        <v>0</v>
      </c>
      <c r="G298" s="2">
        <v>10</v>
      </c>
      <c r="H298" s="2">
        <v>0</v>
      </c>
      <c r="I298" s="2">
        <v>9.6</v>
      </c>
      <c r="J298" s="2">
        <v>0</v>
      </c>
      <c r="K298" s="2">
        <v>0</v>
      </c>
      <c r="L298" s="2">
        <v>9.6</v>
      </c>
      <c r="M298" s="2">
        <v>0</v>
      </c>
      <c r="N298" s="2">
        <v>0</v>
      </c>
      <c r="O298" s="2">
        <v>0</v>
      </c>
      <c r="P298" s="2"/>
      <c r="Q298" s="2">
        <v>0</v>
      </c>
      <c r="R298" s="2">
        <v>0</v>
      </c>
      <c r="S298" s="2">
        <v>0</v>
      </c>
      <c r="T298" s="2"/>
      <c r="U298" s="2">
        <v>0</v>
      </c>
      <c r="V298" s="2">
        <v>0</v>
      </c>
      <c r="W298" s="2">
        <v>0</v>
      </c>
      <c r="X298" s="2">
        <v>0</v>
      </c>
      <c r="Y298" s="2">
        <v>0</v>
      </c>
      <c r="Z298" s="2">
        <v>0</v>
      </c>
      <c r="AA298" s="2">
        <v>4.8</v>
      </c>
      <c r="AB298" s="2">
        <v>9.6</v>
      </c>
      <c r="AC298" s="2">
        <v>0</v>
      </c>
      <c r="AD298" s="2">
        <v>0</v>
      </c>
      <c r="AE298" s="2">
        <v>121</v>
      </c>
      <c r="AF298" s="2"/>
    </row>
    <row r="299" spans="1:32" x14ac:dyDescent="0.2">
      <c r="A299" t="s">
        <v>140</v>
      </c>
      <c r="B299" s="2">
        <v>36</v>
      </c>
      <c r="C299" t="s">
        <v>54</v>
      </c>
      <c r="D299" s="2" t="s">
        <v>27</v>
      </c>
      <c r="E299" s="2">
        <v>13</v>
      </c>
      <c r="F299" s="2">
        <v>13</v>
      </c>
      <c r="G299" s="2">
        <v>464</v>
      </c>
      <c r="H299" s="2">
        <v>12.7</v>
      </c>
      <c r="I299" s="2">
        <v>23.8</v>
      </c>
      <c r="J299" s="2">
        <v>0.53600000000000003</v>
      </c>
      <c r="K299" s="2">
        <v>3.7</v>
      </c>
      <c r="L299" s="2">
        <v>8.3000000000000007</v>
      </c>
      <c r="M299" s="2">
        <v>0.44900000000000001</v>
      </c>
      <c r="N299" s="2">
        <v>9</v>
      </c>
      <c r="O299" s="2">
        <v>15.5</v>
      </c>
      <c r="P299" s="2">
        <v>0.58199999999999996</v>
      </c>
      <c r="Q299" s="2">
        <v>0.61399999999999999</v>
      </c>
      <c r="R299" s="2">
        <v>6.4</v>
      </c>
      <c r="S299" s="2">
        <v>8</v>
      </c>
      <c r="T299" s="2">
        <v>0.8</v>
      </c>
      <c r="U299" s="2">
        <v>0.3</v>
      </c>
      <c r="V299" s="2">
        <v>8.9</v>
      </c>
      <c r="W299" s="2">
        <v>9.1999999999999993</v>
      </c>
      <c r="X299" s="2">
        <v>4.2</v>
      </c>
      <c r="Y299" s="2">
        <v>0.7</v>
      </c>
      <c r="Z299" s="2">
        <v>2</v>
      </c>
      <c r="AA299" s="2">
        <v>4.5999999999999996</v>
      </c>
      <c r="AB299" s="2">
        <v>2.2999999999999998</v>
      </c>
      <c r="AC299" s="2">
        <v>35.5</v>
      </c>
      <c r="AD299" s="2">
        <v>113</v>
      </c>
      <c r="AE299" s="2">
        <v>115</v>
      </c>
      <c r="AF299" s="2"/>
    </row>
    <row r="300" spans="1:32" x14ac:dyDescent="0.2">
      <c r="A300" t="s">
        <v>208</v>
      </c>
      <c r="B300" s="2">
        <v>26</v>
      </c>
      <c r="C300" t="s">
        <v>37</v>
      </c>
      <c r="D300" s="2" t="s">
        <v>52</v>
      </c>
      <c r="E300" s="2">
        <v>23</v>
      </c>
      <c r="F300" s="2">
        <v>15</v>
      </c>
      <c r="G300" s="2">
        <v>589</v>
      </c>
      <c r="H300" s="2">
        <v>7.2</v>
      </c>
      <c r="I300" s="2">
        <v>16.7</v>
      </c>
      <c r="J300" s="2">
        <v>0.43099999999999999</v>
      </c>
      <c r="K300" s="2">
        <v>3.5</v>
      </c>
      <c r="L300" s="2">
        <v>11.2</v>
      </c>
      <c r="M300" s="2">
        <v>0.311</v>
      </c>
      <c r="N300" s="2">
        <v>3.7</v>
      </c>
      <c r="O300" s="2">
        <v>5.5</v>
      </c>
      <c r="P300" s="2">
        <v>0.67200000000000004</v>
      </c>
      <c r="Q300" s="2">
        <v>0.53500000000000003</v>
      </c>
      <c r="R300" s="2">
        <v>1</v>
      </c>
      <c r="S300" s="2">
        <v>1.4</v>
      </c>
      <c r="T300" s="2">
        <v>0.70599999999999996</v>
      </c>
      <c r="U300" s="2">
        <v>0.7</v>
      </c>
      <c r="V300" s="2">
        <v>5.9</v>
      </c>
      <c r="W300" s="2">
        <v>6.6</v>
      </c>
      <c r="X300" s="2">
        <v>3.9</v>
      </c>
      <c r="Y300" s="2">
        <v>2.1</v>
      </c>
      <c r="Z300" s="2">
        <v>1</v>
      </c>
      <c r="AA300" s="2">
        <v>1.8</v>
      </c>
      <c r="AB300" s="2">
        <v>4.4000000000000004</v>
      </c>
      <c r="AC300" s="2">
        <v>18.8</v>
      </c>
      <c r="AD300" s="2">
        <v>109</v>
      </c>
      <c r="AE300" s="2">
        <v>113</v>
      </c>
      <c r="AF300" s="2"/>
    </row>
    <row r="301" spans="1:32" x14ac:dyDescent="0.2">
      <c r="A301" t="s">
        <v>358</v>
      </c>
      <c r="B301" s="2">
        <v>36</v>
      </c>
      <c r="C301" t="s">
        <v>61</v>
      </c>
      <c r="D301" s="2" t="s">
        <v>27</v>
      </c>
      <c r="E301" s="2">
        <v>13</v>
      </c>
      <c r="F301" s="2">
        <v>4</v>
      </c>
      <c r="G301" s="2">
        <v>153</v>
      </c>
      <c r="H301" s="2">
        <v>9.4</v>
      </c>
      <c r="I301" s="2">
        <v>25.6</v>
      </c>
      <c r="J301" s="2">
        <v>0.36699999999999999</v>
      </c>
      <c r="K301" s="2">
        <v>5.8</v>
      </c>
      <c r="L301" s="2">
        <v>15.2</v>
      </c>
      <c r="M301" s="2">
        <v>0.38300000000000001</v>
      </c>
      <c r="N301" s="2">
        <v>3.6</v>
      </c>
      <c r="O301" s="2">
        <v>10.4</v>
      </c>
      <c r="P301" s="2">
        <v>0.34399999999999997</v>
      </c>
      <c r="Q301" s="2">
        <v>0.48099999999999998</v>
      </c>
      <c r="R301" s="2">
        <v>3.2</v>
      </c>
      <c r="S301" s="2">
        <v>4.9000000000000004</v>
      </c>
      <c r="T301" s="2">
        <v>0.66700000000000004</v>
      </c>
      <c r="U301" s="2">
        <v>4.5</v>
      </c>
      <c r="V301" s="2">
        <v>15.2</v>
      </c>
      <c r="W301" s="2">
        <v>19.8</v>
      </c>
      <c r="X301" s="2">
        <v>5.5</v>
      </c>
      <c r="Y301" s="2">
        <v>4.2</v>
      </c>
      <c r="Z301" s="2">
        <v>0.6</v>
      </c>
      <c r="AA301" s="2">
        <v>2.9</v>
      </c>
      <c r="AB301" s="2">
        <v>3.6</v>
      </c>
      <c r="AC301" s="2">
        <v>27.9</v>
      </c>
      <c r="AD301" s="2">
        <v>107</v>
      </c>
      <c r="AE301" s="2">
        <v>101</v>
      </c>
      <c r="AF301" s="2"/>
    </row>
    <row r="302" spans="1:32" x14ac:dyDescent="0.2">
      <c r="A302" t="s">
        <v>227</v>
      </c>
      <c r="B302" s="2">
        <v>24</v>
      </c>
      <c r="C302" t="s">
        <v>77</v>
      </c>
      <c r="D302" s="2" t="s">
        <v>52</v>
      </c>
      <c r="E302" s="2">
        <v>22</v>
      </c>
      <c r="F302" s="2">
        <v>1</v>
      </c>
      <c r="G302" s="2">
        <v>429</v>
      </c>
      <c r="H302" s="2">
        <v>9.8000000000000007</v>
      </c>
      <c r="I302" s="2">
        <v>23.4</v>
      </c>
      <c r="J302" s="2">
        <v>0.41699999999999998</v>
      </c>
      <c r="K302" s="2">
        <v>1.3</v>
      </c>
      <c r="L302" s="2">
        <v>6.2</v>
      </c>
      <c r="M302" s="2">
        <v>0.20399999999999999</v>
      </c>
      <c r="N302" s="2">
        <v>8.5</v>
      </c>
      <c r="O302" s="2">
        <v>17.2</v>
      </c>
      <c r="P302" s="2">
        <v>0.49299999999999999</v>
      </c>
      <c r="Q302" s="2">
        <v>0.44400000000000001</v>
      </c>
      <c r="R302" s="2">
        <v>2.6</v>
      </c>
      <c r="S302" s="2">
        <v>4.2</v>
      </c>
      <c r="T302" s="2">
        <v>0.622</v>
      </c>
      <c r="U302" s="2">
        <v>1.6</v>
      </c>
      <c r="V302" s="2">
        <v>7.1</v>
      </c>
      <c r="W302" s="2">
        <v>8.6999999999999993</v>
      </c>
      <c r="X302" s="2">
        <v>7.3</v>
      </c>
      <c r="Y302" s="2">
        <v>2.2999999999999998</v>
      </c>
      <c r="Z302" s="2">
        <v>0.8</v>
      </c>
      <c r="AA302" s="2">
        <v>5.7</v>
      </c>
      <c r="AB302" s="2">
        <v>3.6</v>
      </c>
      <c r="AC302" s="2">
        <v>23.4</v>
      </c>
      <c r="AD302" s="2">
        <v>90</v>
      </c>
      <c r="AE302" s="2">
        <v>109</v>
      </c>
      <c r="AF302" s="2"/>
    </row>
    <row r="303" spans="1:32" x14ac:dyDescent="0.2">
      <c r="A303" t="s">
        <v>315</v>
      </c>
      <c r="B303" s="2">
        <v>28</v>
      </c>
      <c r="C303" t="s">
        <v>100</v>
      </c>
      <c r="D303" s="2" t="s">
        <v>42</v>
      </c>
      <c r="E303" s="2">
        <v>22</v>
      </c>
      <c r="F303" s="2">
        <v>3</v>
      </c>
      <c r="G303" s="2">
        <v>360</v>
      </c>
      <c r="H303" s="2">
        <v>6.8</v>
      </c>
      <c r="I303" s="2">
        <v>12.8</v>
      </c>
      <c r="J303" s="2">
        <v>0.53100000000000003</v>
      </c>
      <c r="K303" s="2">
        <v>0</v>
      </c>
      <c r="L303" s="2">
        <v>0</v>
      </c>
      <c r="M303" s="2"/>
      <c r="N303" s="2">
        <v>6.8</v>
      </c>
      <c r="O303" s="2">
        <v>12.8</v>
      </c>
      <c r="P303" s="2">
        <v>0.53100000000000003</v>
      </c>
      <c r="Q303" s="2">
        <v>0.53100000000000003</v>
      </c>
      <c r="R303" s="2">
        <v>2.2999999999999998</v>
      </c>
      <c r="S303" s="2">
        <v>4.9000000000000004</v>
      </c>
      <c r="T303" s="2">
        <v>0.45900000000000002</v>
      </c>
      <c r="U303" s="4">
        <v>10.4</v>
      </c>
      <c r="V303" s="2">
        <v>12.7</v>
      </c>
      <c r="W303" s="4">
        <v>23.1</v>
      </c>
      <c r="X303" s="2">
        <v>4.9000000000000004</v>
      </c>
      <c r="Y303" s="2">
        <v>2.4</v>
      </c>
      <c r="Z303" s="2">
        <v>0.8</v>
      </c>
      <c r="AA303" s="2">
        <v>2</v>
      </c>
      <c r="AB303" s="2">
        <v>7.3</v>
      </c>
      <c r="AC303" s="2">
        <v>15.9</v>
      </c>
      <c r="AD303" s="2">
        <v>127</v>
      </c>
      <c r="AE303" s="2">
        <v>103</v>
      </c>
      <c r="AF303" s="2"/>
    </row>
    <row r="304" spans="1:32" x14ac:dyDescent="0.2">
      <c r="A304" t="s">
        <v>130</v>
      </c>
      <c r="B304" s="2">
        <v>21</v>
      </c>
      <c r="C304" t="s">
        <v>120</v>
      </c>
      <c r="D304" s="2" t="s">
        <v>33</v>
      </c>
      <c r="E304" s="2">
        <v>22</v>
      </c>
      <c r="F304" s="2">
        <v>22</v>
      </c>
      <c r="G304" s="2">
        <v>694</v>
      </c>
      <c r="H304" s="2">
        <v>8.3000000000000007</v>
      </c>
      <c r="I304" s="2">
        <v>21.1</v>
      </c>
      <c r="J304" s="2">
        <v>0.39400000000000002</v>
      </c>
      <c r="K304" s="2">
        <v>4</v>
      </c>
      <c r="L304" s="2">
        <v>11.9</v>
      </c>
      <c r="M304" s="2">
        <v>0.33500000000000002</v>
      </c>
      <c r="N304" s="2">
        <v>4.3</v>
      </c>
      <c r="O304" s="2">
        <v>9.1999999999999993</v>
      </c>
      <c r="P304" s="2">
        <v>0.47</v>
      </c>
      <c r="Q304" s="2">
        <v>0.48799999999999999</v>
      </c>
      <c r="R304" s="2">
        <v>3.8</v>
      </c>
      <c r="S304" s="2">
        <v>4.7</v>
      </c>
      <c r="T304" s="2">
        <v>0.82099999999999995</v>
      </c>
      <c r="U304" s="2">
        <v>0.8</v>
      </c>
      <c r="V304" s="2">
        <v>4.0999999999999996</v>
      </c>
      <c r="W304" s="2">
        <v>5</v>
      </c>
      <c r="X304" s="2">
        <v>8.6999999999999993</v>
      </c>
      <c r="Y304" s="2">
        <v>1.2</v>
      </c>
      <c r="Z304" s="2">
        <v>0.1</v>
      </c>
      <c r="AA304" s="2">
        <v>5</v>
      </c>
      <c r="AB304" s="2">
        <v>2.8</v>
      </c>
      <c r="AC304" s="2">
        <v>24.4</v>
      </c>
      <c r="AD304" s="2">
        <v>104</v>
      </c>
      <c r="AE304" s="2">
        <v>123</v>
      </c>
      <c r="AF304" s="2"/>
    </row>
    <row r="305" spans="1:32" x14ac:dyDescent="0.2">
      <c r="A305" t="s">
        <v>459</v>
      </c>
      <c r="B305" s="2">
        <v>33</v>
      </c>
      <c r="C305" t="s">
        <v>35</v>
      </c>
      <c r="D305" s="2" t="s">
        <v>49</v>
      </c>
      <c r="E305" s="2">
        <v>3</v>
      </c>
      <c r="F305" s="2">
        <v>0</v>
      </c>
      <c r="G305" s="2">
        <v>63</v>
      </c>
      <c r="H305" s="2">
        <v>3.9</v>
      </c>
      <c r="I305" s="2">
        <v>15.5</v>
      </c>
      <c r="J305" s="2">
        <v>0.25</v>
      </c>
      <c r="K305" s="2">
        <v>1.5</v>
      </c>
      <c r="L305" s="2">
        <v>5.4</v>
      </c>
      <c r="M305" s="2">
        <v>0.28599999999999998</v>
      </c>
      <c r="N305" s="2">
        <v>2.2999999999999998</v>
      </c>
      <c r="O305" s="2">
        <v>10.1</v>
      </c>
      <c r="P305" s="2">
        <v>0.23100000000000001</v>
      </c>
      <c r="Q305" s="2">
        <v>0.3</v>
      </c>
      <c r="R305" s="2">
        <v>7.7</v>
      </c>
      <c r="S305" s="2">
        <v>7.7</v>
      </c>
      <c r="T305" s="2">
        <v>1</v>
      </c>
      <c r="U305" s="2">
        <v>0</v>
      </c>
      <c r="V305" s="2">
        <v>7</v>
      </c>
      <c r="W305" s="2">
        <v>7</v>
      </c>
      <c r="X305" s="2">
        <v>14.7</v>
      </c>
      <c r="Y305" s="2">
        <v>3.9</v>
      </c>
      <c r="Z305" s="2">
        <v>0.8</v>
      </c>
      <c r="AA305" s="2">
        <v>2.2999999999999998</v>
      </c>
      <c r="AB305" s="2">
        <v>5.4</v>
      </c>
      <c r="AC305" s="2">
        <v>17</v>
      </c>
      <c r="AD305" s="2">
        <v>114</v>
      </c>
      <c r="AE305" s="2">
        <v>109</v>
      </c>
      <c r="AF305" s="2"/>
    </row>
    <row r="306" spans="1:32" x14ac:dyDescent="0.2">
      <c r="A306" t="s">
        <v>306</v>
      </c>
      <c r="B306" s="2">
        <v>24</v>
      </c>
      <c r="C306" t="s">
        <v>122</v>
      </c>
      <c r="D306" s="2" t="s">
        <v>27</v>
      </c>
      <c r="E306" s="2">
        <v>19</v>
      </c>
      <c r="F306" s="2">
        <v>3</v>
      </c>
      <c r="G306" s="2">
        <v>359</v>
      </c>
      <c r="H306" s="2">
        <v>6.8</v>
      </c>
      <c r="I306" s="2">
        <v>10.6</v>
      </c>
      <c r="J306" s="2">
        <v>0.64500000000000002</v>
      </c>
      <c r="K306" s="2">
        <v>0.7</v>
      </c>
      <c r="L306" s="2">
        <v>1.9</v>
      </c>
      <c r="M306" s="2">
        <v>0.35699999999999998</v>
      </c>
      <c r="N306" s="2">
        <v>6.1</v>
      </c>
      <c r="O306" s="2">
        <v>8.6</v>
      </c>
      <c r="P306" s="2">
        <v>0.71</v>
      </c>
      <c r="Q306" s="2">
        <v>0.67800000000000005</v>
      </c>
      <c r="R306" s="2">
        <v>3.2</v>
      </c>
      <c r="S306" s="2">
        <v>3.8</v>
      </c>
      <c r="T306" s="2">
        <v>0.85199999999999998</v>
      </c>
      <c r="U306" s="2">
        <v>2.4</v>
      </c>
      <c r="V306" s="2">
        <v>4.7</v>
      </c>
      <c r="W306" s="2">
        <v>7.1</v>
      </c>
      <c r="X306" s="2">
        <v>2.4</v>
      </c>
      <c r="Y306" s="2">
        <v>1</v>
      </c>
      <c r="Z306" s="2">
        <v>1.9</v>
      </c>
      <c r="AA306" s="2">
        <v>1</v>
      </c>
      <c r="AB306" s="2">
        <v>6.4</v>
      </c>
      <c r="AC306" s="2">
        <v>17.5</v>
      </c>
      <c r="AD306" s="2">
        <v>143</v>
      </c>
      <c r="AE306" s="2">
        <v>115</v>
      </c>
      <c r="AF306" s="2"/>
    </row>
    <row r="307" spans="1:32" x14ac:dyDescent="0.2">
      <c r="A307" t="s">
        <v>427</v>
      </c>
      <c r="B307" s="2">
        <v>22</v>
      </c>
      <c r="C307" t="s">
        <v>59</v>
      </c>
      <c r="D307" s="2" t="s">
        <v>33</v>
      </c>
      <c r="E307" s="2">
        <v>8</v>
      </c>
      <c r="F307" s="2">
        <v>0</v>
      </c>
      <c r="G307" s="2">
        <v>116</v>
      </c>
      <c r="H307" s="2">
        <v>5.0999999999999996</v>
      </c>
      <c r="I307" s="2">
        <v>16.7</v>
      </c>
      <c r="J307" s="2">
        <v>0.308</v>
      </c>
      <c r="K307" s="2">
        <v>1.3</v>
      </c>
      <c r="L307" s="2">
        <v>8.1</v>
      </c>
      <c r="M307" s="2">
        <v>0.158</v>
      </c>
      <c r="N307" s="2">
        <v>3.8</v>
      </c>
      <c r="O307" s="2">
        <v>8.5</v>
      </c>
      <c r="P307" s="2">
        <v>0.45</v>
      </c>
      <c r="Q307" s="2">
        <v>0.34599999999999997</v>
      </c>
      <c r="R307" s="2">
        <v>3.4</v>
      </c>
      <c r="S307" s="2">
        <v>4.3</v>
      </c>
      <c r="T307" s="2">
        <v>0.8</v>
      </c>
      <c r="U307" s="2">
        <v>3.8</v>
      </c>
      <c r="V307" s="2">
        <v>2.6</v>
      </c>
      <c r="W307" s="2">
        <v>6.4</v>
      </c>
      <c r="X307" s="2">
        <v>7.3</v>
      </c>
      <c r="Y307" s="2">
        <v>2.1</v>
      </c>
      <c r="Z307" s="2">
        <v>0.4</v>
      </c>
      <c r="AA307" s="2">
        <v>3.8</v>
      </c>
      <c r="AB307" s="2">
        <v>5.0999999999999996</v>
      </c>
      <c r="AC307" s="2">
        <v>15</v>
      </c>
      <c r="AD307" s="2">
        <v>95</v>
      </c>
      <c r="AE307" s="2">
        <v>117</v>
      </c>
      <c r="AF307" s="2"/>
    </row>
    <row r="308" spans="1:32" x14ac:dyDescent="0.2">
      <c r="A308" t="s">
        <v>173</v>
      </c>
      <c r="B308" s="2">
        <v>34</v>
      </c>
      <c r="C308" t="s">
        <v>63</v>
      </c>
      <c r="D308" s="2" t="s">
        <v>49</v>
      </c>
      <c r="E308" s="2">
        <v>21</v>
      </c>
      <c r="F308" s="2">
        <v>21</v>
      </c>
      <c r="G308" s="2">
        <v>579</v>
      </c>
      <c r="H308" s="2">
        <v>8.3000000000000007</v>
      </c>
      <c r="I308" s="2">
        <v>21.1</v>
      </c>
      <c r="J308" s="2">
        <v>0.39500000000000002</v>
      </c>
      <c r="K308" s="2">
        <v>5.0999999999999996</v>
      </c>
      <c r="L308" s="2">
        <v>13.6</v>
      </c>
      <c r="M308" s="2">
        <v>0.374</v>
      </c>
      <c r="N308" s="2">
        <v>3.2</v>
      </c>
      <c r="O308" s="2">
        <v>7.5</v>
      </c>
      <c r="P308" s="2">
        <v>0.433</v>
      </c>
      <c r="Q308" s="2">
        <v>0.51600000000000001</v>
      </c>
      <c r="R308" s="2">
        <v>1.5</v>
      </c>
      <c r="S308" s="2">
        <v>1.7</v>
      </c>
      <c r="T308" s="2">
        <v>0.9</v>
      </c>
      <c r="U308" s="2">
        <v>1.3</v>
      </c>
      <c r="V308" s="2">
        <v>4.8</v>
      </c>
      <c r="W308" s="2">
        <v>6.2</v>
      </c>
      <c r="X308" s="2">
        <v>3</v>
      </c>
      <c r="Y308" s="2">
        <v>1.1000000000000001</v>
      </c>
      <c r="Z308" s="2">
        <v>0.6</v>
      </c>
      <c r="AA308" s="2">
        <v>1.8</v>
      </c>
      <c r="AB308" s="2">
        <v>2.2000000000000002</v>
      </c>
      <c r="AC308" s="2">
        <v>23.2</v>
      </c>
      <c r="AD308" s="2">
        <v>109</v>
      </c>
      <c r="AE308" s="2">
        <v>115</v>
      </c>
      <c r="AF308" s="2"/>
    </row>
    <row r="309" spans="1:32" x14ac:dyDescent="0.2">
      <c r="A309" t="s">
        <v>464</v>
      </c>
      <c r="B309" s="2">
        <v>25</v>
      </c>
      <c r="C309" t="s">
        <v>77</v>
      </c>
      <c r="D309" s="2" t="s">
        <v>27</v>
      </c>
      <c r="E309" s="2">
        <v>7</v>
      </c>
      <c r="F309" s="2">
        <v>0</v>
      </c>
      <c r="G309" s="2">
        <v>47</v>
      </c>
      <c r="H309" s="2">
        <v>9.4</v>
      </c>
      <c r="I309" s="2">
        <v>21</v>
      </c>
      <c r="J309" s="2">
        <v>0.45</v>
      </c>
      <c r="K309" s="2">
        <v>1</v>
      </c>
      <c r="L309" s="2">
        <v>6.3</v>
      </c>
      <c r="M309" s="2">
        <v>0.16700000000000001</v>
      </c>
      <c r="N309" s="2">
        <v>8.4</v>
      </c>
      <c r="O309" s="2">
        <v>14.7</v>
      </c>
      <c r="P309" s="2">
        <v>0.57099999999999995</v>
      </c>
      <c r="Q309" s="2">
        <v>0.47499999999999998</v>
      </c>
      <c r="R309" s="2">
        <v>1</v>
      </c>
      <c r="S309" s="2">
        <v>2.1</v>
      </c>
      <c r="T309" s="2">
        <v>0.5</v>
      </c>
      <c r="U309" s="2">
        <v>5.2</v>
      </c>
      <c r="V309" s="2">
        <v>11.5</v>
      </c>
      <c r="W309" s="2">
        <v>16.8</v>
      </c>
      <c r="X309" s="2">
        <v>4.2</v>
      </c>
      <c r="Y309" s="2">
        <v>1</v>
      </c>
      <c r="Z309" s="2">
        <v>0</v>
      </c>
      <c r="AA309" s="2">
        <v>0</v>
      </c>
      <c r="AB309" s="2">
        <v>5.2</v>
      </c>
      <c r="AC309" s="2">
        <v>21</v>
      </c>
      <c r="AD309" s="2">
        <v>118</v>
      </c>
      <c r="AE309" s="2">
        <v>110</v>
      </c>
      <c r="AF309" s="2"/>
    </row>
    <row r="310" spans="1:32" x14ac:dyDescent="0.2">
      <c r="A310" t="s">
        <v>401</v>
      </c>
      <c r="B310" s="2">
        <v>21</v>
      </c>
      <c r="C310" t="s">
        <v>72</v>
      </c>
      <c r="D310" s="2" t="s">
        <v>52</v>
      </c>
      <c r="E310" s="2">
        <v>10</v>
      </c>
      <c r="F310" s="2">
        <v>0</v>
      </c>
      <c r="G310" s="2">
        <v>124</v>
      </c>
      <c r="H310" s="2">
        <v>6.7</v>
      </c>
      <c r="I310" s="2">
        <v>17.600000000000001</v>
      </c>
      <c r="J310" s="2">
        <v>0.38300000000000001</v>
      </c>
      <c r="K310" s="2">
        <v>1.5</v>
      </c>
      <c r="L310" s="2">
        <v>7.1</v>
      </c>
      <c r="M310" s="2">
        <v>0.21099999999999999</v>
      </c>
      <c r="N310" s="2">
        <v>5.2</v>
      </c>
      <c r="O310" s="2">
        <v>10.5</v>
      </c>
      <c r="P310" s="2">
        <v>0.5</v>
      </c>
      <c r="Q310" s="2">
        <v>0.42599999999999999</v>
      </c>
      <c r="R310" s="2">
        <v>4.9000000000000004</v>
      </c>
      <c r="S310" s="2">
        <v>6.7</v>
      </c>
      <c r="T310" s="2">
        <v>0.72199999999999998</v>
      </c>
      <c r="U310" s="2">
        <v>1.9</v>
      </c>
      <c r="V310" s="2">
        <v>6</v>
      </c>
      <c r="W310" s="2">
        <v>7.9</v>
      </c>
      <c r="X310" s="2">
        <v>6.4</v>
      </c>
      <c r="Y310" s="2">
        <v>1.1000000000000001</v>
      </c>
      <c r="Z310" s="2">
        <v>0.7</v>
      </c>
      <c r="AA310" s="2">
        <v>3</v>
      </c>
      <c r="AB310" s="2">
        <v>3.4</v>
      </c>
      <c r="AC310" s="2">
        <v>19.8</v>
      </c>
      <c r="AD310" s="2">
        <v>103</v>
      </c>
      <c r="AE310" s="2">
        <v>117</v>
      </c>
      <c r="AF310" s="2"/>
    </row>
    <row r="311" spans="1:32" x14ac:dyDescent="0.2">
      <c r="A311" t="s">
        <v>266</v>
      </c>
      <c r="B311" s="2">
        <v>30</v>
      </c>
      <c r="C311" t="s">
        <v>77</v>
      </c>
      <c r="D311" s="2" t="s">
        <v>33</v>
      </c>
      <c r="E311" s="2">
        <v>25</v>
      </c>
      <c r="F311" s="2">
        <v>14</v>
      </c>
      <c r="G311" s="2">
        <v>565</v>
      </c>
      <c r="H311" s="2">
        <v>5.9</v>
      </c>
      <c r="I311" s="2">
        <v>13.5</v>
      </c>
      <c r="J311" s="2">
        <v>0.439</v>
      </c>
      <c r="K311" s="2">
        <v>2.1</v>
      </c>
      <c r="L311" s="2">
        <v>6.5</v>
      </c>
      <c r="M311" s="2">
        <v>0.32</v>
      </c>
      <c r="N311" s="2">
        <v>3.8</v>
      </c>
      <c r="O311" s="2">
        <v>7</v>
      </c>
      <c r="P311" s="2">
        <v>0.55000000000000004</v>
      </c>
      <c r="Q311" s="2">
        <v>0.51600000000000001</v>
      </c>
      <c r="R311" s="2">
        <v>0.4</v>
      </c>
      <c r="S311" s="2">
        <v>0.9</v>
      </c>
      <c r="T311" s="2">
        <v>0.5</v>
      </c>
      <c r="U311" s="2">
        <v>1.7</v>
      </c>
      <c r="V311" s="2">
        <v>6.5</v>
      </c>
      <c r="W311" s="2">
        <v>8.1999999999999993</v>
      </c>
      <c r="X311" s="2">
        <v>5.7</v>
      </c>
      <c r="Y311" s="2">
        <v>3.6</v>
      </c>
      <c r="Z311" s="2">
        <v>0.6</v>
      </c>
      <c r="AA311" s="2">
        <v>2.4</v>
      </c>
      <c r="AB311" s="2">
        <v>5.8</v>
      </c>
      <c r="AC311" s="2">
        <v>14.4</v>
      </c>
      <c r="AD311" s="2">
        <v>107</v>
      </c>
      <c r="AE311" s="2">
        <v>107</v>
      </c>
      <c r="AF311" s="2"/>
    </row>
    <row r="312" spans="1:32" x14ac:dyDescent="0.2">
      <c r="A312" t="s">
        <v>345</v>
      </c>
      <c r="B312" s="2">
        <v>24</v>
      </c>
      <c r="C312" t="s">
        <v>135</v>
      </c>
      <c r="D312" s="2" t="s">
        <v>49</v>
      </c>
      <c r="E312" s="2">
        <v>21</v>
      </c>
      <c r="F312" s="2">
        <v>0</v>
      </c>
      <c r="G312" s="2">
        <v>267</v>
      </c>
      <c r="H312" s="2">
        <v>6.9</v>
      </c>
      <c r="I312" s="2">
        <v>14.4</v>
      </c>
      <c r="J312" s="2">
        <v>0.47499999999999998</v>
      </c>
      <c r="K312" s="2">
        <v>2</v>
      </c>
      <c r="L312" s="2">
        <v>6</v>
      </c>
      <c r="M312" s="2">
        <v>0.33300000000000002</v>
      </c>
      <c r="N312" s="2">
        <v>4.9000000000000004</v>
      </c>
      <c r="O312" s="2">
        <v>8.5</v>
      </c>
      <c r="P312" s="2">
        <v>0.57399999999999995</v>
      </c>
      <c r="Q312" s="2">
        <v>0.54400000000000004</v>
      </c>
      <c r="R312" s="2">
        <v>1.4</v>
      </c>
      <c r="S312" s="2">
        <v>3.6</v>
      </c>
      <c r="T312" s="2">
        <v>0.4</v>
      </c>
      <c r="U312" s="2">
        <v>4</v>
      </c>
      <c r="V312" s="2">
        <v>4.7</v>
      </c>
      <c r="W312" s="2">
        <v>8.6999999999999993</v>
      </c>
      <c r="X312" s="2">
        <v>2.5</v>
      </c>
      <c r="Y312" s="2">
        <v>1.6</v>
      </c>
      <c r="Z312" s="2">
        <v>0.5</v>
      </c>
      <c r="AA312" s="2">
        <v>2.2000000000000002</v>
      </c>
      <c r="AB312" s="2">
        <v>3.8</v>
      </c>
      <c r="AC312" s="2">
        <v>17.100000000000001</v>
      </c>
      <c r="AD312" s="2">
        <v>109</v>
      </c>
      <c r="AE312" s="2">
        <v>119</v>
      </c>
      <c r="AF312" s="2"/>
    </row>
    <row r="313" spans="1:32" x14ac:dyDescent="0.2">
      <c r="A313" t="s">
        <v>313</v>
      </c>
      <c r="B313" s="2">
        <v>29</v>
      </c>
      <c r="C313" t="s">
        <v>39</v>
      </c>
      <c r="D313" s="2" t="s">
        <v>42</v>
      </c>
      <c r="E313" s="2">
        <v>6</v>
      </c>
      <c r="F313" s="2">
        <v>6</v>
      </c>
      <c r="G313" s="2">
        <v>173</v>
      </c>
      <c r="H313" s="2">
        <v>11.9</v>
      </c>
      <c r="I313" s="2">
        <v>26</v>
      </c>
      <c r="J313" s="2">
        <v>0.45700000000000002</v>
      </c>
      <c r="K313" s="2">
        <v>4</v>
      </c>
      <c r="L313" s="2">
        <v>11.9</v>
      </c>
      <c r="M313" s="2">
        <v>0.33300000000000002</v>
      </c>
      <c r="N313" s="2">
        <v>7.9</v>
      </c>
      <c r="O313" s="2">
        <v>14.1</v>
      </c>
      <c r="P313" s="2">
        <v>0.56000000000000005</v>
      </c>
      <c r="Q313" s="2">
        <v>0.53300000000000003</v>
      </c>
      <c r="R313" s="2">
        <v>6.8</v>
      </c>
      <c r="S313" s="2">
        <v>8.8000000000000007</v>
      </c>
      <c r="T313" s="2">
        <v>0.77400000000000002</v>
      </c>
      <c r="U313" s="2">
        <v>2.8</v>
      </c>
      <c r="V313" s="2">
        <v>10.5</v>
      </c>
      <c r="W313" s="2">
        <v>13.3</v>
      </c>
      <c r="X313" s="2">
        <v>3.1</v>
      </c>
      <c r="Y313" s="2">
        <v>1.7</v>
      </c>
      <c r="Z313" s="2">
        <v>2.5</v>
      </c>
      <c r="AA313" s="2">
        <v>1.4</v>
      </c>
      <c r="AB313" s="2">
        <v>3.7</v>
      </c>
      <c r="AC313" s="2">
        <v>34.5</v>
      </c>
      <c r="AD313" s="2">
        <v>121</v>
      </c>
      <c r="AE313" s="2">
        <v>107</v>
      </c>
      <c r="AF313" s="2"/>
    </row>
    <row r="314" spans="1:32" x14ac:dyDescent="0.2">
      <c r="A314" t="s">
        <v>322</v>
      </c>
      <c r="B314" s="2">
        <v>31</v>
      </c>
      <c r="C314" t="s">
        <v>100</v>
      </c>
      <c r="D314" s="2" t="s">
        <v>27</v>
      </c>
      <c r="E314" s="2">
        <v>23</v>
      </c>
      <c r="F314" s="2">
        <v>0</v>
      </c>
      <c r="G314" s="2">
        <v>327</v>
      </c>
      <c r="H314" s="2">
        <v>6.5</v>
      </c>
      <c r="I314" s="2">
        <v>15.7</v>
      </c>
      <c r="J314" s="2">
        <v>0.41099999999999998</v>
      </c>
      <c r="K314" s="2">
        <v>1.5</v>
      </c>
      <c r="L314" s="2">
        <v>5.0999999999999996</v>
      </c>
      <c r="M314" s="2">
        <v>0.28599999999999998</v>
      </c>
      <c r="N314" s="2">
        <v>5</v>
      </c>
      <c r="O314" s="2">
        <v>10.6</v>
      </c>
      <c r="P314" s="2">
        <v>0.47199999999999998</v>
      </c>
      <c r="Q314" s="2">
        <v>0.45800000000000002</v>
      </c>
      <c r="R314" s="2">
        <v>1.9</v>
      </c>
      <c r="S314" s="2">
        <v>2.9</v>
      </c>
      <c r="T314" s="2">
        <v>0.65</v>
      </c>
      <c r="U314" s="2">
        <v>1.6</v>
      </c>
      <c r="V314" s="2">
        <v>8.1999999999999993</v>
      </c>
      <c r="W314" s="2">
        <v>9.8000000000000007</v>
      </c>
      <c r="X314" s="2">
        <v>7.6</v>
      </c>
      <c r="Y314" s="2">
        <v>2.6</v>
      </c>
      <c r="Z314" s="2">
        <v>1.5</v>
      </c>
      <c r="AA314" s="2">
        <v>1.8</v>
      </c>
      <c r="AB314" s="2">
        <v>3.4</v>
      </c>
      <c r="AC314" s="2">
        <v>16.3</v>
      </c>
      <c r="AD314" s="2">
        <v>111</v>
      </c>
      <c r="AE314" s="2">
        <v>105</v>
      </c>
      <c r="AF314" s="2"/>
    </row>
    <row r="315" spans="1:32" x14ac:dyDescent="0.2">
      <c r="A315" t="s">
        <v>331</v>
      </c>
      <c r="B315" s="2">
        <v>21</v>
      </c>
      <c r="C315" t="s">
        <v>120</v>
      </c>
      <c r="D315" s="2" t="s">
        <v>42</v>
      </c>
      <c r="E315" s="2">
        <v>15</v>
      </c>
      <c r="F315" s="2">
        <v>8</v>
      </c>
      <c r="G315" s="2">
        <v>276</v>
      </c>
      <c r="H315" s="2">
        <v>7</v>
      </c>
      <c r="I315" s="2">
        <v>13.9</v>
      </c>
      <c r="J315" s="2">
        <v>0.50600000000000001</v>
      </c>
      <c r="K315" s="2">
        <v>1.6</v>
      </c>
      <c r="L315" s="2">
        <v>5.4</v>
      </c>
      <c r="M315" s="2">
        <v>0.28999999999999998</v>
      </c>
      <c r="N315" s="2">
        <v>5.4</v>
      </c>
      <c r="O315" s="2">
        <v>8.4</v>
      </c>
      <c r="P315" s="2">
        <v>0.64600000000000002</v>
      </c>
      <c r="Q315" s="2">
        <v>0.56299999999999994</v>
      </c>
      <c r="R315" s="2">
        <v>2.8</v>
      </c>
      <c r="S315" s="2">
        <v>5.3</v>
      </c>
      <c r="T315" s="2">
        <v>0.53300000000000003</v>
      </c>
      <c r="U315" s="2">
        <v>2.5</v>
      </c>
      <c r="V315" s="2">
        <v>9.3000000000000007</v>
      </c>
      <c r="W315" s="2">
        <v>11.8</v>
      </c>
      <c r="X315" s="2">
        <v>5.3</v>
      </c>
      <c r="Y315" s="2">
        <v>1.4</v>
      </c>
      <c r="Z315" s="2">
        <v>0.4</v>
      </c>
      <c r="AA315" s="2">
        <v>2.6</v>
      </c>
      <c r="AB315" s="2">
        <v>4.5999999999999996</v>
      </c>
      <c r="AC315" s="2">
        <v>18.399999999999999</v>
      </c>
      <c r="AD315" s="2">
        <v>114</v>
      </c>
      <c r="AE315" s="2">
        <v>119</v>
      </c>
      <c r="AF315" s="2"/>
    </row>
    <row r="316" spans="1:32" x14ac:dyDescent="0.2">
      <c r="A316" t="s">
        <v>241</v>
      </c>
      <c r="B316" s="2">
        <v>29</v>
      </c>
      <c r="C316" t="s">
        <v>114</v>
      </c>
      <c r="D316" s="2" t="s">
        <v>27</v>
      </c>
      <c r="E316" s="2">
        <v>12</v>
      </c>
      <c r="F316" s="2">
        <v>12</v>
      </c>
      <c r="G316" s="2">
        <v>330</v>
      </c>
      <c r="H316" s="2">
        <v>10.8</v>
      </c>
      <c r="I316" s="2">
        <v>25.6</v>
      </c>
      <c r="J316" s="2">
        <v>0.42</v>
      </c>
      <c r="K316" s="2">
        <v>2.2999999999999998</v>
      </c>
      <c r="L316" s="2">
        <v>8.1999999999999993</v>
      </c>
      <c r="M316" s="2">
        <v>0.27600000000000002</v>
      </c>
      <c r="N316" s="2">
        <v>8.5</v>
      </c>
      <c r="O316" s="2">
        <v>17.399999999999999</v>
      </c>
      <c r="P316" s="2">
        <v>0.48799999999999999</v>
      </c>
      <c r="Q316" s="2">
        <v>0.46400000000000002</v>
      </c>
      <c r="R316" s="2">
        <v>3.1</v>
      </c>
      <c r="S316" s="2">
        <v>4.5</v>
      </c>
      <c r="T316" s="2">
        <v>0.68799999999999994</v>
      </c>
      <c r="U316" s="2">
        <v>1.1000000000000001</v>
      </c>
      <c r="V316" s="2">
        <v>8.3000000000000007</v>
      </c>
      <c r="W316" s="2">
        <v>9.5</v>
      </c>
      <c r="X316" s="2">
        <v>3.3</v>
      </c>
      <c r="Y316" s="2">
        <v>0.7</v>
      </c>
      <c r="Z316" s="2">
        <v>0.4</v>
      </c>
      <c r="AA316" s="2">
        <v>4.0999999999999996</v>
      </c>
      <c r="AB316" s="2">
        <v>3.3</v>
      </c>
      <c r="AC316" s="2">
        <v>26.9</v>
      </c>
      <c r="AD316" s="2">
        <v>90</v>
      </c>
      <c r="AE316" s="2">
        <v>122</v>
      </c>
      <c r="AF316" s="2"/>
    </row>
    <row r="317" spans="1:32" x14ac:dyDescent="0.2">
      <c r="A317" t="s">
        <v>362</v>
      </c>
      <c r="B317" s="2">
        <v>38</v>
      </c>
      <c r="C317" t="s">
        <v>122</v>
      </c>
      <c r="D317" s="2" t="s">
        <v>33</v>
      </c>
      <c r="E317" s="2">
        <v>16</v>
      </c>
      <c r="F317" s="2">
        <v>10</v>
      </c>
      <c r="G317" s="2">
        <v>350</v>
      </c>
      <c r="H317" s="2">
        <v>3.6</v>
      </c>
      <c r="I317" s="2">
        <v>9.5</v>
      </c>
      <c r="J317" s="2">
        <v>0.373</v>
      </c>
      <c r="K317" s="2">
        <v>2.6</v>
      </c>
      <c r="L317" s="2">
        <v>7.3</v>
      </c>
      <c r="M317" s="2">
        <v>0.35299999999999998</v>
      </c>
      <c r="N317" s="2">
        <v>1</v>
      </c>
      <c r="O317" s="2">
        <v>2.2999999999999998</v>
      </c>
      <c r="P317" s="2">
        <v>0.438</v>
      </c>
      <c r="Q317" s="2">
        <v>0.50700000000000001</v>
      </c>
      <c r="R317" s="2">
        <v>2.1</v>
      </c>
      <c r="S317" s="2">
        <v>2.7</v>
      </c>
      <c r="T317" s="2">
        <v>0.78900000000000003</v>
      </c>
      <c r="U317" s="2">
        <v>0.9</v>
      </c>
      <c r="V317" s="2">
        <v>3.8</v>
      </c>
      <c r="W317" s="2">
        <v>4.7</v>
      </c>
      <c r="X317" s="2">
        <v>6.7</v>
      </c>
      <c r="Y317" s="2">
        <v>2.4</v>
      </c>
      <c r="Z317" s="2">
        <v>0.7</v>
      </c>
      <c r="AA317" s="2">
        <v>1.9</v>
      </c>
      <c r="AB317" s="2">
        <v>4.3</v>
      </c>
      <c r="AC317" s="2">
        <v>11.8</v>
      </c>
      <c r="AD317" s="2">
        <v>117</v>
      </c>
      <c r="AE317" s="2">
        <v>113</v>
      </c>
      <c r="AF317" s="2"/>
    </row>
    <row r="318" spans="1:32" x14ac:dyDescent="0.2">
      <c r="A318" t="s">
        <v>62</v>
      </c>
      <c r="B318" s="2">
        <v>32</v>
      </c>
      <c r="C318" t="s">
        <v>63</v>
      </c>
      <c r="D318" s="2" t="s">
        <v>52</v>
      </c>
      <c r="E318" s="2">
        <v>23</v>
      </c>
      <c r="F318" s="2">
        <v>23</v>
      </c>
      <c r="G318" s="2">
        <v>813</v>
      </c>
      <c r="H318" s="2">
        <v>12.1</v>
      </c>
      <c r="I318" s="2">
        <v>24.1</v>
      </c>
      <c r="J318" s="2">
        <v>0.504</v>
      </c>
      <c r="K318" s="2">
        <v>4.3</v>
      </c>
      <c r="L318" s="2">
        <v>9.1</v>
      </c>
      <c r="M318" s="2">
        <v>0.47399999999999998</v>
      </c>
      <c r="N318" s="2">
        <v>7.8</v>
      </c>
      <c r="O318" s="2">
        <v>15</v>
      </c>
      <c r="P318" s="2">
        <v>0.52200000000000002</v>
      </c>
      <c r="Q318" s="2">
        <v>0.59299999999999997</v>
      </c>
      <c r="R318" s="2">
        <v>4.0999999999999996</v>
      </c>
      <c r="S318" s="2">
        <v>4.5999999999999996</v>
      </c>
      <c r="T318" s="2">
        <v>0.88500000000000001</v>
      </c>
      <c r="U318" s="2">
        <v>1.5</v>
      </c>
      <c r="V318" s="2">
        <v>5</v>
      </c>
      <c r="W318" s="2">
        <v>6.5</v>
      </c>
      <c r="X318" s="2">
        <v>7.1</v>
      </c>
      <c r="Y318" s="2">
        <v>1.7</v>
      </c>
      <c r="Z318" s="2">
        <v>0.4</v>
      </c>
      <c r="AA318" s="2">
        <v>3</v>
      </c>
      <c r="AB318" s="2">
        <v>3.2</v>
      </c>
      <c r="AC318" s="2">
        <v>32.700000000000003</v>
      </c>
      <c r="AD318" s="2">
        <v>125</v>
      </c>
      <c r="AE318" s="2">
        <v>114</v>
      </c>
      <c r="AF318" s="2"/>
    </row>
    <row r="319" spans="1:32" x14ac:dyDescent="0.2">
      <c r="A319" t="s">
        <v>292</v>
      </c>
      <c r="B319" s="2">
        <v>21</v>
      </c>
      <c r="C319" t="s">
        <v>114</v>
      </c>
      <c r="D319" s="2" t="s">
        <v>52</v>
      </c>
      <c r="E319" s="2">
        <v>19</v>
      </c>
      <c r="F319" s="2">
        <v>6</v>
      </c>
      <c r="G319" s="2">
        <v>497</v>
      </c>
      <c r="H319" s="2">
        <v>4.7</v>
      </c>
      <c r="I319" s="2">
        <v>14</v>
      </c>
      <c r="J319" s="2">
        <v>0.33600000000000002</v>
      </c>
      <c r="K319" s="2">
        <v>2.2999999999999998</v>
      </c>
      <c r="L319" s="2">
        <v>9.1</v>
      </c>
      <c r="M319" s="2">
        <v>0.247</v>
      </c>
      <c r="N319" s="2">
        <v>2.4</v>
      </c>
      <c r="O319" s="2">
        <v>4.9000000000000004</v>
      </c>
      <c r="P319" s="2">
        <v>0.5</v>
      </c>
      <c r="Q319" s="2">
        <v>0.41599999999999998</v>
      </c>
      <c r="R319" s="2">
        <v>1.8</v>
      </c>
      <c r="S319" s="2">
        <v>2.4</v>
      </c>
      <c r="T319" s="2">
        <v>0.73099999999999998</v>
      </c>
      <c r="U319" s="2">
        <v>1.2</v>
      </c>
      <c r="V319" s="2">
        <v>6.1</v>
      </c>
      <c r="W319" s="2">
        <v>7.3</v>
      </c>
      <c r="X319" s="2">
        <v>4.7</v>
      </c>
      <c r="Y319" s="2">
        <v>1.2</v>
      </c>
      <c r="Z319" s="2">
        <v>1.2</v>
      </c>
      <c r="AA319" s="2">
        <v>1.8</v>
      </c>
      <c r="AB319" s="2">
        <v>5.6</v>
      </c>
      <c r="AC319" s="2">
        <v>13.4</v>
      </c>
      <c r="AD319" s="2">
        <v>96</v>
      </c>
      <c r="AE319" s="2">
        <v>121</v>
      </c>
      <c r="AF319" s="2"/>
    </row>
    <row r="320" spans="1:32" x14ac:dyDescent="0.2">
      <c r="A320" t="s">
        <v>58</v>
      </c>
      <c r="B320" s="2">
        <v>23</v>
      </c>
      <c r="C320" t="s">
        <v>59</v>
      </c>
      <c r="D320" s="2" t="s">
        <v>33</v>
      </c>
      <c r="E320" s="2">
        <v>18</v>
      </c>
      <c r="F320" s="2">
        <v>18</v>
      </c>
      <c r="G320" s="2">
        <v>614</v>
      </c>
      <c r="H320" s="2">
        <v>15.6</v>
      </c>
      <c r="I320" s="4">
        <v>36.200000000000003</v>
      </c>
      <c r="J320" s="2">
        <v>0.43</v>
      </c>
      <c r="K320" s="4">
        <v>6.8</v>
      </c>
      <c r="L320" s="4">
        <v>19.100000000000001</v>
      </c>
      <c r="M320" s="2">
        <v>0.35599999999999998</v>
      </c>
      <c r="N320" s="2">
        <v>8.8000000000000007</v>
      </c>
      <c r="O320" s="2">
        <v>17.2</v>
      </c>
      <c r="P320" s="2">
        <v>0.51200000000000001</v>
      </c>
      <c r="Q320" s="2">
        <v>0.52300000000000002</v>
      </c>
      <c r="R320" s="2">
        <v>7.2</v>
      </c>
      <c r="S320" s="2">
        <v>8.5</v>
      </c>
      <c r="T320" s="2">
        <v>0.84799999999999998</v>
      </c>
      <c r="U320" s="2">
        <v>1.4</v>
      </c>
      <c r="V320" s="2">
        <v>6.5</v>
      </c>
      <c r="W320" s="2">
        <v>7.8</v>
      </c>
      <c r="X320" s="2">
        <v>10.1</v>
      </c>
      <c r="Y320" s="2">
        <v>1.6</v>
      </c>
      <c r="Z320" s="2">
        <v>0.3</v>
      </c>
      <c r="AA320" s="4">
        <v>6.5</v>
      </c>
      <c r="AB320" s="2">
        <v>5.9</v>
      </c>
      <c r="AC320" s="2">
        <v>45.1</v>
      </c>
      <c r="AD320" s="2">
        <v>111</v>
      </c>
      <c r="AE320" s="2">
        <v>116</v>
      </c>
      <c r="AF320" s="2"/>
    </row>
    <row r="321" spans="1:32" x14ac:dyDescent="0.2">
      <c r="A321" t="s">
        <v>357</v>
      </c>
      <c r="B321" s="2">
        <v>32</v>
      </c>
      <c r="C321" t="s">
        <v>72</v>
      </c>
      <c r="D321" s="2" t="s">
        <v>27</v>
      </c>
      <c r="E321" s="2">
        <v>10</v>
      </c>
      <c r="F321" s="2">
        <v>2</v>
      </c>
      <c r="G321" s="2">
        <v>165</v>
      </c>
      <c r="H321" s="2">
        <v>9.6</v>
      </c>
      <c r="I321" s="2">
        <v>15.2</v>
      </c>
      <c r="J321" s="2">
        <v>0.63</v>
      </c>
      <c r="K321" s="2">
        <v>4.5</v>
      </c>
      <c r="L321" s="2">
        <v>8.1999999999999993</v>
      </c>
      <c r="M321" s="2">
        <v>0.55200000000000005</v>
      </c>
      <c r="N321" s="2">
        <v>5.0999999999999996</v>
      </c>
      <c r="O321" s="2">
        <v>7</v>
      </c>
      <c r="P321" s="2">
        <v>0.72</v>
      </c>
      <c r="Q321" s="2">
        <v>0.77800000000000002</v>
      </c>
      <c r="R321" s="2">
        <v>0.8</v>
      </c>
      <c r="S321" s="2">
        <v>1.1000000000000001</v>
      </c>
      <c r="T321" s="2">
        <v>0.75</v>
      </c>
      <c r="U321" s="2">
        <v>2.8</v>
      </c>
      <c r="V321" s="2">
        <v>4.5</v>
      </c>
      <c r="W321" s="2">
        <v>7.3</v>
      </c>
      <c r="X321" s="2">
        <v>3.9</v>
      </c>
      <c r="Y321" s="2">
        <v>2.5</v>
      </c>
      <c r="Z321" s="2">
        <v>0.8</v>
      </c>
      <c r="AA321" s="2">
        <v>1.1000000000000001</v>
      </c>
      <c r="AB321" s="2">
        <v>3.7</v>
      </c>
      <c r="AC321" s="2">
        <v>24.5</v>
      </c>
      <c r="AD321" s="2">
        <v>149</v>
      </c>
      <c r="AE321" s="2">
        <v>115</v>
      </c>
      <c r="AF321" s="2"/>
    </row>
    <row r="322" spans="1:32" x14ac:dyDescent="0.2">
      <c r="A322" t="s">
        <v>142</v>
      </c>
      <c r="B322" s="2">
        <v>27</v>
      </c>
      <c r="C322" t="s">
        <v>120</v>
      </c>
      <c r="D322" s="2" t="s">
        <v>27</v>
      </c>
      <c r="E322" s="2">
        <v>18</v>
      </c>
      <c r="F322" s="2">
        <v>18</v>
      </c>
      <c r="G322" s="2">
        <v>572</v>
      </c>
      <c r="H322" s="2">
        <v>8.9</v>
      </c>
      <c r="I322" s="2">
        <v>20.100000000000001</v>
      </c>
      <c r="J322" s="2">
        <v>0.443</v>
      </c>
      <c r="K322" s="2">
        <v>3.8</v>
      </c>
      <c r="L322" s="2">
        <v>10.3</v>
      </c>
      <c r="M322" s="2">
        <v>0.372</v>
      </c>
      <c r="N322" s="2">
        <v>5.0999999999999996</v>
      </c>
      <c r="O322" s="2">
        <v>9.8000000000000007</v>
      </c>
      <c r="P322" s="2">
        <v>0.51700000000000002</v>
      </c>
      <c r="Q322" s="2">
        <v>0.53800000000000003</v>
      </c>
      <c r="R322" s="2">
        <v>6.8</v>
      </c>
      <c r="S322" s="2">
        <v>7.9</v>
      </c>
      <c r="T322" s="2">
        <v>0.86</v>
      </c>
      <c r="U322" s="2">
        <v>2.4</v>
      </c>
      <c r="V322" s="2">
        <v>7.2</v>
      </c>
      <c r="W322" s="2">
        <v>9.6</v>
      </c>
      <c r="X322" s="2">
        <v>3.6</v>
      </c>
      <c r="Y322" s="2">
        <v>1</v>
      </c>
      <c r="Z322" s="2">
        <v>0.2</v>
      </c>
      <c r="AA322" s="2">
        <v>2.2000000000000002</v>
      </c>
      <c r="AB322" s="2">
        <v>2.6</v>
      </c>
      <c r="AC322" s="2">
        <v>28.4</v>
      </c>
      <c r="AD322" s="2">
        <v>124</v>
      </c>
      <c r="AE322" s="2">
        <v>122</v>
      </c>
      <c r="AF322" s="2"/>
    </row>
    <row r="323" spans="1:32" x14ac:dyDescent="0.2">
      <c r="A323" t="s">
        <v>68</v>
      </c>
      <c r="B323" s="2">
        <v>40</v>
      </c>
      <c r="C323" t="s">
        <v>41</v>
      </c>
      <c r="D323" s="2" t="s">
        <v>49</v>
      </c>
      <c r="E323" s="2">
        <v>23</v>
      </c>
      <c r="F323" s="2">
        <v>23</v>
      </c>
      <c r="G323" s="2">
        <v>806</v>
      </c>
      <c r="H323" s="2">
        <v>12.2</v>
      </c>
      <c r="I323" s="2">
        <v>24.7</v>
      </c>
      <c r="J323" s="2">
        <v>0.495</v>
      </c>
      <c r="K323" s="2">
        <v>2.9</v>
      </c>
      <c r="L323" s="2">
        <v>8</v>
      </c>
      <c r="M323" s="2">
        <v>0.35899999999999999</v>
      </c>
      <c r="N323" s="2">
        <v>9.4</v>
      </c>
      <c r="O323" s="2">
        <v>16.7</v>
      </c>
      <c r="P323" s="2">
        <v>0.56000000000000005</v>
      </c>
      <c r="Q323" s="2">
        <v>0.55300000000000005</v>
      </c>
      <c r="R323" s="2">
        <v>4.9000000000000004</v>
      </c>
      <c r="S323" s="2">
        <v>6.4</v>
      </c>
      <c r="T323" s="2">
        <v>0.76200000000000001</v>
      </c>
      <c r="U323" s="2">
        <v>1.3</v>
      </c>
      <c r="V323" s="2">
        <v>9.9</v>
      </c>
      <c r="W323" s="2">
        <v>11.2</v>
      </c>
      <c r="X323" s="2">
        <v>12.8</v>
      </c>
      <c r="Y323" s="2">
        <v>1</v>
      </c>
      <c r="Z323" s="2">
        <v>0.8</v>
      </c>
      <c r="AA323" s="2">
        <v>5.7</v>
      </c>
      <c r="AB323" s="2">
        <v>1.7</v>
      </c>
      <c r="AC323" s="2">
        <v>32.1</v>
      </c>
      <c r="AD323" s="2">
        <v>112</v>
      </c>
      <c r="AE323" s="2">
        <v>117</v>
      </c>
      <c r="AF323" s="2"/>
    </row>
    <row r="324" spans="1:32" x14ac:dyDescent="0.2">
      <c r="A324" t="s">
        <v>500</v>
      </c>
      <c r="B324" s="2">
        <v>24</v>
      </c>
      <c r="C324" t="s">
        <v>122</v>
      </c>
      <c r="D324" s="2" t="s">
        <v>52</v>
      </c>
      <c r="E324" s="2">
        <v>4</v>
      </c>
      <c r="F324" s="2">
        <v>0</v>
      </c>
      <c r="G324" s="2">
        <v>17</v>
      </c>
      <c r="H324" s="2">
        <v>11.7</v>
      </c>
      <c r="I324" s="2">
        <v>23.5</v>
      </c>
      <c r="J324" s="2">
        <v>0.5</v>
      </c>
      <c r="K324" s="2">
        <v>0</v>
      </c>
      <c r="L324" s="2">
        <v>8.8000000000000007</v>
      </c>
      <c r="M324" s="2">
        <v>0</v>
      </c>
      <c r="N324" s="2">
        <v>11.7</v>
      </c>
      <c r="O324" s="2">
        <v>14.7</v>
      </c>
      <c r="P324" s="2">
        <v>0.8</v>
      </c>
      <c r="Q324" s="2">
        <v>0.5</v>
      </c>
      <c r="R324" s="2">
        <v>2.9</v>
      </c>
      <c r="S324" s="2">
        <v>2.9</v>
      </c>
      <c r="T324" s="2">
        <v>1</v>
      </c>
      <c r="U324" s="2">
        <v>8.8000000000000007</v>
      </c>
      <c r="V324" s="2">
        <v>2.9</v>
      </c>
      <c r="W324" s="2">
        <v>11.7</v>
      </c>
      <c r="X324" s="2">
        <v>2.9</v>
      </c>
      <c r="Y324" s="2">
        <v>0</v>
      </c>
      <c r="Z324" s="2">
        <v>0</v>
      </c>
      <c r="AA324" s="2">
        <v>11.7</v>
      </c>
      <c r="AB324" s="2">
        <v>0</v>
      </c>
      <c r="AC324" s="2">
        <v>26.4</v>
      </c>
      <c r="AD324" s="2">
        <v>83</v>
      </c>
      <c r="AE324" s="2">
        <v>121</v>
      </c>
      <c r="AF324" s="2"/>
    </row>
    <row r="325" spans="1:32" x14ac:dyDescent="0.2">
      <c r="A325" t="s">
        <v>520</v>
      </c>
      <c r="B325" s="2">
        <v>25</v>
      </c>
      <c r="C325" t="s">
        <v>35</v>
      </c>
      <c r="D325" s="2" t="s">
        <v>42</v>
      </c>
      <c r="E325" s="2">
        <v>5</v>
      </c>
      <c r="F325" s="2">
        <v>0</v>
      </c>
      <c r="G325" s="2">
        <v>20</v>
      </c>
      <c r="H325" s="2">
        <v>4.9000000000000004</v>
      </c>
      <c r="I325" s="2">
        <v>7.3</v>
      </c>
      <c r="J325" s="2">
        <v>0.66700000000000004</v>
      </c>
      <c r="K325" s="2">
        <v>0</v>
      </c>
      <c r="L325" s="2">
        <v>2.4</v>
      </c>
      <c r="M325" s="2">
        <v>0</v>
      </c>
      <c r="N325" s="2">
        <v>4.9000000000000004</v>
      </c>
      <c r="O325" s="2">
        <v>4.9000000000000004</v>
      </c>
      <c r="P325" s="2">
        <v>1</v>
      </c>
      <c r="Q325" s="2">
        <v>0.66700000000000004</v>
      </c>
      <c r="R325" s="2">
        <v>2.4</v>
      </c>
      <c r="S325" s="2">
        <v>9.8000000000000007</v>
      </c>
      <c r="T325" s="2">
        <v>0.25</v>
      </c>
      <c r="U325" s="2">
        <v>4.9000000000000004</v>
      </c>
      <c r="V325" s="2">
        <v>2.4</v>
      </c>
      <c r="W325" s="2">
        <v>7.3</v>
      </c>
      <c r="X325" s="2">
        <v>0</v>
      </c>
      <c r="Y325" s="2">
        <v>0</v>
      </c>
      <c r="Z325" s="2">
        <v>0</v>
      </c>
      <c r="AA325" s="2">
        <v>0</v>
      </c>
      <c r="AB325" s="2">
        <v>7.3</v>
      </c>
      <c r="AC325" s="2">
        <v>12.2</v>
      </c>
      <c r="AD325" s="2">
        <v>122</v>
      </c>
      <c r="AE325" s="2">
        <v>122</v>
      </c>
      <c r="AF325" s="2"/>
    </row>
    <row r="326" spans="1:32" x14ac:dyDescent="0.2">
      <c r="A326" t="s">
        <v>319</v>
      </c>
      <c r="B326" s="2">
        <v>27</v>
      </c>
      <c r="C326" t="s">
        <v>100</v>
      </c>
      <c r="D326" s="2" t="s">
        <v>52</v>
      </c>
      <c r="E326" s="2">
        <v>20</v>
      </c>
      <c r="F326" s="2">
        <v>8</v>
      </c>
      <c r="G326" s="2">
        <v>356</v>
      </c>
      <c r="H326" s="2">
        <v>5.7</v>
      </c>
      <c r="I326" s="2">
        <v>14.6</v>
      </c>
      <c r="J326" s="2">
        <v>0.38900000000000001</v>
      </c>
      <c r="K326" s="2">
        <v>3.5</v>
      </c>
      <c r="L326" s="2">
        <v>10.199999999999999</v>
      </c>
      <c r="M326" s="2">
        <v>0.34200000000000003</v>
      </c>
      <c r="N326" s="2">
        <v>2.2000000000000002</v>
      </c>
      <c r="O326" s="2">
        <v>4.3</v>
      </c>
      <c r="P326" s="2">
        <v>0.5</v>
      </c>
      <c r="Q326" s="2">
        <v>0.50900000000000001</v>
      </c>
      <c r="R326" s="2">
        <v>0.5</v>
      </c>
      <c r="S326" s="2">
        <v>0.7</v>
      </c>
      <c r="T326" s="2">
        <v>0.8</v>
      </c>
      <c r="U326" s="2">
        <v>1.2</v>
      </c>
      <c r="V326" s="2">
        <v>5.7</v>
      </c>
      <c r="W326" s="2">
        <v>6.9</v>
      </c>
      <c r="X326" s="2">
        <v>3.6</v>
      </c>
      <c r="Y326" s="2">
        <v>1.3</v>
      </c>
      <c r="Z326" s="2">
        <v>0.7</v>
      </c>
      <c r="AA326" s="2">
        <v>1.1000000000000001</v>
      </c>
      <c r="AB326" s="2">
        <v>4.3</v>
      </c>
      <c r="AC326" s="2">
        <v>15.4</v>
      </c>
      <c r="AD326" s="2">
        <v>111</v>
      </c>
      <c r="AE326" s="2">
        <v>110</v>
      </c>
      <c r="AF326" s="2"/>
    </row>
    <row r="327" spans="1:32" x14ac:dyDescent="0.2">
      <c r="A327" t="s">
        <v>421</v>
      </c>
      <c r="B327" s="2">
        <v>27</v>
      </c>
      <c r="C327" t="s">
        <v>70</v>
      </c>
      <c r="D327" s="2" t="s">
        <v>33</v>
      </c>
      <c r="E327" s="2">
        <v>8</v>
      </c>
      <c r="F327" s="2">
        <v>0</v>
      </c>
      <c r="G327" s="2">
        <v>134</v>
      </c>
      <c r="H327" s="2">
        <v>4.8</v>
      </c>
      <c r="I327" s="2">
        <v>13</v>
      </c>
      <c r="J327" s="2">
        <v>0.36799999999999999</v>
      </c>
      <c r="K327" s="2">
        <v>3.8</v>
      </c>
      <c r="L327" s="2">
        <v>10.6</v>
      </c>
      <c r="M327" s="2">
        <v>0.35499999999999998</v>
      </c>
      <c r="N327" s="2">
        <v>1</v>
      </c>
      <c r="O327" s="2">
        <v>2.4</v>
      </c>
      <c r="P327" s="2">
        <v>0.42899999999999999</v>
      </c>
      <c r="Q327" s="2">
        <v>0.51300000000000001</v>
      </c>
      <c r="R327" s="2">
        <v>0</v>
      </c>
      <c r="S327" s="2">
        <v>0</v>
      </c>
      <c r="T327" s="2"/>
      <c r="U327" s="2">
        <v>0.3</v>
      </c>
      <c r="V327" s="2">
        <v>6.2</v>
      </c>
      <c r="W327" s="2">
        <v>6.5</v>
      </c>
      <c r="X327" s="2">
        <v>9.3000000000000007</v>
      </c>
      <c r="Y327" s="2">
        <v>3.1</v>
      </c>
      <c r="Z327" s="2">
        <v>1.4</v>
      </c>
      <c r="AA327" s="2">
        <v>1.7</v>
      </c>
      <c r="AB327" s="2">
        <v>2.7</v>
      </c>
      <c r="AC327" s="2">
        <v>13.4</v>
      </c>
      <c r="AD327" s="2">
        <v>116</v>
      </c>
      <c r="AE327" s="2">
        <v>114</v>
      </c>
      <c r="AF327" s="2"/>
    </row>
    <row r="328" spans="1:32" x14ac:dyDescent="0.2">
      <c r="A328" t="s">
        <v>204</v>
      </c>
      <c r="B328" s="2">
        <v>25</v>
      </c>
      <c r="C328" t="s">
        <v>32</v>
      </c>
      <c r="D328" s="2" t="s">
        <v>49</v>
      </c>
      <c r="E328" s="2">
        <v>24</v>
      </c>
      <c r="F328" s="2">
        <v>24</v>
      </c>
      <c r="G328" s="2">
        <v>705</v>
      </c>
      <c r="H328" s="2">
        <v>5.5</v>
      </c>
      <c r="I328" s="2">
        <v>13.5</v>
      </c>
      <c r="J328" s="2">
        <v>0.40899999999999997</v>
      </c>
      <c r="K328" s="2">
        <v>3.5</v>
      </c>
      <c r="L328" s="2">
        <v>8.9</v>
      </c>
      <c r="M328" s="2">
        <v>0.39200000000000002</v>
      </c>
      <c r="N328" s="2">
        <v>2</v>
      </c>
      <c r="O328" s="2">
        <v>4.5999999999999996</v>
      </c>
      <c r="P328" s="2">
        <v>0.441</v>
      </c>
      <c r="Q328" s="2">
        <v>0.53800000000000003</v>
      </c>
      <c r="R328" s="2">
        <v>1.6</v>
      </c>
      <c r="S328" s="2">
        <v>2</v>
      </c>
      <c r="T328" s="2">
        <v>0.82799999999999996</v>
      </c>
      <c r="U328" s="2">
        <v>2.5</v>
      </c>
      <c r="V328" s="2">
        <v>5.0999999999999996</v>
      </c>
      <c r="W328" s="2">
        <v>7.6</v>
      </c>
      <c r="X328" s="2">
        <v>3</v>
      </c>
      <c r="Y328" s="2">
        <v>1.9</v>
      </c>
      <c r="Z328" s="2">
        <v>1.4</v>
      </c>
      <c r="AA328" s="2">
        <v>1</v>
      </c>
      <c r="AB328" s="2">
        <v>5</v>
      </c>
      <c r="AC328" s="2">
        <v>16.2</v>
      </c>
      <c r="AD328" s="2">
        <v>121</v>
      </c>
      <c r="AE328" s="2">
        <v>106</v>
      </c>
      <c r="AF328" s="2"/>
    </row>
    <row r="329" spans="1:32" x14ac:dyDescent="0.2">
      <c r="A329" t="s">
        <v>67</v>
      </c>
      <c r="B329" s="2">
        <v>25</v>
      </c>
      <c r="C329" t="s">
        <v>63</v>
      </c>
      <c r="D329" s="2" t="s">
        <v>33</v>
      </c>
      <c r="E329" s="2">
        <v>19</v>
      </c>
      <c r="F329" s="2">
        <v>19</v>
      </c>
      <c r="G329" s="2">
        <v>701</v>
      </c>
      <c r="H329" s="2">
        <v>12.7</v>
      </c>
      <c r="I329" s="2">
        <v>28.5</v>
      </c>
      <c r="J329" s="2">
        <v>0.44600000000000001</v>
      </c>
      <c r="K329" s="2">
        <v>4.5</v>
      </c>
      <c r="L329" s="2">
        <v>13</v>
      </c>
      <c r="M329" s="2">
        <v>0.34399999999999997</v>
      </c>
      <c r="N329" s="2">
        <v>8.1999999999999993</v>
      </c>
      <c r="O329" s="2">
        <v>15.5</v>
      </c>
      <c r="P329" s="2">
        <v>0.53100000000000003</v>
      </c>
      <c r="Q329" s="2">
        <v>0.52400000000000002</v>
      </c>
      <c r="R329" s="2">
        <v>6.7</v>
      </c>
      <c r="S329" s="2">
        <v>8.8000000000000007</v>
      </c>
      <c r="T329" s="2">
        <v>0.76600000000000001</v>
      </c>
      <c r="U329" s="2">
        <v>0.8</v>
      </c>
      <c r="V329" s="2">
        <v>10.199999999999999</v>
      </c>
      <c r="W329" s="2">
        <v>11</v>
      </c>
      <c r="X329" s="2">
        <v>10.3</v>
      </c>
      <c r="Y329" s="2">
        <v>2.7</v>
      </c>
      <c r="Z329" s="2">
        <v>0.5</v>
      </c>
      <c r="AA329" s="2">
        <v>4.5</v>
      </c>
      <c r="AB329" s="2">
        <v>3.7</v>
      </c>
      <c r="AC329" s="2">
        <v>36.6</v>
      </c>
      <c r="AD329" s="2">
        <v>115</v>
      </c>
      <c r="AE329" s="2">
        <v>108</v>
      </c>
      <c r="AF329" s="2"/>
    </row>
    <row r="330" spans="1:32" x14ac:dyDescent="0.2">
      <c r="A330" t="s">
        <v>448</v>
      </c>
      <c r="B330" s="2">
        <v>26</v>
      </c>
      <c r="C330" t="s">
        <v>51</v>
      </c>
      <c r="D330" s="2" t="s">
        <v>42</v>
      </c>
      <c r="E330" s="2">
        <v>7</v>
      </c>
      <c r="F330" s="2">
        <v>0</v>
      </c>
      <c r="G330" s="2">
        <v>33</v>
      </c>
      <c r="H330" s="2">
        <v>16.399999999999999</v>
      </c>
      <c r="I330" s="2">
        <v>29.8</v>
      </c>
      <c r="J330" s="2">
        <v>0.55000000000000004</v>
      </c>
      <c r="K330" s="2">
        <v>1.5</v>
      </c>
      <c r="L330" s="2">
        <v>8.9</v>
      </c>
      <c r="M330" s="2">
        <v>0.16700000000000001</v>
      </c>
      <c r="N330" s="2">
        <v>14.9</v>
      </c>
      <c r="O330" s="2">
        <v>20.9</v>
      </c>
      <c r="P330" s="2">
        <v>0.71399999999999997</v>
      </c>
      <c r="Q330" s="2">
        <v>0.57499999999999996</v>
      </c>
      <c r="R330" s="2">
        <v>4.5</v>
      </c>
      <c r="S330" s="2">
        <v>8.9</v>
      </c>
      <c r="T330" s="2">
        <v>0.5</v>
      </c>
      <c r="U330" s="2">
        <v>6</v>
      </c>
      <c r="V330" s="2">
        <v>7.5</v>
      </c>
      <c r="W330" s="2">
        <v>13.4</v>
      </c>
      <c r="X330" s="2">
        <v>0</v>
      </c>
      <c r="Y330" s="2">
        <v>1.5</v>
      </c>
      <c r="Z330" s="2">
        <v>0</v>
      </c>
      <c r="AA330" s="2">
        <v>3</v>
      </c>
      <c r="AB330" s="2">
        <v>4.5</v>
      </c>
      <c r="AC330" s="2">
        <v>38.799999999999997</v>
      </c>
      <c r="AD330" s="2">
        <v>107</v>
      </c>
      <c r="AE330" s="2">
        <v>110</v>
      </c>
      <c r="AF330" s="2"/>
    </row>
    <row r="331" spans="1:32" x14ac:dyDescent="0.2">
      <c r="A331" t="s">
        <v>346</v>
      </c>
      <c r="B331" s="2">
        <v>28</v>
      </c>
      <c r="C331" t="s">
        <v>80</v>
      </c>
      <c r="D331" s="2" t="s">
        <v>52</v>
      </c>
      <c r="E331" s="2">
        <v>14</v>
      </c>
      <c r="F331" s="2">
        <v>0</v>
      </c>
      <c r="G331" s="2">
        <v>276</v>
      </c>
      <c r="H331" s="2">
        <v>5.2</v>
      </c>
      <c r="I331" s="2">
        <v>12</v>
      </c>
      <c r="J331" s="2">
        <v>0.43099999999999999</v>
      </c>
      <c r="K331" s="2">
        <v>3.5</v>
      </c>
      <c r="L331" s="2">
        <v>8.6</v>
      </c>
      <c r="M331" s="2">
        <v>0.40400000000000003</v>
      </c>
      <c r="N331" s="2">
        <v>1.7</v>
      </c>
      <c r="O331" s="2">
        <v>3.3</v>
      </c>
      <c r="P331" s="2">
        <v>0.5</v>
      </c>
      <c r="Q331" s="2">
        <v>0.57599999999999996</v>
      </c>
      <c r="R331" s="2">
        <v>1.8</v>
      </c>
      <c r="S331" s="2">
        <v>2.2999999999999998</v>
      </c>
      <c r="T331" s="2">
        <v>0.78600000000000003</v>
      </c>
      <c r="U331" s="2">
        <v>1.2</v>
      </c>
      <c r="V331" s="2">
        <v>4.5</v>
      </c>
      <c r="W331" s="2">
        <v>5.7</v>
      </c>
      <c r="X331" s="2">
        <v>6.8</v>
      </c>
      <c r="Y331" s="2">
        <v>1.3</v>
      </c>
      <c r="Z331" s="2">
        <v>0.3</v>
      </c>
      <c r="AA331" s="2">
        <v>1.7</v>
      </c>
      <c r="AB331" s="2">
        <v>1.5</v>
      </c>
      <c r="AC331" s="2">
        <v>15.6</v>
      </c>
      <c r="AD331" s="2">
        <v>128</v>
      </c>
      <c r="AE331" s="2">
        <v>113</v>
      </c>
      <c r="AF331" s="2"/>
    </row>
    <row r="332" spans="1:32" x14ac:dyDescent="0.2">
      <c r="A332" t="s">
        <v>350</v>
      </c>
      <c r="B332" s="2">
        <v>29</v>
      </c>
      <c r="C332" t="s">
        <v>39</v>
      </c>
      <c r="D332" s="2" t="s">
        <v>42</v>
      </c>
      <c r="E332" s="2">
        <v>19</v>
      </c>
      <c r="F332" s="2">
        <v>3</v>
      </c>
      <c r="G332" s="2">
        <v>320</v>
      </c>
      <c r="H332" s="2">
        <v>5.4</v>
      </c>
      <c r="I332" s="2">
        <v>8.1</v>
      </c>
      <c r="J332" s="2">
        <v>0.66</v>
      </c>
      <c r="K332" s="2">
        <v>0</v>
      </c>
      <c r="L332" s="2">
        <v>0</v>
      </c>
      <c r="M332" s="2"/>
      <c r="N332" s="2">
        <v>5.4</v>
      </c>
      <c r="O332" s="2">
        <v>8.1</v>
      </c>
      <c r="P332" s="2">
        <v>0.66</v>
      </c>
      <c r="Q332" s="2">
        <v>0.66</v>
      </c>
      <c r="R332" s="2">
        <v>3.4</v>
      </c>
      <c r="S332" s="2">
        <v>4</v>
      </c>
      <c r="T332" s="2">
        <v>0.84599999999999997</v>
      </c>
      <c r="U332" s="2">
        <v>5.4</v>
      </c>
      <c r="V332" s="2">
        <v>7.5</v>
      </c>
      <c r="W332" s="2">
        <v>12.8</v>
      </c>
      <c r="X332" s="2">
        <v>4.3</v>
      </c>
      <c r="Y332" s="2">
        <v>1.5</v>
      </c>
      <c r="Z332" s="2">
        <v>3.2</v>
      </c>
      <c r="AA332" s="2">
        <v>1.2</v>
      </c>
      <c r="AB332" s="2">
        <v>4</v>
      </c>
      <c r="AC332" s="2">
        <v>14.1</v>
      </c>
      <c r="AD332" s="2">
        <v>155</v>
      </c>
      <c r="AE332" s="2">
        <v>108</v>
      </c>
      <c r="AF332" s="2"/>
    </row>
    <row r="333" spans="1:32" x14ac:dyDescent="0.2">
      <c r="A333" t="s">
        <v>504</v>
      </c>
      <c r="B333" s="2">
        <v>23</v>
      </c>
      <c r="C333" t="s">
        <v>57</v>
      </c>
      <c r="D333" s="2" t="s">
        <v>52</v>
      </c>
      <c r="E333" s="2">
        <v>6</v>
      </c>
      <c r="F333" s="2">
        <v>0</v>
      </c>
      <c r="G333" s="2">
        <v>42</v>
      </c>
      <c r="H333" s="2">
        <v>3.4</v>
      </c>
      <c r="I333" s="2">
        <v>8</v>
      </c>
      <c r="J333" s="2">
        <v>0.42899999999999999</v>
      </c>
      <c r="K333" s="2">
        <v>0</v>
      </c>
      <c r="L333" s="2">
        <v>3.4</v>
      </c>
      <c r="M333" s="2">
        <v>0</v>
      </c>
      <c r="N333" s="2">
        <v>3.4</v>
      </c>
      <c r="O333" s="2">
        <v>4.5999999999999996</v>
      </c>
      <c r="P333" s="2">
        <v>0.75</v>
      </c>
      <c r="Q333" s="2">
        <v>0.42899999999999999</v>
      </c>
      <c r="R333" s="2">
        <v>2.2999999999999998</v>
      </c>
      <c r="S333" s="2">
        <v>2.2999999999999998</v>
      </c>
      <c r="T333" s="2">
        <v>1</v>
      </c>
      <c r="U333" s="2">
        <v>1.1000000000000001</v>
      </c>
      <c r="V333" s="2">
        <v>5.7</v>
      </c>
      <c r="W333" s="2">
        <v>6.8</v>
      </c>
      <c r="X333" s="2">
        <v>5.7</v>
      </c>
      <c r="Y333" s="2">
        <v>1.1000000000000001</v>
      </c>
      <c r="Z333" s="2">
        <v>1.1000000000000001</v>
      </c>
      <c r="AA333" s="2">
        <v>2.2999999999999998</v>
      </c>
      <c r="AB333" s="2">
        <v>3.4</v>
      </c>
      <c r="AC333" s="2">
        <v>9.1</v>
      </c>
      <c r="AD333" s="2">
        <v>109</v>
      </c>
      <c r="AE333" s="2">
        <v>113</v>
      </c>
      <c r="AF333" s="2"/>
    </row>
    <row r="334" spans="1:32" x14ac:dyDescent="0.2">
      <c r="A334" t="s">
        <v>563</v>
      </c>
      <c r="B334" s="2">
        <v>26</v>
      </c>
      <c r="C334" t="s">
        <v>48</v>
      </c>
      <c r="D334" s="2" t="s">
        <v>52</v>
      </c>
      <c r="E334" s="2">
        <v>1</v>
      </c>
      <c r="F334" s="2">
        <v>0</v>
      </c>
      <c r="G334" s="2">
        <v>5</v>
      </c>
      <c r="H334" s="2">
        <v>0</v>
      </c>
      <c r="I334" s="2">
        <v>0</v>
      </c>
      <c r="J334" s="2"/>
      <c r="K334" s="2">
        <v>0</v>
      </c>
      <c r="L334" s="2">
        <v>0</v>
      </c>
      <c r="M334" s="2"/>
      <c r="N334" s="2">
        <v>0</v>
      </c>
      <c r="O334" s="2">
        <v>0</v>
      </c>
      <c r="P334" s="2"/>
      <c r="Q334" s="2"/>
      <c r="R334" s="2">
        <v>0</v>
      </c>
      <c r="S334" s="2">
        <v>0</v>
      </c>
      <c r="T334" s="2"/>
      <c r="U334" s="2">
        <v>0</v>
      </c>
      <c r="V334" s="2">
        <v>9.9</v>
      </c>
      <c r="W334" s="2">
        <v>9.9</v>
      </c>
      <c r="X334" s="2">
        <v>19.7</v>
      </c>
      <c r="Y334" s="2">
        <v>0</v>
      </c>
      <c r="Z334" s="2">
        <v>0</v>
      </c>
      <c r="AA334" s="2">
        <v>0</v>
      </c>
      <c r="AB334" s="2">
        <v>0</v>
      </c>
      <c r="AC334" s="2">
        <v>0</v>
      </c>
      <c r="AD334" s="2">
        <v>230</v>
      </c>
      <c r="AE334" s="2">
        <v>112</v>
      </c>
      <c r="AF334" s="2"/>
    </row>
    <row r="335" spans="1:32" x14ac:dyDescent="0.2">
      <c r="A335" t="s">
        <v>314</v>
      </c>
      <c r="B335" s="2">
        <v>21</v>
      </c>
      <c r="C335" t="s">
        <v>93</v>
      </c>
      <c r="D335" s="2" t="s">
        <v>52</v>
      </c>
      <c r="E335" s="2">
        <v>18</v>
      </c>
      <c r="F335" s="2">
        <v>0</v>
      </c>
      <c r="G335" s="2">
        <v>233</v>
      </c>
      <c r="H335" s="2">
        <v>9</v>
      </c>
      <c r="I335" s="2">
        <v>20</v>
      </c>
      <c r="J335" s="2">
        <v>0.44800000000000001</v>
      </c>
      <c r="K335" s="2">
        <v>3.5</v>
      </c>
      <c r="L335" s="2">
        <v>8.6</v>
      </c>
      <c r="M335" s="2">
        <v>0.41499999999999998</v>
      </c>
      <c r="N335" s="2">
        <v>5.4</v>
      </c>
      <c r="O335" s="2">
        <v>11.5</v>
      </c>
      <c r="P335" s="2">
        <v>0.47299999999999998</v>
      </c>
      <c r="Q335" s="2">
        <v>0.53600000000000003</v>
      </c>
      <c r="R335" s="2">
        <v>3.5</v>
      </c>
      <c r="S335" s="2">
        <v>4.2</v>
      </c>
      <c r="T335" s="2">
        <v>0.85</v>
      </c>
      <c r="U335" s="2">
        <v>0.6</v>
      </c>
      <c r="V335" s="2">
        <v>5.4</v>
      </c>
      <c r="W335" s="2">
        <v>6.1</v>
      </c>
      <c r="X335" s="2">
        <v>4.4000000000000004</v>
      </c>
      <c r="Y335" s="2">
        <v>1.5</v>
      </c>
      <c r="Z335" s="2">
        <v>0.4</v>
      </c>
      <c r="AA335" s="2">
        <v>4.8</v>
      </c>
      <c r="AB335" s="2">
        <v>2.7</v>
      </c>
      <c r="AC335" s="2">
        <v>25</v>
      </c>
      <c r="AD335" s="2">
        <v>99</v>
      </c>
      <c r="AE335" s="2">
        <v>117</v>
      </c>
      <c r="AF335" s="2"/>
    </row>
    <row r="336" spans="1:32" x14ac:dyDescent="0.2">
      <c r="A336" t="s">
        <v>310</v>
      </c>
      <c r="B336" s="2">
        <v>32</v>
      </c>
      <c r="C336" t="s">
        <v>114</v>
      </c>
      <c r="D336" s="2" t="s">
        <v>33</v>
      </c>
      <c r="E336" s="2">
        <v>9</v>
      </c>
      <c r="F336" s="2">
        <v>8</v>
      </c>
      <c r="G336" s="2">
        <v>214</v>
      </c>
      <c r="H336" s="2">
        <v>9.8000000000000007</v>
      </c>
      <c r="I336" s="2">
        <v>19.899999999999999</v>
      </c>
      <c r="J336" s="2">
        <v>0.495</v>
      </c>
      <c r="K336" s="2">
        <v>1.5</v>
      </c>
      <c r="L336" s="2">
        <v>4.5999999999999996</v>
      </c>
      <c r="M336" s="2">
        <v>0.33300000000000002</v>
      </c>
      <c r="N336" s="2">
        <v>8.3000000000000007</v>
      </c>
      <c r="O336" s="2">
        <v>15.3</v>
      </c>
      <c r="P336" s="2">
        <v>0.54300000000000004</v>
      </c>
      <c r="Q336" s="2">
        <v>0.53300000000000003</v>
      </c>
      <c r="R336" s="2">
        <v>5.9</v>
      </c>
      <c r="S336" s="2">
        <v>7</v>
      </c>
      <c r="T336" s="2">
        <v>0.84399999999999997</v>
      </c>
      <c r="U336" s="2">
        <v>2</v>
      </c>
      <c r="V336" s="2">
        <v>6.5</v>
      </c>
      <c r="W336" s="2">
        <v>8.5</v>
      </c>
      <c r="X336" s="2">
        <v>5</v>
      </c>
      <c r="Y336" s="2">
        <v>0.9</v>
      </c>
      <c r="Z336" s="2">
        <v>0.7</v>
      </c>
      <c r="AA336" s="2">
        <v>3.1</v>
      </c>
      <c r="AB336" s="2">
        <v>4.0999999999999996</v>
      </c>
      <c r="AC336" s="2">
        <v>27.1</v>
      </c>
      <c r="AD336" s="2">
        <v>114</v>
      </c>
      <c r="AE336" s="2">
        <v>123</v>
      </c>
      <c r="AF336" s="2"/>
    </row>
    <row r="337" spans="1:32" x14ac:dyDescent="0.2">
      <c r="A337" t="s">
        <v>547</v>
      </c>
      <c r="B337" s="2">
        <v>25</v>
      </c>
      <c r="C337" t="s">
        <v>32</v>
      </c>
      <c r="D337" s="2" t="s">
        <v>49</v>
      </c>
      <c r="E337" s="2">
        <v>6</v>
      </c>
      <c r="F337" s="2">
        <v>0</v>
      </c>
      <c r="G337" s="2">
        <v>21</v>
      </c>
      <c r="H337" s="2">
        <v>0</v>
      </c>
      <c r="I337" s="2">
        <v>4.5999999999999996</v>
      </c>
      <c r="J337" s="2">
        <v>0</v>
      </c>
      <c r="K337" s="2">
        <v>0</v>
      </c>
      <c r="L337" s="2">
        <v>2.2999999999999998</v>
      </c>
      <c r="M337" s="2">
        <v>0</v>
      </c>
      <c r="N337" s="2">
        <v>0</v>
      </c>
      <c r="O337" s="2">
        <v>2.2999999999999998</v>
      </c>
      <c r="P337" s="2">
        <v>0</v>
      </c>
      <c r="Q337" s="2">
        <v>0</v>
      </c>
      <c r="R337" s="2">
        <v>4.5999999999999996</v>
      </c>
      <c r="S337" s="2">
        <v>9.1999999999999993</v>
      </c>
      <c r="T337" s="2">
        <v>0.5</v>
      </c>
      <c r="U337" s="2">
        <v>2.2999999999999998</v>
      </c>
      <c r="V337" s="2">
        <v>4.5999999999999996</v>
      </c>
      <c r="W337" s="2">
        <v>6.9</v>
      </c>
      <c r="X337" s="2">
        <v>2.2999999999999998</v>
      </c>
      <c r="Y337" s="2">
        <v>0</v>
      </c>
      <c r="Z337" s="2">
        <v>0</v>
      </c>
      <c r="AA337" s="2">
        <v>2.2999999999999998</v>
      </c>
      <c r="AB337" s="2">
        <v>9.1999999999999993</v>
      </c>
      <c r="AC337" s="2">
        <v>4.5999999999999996</v>
      </c>
      <c r="AD337" s="2">
        <v>70</v>
      </c>
      <c r="AE337" s="2">
        <v>112</v>
      </c>
      <c r="AF337" s="2"/>
    </row>
    <row r="338" spans="1:32" x14ac:dyDescent="0.2">
      <c r="A338" t="s">
        <v>115</v>
      </c>
      <c r="B338" s="2">
        <v>28</v>
      </c>
      <c r="C338" t="s">
        <v>75</v>
      </c>
      <c r="D338" s="2" t="s">
        <v>52</v>
      </c>
      <c r="E338" s="2">
        <v>26</v>
      </c>
      <c r="F338" s="2">
        <v>7</v>
      </c>
      <c r="G338" s="2">
        <v>727</v>
      </c>
      <c r="H338" s="2">
        <v>9.6</v>
      </c>
      <c r="I338" s="2">
        <v>22.2</v>
      </c>
      <c r="J338" s="2">
        <v>0.433</v>
      </c>
      <c r="K338" s="2">
        <v>6.2</v>
      </c>
      <c r="L338" s="2">
        <v>15.2</v>
      </c>
      <c r="M338" s="2">
        <v>0.40699999999999997</v>
      </c>
      <c r="N338" s="2">
        <v>3.4</v>
      </c>
      <c r="O338" s="2">
        <v>7</v>
      </c>
      <c r="P338" s="2">
        <v>0.49</v>
      </c>
      <c r="Q338" s="2">
        <v>0.57299999999999995</v>
      </c>
      <c r="R338" s="2">
        <v>1.7</v>
      </c>
      <c r="S338" s="2">
        <v>2.4</v>
      </c>
      <c r="T338" s="2">
        <v>0.72199999999999998</v>
      </c>
      <c r="U338" s="2">
        <v>1.1000000000000001</v>
      </c>
      <c r="V338" s="2">
        <v>4.4000000000000004</v>
      </c>
      <c r="W338" s="2">
        <v>5.4</v>
      </c>
      <c r="X338" s="2">
        <v>3.3</v>
      </c>
      <c r="Y338" s="2">
        <v>1.3</v>
      </c>
      <c r="Z338" s="2">
        <v>0.1</v>
      </c>
      <c r="AA338" s="2">
        <v>1.9</v>
      </c>
      <c r="AB338" s="2">
        <v>2.2999999999999998</v>
      </c>
      <c r="AC338" s="2">
        <v>27.2</v>
      </c>
      <c r="AD338" s="2">
        <v>115</v>
      </c>
      <c r="AE338" s="2">
        <v>117</v>
      </c>
      <c r="AF338" s="2"/>
    </row>
    <row r="339" spans="1:32" x14ac:dyDescent="0.2">
      <c r="A339" t="s">
        <v>156</v>
      </c>
      <c r="B339" s="2">
        <v>26</v>
      </c>
      <c r="C339" t="s">
        <v>37</v>
      </c>
      <c r="D339" s="2" t="s">
        <v>52</v>
      </c>
      <c r="E339" s="2">
        <v>19</v>
      </c>
      <c r="F339" s="2">
        <v>6</v>
      </c>
      <c r="G339" s="2">
        <v>545</v>
      </c>
      <c r="H339" s="2">
        <v>9.5</v>
      </c>
      <c r="I339" s="2">
        <v>20.9</v>
      </c>
      <c r="J339" s="2">
        <v>0.45300000000000001</v>
      </c>
      <c r="K339" s="2">
        <v>3.9</v>
      </c>
      <c r="L339" s="2">
        <v>10.5</v>
      </c>
      <c r="M339" s="2">
        <v>0.376</v>
      </c>
      <c r="N339" s="2">
        <v>5.5</v>
      </c>
      <c r="O339" s="2">
        <v>10.5</v>
      </c>
      <c r="P339" s="2">
        <v>0.53</v>
      </c>
      <c r="Q339" s="2">
        <v>0.54700000000000004</v>
      </c>
      <c r="R339" s="2">
        <v>3.8</v>
      </c>
      <c r="S339" s="2">
        <v>4.5</v>
      </c>
      <c r="T339" s="2">
        <v>0.84</v>
      </c>
      <c r="U339" s="2">
        <v>0.4</v>
      </c>
      <c r="V339" s="2">
        <v>5.5</v>
      </c>
      <c r="W339" s="2">
        <v>5.9</v>
      </c>
      <c r="X339" s="2">
        <v>8</v>
      </c>
      <c r="Y339" s="2">
        <v>1.3</v>
      </c>
      <c r="Z339" s="2">
        <v>0.8</v>
      </c>
      <c r="AA339" s="2">
        <v>2.1</v>
      </c>
      <c r="AB339" s="2">
        <v>3.8</v>
      </c>
      <c r="AC339" s="2">
        <v>26.6</v>
      </c>
      <c r="AD339" s="2">
        <v>121</v>
      </c>
      <c r="AE339" s="2">
        <v>115</v>
      </c>
      <c r="AF339" s="2"/>
    </row>
    <row r="340" spans="1:32" x14ac:dyDescent="0.2">
      <c r="A340" t="s">
        <v>326</v>
      </c>
      <c r="B340" s="2">
        <v>24</v>
      </c>
      <c r="C340" t="s">
        <v>75</v>
      </c>
      <c r="D340" s="2" t="s">
        <v>33</v>
      </c>
      <c r="E340" s="2">
        <v>17</v>
      </c>
      <c r="F340" s="2">
        <v>0</v>
      </c>
      <c r="G340" s="2">
        <v>227</v>
      </c>
      <c r="H340" s="2">
        <v>9.6999999999999993</v>
      </c>
      <c r="I340" s="2">
        <v>17.899999999999999</v>
      </c>
      <c r="J340" s="2">
        <v>0.54200000000000004</v>
      </c>
      <c r="K340" s="2">
        <v>3</v>
      </c>
      <c r="L340" s="2">
        <v>7.8</v>
      </c>
      <c r="M340" s="2">
        <v>0.38900000000000001</v>
      </c>
      <c r="N340" s="2">
        <v>6.7</v>
      </c>
      <c r="O340" s="2">
        <v>10.1</v>
      </c>
      <c r="P340" s="2">
        <v>0.66</v>
      </c>
      <c r="Q340" s="2">
        <v>0.627</v>
      </c>
      <c r="R340" s="2">
        <v>1.3</v>
      </c>
      <c r="S340" s="2">
        <v>1.3</v>
      </c>
      <c r="T340" s="2">
        <v>1</v>
      </c>
      <c r="U340" s="2">
        <v>1.5</v>
      </c>
      <c r="V340" s="2">
        <v>2.4</v>
      </c>
      <c r="W340" s="2">
        <v>3.9</v>
      </c>
      <c r="X340" s="2">
        <v>6</v>
      </c>
      <c r="Y340" s="2">
        <v>3.2</v>
      </c>
      <c r="Z340" s="2">
        <v>0.6</v>
      </c>
      <c r="AA340" s="2">
        <v>2.8</v>
      </c>
      <c r="AB340" s="2">
        <v>2.8</v>
      </c>
      <c r="AC340" s="2">
        <v>23.7</v>
      </c>
      <c r="AD340" s="2">
        <v>122</v>
      </c>
      <c r="AE340" s="2">
        <v>113</v>
      </c>
      <c r="AF340" s="2"/>
    </row>
    <row r="341" spans="1:32" x14ac:dyDescent="0.2">
      <c r="A341" t="s">
        <v>291</v>
      </c>
      <c r="B341" s="2">
        <v>30</v>
      </c>
      <c r="C341" t="s">
        <v>80</v>
      </c>
      <c r="D341" s="2" t="s">
        <v>33</v>
      </c>
      <c r="E341" s="2">
        <v>15</v>
      </c>
      <c r="F341" s="2">
        <v>6</v>
      </c>
      <c r="G341" s="2">
        <v>320</v>
      </c>
      <c r="H341" s="2">
        <v>6.5</v>
      </c>
      <c r="I341" s="2">
        <v>17.5</v>
      </c>
      <c r="J341" s="2">
        <v>0.36899999999999999</v>
      </c>
      <c r="K341" s="2">
        <v>3.6</v>
      </c>
      <c r="L341" s="2">
        <v>11</v>
      </c>
      <c r="M341" s="2">
        <v>0.32500000000000001</v>
      </c>
      <c r="N341" s="2">
        <v>2.9</v>
      </c>
      <c r="O341" s="2">
        <v>6.5</v>
      </c>
      <c r="P341" s="2">
        <v>0.44400000000000001</v>
      </c>
      <c r="Q341" s="2">
        <v>0.47099999999999997</v>
      </c>
      <c r="R341" s="2">
        <v>4.2</v>
      </c>
      <c r="S341" s="2">
        <v>5</v>
      </c>
      <c r="T341" s="2">
        <v>0.82899999999999996</v>
      </c>
      <c r="U341" s="2">
        <v>1.9</v>
      </c>
      <c r="V341" s="2">
        <v>3.6</v>
      </c>
      <c r="W341" s="2">
        <v>5.5</v>
      </c>
      <c r="X341" s="2">
        <v>8.6999999999999993</v>
      </c>
      <c r="Y341" s="2">
        <v>3.2</v>
      </c>
      <c r="Z341" s="2">
        <v>0.9</v>
      </c>
      <c r="AA341" s="2">
        <v>4.5999999999999996</v>
      </c>
      <c r="AB341" s="2">
        <v>3.7</v>
      </c>
      <c r="AC341" s="2">
        <v>20.7</v>
      </c>
      <c r="AD341" s="2">
        <v>106</v>
      </c>
      <c r="AE341" s="2">
        <v>108</v>
      </c>
      <c r="AF341" s="2"/>
    </row>
    <row r="342" spans="1:32" x14ac:dyDescent="0.2">
      <c r="A342" t="s">
        <v>474</v>
      </c>
      <c r="B342" s="2">
        <v>24</v>
      </c>
      <c r="C342" t="s">
        <v>35</v>
      </c>
      <c r="D342" s="2" t="s">
        <v>49</v>
      </c>
      <c r="E342" s="2">
        <v>11</v>
      </c>
      <c r="F342" s="2">
        <v>0</v>
      </c>
      <c r="G342" s="2">
        <v>35</v>
      </c>
      <c r="H342" s="2">
        <v>8.4</v>
      </c>
      <c r="I342" s="2">
        <v>22.3</v>
      </c>
      <c r="J342" s="2">
        <v>0.375</v>
      </c>
      <c r="K342" s="2">
        <v>2.8</v>
      </c>
      <c r="L342" s="2">
        <v>11.2</v>
      </c>
      <c r="M342" s="2">
        <v>0.25</v>
      </c>
      <c r="N342" s="2">
        <v>5.6</v>
      </c>
      <c r="O342" s="2">
        <v>11.2</v>
      </c>
      <c r="P342" s="2">
        <v>0.5</v>
      </c>
      <c r="Q342" s="2">
        <v>0.438</v>
      </c>
      <c r="R342" s="2">
        <v>5.6</v>
      </c>
      <c r="S342" s="2">
        <v>5.6</v>
      </c>
      <c r="T342" s="2">
        <v>1</v>
      </c>
      <c r="U342" s="2">
        <v>2.8</v>
      </c>
      <c r="V342" s="2">
        <v>9.8000000000000007</v>
      </c>
      <c r="W342" s="2">
        <v>12.5</v>
      </c>
      <c r="X342" s="2">
        <v>1.4</v>
      </c>
      <c r="Y342" s="2">
        <v>1.4</v>
      </c>
      <c r="Z342" s="2">
        <v>0</v>
      </c>
      <c r="AA342" s="2">
        <v>9.8000000000000007</v>
      </c>
      <c r="AB342" s="2">
        <v>4.2</v>
      </c>
      <c r="AC342" s="2">
        <v>25.1</v>
      </c>
      <c r="AD342" s="2">
        <v>78</v>
      </c>
      <c r="AE342" s="2">
        <v>114</v>
      </c>
      <c r="AF342" s="2"/>
    </row>
    <row r="343" spans="1:32" x14ac:dyDescent="0.2">
      <c r="A343" t="s">
        <v>460</v>
      </c>
      <c r="B343" s="2">
        <v>23</v>
      </c>
      <c r="C343" t="s">
        <v>59</v>
      </c>
      <c r="D343" s="2" t="s">
        <v>42</v>
      </c>
      <c r="E343" s="2">
        <v>3</v>
      </c>
      <c r="F343" s="2">
        <v>0</v>
      </c>
      <c r="G343" s="2">
        <v>30</v>
      </c>
      <c r="H343" s="2">
        <v>14.9</v>
      </c>
      <c r="I343" s="2">
        <v>24.8</v>
      </c>
      <c r="J343" s="2">
        <v>0.6</v>
      </c>
      <c r="K343" s="2">
        <v>0</v>
      </c>
      <c r="L343" s="2">
        <v>0</v>
      </c>
      <c r="M343" s="2"/>
      <c r="N343" s="2">
        <v>14.9</v>
      </c>
      <c r="O343" s="2">
        <v>24.8</v>
      </c>
      <c r="P343" s="2">
        <v>0.6</v>
      </c>
      <c r="Q343" s="2">
        <v>0.6</v>
      </c>
      <c r="R343" s="2">
        <v>6.6</v>
      </c>
      <c r="S343" s="2">
        <v>8.3000000000000007</v>
      </c>
      <c r="T343" s="2">
        <v>0.8</v>
      </c>
      <c r="U343" s="2">
        <v>9.9</v>
      </c>
      <c r="V343" s="2">
        <v>11.6</v>
      </c>
      <c r="W343" s="2">
        <v>21.5</v>
      </c>
      <c r="X343" s="2">
        <v>5</v>
      </c>
      <c r="Y343" s="2">
        <v>1.7</v>
      </c>
      <c r="Z343" s="2">
        <v>1.7</v>
      </c>
      <c r="AA343" s="2">
        <v>3.3</v>
      </c>
      <c r="AB343" s="2">
        <v>3.3</v>
      </c>
      <c r="AC343" s="2">
        <v>36.299999999999997</v>
      </c>
      <c r="AD343" s="2">
        <v>131</v>
      </c>
      <c r="AE343" s="2">
        <v>112</v>
      </c>
      <c r="AF343" s="2"/>
    </row>
    <row r="344" spans="1:32" x14ac:dyDescent="0.2">
      <c r="A344" t="s">
        <v>518</v>
      </c>
      <c r="B344" s="2">
        <v>35</v>
      </c>
      <c r="C344" t="s">
        <v>63</v>
      </c>
      <c r="D344" s="2" t="s">
        <v>27</v>
      </c>
      <c r="E344" s="2">
        <v>3</v>
      </c>
      <c r="F344" s="2">
        <v>0</v>
      </c>
      <c r="G344" s="2">
        <v>18</v>
      </c>
      <c r="H344" s="2">
        <v>5.4</v>
      </c>
      <c r="I344" s="2">
        <v>24.1</v>
      </c>
      <c r="J344" s="2">
        <v>0.222</v>
      </c>
      <c r="K344" s="2">
        <v>2.7</v>
      </c>
      <c r="L344" s="2">
        <v>8</v>
      </c>
      <c r="M344" s="2">
        <v>0.33300000000000002</v>
      </c>
      <c r="N344" s="2">
        <v>2.7</v>
      </c>
      <c r="O344" s="2">
        <v>16.100000000000001</v>
      </c>
      <c r="P344" s="2">
        <v>0.16700000000000001</v>
      </c>
      <c r="Q344" s="2">
        <v>0.27800000000000002</v>
      </c>
      <c r="R344" s="2">
        <v>0</v>
      </c>
      <c r="S344" s="2">
        <v>0</v>
      </c>
      <c r="T344" s="2"/>
      <c r="U344" s="2">
        <v>0</v>
      </c>
      <c r="V344" s="2">
        <v>13.4</v>
      </c>
      <c r="W344" s="2">
        <v>13.4</v>
      </c>
      <c r="X344" s="2">
        <v>5.4</v>
      </c>
      <c r="Y344" s="2">
        <v>0</v>
      </c>
      <c r="Z344" s="2">
        <v>2.7</v>
      </c>
      <c r="AA344" s="2">
        <v>5.4</v>
      </c>
      <c r="AB344" s="2">
        <v>0</v>
      </c>
      <c r="AC344" s="2">
        <v>13.4</v>
      </c>
      <c r="AD344" s="2">
        <v>59</v>
      </c>
      <c r="AE344" s="2">
        <v>110</v>
      </c>
      <c r="AF344" s="2"/>
    </row>
    <row r="345" spans="1:32" x14ac:dyDescent="0.2">
      <c r="A345" t="s">
        <v>366</v>
      </c>
      <c r="B345" s="2">
        <v>25</v>
      </c>
      <c r="C345" t="s">
        <v>114</v>
      </c>
      <c r="D345" s="2" t="s">
        <v>42</v>
      </c>
      <c r="E345" s="2">
        <v>16</v>
      </c>
      <c r="F345" s="2">
        <v>1</v>
      </c>
      <c r="G345" s="2">
        <v>135</v>
      </c>
      <c r="H345" s="2">
        <v>11.4</v>
      </c>
      <c r="I345" s="2">
        <v>21.1</v>
      </c>
      <c r="J345" s="2">
        <v>0.54100000000000004</v>
      </c>
      <c r="K345" s="2">
        <v>0.7</v>
      </c>
      <c r="L345" s="2">
        <v>3.5</v>
      </c>
      <c r="M345" s="2">
        <v>0.2</v>
      </c>
      <c r="N345" s="2">
        <v>10.7</v>
      </c>
      <c r="O345" s="2">
        <v>17.600000000000001</v>
      </c>
      <c r="P345" s="2">
        <v>0.60799999999999998</v>
      </c>
      <c r="Q345" s="2">
        <v>0.55700000000000005</v>
      </c>
      <c r="R345" s="2">
        <v>3.5</v>
      </c>
      <c r="S345" s="2">
        <v>5.2</v>
      </c>
      <c r="T345" s="2">
        <v>0.66700000000000004</v>
      </c>
      <c r="U345" s="2">
        <v>7.3</v>
      </c>
      <c r="V345" s="2">
        <v>8</v>
      </c>
      <c r="W345" s="2">
        <v>15.2</v>
      </c>
      <c r="X345" s="2">
        <v>2.1</v>
      </c>
      <c r="Y345" s="2">
        <v>1.7</v>
      </c>
      <c r="Z345" s="2">
        <v>1.7</v>
      </c>
      <c r="AA345" s="2">
        <v>3.5</v>
      </c>
      <c r="AB345" s="2">
        <v>3.5</v>
      </c>
      <c r="AC345" s="2">
        <v>27</v>
      </c>
      <c r="AD345" s="2">
        <v>111</v>
      </c>
      <c r="AE345" s="2">
        <v>119</v>
      </c>
      <c r="AF345" s="2"/>
    </row>
    <row r="346" spans="1:32" x14ac:dyDescent="0.2">
      <c r="A346" t="s">
        <v>561</v>
      </c>
      <c r="B346" s="2">
        <v>26</v>
      </c>
      <c r="C346" t="s">
        <v>37</v>
      </c>
      <c r="D346" s="2" t="s">
        <v>52</v>
      </c>
      <c r="E346" s="2">
        <v>3</v>
      </c>
      <c r="F346" s="2">
        <v>0</v>
      </c>
      <c r="G346" s="2">
        <v>13</v>
      </c>
      <c r="H346" s="2">
        <v>0</v>
      </c>
      <c r="I346" s="2">
        <v>7.5</v>
      </c>
      <c r="J346" s="2">
        <v>0</v>
      </c>
      <c r="K346" s="2">
        <v>0</v>
      </c>
      <c r="L346" s="2">
        <v>7.5</v>
      </c>
      <c r="M346" s="2">
        <v>0</v>
      </c>
      <c r="N346" s="2">
        <v>0</v>
      </c>
      <c r="O346" s="2">
        <v>0</v>
      </c>
      <c r="P346" s="2"/>
      <c r="Q346" s="2">
        <v>0</v>
      </c>
      <c r="R346" s="2">
        <v>0</v>
      </c>
      <c r="S346" s="2">
        <v>0</v>
      </c>
      <c r="T346" s="2"/>
      <c r="U346" s="2">
        <v>3.7</v>
      </c>
      <c r="V346" s="2">
        <v>11.2</v>
      </c>
      <c r="W346" s="2">
        <v>15</v>
      </c>
      <c r="X346" s="2">
        <v>26.2</v>
      </c>
      <c r="Y346" s="2">
        <v>0</v>
      </c>
      <c r="Z346" s="2">
        <v>0</v>
      </c>
      <c r="AA346" s="2">
        <v>0</v>
      </c>
      <c r="AB346" s="2">
        <v>3.7</v>
      </c>
      <c r="AC346" s="2">
        <v>0</v>
      </c>
      <c r="AD346" s="2">
        <v>134</v>
      </c>
      <c r="AE346" s="2">
        <v>116</v>
      </c>
      <c r="AF346" s="2"/>
    </row>
    <row r="347" spans="1:32" x14ac:dyDescent="0.2">
      <c r="A347" t="s">
        <v>335</v>
      </c>
      <c r="B347" s="2">
        <v>34</v>
      </c>
      <c r="C347" t="s">
        <v>54</v>
      </c>
      <c r="D347" s="2" t="s">
        <v>42</v>
      </c>
      <c r="E347" s="2">
        <v>22</v>
      </c>
      <c r="F347" s="2">
        <v>7</v>
      </c>
      <c r="G347" s="2">
        <v>397</v>
      </c>
      <c r="H347" s="2">
        <v>4.8</v>
      </c>
      <c r="I347" s="2">
        <v>8.6999999999999993</v>
      </c>
      <c r="J347" s="2">
        <v>0.55700000000000005</v>
      </c>
      <c r="K347" s="2">
        <v>0</v>
      </c>
      <c r="L347" s="2">
        <v>0</v>
      </c>
      <c r="M347" s="2"/>
      <c r="N347" s="2">
        <v>4.8</v>
      </c>
      <c r="O347" s="2">
        <v>8.6999999999999993</v>
      </c>
      <c r="P347" s="2">
        <v>0.55700000000000005</v>
      </c>
      <c r="Q347" s="2">
        <v>0.55700000000000005</v>
      </c>
      <c r="R347" s="2">
        <v>2.9</v>
      </c>
      <c r="S347" s="2">
        <v>5.2</v>
      </c>
      <c r="T347" s="2">
        <v>0.54800000000000004</v>
      </c>
      <c r="U347" s="2">
        <v>4.2</v>
      </c>
      <c r="V347" s="2">
        <v>12.4</v>
      </c>
      <c r="W347" s="2">
        <v>16.600000000000001</v>
      </c>
      <c r="X347" s="2">
        <v>4.5999999999999996</v>
      </c>
      <c r="Y347" s="2">
        <v>1</v>
      </c>
      <c r="Z347" s="2">
        <v>2.2000000000000002</v>
      </c>
      <c r="AA347" s="2">
        <v>2.5</v>
      </c>
      <c r="AB347" s="2">
        <v>5.5</v>
      </c>
      <c r="AC347" s="2">
        <v>12.5</v>
      </c>
      <c r="AD347" s="2">
        <v>118</v>
      </c>
      <c r="AE347" s="2">
        <v>112</v>
      </c>
      <c r="AF347" s="2"/>
    </row>
    <row r="348" spans="1:32" x14ac:dyDescent="0.2">
      <c r="A348" t="s">
        <v>304</v>
      </c>
      <c r="B348" s="2">
        <v>20</v>
      </c>
      <c r="C348" t="s">
        <v>70</v>
      </c>
      <c r="D348" s="2" t="s">
        <v>49</v>
      </c>
      <c r="E348" s="2">
        <v>24</v>
      </c>
      <c r="F348" s="2">
        <v>0</v>
      </c>
      <c r="G348" s="2">
        <v>304</v>
      </c>
      <c r="H348" s="2">
        <v>6.7</v>
      </c>
      <c r="I348" s="2">
        <v>16.600000000000001</v>
      </c>
      <c r="J348" s="2">
        <v>0.4</v>
      </c>
      <c r="K348" s="2">
        <v>3.2</v>
      </c>
      <c r="L348" s="2">
        <v>8.8000000000000007</v>
      </c>
      <c r="M348" s="2">
        <v>0.36199999999999999</v>
      </c>
      <c r="N348" s="2">
        <v>3.5</v>
      </c>
      <c r="O348" s="2">
        <v>7.9</v>
      </c>
      <c r="P348" s="2">
        <v>0.442</v>
      </c>
      <c r="Q348" s="2">
        <v>0.495</v>
      </c>
      <c r="R348" s="2">
        <v>2.9</v>
      </c>
      <c r="S348" s="2">
        <v>3.6</v>
      </c>
      <c r="T348" s="2">
        <v>0.79200000000000004</v>
      </c>
      <c r="U348" s="2">
        <v>1.7</v>
      </c>
      <c r="V348" s="2">
        <v>7.6</v>
      </c>
      <c r="W348" s="2">
        <v>9.1999999999999993</v>
      </c>
      <c r="X348" s="2">
        <v>1.4</v>
      </c>
      <c r="Y348" s="2">
        <v>1.2</v>
      </c>
      <c r="Z348" s="2">
        <v>2.6</v>
      </c>
      <c r="AA348" s="2">
        <v>2.6</v>
      </c>
      <c r="AB348" s="2">
        <v>5.3</v>
      </c>
      <c r="AC348" s="2">
        <v>19.399999999999999</v>
      </c>
      <c r="AD348" s="2">
        <v>98</v>
      </c>
      <c r="AE348" s="2">
        <v>116</v>
      </c>
      <c r="AF348" s="2"/>
    </row>
    <row r="349" spans="1:32" x14ac:dyDescent="0.2">
      <c r="A349" t="s">
        <v>495</v>
      </c>
      <c r="B349" s="2">
        <v>27</v>
      </c>
      <c r="C349" t="s">
        <v>44</v>
      </c>
      <c r="D349" s="2" t="s">
        <v>49</v>
      </c>
      <c r="E349" s="2">
        <v>8</v>
      </c>
      <c r="F349" s="2">
        <v>0</v>
      </c>
      <c r="G349" s="2">
        <v>41</v>
      </c>
      <c r="H349" s="2">
        <v>4.8</v>
      </c>
      <c r="I349" s="2">
        <v>19.3</v>
      </c>
      <c r="J349" s="2">
        <v>0.25</v>
      </c>
      <c r="K349" s="2">
        <v>3.6</v>
      </c>
      <c r="L349" s="2">
        <v>14.5</v>
      </c>
      <c r="M349" s="2">
        <v>0.25</v>
      </c>
      <c r="N349" s="2">
        <v>1.2</v>
      </c>
      <c r="O349" s="2">
        <v>4.8</v>
      </c>
      <c r="P349" s="2">
        <v>0.25</v>
      </c>
      <c r="Q349" s="2">
        <v>0.34399999999999997</v>
      </c>
      <c r="R349" s="2">
        <v>0</v>
      </c>
      <c r="S349" s="2">
        <v>0</v>
      </c>
      <c r="T349" s="2"/>
      <c r="U349" s="2">
        <v>0</v>
      </c>
      <c r="V349" s="2">
        <v>1.2</v>
      </c>
      <c r="W349" s="2">
        <v>1.2</v>
      </c>
      <c r="X349" s="2">
        <v>0</v>
      </c>
      <c r="Y349" s="2">
        <v>0</v>
      </c>
      <c r="Z349" s="2">
        <v>0</v>
      </c>
      <c r="AA349" s="2">
        <v>3.6</v>
      </c>
      <c r="AB349" s="2">
        <v>0</v>
      </c>
      <c r="AC349" s="2">
        <v>13.3</v>
      </c>
      <c r="AD349" s="2">
        <v>59</v>
      </c>
      <c r="AE349" s="2">
        <v>123</v>
      </c>
      <c r="AF349" s="2"/>
    </row>
    <row r="350" spans="1:32" x14ac:dyDescent="0.2">
      <c r="A350" t="s">
        <v>302</v>
      </c>
      <c r="B350" s="2">
        <v>21</v>
      </c>
      <c r="C350" t="s">
        <v>41</v>
      </c>
      <c r="D350" s="2" t="s">
        <v>52</v>
      </c>
      <c r="E350" s="2">
        <v>23</v>
      </c>
      <c r="F350" s="2">
        <v>2</v>
      </c>
      <c r="G350" s="2">
        <v>442</v>
      </c>
      <c r="H350" s="2">
        <v>4.7</v>
      </c>
      <c r="I350" s="2">
        <v>11.4</v>
      </c>
      <c r="J350" s="2">
        <v>0.40799999999999997</v>
      </c>
      <c r="K350" s="2">
        <v>1.6</v>
      </c>
      <c r="L350" s="2">
        <v>5.3</v>
      </c>
      <c r="M350" s="2">
        <v>0.29199999999999998</v>
      </c>
      <c r="N350" s="2">
        <v>3.1</v>
      </c>
      <c r="O350" s="2">
        <v>6.1</v>
      </c>
      <c r="P350" s="2">
        <v>0.50900000000000001</v>
      </c>
      <c r="Q350" s="2">
        <v>0.47599999999999998</v>
      </c>
      <c r="R350" s="2">
        <v>3.8</v>
      </c>
      <c r="S350" s="2">
        <v>4.5</v>
      </c>
      <c r="T350" s="2">
        <v>0.82899999999999996</v>
      </c>
      <c r="U350" s="2">
        <v>1.6</v>
      </c>
      <c r="V350" s="2">
        <v>4</v>
      </c>
      <c r="W350" s="2">
        <v>5.5</v>
      </c>
      <c r="X350" s="2">
        <v>3.2</v>
      </c>
      <c r="Y350" s="2">
        <v>2</v>
      </c>
      <c r="Z350" s="2">
        <v>1</v>
      </c>
      <c r="AA350" s="2">
        <v>1.7</v>
      </c>
      <c r="AB350" s="2">
        <v>3.3</v>
      </c>
      <c r="AC350" s="2">
        <v>14.6</v>
      </c>
      <c r="AD350" s="2">
        <v>111</v>
      </c>
      <c r="AE350" s="2">
        <v>118</v>
      </c>
      <c r="AF350" s="2"/>
    </row>
    <row r="351" spans="1:32" x14ac:dyDescent="0.2">
      <c r="A351" t="s">
        <v>453</v>
      </c>
      <c r="B351" s="2">
        <v>33</v>
      </c>
      <c r="C351" t="s">
        <v>63</v>
      </c>
      <c r="D351" s="2" t="s">
        <v>27</v>
      </c>
      <c r="E351" s="2">
        <v>14</v>
      </c>
      <c r="F351" s="2">
        <v>2</v>
      </c>
      <c r="G351" s="2">
        <v>238</v>
      </c>
      <c r="H351" s="2">
        <v>1.8</v>
      </c>
      <c r="I351" s="2">
        <v>5.3</v>
      </c>
      <c r="J351" s="2">
        <v>0.34599999999999997</v>
      </c>
      <c r="K351" s="2">
        <v>0.4</v>
      </c>
      <c r="L351" s="2">
        <v>1.8</v>
      </c>
      <c r="M351" s="2">
        <v>0.222</v>
      </c>
      <c r="N351" s="2">
        <v>1.4</v>
      </c>
      <c r="O351" s="2">
        <v>3.4</v>
      </c>
      <c r="P351" s="2">
        <v>0.41199999999999998</v>
      </c>
      <c r="Q351" s="2">
        <v>0.38500000000000001</v>
      </c>
      <c r="R351" s="2">
        <v>0.8</v>
      </c>
      <c r="S351" s="2">
        <v>1.2</v>
      </c>
      <c r="T351" s="2">
        <v>0.66700000000000004</v>
      </c>
      <c r="U351" s="2">
        <v>1.2</v>
      </c>
      <c r="V351" s="2">
        <v>7.3</v>
      </c>
      <c r="W351" s="2">
        <v>8.5</v>
      </c>
      <c r="X351" s="2">
        <v>1.6</v>
      </c>
      <c r="Y351" s="2">
        <v>0.4</v>
      </c>
      <c r="Z351" s="2">
        <v>1.4</v>
      </c>
      <c r="AA351" s="2">
        <v>2</v>
      </c>
      <c r="AB351" s="2">
        <v>5.9</v>
      </c>
      <c r="AC351" s="2">
        <v>4.9000000000000004</v>
      </c>
      <c r="AD351" s="2">
        <v>82</v>
      </c>
      <c r="AE351" s="2">
        <v>114</v>
      </c>
      <c r="AF351" s="2"/>
    </row>
    <row r="352" spans="1:32" x14ac:dyDescent="0.2">
      <c r="A352" t="s">
        <v>529</v>
      </c>
      <c r="B352" s="2">
        <v>22</v>
      </c>
      <c r="C352" t="s">
        <v>41</v>
      </c>
      <c r="D352" s="2" t="s">
        <v>49</v>
      </c>
      <c r="E352" s="2">
        <v>7</v>
      </c>
      <c r="F352" s="2">
        <v>0</v>
      </c>
      <c r="G352" s="2">
        <v>29</v>
      </c>
      <c r="H352" s="2">
        <v>3.4</v>
      </c>
      <c r="I352" s="2">
        <v>10.1</v>
      </c>
      <c r="J352" s="2">
        <v>0.33300000000000002</v>
      </c>
      <c r="K352" s="2">
        <v>0</v>
      </c>
      <c r="L352" s="2">
        <v>0</v>
      </c>
      <c r="M352" s="2"/>
      <c r="N352" s="2">
        <v>3.4</v>
      </c>
      <c r="O352" s="2">
        <v>10.1</v>
      </c>
      <c r="P352" s="2">
        <v>0.33300000000000002</v>
      </c>
      <c r="Q352" s="2">
        <v>0.33300000000000002</v>
      </c>
      <c r="R352" s="2">
        <v>0</v>
      </c>
      <c r="S352" s="2">
        <v>0</v>
      </c>
      <c r="T352" s="2"/>
      <c r="U352" s="2">
        <v>3.4</v>
      </c>
      <c r="V352" s="2">
        <v>0</v>
      </c>
      <c r="W352" s="2">
        <v>3.4</v>
      </c>
      <c r="X352" s="2">
        <v>3.4</v>
      </c>
      <c r="Y352" s="2">
        <v>1.7</v>
      </c>
      <c r="Z352" s="2">
        <v>0</v>
      </c>
      <c r="AA352" s="2">
        <v>3.4</v>
      </c>
      <c r="AB352" s="2">
        <v>1.7</v>
      </c>
      <c r="AC352" s="2">
        <v>6.8</v>
      </c>
      <c r="AD352" s="2">
        <v>76</v>
      </c>
      <c r="AE352" s="2">
        <v>123</v>
      </c>
      <c r="AF352" s="2"/>
    </row>
    <row r="353" spans="1:32" x14ac:dyDescent="0.2">
      <c r="A353" t="s">
        <v>468</v>
      </c>
      <c r="B353" s="2">
        <v>26</v>
      </c>
      <c r="C353" t="s">
        <v>120</v>
      </c>
      <c r="D353" s="2" t="s">
        <v>42</v>
      </c>
      <c r="E353" s="2">
        <v>5</v>
      </c>
      <c r="F353" s="2">
        <v>1</v>
      </c>
      <c r="G353" s="2">
        <v>101</v>
      </c>
      <c r="H353" s="2">
        <v>3.4</v>
      </c>
      <c r="I353" s="2">
        <v>9.1</v>
      </c>
      <c r="J353" s="2">
        <v>0.36799999999999999</v>
      </c>
      <c r="K353" s="2">
        <v>2.9</v>
      </c>
      <c r="L353" s="2">
        <v>7.7</v>
      </c>
      <c r="M353" s="2">
        <v>0.375</v>
      </c>
      <c r="N353" s="2">
        <v>0.5</v>
      </c>
      <c r="O353" s="2">
        <v>1.4</v>
      </c>
      <c r="P353" s="2">
        <v>0.33300000000000002</v>
      </c>
      <c r="Q353" s="2">
        <v>0.52600000000000002</v>
      </c>
      <c r="R353" s="2">
        <v>0</v>
      </c>
      <c r="S353" s="2">
        <v>0</v>
      </c>
      <c r="T353" s="2"/>
      <c r="U353" s="2">
        <v>4.8</v>
      </c>
      <c r="V353" s="2">
        <v>11</v>
      </c>
      <c r="W353" s="2">
        <v>15.8</v>
      </c>
      <c r="X353" s="2">
        <v>2.4</v>
      </c>
      <c r="Y353" s="2">
        <v>0.5</v>
      </c>
      <c r="Z353" s="2">
        <v>1.4</v>
      </c>
      <c r="AA353" s="2">
        <v>2.4</v>
      </c>
      <c r="AB353" s="2">
        <v>2.9</v>
      </c>
      <c r="AC353" s="2">
        <v>9.6</v>
      </c>
      <c r="AD353" s="2">
        <v>108</v>
      </c>
      <c r="AE353" s="2">
        <v>119</v>
      </c>
      <c r="AF353" s="2"/>
    </row>
    <row r="354" spans="1:32" x14ac:dyDescent="0.2">
      <c r="A354" t="s">
        <v>109</v>
      </c>
      <c r="B354" s="2">
        <v>26</v>
      </c>
      <c r="C354" t="s">
        <v>46</v>
      </c>
      <c r="D354" s="2" t="s">
        <v>49</v>
      </c>
      <c r="E354" s="2">
        <v>22</v>
      </c>
      <c r="F354" s="2">
        <v>22</v>
      </c>
      <c r="G354" s="2">
        <v>784</v>
      </c>
      <c r="H354" s="2">
        <v>10</v>
      </c>
      <c r="I354" s="2">
        <v>19.5</v>
      </c>
      <c r="J354" s="2">
        <v>0.51200000000000001</v>
      </c>
      <c r="K354" s="2">
        <v>3.2</v>
      </c>
      <c r="L354" s="2">
        <v>8.1</v>
      </c>
      <c r="M354" s="2">
        <v>0.38800000000000001</v>
      </c>
      <c r="N354" s="2">
        <v>6.9</v>
      </c>
      <c r="O354" s="2">
        <v>11.4</v>
      </c>
      <c r="P354" s="2">
        <v>0.60099999999999998</v>
      </c>
      <c r="Q354" s="2">
        <v>0.59299999999999997</v>
      </c>
      <c r="R354" s="2">
        <v>2.1</v>
      </c>
      <c r="S354" s="2">
        <v>3.2</v>
      </c>
      <c r="T354" s="2">
        <v>0.67300000000000004</v>
      </c>
      <c r="U354" s="2">
        <v>2.1</v>
      </c>
      <c r="V354" s="2">
        <v>7.3</v>
      </c>
      <c r="W354" s="2">
        <v>9.5</v>
      </c>
      <c r="X354" s="2">
        <v>3.8</v>
      </c>
      <c r="Y354" s="2">
        <v>1.2</v>
      </c>
      <c r="Z354" s="2">
        <v>0.5</v>
      </c>
      <c r="AA354" s="2">
        <v>1.8</v>
      </c>
      <c r="AB354" s="2">
        <v>3</v>
      </c>
      <c r="AC354" s="2">
        <v>25.3</v>
      </c>
      <c r="AD354" s="2">
        <v>120</v>
      </c>
      <c r="AE354" s="2">
        <v>116</v>
      </c>
      <c r="AF354" s="2"/>
    </row>
    <row r="355" spans="1:32" x14ac:dyDescent="0.2">
      <c r="A355" t="s">
        <v>105</v>
      </c>
      <c r="B355" s="2">
        <v>28</v>
      </c>
      <c r="C355" t="s">
        <v>44</v>
      </c>
      <c r="D355" s="2" t="s">
        <v>49</v>
      </c>
      <c r="E355" s="2">
        <v>25</v>
      </c>
      <c r="F355" s="2">
        <v>25</v>
      </c>
      <c r="G355" s="2">
        <v>958</v>
      </c>
      <c r="H355" s="2">
        <v>9.1999999999999993</v>
      </c>
      <c r="I355" s="2">
        <v>19</v>
      </c>
      <c r="J355" s="2">
        <v>0.48099999999999998</v>
      </c>
      <c r="K355" s="2">
        <v>3</v>
      </c>
      <c r="L355" s="2">
        <v>8.8000000000000007</v>
      </c>
      <c r="M355" s="2">
        <v>0.33900000000000002</v>
      </c>
      <c r="N355" s="2">
        <v>6.2</v>
      </c>
      <c r="O355" s="2">
        <v>10.199999999999999</v>
      </c>
      <c r="P355" s="2">
        <v>0.60399999999999998</v>
      </c>
      <c r="Q355" s="2">
        <v>0.56000000000000005</v>
      </c>
      <c r="R355" s="2">
        <v>0.7</v>
      </c>
      <c r="S355" s="2">
        <v>1.1000000000000001</v>
      </c>
      <c r="T355" s="2">
        <v>0.61899999999999999</v>
      </c>
      <c r="U355" s="2">
        <v>1.2</v>
      </c>
      <c r="V355" s="2">
        <v>3.4</v>
      </c>
      <c r="W355" s="2">
        <v>4.7</v>
      </c>
      <c r="X355" s="2">
        <v>4.3</v>
      </c>
      <c r="Y355" s="2">
        <v>1.3</v>
      </c>
      <c r="Z355" s="2">
        <v>0.7</v>
      </c>
      <c r="AA355" s="2">
        <v>2</v>
      </c>
      <c r="AB355" s="2">
        <v>1.7</v>
      </c>
      <c r="AC355" s="2">
        <v>22</v>
      </c>
      <c r="AD355" s="2">
        <v>112</v>
      </c>
      <c r="AE355" s="2">
        <v>118</v>
      </c>
      <c r="AF355" s="2"/>
    </row>
    <row r="356" spans="1:32" x14ac:dyDescent="0.2">
      <c r="A356" t="s">
        <v>258</v>
      </c>
      <c r="B356" s="2">
        <v>37</v>
      </c>
      <c r="C356" t="s">
        <v>51</v>
      </c>
      <c r="D356" s="2" t="s">
        <v>33</v>
      </c>
      <c r="E356" s="2">
        <v>19</v>
      </c>
      <c r="F356" s="2">
        <v>19</v>
      </c>
      <c r="G356" s="2">
        <v>485</v>
      </c>
      <c r="H356" s="2">
        <v>5.4</v>
      </c>
      <c r="I356" s="2">
        <v>14.8</v>
      </c>
      <c r="J356" s="2">
        <v>0.36299999999999999</v>
      </c>
      <c r="K356" s="2">
        <v>3.9</v>
      </c>
      <c r="L356" s="2">
        <v>10.5</v>
      </c>
      <c r="M356" s="2">
        <v>0.36899999999999999</v>
      </c>
      <c r="N356" s="2">
        <v>1.5</v>
      </c>
      <c r="O356" s="2">
        <v>4.4000000000000004</v>
      </c>
      <c r="P356" s="2">
        <v>0.34899999999999998</v>
      </c>
      <c r="Q356" s="2">
        <v>0.49299999999999999</v>
      </c>
      <c r="R356" s="2">
        <v>2.8</v>
      </c>
      <c r="S356" s="2">
        <v>3.1</v>
      </c>
      <c r="T356" s="2">
        <v>0.90300000000000002</v>
      </c>
      <c r="U356" s="2">
        <v>0.9</v>
      </c>
      <c r="V356" s="2">
        <v>4.8</v>
      </c>
      <c r="W356" s="2">
        <v>5.7</v>
      </c>
      <c r="X356" s="2">
        <v>8.5</v>
      </c>
      <c r="Y356" s="2">
        <v>3</v>
      </c>
      <c r="Z356" s="2">
        <v>0.4</v>
      </c>
      <c r="AA356" s="2">
        <v>2.7</v>
      </c>
      <c r="AB356" s="2">
        <v>3.2</v>
      </c>
      <c r="AC356" s="2">
        <v>17.5</v>
      </c>
      <c r="AD356" s="2">
        <v>114</v>
      </c>
      <c r="AE356" s="2">
        <v>108</v>
      </c>
      <c r="AF356" s="2"/>
    </row>
    <row r="357" spans="1:32" x14ac:dyDescent="0.2">
      <c r="A357" t="s">
        <v>252</v>
      </c>
      <c r="B357" s="2">
        <v>26</v>
      </c>
      <c r="C357" t="s">
        <v>59</v>
      </c>
      <c r="D357" s="2" t="s">
        <v>27</v>
      </c>
      <c r="E357" s="2">
        <v>11</v>
      </c>
      <c r="F357" s="2">
        <v>11</v>
      </c>
      <c r="G357" s="2">
        <v>331</v>
      </c>
      <c r="H357" s="2">
        <v>9.3000000000000007</v>
      </c>
      <c r="I357" s="2">
        <v>21.9</v>
      </c>
      <c r="J357" s="2">
        <v>0.42499999999999999</v>
      </c>
      <c r="K357" s="2">
        <v>3.6</v>
      </c>
      <c r="L357" s="2">
        <v>10.3</v>
      </c>
      <c r="M357" s="2">
        <v>0.34799999999999998</v>
      </c>
      <c r="N357" s="2">
        <v>5.7</v>
      </c>
      <c r="O357" s="2">
        <v>11.5</v>
      </c>
      <c r="P357" s="2">
        <v>0.49399999999999999</v>
      </c>
      <c r="Q357" s="2">
        <v>0.50700000000000001</v>
      </c>
      <c r="R357" s="2">
        <v>4.2</v>
      </c>
      <c r="S357" s="2">
        <v>4.9000000000000004</v>
      </c>
      <c r="T357" s="2">
        <v>0.84799999999999998</v>
      </c>
      <c r="U357" s="2">
        <v>1.2</v>
      </c>
      <c r="V357" s="2">
        <v>9.6</v>
      </c>
      <c r="W357" s="2">
        <v>10.8</v>
      </c>
      <c r="X357" s="2">
        <v>4.9000000000000004</v>
      </c>
      <c r="Y357" s="2">
        <v>1</v>
      </c>
      <c r="Z357" s="2">
        <v>0.7</v>
      </c>
      <c r="AA357" s="2">
        <v>2.2000000000000002</v>
      </c>
      <c r="AB357" s="2">
        <v>2.2000000000000002</v>
      </c>
      <c r="AC357" s="2">
        <v>26.4</v>
      </c>
      <c r="AD357" s="2">
        <v>115</v>
      </c>
      <c r="AE357" s="2">
        <v>115</v>
      </c>
      <c r="AF357" s="2"/>
    </row>
    <row r="358" spans="1:32" x14ac:dyDescent="0.2">
      <c r="A358" t="s">
        <v>220</v>
      </c>
      <c r="B358" s="2">
        <v>24</v>
      </c>
      <c r="C358" t="s">
        <v>44</v>
      </c>
      <c r="D358" s="2" t="s">
        <v>33</v>
      </c>
      <c r="E358" s="2">
        <v>20</v>
      </c>
      <c r="F358" s="2">
        <v>0</v>
      </c>
      <c r="G358" s="2">
        <v>508</v>
      </c>
      <c r="H358" s="2">
        <v>7.3</v>
      </c>
      <c r="I358" s="2">
        <v>16.2</v>
      </c>
      <c r="J358" s="2">
        <v>0.45200000000000001</v>
      </c>
      <c r="K358" s="2">
        <v>4</v>
      </c>
      <c r="L358" s="2">
        <v>9.8000000000000007</v>
      </c>
      <c r="M358" s="2">
        <v>0.41</v>
      </c>
      <c r="N358" s="2">
        <v>3.3</v>
      </c>
      <c r="O358" s="2">
        <v>6.4</v>
      </c>
      <c r="P358" s="2">
        <v>0.51500000000000001</v>
      </c>
      <c r="Q358" s="2">
        <v>0.57499999999999996</v>
      </c>
      <c r="R358" s="2">
        <v>2</v>
      </c>
      <c r="S358" s="2">
        <v>2.2999999999999998</v>
      </c>
      <c r="T358" s="2">
        <v>0.875</v>
      </c>
      <c r="U358" s="2">
        <v>1.1000000000000001</v>
      </c>
      <c r="V358" s="2">
        <v>3.9</v>
      </c>
      <c r="W358" s="2">
        <v>5</v>
      </c>
      <c r="X358" s="2">
        <v>5.6</v>
      </c>
      <c r="Y358" s="2">
        <v>1.8</v>
      </c>
      <c r="Z358" s="2">
        <v>0.5</v>
      </c>
      <c r="AA358" s="2">
        <v>2</v>
      </c>
      <c r="AB358" s="2">
        <v>3.3</v>
      </c>
      <c r="AC358" s="2">
        <v>20.7</v>
      </c>
      <c r="AD358" s="2">
        <v>120</v>
      </c>
      <c r="AE358" s="2">
        <v>117</v>
      </c>
      <c r="AF358" s="2"/>
    </row>
    <row r="359" spans="1:32" x14ac:dyDescent="0.2">
      <c r="A359" t="s">
        <v>405</v>
      </c>
      <c r="B359" s="2">
        <v>26</v>
      </c>
      <c r="C359" t="s">
        <v>77</v>
      </c>
      <c r="D359" s="2" t="s">
        <v>42</v>
      </c>
      <c r="E359" s="2">
        <v>10</v>
      </c>
      <c r="F359" s="2">
        <v>0</v>
      </c>
      <c r="G359" s="2">
        <v>136</v>
      </c>
      <c r="H359" s="2">
        <v>6.9</v>
      </c>
      <c r="I359" s="2">
        <v>15.6</v>
      </c>
      <c r="J359" s="2">
        <v>0.442</v>
      </c>
      <c r="K359" s="2">
        <v>1.8</v>
      </c>
      <c r="L359" s="2">
        <v>7.2</v>
      </c>
      <c r="M359" s="2">
        <v>0.25</v>
      </c>
      <c r="N359" s="2">
        <v>5.0999999999999996</v>
      </c>
      <c r="O359" s="2">
        <v>8.3000000000000007</v>
      </c>
      <c r="P359" s="2">
        <v>0.60899999999999999</v>
      </c>
      <c r="Q359" s="2">
        <v>0.5</v>
      </c>
      <c r="R359" s="2">
        <v>2.2000000000000002</v>
      </c>
      <c r="S359" s="2">
        <v>3.3</v>
      </c>
      <c r="T359" s="2">
        <v>0.66700000000000004</v>
      </c>
      <c r="U359" s="2">
        <v>2.5</v>
      </c>
      <c r="V359" s="2">
        <v>11.6</v>
      </c>
      <c r="W359" s="2">
        <v>14.1</v>
      </c>
      <c r="X359" s="2">
        <v>2.9</v>
      </c>
      <c r="Y359" s="2">
        <v>2.5</v>
      </c>
      <c r="Z359" s="2">
        <v>4.3</v>
      </c>
      <c r="AA359" s="2">
        <v>2.5</v>
      </c>
      <c r="AB359" s="2">
        <v>8</v>
      </c>
      <c r="AC359" s="2">
        <v>17.7</v>
      </c>
      <c r="AD359" s="2">
        <v>104</v>
      </c>
      <c r="AE359" s="2">
        <v>101</v>
      </c>
      <c r="AF359" s="2"/>
    </row>
    <row r="360" spans="1:32" x14ac:dyDescent="0.2">
      <c r="A360" t="s">
        <v>341</v>
      </c>
      <c r="B360" s="2">
        <v>29</v>
      </c>
      <c r="C360" t="s">
        <v>54</v>
      </c>
      <c r="D360" s="2" t="s">
        <v>33</v>
      </c>
      <c r="E360" s="2">
        <v>18</v>
      </c>
      <c r="F360" s="2">
        <v>0</v>
      </c>
      <c r="G360" s="2">
        <v>214</v>
      </c>
      <c r="H360" s="2">
        <v>8</v>
      </c>
      <c r="I360" s="2">
        <v>17.2</v>
      </c>
      <c r="J360" s="2">
        <v>0.46700000000000003</v>
      </c>
      <c r="K360" s="2">
        <v>3.2</v>
      </c>
      <c r="L360" s="2">
        <v>8.6999999999999993</v>
      </c>
      <c r="M360" s="2">
        <v>0.36799999999999999</v>
      </c>
      <c r="N360" s="2">
        <v>4.8</v>
      </c>
      <c r="O360" s="2">
        <v>8.5</v>
      </c>
      <c r="P360" s="2">
        <v>0.56799999999999995</v>
      </c>
      <c r="Q360" s="2">
        <v>0.56000000000000005</v>
      </c>
      <c r="R360" s="2">
        <v>3.2</v>
      </c>
      <c r="S360" s="2">
        <v>3.7</v>
      </c>
      <c r="T360" s="2">
        <v>0.875</v>
      </c>
      <c r="U360" s="2">
        <v>0.9</v>
      </c>
      <c r="V360" s="2">
        <v>4.8</v>
      </c>
      <c r="W360" s="2">
        <v>5.7</v>
      </c>
      <c r="X360" s="2">
        <v>6.9</v>
      </c>
      <c r="Y360" s="2">
        <v>1.6</v>
      </c>
      <c r="Z360" s="2">
        <v>0.7</v>
      </c>
      <c r="AA360" s="2">
        <v>1.8</v>
      </c>
      <c r="AB360" s="2">
        <v>2.2999999999999998</v>
      </c>
      <c r="AC360" s="2">
        <v>22.5</v>
      </c>
      <c r="AD360" s="2">
        <v>123</v>
      </c>
      <c r="AE360" s="2">
        <v>117</v>
      </c>
      <c r="AF360" s="2"/>
    </row>
    <row r="361" spans="1:32" x14ac:dyDescent="0.2">
      <c r="A361" t="s">
        <v>136</v>
      </c>
      <c r="B361" s="2">
        <v>27</v>
      </c>
      <c r="C361" t="s">
        <v>48</v>
      </c>
      <c r="D361" s="2" t="s">
        <v>42</v>
      </c>
      <c r="E361" s="4">
        <v>27</v>
      </c>
      <c r="F361" s="2">
        <v>1</v>
      </c>
      <c r="G361" s="2">
        <v>518</v>
      </c>
      <c r="H361" s="2">
        <v>12</v>
      </c>
      <c r="I361" s="2">
        <v>21.6</v>
      </c>
      <c r="J361" s="2">
        <v>0.55500000000000005</v>
      </c>
      <c r="K361" s="2">
        <v>2.2000000000000002</v>
      </c>
      <c r="L361" s="2">
        <v>6.4</v>
      </c>
      <c r="M361" s="2">
        <v>0.34300000000000003</v>
      </c>
      <c r="N361" s="2">
        <v>9.8000000000000007</v>
      </c>
      <c r="O361" s="2">
        <v>15.2</v>
      </c>
      <c r="P361" s="2">
        <v>0.64400000000000002</v>
      </c>
      <c r="Q361" s="2">
        <v>0.60599999999999998</v>
      </c>
      <c r="R361" s="2">
        <v>6.6</v>
      </c>
      <c r="S361" s="2">
        <v>9.1</v>
      </c>
      <c r="T361" s="2">
        <v>0.72599999999999998</v>
      </c>
      <c r="U361" s="2">
        <v>3.8</v>
      </c>
      <c r="V361" s="2">
        <v>9.6999999999999993</v>
      </c>
      <c r="W361" s="2">
        <v>13.5</v>
      </c>
      <c r="X361" s="2">
        <v>3.7</v>
      </c>
      <c r="Y361" s="2">
        <v>2.1</v>
      </c>
      <c r="Z361" s="2">
        <v>1.1000000000000001</v>
      </c>
      <c r="AA361" s="2">
        <v>4.2</v>
      </c>
      <c r="AB361" s="2">
        <v>4.8</v>
      </c>
      <c r="AC361" s="2">
        <v>32.799999999999997</v>
      </c>
      <c r="AD361" s="2">
        <v>118</v>
      </c>
      <c r="AE361" s="2">
        <v>105</v>
      </c>
      <c r="AF361" s="2"/>
    </row>
    <row r="362" spans="1:32" x14ac:dyDescent="0.2">
      <c r="A362" t="s">
        <v>444</v>
      </c>
      <c r="B362" s="2">
        <v>25</v>
      </c>
      <c r="C362" t="s">
        <v>82</v>
      </c>
      <c r="D362" s="2" t="s">
        <v>42</v>
      </c>
      <c r="E362" s="2">
        <v>9</v>
      </c>
      <c r="F362" s="2">
        <v>0</v>
      </c>
      <c r="G362" s="2">
        <v>46</v>
      </c>
      <c r="H362" s="2">
        <v>13.6</v>
      </c>
      <c r="I362" s="2">
        <v>20.9</v>
      </c>
      <c r="J362" s="2">
        <v>0.65</v>
      </c>
      <c r="K362" s="2">
        <v>0</v>
      </c>
      <c r="L362" s="2">
        <v>0</v>
      </c>
      <c r="M362" s="2"/>
      <c r="N362" s="2">
        <v>13.6</v>
      </c>
      <c r="O362" s="2">
        <v>20.9</v>
      </c>
      <c r="P362" s="2">
        <v>0.65</v>
      </c>
      <c r="Q362" s="2">
        <v>0.65</v>
      </c>
      <c r="R362" s="2">
        <v>3.1</v>
      </c>
      <c r="S362" s="2">
        <v>5.2</v>
      </c>
      <c r="T362" s="2">
        <v>0.6</v>
      </c>
      <c r="U362" s="2">
        <v>4.2</v>
      </c>
      <c r="V362" s="2">
        <v>9.4</v>
      </c>
      <c r="W362" s="2">
        <v>13.6</v>
      </c>
      <c r="X362" s="2">
        <v>0</v>
      </c>
      <c r="Y362" s="2">
        <v>2.1</v>
      </c>
      <c r="Z362" s="2">
        <v>1</v>
      </c>
      <c r="AA362" s="2">
        <v>6.3</v>
      </c>
      <c r="AB362" s="2">
        <v>6.3</v>
      </c>
      <c r="AC362" s="2">
        <v>30.2</v>
      </c>
      <c r="AD362" s="2">
        <v>99</v>
      </c>
      <c r="AE362" s="2">
        <v>114</v>
      </c>
      <c r="AF362" s="2"/>
    </row>
    <row r="363" spans="1:32" x14ac:dyDescent="0.2">
      <c r="A363" t="s">
        <v>260</v>
      </c>
      <c r="B363" s="2">
        <v>22</v>
      </c>
      <c r="C363" t="s">
        <v>100</v>
      </c>
      <c r="D363" s="2" t="s">
        <v>52</v>
      </c>
      <c r="E363" s="2">
        <v>23</v>
      </c>
      <c r="F363" s="2">
        <v>4</v>
      </c>
      <c r="G363" s="2">
        <v>358</v>
      </c>
      <c r="H363" s="2">
        <v>7.8</v>
      </c>
      <c r="I363" s="2">
        <v>18.5</v>
      </c>
      <c r="J363" s="2">
        <v>0.42</v>
      </c>
      <c r="K363" s="2">
        <v>4</v>
      </c>
      <c r="L363" s="2">
        <v>11</v>
      </c>
      <c r="M363" s="2">
        <v>0.36599999999999999</v>
      </c>
      <c r="N363" s="2">
        <v>3.8</v>
      </c>
      <c r="O363" s="2">
        <v>7.5</v>
      </c>
      <c r="P363" s="2">
        <v>0.5</v>
      </c>
      <c r="Q363" s="2">
        <v>0.52900000000000003</v>
      </c>
      <c r="R363" s="2">
        <v>3.4</v>
      </c>
      <c r="S363" s="2">
        <v>4.7</v>
      </c>
      <c r="T363" s="2">
        <v>0.71399999999999997</v>
      </c>
      <c r="U363" s="2">
        <v>1.3</v>
      </c>
      <c r="V363" s="2">
        <v>4.4000000000000004</v>
      </c>
      <c r="W363" s="2">
        <v>5.8</v>
      </c>
      <c r="X363" s="2">
        <v>2.7</v>
      </c>
      <c r="Y363" s="2">
        <v>0.8</v>
      </c>
      <c r="Z363" s="2">
        <v>0.8</v>
      </c>
      <c r="AA363" s="2">
        <v>2.4</v>
      </c>
      <c r="AB363" s="2">
        <v>3.5</v>
      </c>
      <c r="AC363" s="2">
        <v>22.9</v>
      </c>
      <c r="AD363" s="2">
        <v>108</v>
      </c>
      <c r="AE363" s="2">
        <v>112</v>
      </c>
      <c r="AF363" s="2"/>
    </row>
    <row r="364" spans="1:32" x14ac:dyDescent="0.2">
      <c r="A364" t="s">
        <v>545</v>
      </c>
      <c r="B364" s="2">
        <v>22</v>
      </c>
      <c r="C364" t="s">
        <v>72</v>
      </c>
      <c r="D364" s="2" t="s">
        <v>27</v>
      </c>
      <c r="E364" s="2">
        <v>2</v>
      </c>
      <c r="F364" s="2">
        <v>0</v>
      </c>
      <c r="G364" s="2">
        <v>11</v>
      </c>
      <c r="H364" s="2">
        <v>4.2</v>
      </c>
      <c r="I364" s="2">
        <v>16.899999999999999</v>
      </c>
      <c r="J364" s="2">
        <v>0.25</v>
      </c>
      <c r="K364" s="2">
        <v>0</v>
      </c>
      <c r="L364" s="2">
        <v>8.4</v>
      </c>
      <c r="M364" s="2">
        <v>0</v>
      </c>
      <c r="N364" s="2">
        <v>4.2</v>
      </c>
      <c r="O364" s="2">
        <v>8.4</v>
      </c>
      <c r="P364" s="2">
        <v>0.5</v>
      </c>
      <c r="Q364" s="2">
        <v>0.25</v>
      </c>
      <c r="R364" s="2">
        <v>0</v>
      </c>
      <c r="S364" s="2">
        <v>0</v>
      </c>
      <c r="T364" s="2"/>
      <c r="U364" s="2">
        <v>0</v>
      </c>
      <c r="V364" s="2">
        <v>8.4</v>
      </c>
      <c r="W364" s="2">
        <v>8.4</v>
      </c>
      <c r="X364" s="2">
        <v>0</v>
      </c>
      <c r="Y364" s="2">
        <v>0</v>
      </c>
      <c r="Z364" s="2">
        <v>0</v>
      </c>
      <c r="AA364" s="2">
        <v>4.2</v>
      </c>
      <c r="AB364" s="2">
        <v>0</v>
      </c>
      <c r="AC364" s="2">
        <v>8.4</v>
      </c>
      <c r="AD364" s="2">
        <v>43</v>
      </c>
      <c r="AE364" s="2">
        <v>119</v>
      </c>
      <c r="AF364" s="2"/>
    </row>
    <row r="365" spans="1:32" x14ac:dyDescent="0.2">
      <c r="A365" t="s">
        <v>377</v>
      </c>
      <c r="B365" s="2">
        <v>23</v>
      </c>
      <c r="C365" t="s">
        <v>59</v>
      </c>
      <c r="D365" s="2" t="s">
        <v>42</v>
      </c>
      <c r="E365" s="2">
        <v>22</v>
      </c>
      <c r="F365" s="2">
        <v>4</v>
      </c>
      <c r="G365" s="2">
        <v>439</v>
      </c>
      <c r="H365" s="2">
        <v>3.6</v>
      </c>
      <c r="I365" s="2">
        <v>6.5</v>
      </c>
      <c r="J365" s="2">
        <v>0.55200000000000005</v>
      </c>
      <c r="K365" s="2">
        <v>0</v>
      </c>
      <c r="L365" s="2">
        <v>0</v>
      </c>
      <c r="M365" s="2"/>
      <c r="N365" s="2">
        <v>3.6</v>
      </c>
      <c r="O365" s="2">
        <v>6.5</v>
      </c>
      <c r="P365" s="2">
        <v>0.55200000000000005</v>
      </c>
      <c r="Q365" s="2">
        <v>0.55200000000000005</v>
      </c>
      <c r="R365" s="2">
        <v>0.6</v>
      </c>
      <c r="S365" s="2">
        <v>1.7</v>
      </c>
      <c r="T365" s="2">
        <v>0.33300000000000002</v>
      </c>
      <c r="U365" s="2">
        <v>8.9</v>
      </c>
      <c r="V365" s="2">
        <v>10.4</v>
      </c>
      <c r="W365" s="2">
        <v>19.3</v>
      </c>
      <c r="X365" s="2">
        <v>1.8</v>
      </c>
      <c r="Y365" s="2">
        <v>1.7</v>
      </c>
      <c r="Z365" s="2">
        <v>2.4</v>
      </c>
      <c r="AA365" s="2">
        <v>2.4</v>
      </c>
      <c r="AB365" s="2">
        <v>4.5</v>
      </c>
      <c r="AC365" s="2">
        <v>7.8</v>
      </c>
      <c r="AD365" s="2">
        <v>118</v>
      </c>
      <c r="AE365" s="2">
        <v>111</v>
      </c>
      <c r="AF365" s="2"/>
    </row>
    <row r="366" spans="1:32" x14ac:dyDescent="0.2">
      <c r="A366" t="s">
        <v>129</v>
      </c>
      <c r="B366" s="2">
        <v>28</v>
      </c>
      <c r="C366" t="s">
        <v>82</v>
      </c>
      <c r="D366" s="2" t="s">
        <v>42</v>
      </c>
      <c r="E366" s="2">
        <v>23</v>
      </c>
      <c r="F366" s="2">
        <v>23</v>
      </c>
      <c r="G366" s="2">
        <v>734</v>
      </c>
      <c r="H366" s="2">
        <v>8.3000000000000007</v>
      </c>
      <c r="I366" s="2">
        <v>17.5</v>
      </c>
      <c r="J366" s="2">
        <v>0.47399999999999998</v>
      </c>
      <c r="K366" s="2">
        <v>3.2</v>
      </c>
      <c r="L366" s="2">
        <v>7.6</v>
      </c>
      <c r="M366" s="2">
        <v>0.41899999999999998</v>
      </c>
      <c r="N366" s="2">
        <v>5.0999999999999996</v>
      </c>
      <c r="O366" s="2">
        <v>9.9</v>
      </c>
      <c r="P366" s="2">
        <v>0.51700000000000002</v>
      </c>
      <c r="Q366" s="2">
        <v>0.56499999999999995</v>
      </c>
      <c r="R366" s="2">
        <v>3.1</v>
      </c>
      <c r="S366" s="2">
        <v>4.4000000000000004</v>
      </c>
      <c r="T366" s="2">
        <v>0.71599999999999997</v>
      </c>
      <c r="U366" s="2">
        <v>1.8</v>
      </c>
      <c r="V366" s="2">
        <v>8.8000000000000007</v>
      </c>
      <c r="W366" s="2">
        <v>10.6</v>
      </c>
      <c r="X366" s="2">
        <v>2.4</v>
      </c>
      <c r="Y366" s="2">
        <v>1.2</v>
      </c>
      <c r="Z366" s="2">
        <v>3.1</v>
      </c>
      <c r="AA366" s="2">
        <v>3.9</v>
      </c>
      <c r="AB366" s="2">
        <v>4.5999999999999996</v>
      </c>
      <c r="AC366" s="2">
        <v>22.9</v>
      </c>
      <c r="AD366" s="2">
        <v>102</v>
      </c>
      <c r="AE366" s="2">
        <v>114</v>
      </c>
      <c r="AF366" s="2"/>
    </row>
    <row r="367" spans="1:32" x14ac:dyDescent="0.2">
      <c r="A367" t="s">
        <v>189</v>
      </c>
      <c r="B367" s="2">
        <v>27</v>
      </c>
      <c r="C367" t="s">
        <v>63</v>
      </c>
      <c r="D367" s="2" t="s">
        <v>49</v>
      </c>
      <c r="E367" s="2">
        <v>21</v>
      </c>
      <c r="F367" s="2">
        <v>7</v>
      </c>
      <c r="G367" s="2">
        <v>511</v>
      </c>
      <c r="H367" s="2">
        <v>9.4</v>
      </c>
      <c r="I367" s="2">
        <v>17.2</v>
      </c>
      <c r="J367" s="2">
        <v>0.54900000000000004</v>
      </c>
      <c r="K367" s="2">
        <v>1.6</v>
      </c>
      <c r="L367" s="2">
        <v>5.2</v>
      </c>
      <c r="M367" s="2">
        <v>0.309</v>
      </c>
      <c r="N367" s="2">
        <v>7.8</v>
      </c>
      <c r="O367" s="2">
        <v>12</v>
      </c>
      <c r="P367" s="2">
        <v>0.65400000000000003</v>
      </c>
      <c r="Q367" s="2">
        <v>0.59599999999999997</v>
      </c>
      <c r="R367" s="2">
        <v>3.1</v>
      </c>
      <c r="S367" s="2">
        <v>3.6</v>
      </c>
      <c r="T367" s="2">
        <v>0.86799999999999999</v>
      </c>
      <c r="U367" s="2">
        <v>2.2000000000000002</v>
      </c>
      <c r="V367" s="2">
        <v>4.5</v>
      </c>
      <c r="W367" s="2">
        <v>6.7</v>
      </c>
      <c r="X367" s="2">
        <v>4.7</v>
      </c>
      <c r="Y367" s="2">
        <v>1.9</v>
      </c>
      <c r="Z367" s="2">
        <v>0.2</v>
      </c>
      <c r="AA367" s="2">
        <v>2.9</v>
      </c>
      <c r="AB367" s="2">
        <v>3</v>
      </c>
      <c r="AC367" s="2">
        <v>23.6</v>
      </c>
      <c r="AD367" s="2">
        <v>121</v>
      </c>
      <c r="AE367" s="2">
        <v>114</v>
      </c>
      <c r="AF367" s="2"/>
    </row>
    <row r="368" spans="1:32" x14ac:dyDescent="0.2">
      <c r="A368" t="s">
        <v>162</v>
      </c>
      <c r="B368" s="2">
        <v>25</v>
      </c>
      <c r="C368" t="s">
        <v>51</v>
      </c>
      <c r="D368" s="2" t="s">
        <v>42</v>
      </c>
      <c r="E368" s="2">
        <v>23</v>
      </c>
      <c r="F368" s="2">
        <v>0</v>
      </c>
      <c r="G368" s="2">
        <v>568</v>
      </c>
      <c r="H368" s="2">
        <v>9.1999999999999993</v>
      </c>
      <c r="I368" s="2">
        <v>19.399999999999999</v>
      </c>
      <c r="J368" s="2">
        <v>0.47299999999999998</v>
      </c>
      <c r="K368" s="2">
        <v>3.6</v>
      </c>
      <c r="L368" s="2">
        <v>10.1</v>
      </c>
      <c r="M368" s="2">
        <v>0.35</v>
      </c>
      <c r="N368" s="2">
        <v>5.6</v>
      </c>
      <c r="O368" s="2">
        <v>9.3000000000000007</v>
      </c>
      <c r="P368" s="2">
        <v>0.60699999999999998</v>
      </c>
      <c r="Q368" s="2">
        <v>0.56499999999999995</v>
      </c>
      <c r="R368" s="2">
        <v>3.4</v>
      </c>
      <c r="S368" s="2">
        <v>3.9</v>
      </c>
      <c r="T368" s="2">
        <v>0.86699999999999999</v>
      </c>
      <c r="U368" s="2">
        <v>1.3</v>
      </c>
      <c r="V368" s="2">
        <v>9.1</v>
      </c>
      <c r="W368" s="2">
        <v>10.4</v>
      </c>
      <c r="X368" s="2">
        <v>3.2</v>
      </c>
      <c r="Y368" s="2">
        <v>1.6</v>
      </c>
      <c r="Z368" s="2">
        <v>1.6</v>
      </c>
      <c r="AA368" s="2">
        <v>2.4</v>
      </c>
      <c r="AB368" s="2">
        <v>4.4000000000000004</v>
      </c>
      <c r="AC368" s="2">
        <v>25.3</v>
      </c>
      <c r="AD368" s="2">
        <v>114</v>
      </c>
      <c r="AE368" s="2">
        <v>107</v>
      </c>
      <c r="AF368" s="2"/>
    </row>
    <row r="369" spans="1:32" x14ac:dyDescent="0.2">
      <c r="A369" t="s">
        <v>311</v>
      </c>
      <c r="B369" s="2">
        <v>25</v>
      </c>
      <c r="C369" t="s">
        <v>39</v>
      </c>
      <c r="D369" s="2" t="s">
        <v>42</v>
      </c>
      <c r="E369" s="2">
        <v>21</v>
      </c>
      <c r="F369" s="2">
        <v>5</v>
      </c>
      <c r="G369" s="2">
        <v>375</v>
      </c>
      <c r="H369" s="2">
        <v>6.9</v>
      </c>
      <c r="I369" s="2">
        <v>10.7</v>
      </c>
      <c r="J369" s="2">
        <v>0.64600000000000002</v>
      </c>
      <c r="K369" s="2">
        <v>0</v>
      </c>
      <c r="L369" s="2">
        <v>0.3</v>
      </c>
      <c r="M369" s="2">
        <v>0</v>
      </c>
      <c r="N369" s="2">
        <v>6.9</v>
      </c>
      <c r="O369" s="2">
        <v>10.4</v>
      </c>
      <c r="P369" s="2">
        <v>0.66300000000000003</v>
      </c>
      <c r="Q369" s="2">
        <v>0.64600000000000002</v>
      </c>
      <c r="R369" s="2">
        <v>2.2999999999999998</v>
      </c>
      <c r="S369" s="2">
        <v>3.1</v>
      </c>
      <c r="T369" s="2">
        <v>0.75</v>
      </c>
      <c r="U369" s="2">
        <v>4.8</v>
      </c>
      <c r="V369" s="2">
        <v>9</v>
      </c>
      <c r="W369" s="2">
        <v>13.8</v>
      </c>
      <c r="X369" s="2">
        <v>2.1</v>
      </c>
      <c r="Y369" s="2">
        <v>0.7</v>
      </c>
      <c r="Z369" s="2">
        <v>2.7</v>
      </c>
      <c r="AA369" s="2">
        <v>2</v>
      </c>
      <c r="AB369" s="2">
        <v>5.9</v>
      </c>
      <c r="AC369" s="2">
        <v>16.2</v>
      </c>
      <c r="AD369" s="2">
        <v>132</v>
      </c>
      <c r="AE369" s="2">
        <v>110</v>
      </c>
      <c r="AF369" s="2"/>
    </row>
    <row r="370" spans="1:32" x14ac:dyDescent="0.2">
      <c r="A370" t="s">
        <v>253</v>
      </c>
      <c r="B370" s="2">
        <v>25</v>
      </c>
      <c r="C370" t="s">
        <v>103</v>
      </c>
      <c r="D370" s="2" t="s">
        <v>42</v>
      </c>
      <c r="E370" s="2">
        <v>18</v>
      </c>
      <c r="F370" s="2">
        <v>10</v>
      </c>
      <c r="G370" s="2">
        <v>455</v>
      </c>
      <c r="H370" s="2">
        <v>8.5</v>
      </c>
      <c r="I370" s="2">
        <v>13.1</v>
      </c>
      <c r="J370" s="2">
        <v>0.65</v>
      </c>
      <c r="K370" s="2">
        <v>0.1</v>
      </c>
      <c r="L370" s="2">
        <v>0.3</v>
      </c>
      <c r="M370" s="2">
        <v>0.33300000000000002</v>
      </c>
      <c r="N370" s="2">
        <v>8.4</v>
      </c>
      <c r="O370" s="2">
        <v>12.8</v>
      </c>
      <c r="P370" s="2">
        <v>0.65800000000000003</v>
      </c>
      <c r="Q370" s="2">
        <v>0.65400000000000003</v>
      </c>
      <c r="R370" s="2">
        <v>2.1</v>
      </c>
      <c r="S370" s="2">
        <v>4.5</v>
      </c>
      <c r="T370" s="2">
        <v>0.46300000000000002</v>
      </c>
      <c r="U370" s="2">
        <v>3.8</v>
      </c>
      <c r="V370" s="2">
        <v>11.5</v>
      </c>
      <c r="W370" s="2">
        <v>15.3</v>
      </c>
      <c r="X370" s="2">
        <v>4.5999999999999996</v>
      </c>
      <c r="Y370" s="2">
        <v>1.4</v>
      </c>
      <c r="Z370" s="2">
        <v>2.5</v>
      </c>
      <c r="AA370" s="2">
        <v>2.4</v>
      </c>
      <c r="AB370" s="2">
        <v>5</v>
      </c>
      <c r="AC370" s="2">
        <v>19.2</v>
      </c>
      <c r="AD370" s="2">
        <v>124</v>
      </c>
      <c r="AE370" s="2">
        <v>112</v>
      </c>
      <c r="AF370" s="2"/>
    </row>
    <row r="371" spans="1:32" x14ac:dyDescent="0.2">
      <c r="A371" t="s">
        <v>334</v>
      </c>
      <c r="B371" s="2">
        <v>27</v>
      </c>
      <c r="C371" t="s">
        <v>59</v>
      </c>
      <c r="D371" s="2" t="s">
        <v>42</v>
      </c>
      <c r="E371" s="2">
        <v>9</v>
      </c>
      <c r="F371" s="2">
        <v>8</v>
      </c>
      <c r="G371" s="2">
        <v>241</v>
      </c>
      <c r="H371" s="2">
        <v>7.4</v>
      </c>
      <c r="I371" s="2">
        <v>11.9</v>
      </c>
      <c r="J371" s="2">
        <v>0.621</v>
      </c>
      <c r="K371" s="2">
        <v>0</v>
      </c>
      <c r="L371" s="2">
        <v>0.2</v>
      </c>
      <c r="M371" s="2">
        <v>0</v>
      </c>
      <c r="N371" s="2">
        <v>7.4</v>
      </c>
      <c r="O371" s="2">
        <v>11.7</v>
      </c>
      <c r="P371" s="2">
        <v>0.63200000000000001</v>
      </c>
      <c r="Q371" s="2">
        <v>0.621</v>
      </c>
      <c r="R371" s="2">
        <v>6.6</v>
      </c>
      <c r="S371" s="2">
        <v>9.5</v>
      </c>
      <c r="T371" s="2">
        <v>0.69599999999999995</v>
      </c>
      <c r="U371" s="2">
        <v>5.8</v>
      </c>
      <c r="V371" s="2">
        <v>13.2</v>
      </c>
      <c r="W371" s="2">
        <v>18.899999999999999</v>
      </c>
      <c r="X371" s="2">
        <v>3.3</v>
      </c>
      <c r="Y371" s="2">
        <v>0.8</v>
      </c>
      <c r="Z371" s="2">
        <v>3.5</v>
      </c>
      <c r="AA371" s="2">
        <v>3.5</v>
      </c>
      <c r="AB371" s="2">
        <v>5.8</v>
      </c>
      <c r="AC371" s="2">
        <v>21.4</v>
      </c>
      <c r="AD371" s="2">
        <v>125</v>
      </c>
      <c r="AE371" s="2">
        <v>110</v>
      </c>
      <c r="AF371" s="2"/>
    </row>
    <row r="372" spans="1:32" x14ac:dyDescent="0.2">
      <c r="A372" t="s">
        <v>420</v>
      </c>
      <c r="B372" s="2">
        <v>20</v>
      </c>
      <c r="C372" t="s">
        <v>59</v>
      </c>
      <c r="D372" s="2" t="s">
        <v>52</v>
      </c>
      <c r="E372" s="2">
        <v>13</v>
      </c>
      <c r="F372" s="2">
        <v>0</v>
      </c>
      <c r="G372" s="2">
        <v>121</v>
      </c>
      <c r="H372" s="2">
        <v>6.6</v>
      </c>
      <c r="I372" s="2">
        <v>19.7</v>
      </c>
      <c r="J372" s="2">
        <v>0.33300000000000002</v>
      </c>
      <c r="K372" s="2">
        <v>3.3</v>
      </c>
      <c r="L372" s="2">
        <v>10.7</v>
      </c>
      <c r="M372" s="2">
        <v>0.308</v>
      </c>
      <c r="N372" s="2">
        <v>3.3</v>
      </c>
      <c r="O372" s="2">
        <v>9</v>
      </c>
      <c r="P372" s="2">
        <v>0.36399999999999999</v>
      </c>
      <c r="Q372" s="2">
        <v>0.41699999999999998</v>
      </c>
      <c r="R372" s="2">
        <v>0</v>
      </c>
      <c r="S372" s="2">
        <v>0</v>
      </c>
      <c r="T372" s="2"/>
      <c r="U372" s="2">
        <v>0.4</v>
      </c>
      <c r="V372" s="2">
        <v>4.0999999999999996</v>
      </c>
      <c r="W372" s="2">
        <v>4.5</v>
      </c>
      <c r="X372" s="2">
        <v>4.0999999999999996</v>
      </c>
      <c r="Y372" s="2">
        <v>1.6</v>
      </c>
      <c r="Z372" s="2">
        <v>0.4</v>
      </c>
      <c r="AA372" s="2">
        <v>1.2</v>
      </c>
      <c r="AB372" s="2">
        <v>3.3</v>
      </c>
      <c r="AC372" s="2">
        <v>16.399999999999999</v>
      </c>
      <c r="AD372" s="2">
        <v>95</v>
      </c>
      <c r="AE372" s="2">
        <v>118</v>
      </c>
      <c r="AF372" s="2"/>
    </row>
    <row r="373" spans="1:32" x14ac:dyDescent="0.2">
      <c r="A373" t="s">
        <v>213</v>
      </c>
      <c r="B373" s="2">
        <v>26</v>
      </c>
      <c r="C373" t="s">
        <v>51</v>
      </c>
      <c r="D373" s="2" t="s">
        <v>52</v>
      </c>
      <c r="E373" s="2">
        <v>23</v>
      </c>
      <c r="F373" s="2">
        <v>2</v>
      </c>
      <c r="G373" s="2">
        <v>553</v>
      </c>
      <c r="H373" s="2">
        <v>7.1</v>
      </c>
      <c r="I373" s="2">
        <v>13.8</v>
      </c>
      <c r="J373" s="2">
        <v>0.51600000000000001</v>
      </c>
      <c r="K373" s="2">
        <v>3.6</v>
      </c>
      <c r="L373" s="2">
        <v>7.7</v>
      </c>
      <c r="M373" s="2">
        <v>0.46</v>
      </c>
      <c r="N373" s="2">
        <v>3.6</v>
      </c>
      <c r="O373" s="2">
        <v>6.1</v>
      </c>
      <c r="P373" s="2">
        <v>0.58799999999999997</v>
      </c>
      <c r="Q373" s="2">
        <v>0.64500000000000002</v>
      </c>
      <c r="R373" s="2">
        <v>2</v>
      </c>
      <c r="S373" s="2">
        <v>2.7</v>
      </c>
      <c r="T373" s="2">
        <v>0.73299999999999998</v>
      </c>
      <c r="U373" s="2">
        <v>1.4</v>
      </c>
      <c r="V373" s="2">
        <v>4</v>
      </c>
      <c r="W373" s="2">
        <v>5.4</v>
      </c>
      <c r="X373" s="2">
        <v>5.2</v>
      </c>
      <c r="Y373" s="2">
        <v>1.8</v>
      </c>
      <c r="Z373" s="2">
        <v>0.8</v>
      </c>
      <c r="AA373" s="2">
        <v>3</v>
      </c>
      <c r="AB373" s="2">
        <v>3.4</v>
      </c>
      <c r="AC373" s="2">
        <v>19.8</v>
      </c>
      <c r="AD373" s="2">
        <v>119</v>
      </c>
      <c r="AE373" s="2">
        <v>111</v>
      </c>
      <c r="AF373" s="2"/>
    </row>
    <row r="374" spans="1:32" x14ac:dyDescent="0.2">
      <c r="A374" t="s">
        <v>355</v>
      </c>
      <c r="B374" s="2">
        <v>36</v>
      </c>
      <c r="C374" t="s">
        <v>77</v>
      </c>
      <c r="D374" s="2" t="s">
        <v>27</v>
      </c>
      <c r="E374" s="2">
        <v>25</v>
      </c>
      <c r="F374" s="2">
        <v>0</v>
      </c>
      <c r="G374" s="2">
        <v>449</v>
      </c>
      <c r="H374" s="2">
        <v>3.3</v>
      </c>
      <c r="I374" s="2">
        <v>9</v>
      </c>
      <c r="J374" s="2">
        <v>0.36599999999999999</v>
      </c>
      <c r="K374" s="2">
        <v>2.5</v>
      </c>
      <c r="L374" s="2">
        <v>7</v>
      </c>
      <c r="M374" s="2">
        <v>0.35899999999999999</v>
      </c>
      <c r="N374" s="2">
        <v>0.8</v>
      </c>
      <c r="O374" s="2">
        <v>2</v>
      </c>
      <c r="P374" s="2">
        <v>0.38900000000000001</v>
      </c>
      <c r="Q374" s="2">
        <v>0.50600000000000001</v>
      </c>
      <c r="R374" s="2">
        <v>0.7</v>
      </c>
      <c r="S374" s="2">
        <v>0.9</v>
      </c>
      <c r="T374" s="2">
        <v>0.75</v>
      </c>
      <c r="U374" s="2">
        <v>2.1</v>
      </c>
      <c r="V374" s="2">
        <v>5.4</v>
      </c>
      <c r="W374" s="2">
        <v>7.5</v>
      </c>
      <c r="X374" s="2">
        <v>4.2</v>
      </c>
      <c r="Y374" s="2">
        <v>0.9</v>
      </c>
      <c r="Z374" s="2">
        <v>1.2</v>
      </c>
      <c r="AA374" s="2">
        <v>1.1000000000000001</v>
      </c>
      <c r="AB374" s="2">
        <v>3.5</v>
      </c>
      <c r="AC374" s="2">
        <v>9.8000000000000007</v>
      </c>
      <c r="AD374" s="2">
        <v>118</v>
      </c>
      <c r="AE374" s="2">
        <v>113</v>
      </c>
      <c r="AF374" s="2"/>
    </row>
    <row r="375" spans="1:32" x14ac:dyDescent="0.2">
      <c r="A375" t="s">
        <v>45</v>
      </c>
      <c r="B375" s="2">
        <v>29</v>
      </c>
      <c r="C375" t="s">
        <v>46</v>
      </c>
      <c r="D375" s="2" t="s">
        <v>42</v>
      </c>
      <c r="E375" s="2">
        <v>19</v>
      </c>
      <c r="F375" s="2">
        <v>19</v>
      </c>
      <c r="G375" s="2">
        <v>714</v>
      </c>
      <c r="H375" s="2">
        <v>15.5</v>
      </c>
      <c r="I375" s="2">
        <v>27.6</v>
      </c>
      <c r="J375" s="2">
        <v>0.56100000000000005</v>
      </c>
      <c r="K375" s="2">
        <v>2.8</v>
      </c>
      <c r="L375" s="2">
        <v>5.6</v>
      </c>
      <c r="M375" s="2">
        <v>0.5</v>
      </c>
      <c r="N375" s="2">
        <v>12.7</v>
      </c>
      <c r="O375" s="2">
        <v>22.1</v>
      </c>
      <c r="P375" s="2">
        <v>0.57699999999999996</v>
      </c>
      <c r="Q375" s="2">
        <v>0.61199999999999999</v>
      </c>
      <c r="R375" s="2">
        <v>7</v>
      </c>
      <c r="S375" s="2">
        <v>8.6999999999999993</v>
      </c>
      <c r="T375" s="2">
        <v>0.80800000000000005</v>
      </c>
      <c r="U375" s="2">
        <v>5.0999999999999996</v>
      </c>
      <c r="V375" s="2">
        <v>12.1</v>
      </c>
      <c r="W375" s="2">
        <v>17.2</v>
      </c>
      <c r="X375" s="2">
        <v>12.9</v>
      </c>
      <c r="Y375" s="2">
        <v>2.2999999999999998</v>
      </c>
      <c r="Z375" s="2">
        <v>0.9</v>
      </c>
      <c r="AA375" s="2">
        <v>4.7</v>
      </c>
      <c r="AB375" s="2">
        <v>2.6</v>
      </c>
      <c r="AC375" s="2">
        <v>40.799999999999997</v>
      </c>
      <c r="AD375" s="2">
        <v>130</v>
      </c>
      <c r="AE375" s="2">
        <v>110</v>
      </c>
      <c r="AF375" s="2"/>
    </row>
    <row r="376" spans="1:32" x14ac:dyDescent="0.2">
      <c r="A376" t="s">
        <v>312</v>
      </c>
      <c r="B376" s="2">
        <v>21</v>
      </c>
      <c r="C376" t="s">
        <v>61</v>
      </c>
      <c r="D376" s="2" t="s">
        <v>27</v>
      </c>
      <c r="E376" s="2">
        <v>15</v>
      </c>
      <c r="F376" s="2">
        <v>8</v>
      </c>
      <c r="G376" s="2">
        <v>279</v>
      </c>
      <c r="H376" s="2">
        <v>7.6</v>
      </c>
      <c r="I376" s="2">
        <v>16.3</v>
      </c>
      <c r="J376" s="2">
        <v>0.46700000000000003</v>
      </c>
      <c r="K376" s="2">
        <v>2.8</v>
      </c>
      <c r="L376" s="2">
        <v>8.1999999999999993</v>
      </c>
      <c r="M376" s="2">
        <v>0.34799999999999998</v>
      </c>
      <c r="N376" s="2">
        <v>4.8</v>
      </c>
      <c r="O376" s="2">
        <v>8.1999999999999993</v>
      </c>
      <c r="P376" s="2">
        <v>0.58699999999999997</v>
      </c>
      <c r="Q376" s="2">
        <v>0.55400000000000005</v>
      </c>
      <c r="R376" s="2">
        <v>3.6</v>
      </c>
      <c r="S376" s="2">
        <v>4.8</v>
      </c>
      <c r="T376" s="2">
        <v>0.74099999999999999</v>
      </c>
      <c r="U376" s="2">
        <v>1.4</v>
      </c>
      <c r="V376" s="2">
        <v>8.5</v>
      </c>
      <c r="W376" s="2">
        <v>9.9</v>
      </c>
      <c r="X376" s="2">
        <v>3.4</v>
      </c>
      <c r="Y376" s="2">
        <v>2.5</v>
      </c>
      <c r="Z376" s="2">
        <v>0.4</v>
      </c>
      <c r="AA376" s="2">
        <v>1.4</v>
      </c>
      <c r="AB376" s="2">
        <v>3.7</v>
      </c>
      <c r="AC376" s="2">
        <v>21.7</v>
      </c>
      <c r="AD376" s="2">
        <v>119</v>
      </c>
      <c r="AE376" s="2">
        <v>110</v>
      </c>
      <c r="AF376" s="2"/>
    </row>
    <row r="377" spans="1:32" x14ac:dyDescent="0.2">
      <c r="A377" t="s">
        <v>69</v>
      </c>
      <c r="B377" s="2">
        <v>34</v>
      </c>
      <c r="C377" t="s">
        <v>70</v>
      </c>
      <c r="D377" s="2" t="s">
        <v>42</v>
      </c>
      <c r="E377" s="2">
        <v>25</v>
      </c>
      <c r="F377" s="2">
        <v>25</v>
      </c>
      <c r="G377" s="2">
        <v>793</v>
      </c>
      <c r="H377" s="2">
        <v>12.1</v>
      </c>
      <c r="I377" s="2">
        <v>20.6</v>
      </c>
      <c r="J377" s="2">
        <v>0.58699999999999997</v>
      </c>
      <c r="K377" s="2">
        <v>3.2</v>
      </c>
      <c r="L377" s="2">
        <v>6.7</v>
      </c>
      <c r="M377" s="2">
        <v>0.47399999999999998</v>
      </c>
      <c r="N377" s="2">
        <v>8.9</v>
      </c>
      <c r="O377" s="2">
        <v>13.9</v>
      </c>
      <c r="P377" s="2">
        <v>0.64200000000000002</v>
      </c>
      <c r="Q377" s="2">
        <v>0.66400000000000003</v>
      </c>
      <c r="R377" s="2">
        <v>3</v>
      </c>
      <c r="S377" s="2">
        <v>3.5</v>
      </c>
      <c r="T377" s="2">
        <v>0.85199999999999998</v>
      </c>
      <c r="U377" s="2">
        <v>2.8</v>
      </c>
      <c r="V377" s="2">
        <v>11.3</v>
      </c>
      <c r="W377" s="2">
        <v>14.1</v>
      </c>
      <c r="X377" s="2">
        <v>4.7</v>
      </c>
      <c r="Y377" s="2">
        <v>1.2</v>
      </c>
      <c r="Z377" s="2">
        <v>1.1000000000000001</v>
      </c>
      <c r="AA377" s="2">
        <v>2.6</v>
      </c>
      <c r="AB377" s="2">
        <v>3.5</v>
      </c>
      <c r="AC377" s="2">
        <v>30.4</v>
      </c>
      <c r="AD377" s="2">
        <v>128</v>
      </c>
      <c r="AE377" s="2">
        <v>116</v>
      </c>
      <c r="AF377" s="2"/>
    </row>
    <row r="378" spans="1:32" x14ac:dyDescent="0.2">
      <c r="A378" t="s">
        <v>320</v>
      </c>
      <c r="B378" s="2">
        <v>20</v>
      </c>
      <c r="C378" t="s">
        <v>103</v>
      </c>
      <c r="D378" s="2" t="s">
        <v>27</v>
      </c>
      <c r="E378" s="2">
        <v>15</v>
      </c>
      <c r="F378" s="2">
        <v>1</v>
      </c>
      <c r="G378" s="2">
        <v>248</v>
      </c>
      <c r="H378" s="2">
        <v>7.4</v>
      </c>
      <c r="I378" s="2">
        <v>18.8</v>
      </c>
      <c r="J378" s="2">
        <v>0.39400000000000002</v>
      </c>
      <c r="K378" s="2">
        <v>4.5999999999999996</v>
      </c>
      <c r="L378" s="2">
        <v>12.2</v>
      </c>
      <c r="M378" s="2">
        <v>0.377</v>
      </c>
      <c r="N378" s="2">
        <v>2.8</v>
      </c>
      <c r="O378" s="2">
        <v>6.6</v>
      </c>
      <c r="P378" s="2">
        <v>0.42399999999999999</v>
      </c>
      <c r="Q378" s="2">
        <v>0.51600000000000001</v>
      </c>
      <c r="R378" s="2">
        <v>3</v>
      </c>
      <c r="S378" s="2">
        <v>4.2</v>
      </c>
      <c r="T378" s="2">
        <v>0.71399999999999997</v>
      </c>
      <c r="U378" s="2">
        <v>2.8</v>
      </c>
      <c r="V378" s="2">
        <v>6.6</v>
      </c>
      <c r="W378" s="2">
        <v>9.4</v>
      </c>
      <c r="X378" s="2">
        <v>2</v>
      </c>
      <c r="Y378" s="2">
        <v>1</v>
      </c>
      <c r="Z378" s="2">
        <v>1.8</v>
      </c>
      <c r="AA378" s="2">
        <v>2.2000000000000002</v>
      </c>
      <c r="AB378" s="2">
        <v>7.2</v>
      </c>
      <c r="AC378" s="2">
        <v>22.5</v>
      </c>
      <c r="AD378" s="2">
        <v>106</v>
      </c>
      <c r="AE378" s="2">
        <v>116</v>
      </c>
      <c r="AF378" s="2"/>
    </row>
    <row r="379" spans="1:32" x14ac:dyDescent="0.2">
      <c r="A379" t="s">
        <v>106</v>
      </c>
      <c r="B379" s="2">
        <v>31</v>
      </c>
      <c r="C379" t="s">
        <v>77</v>
      </c>
      <c r="D379" s="2" t="s">
        <v>52</v>
      </c>
      <c r="E379" s="2">
        <v>18</v>
      </c>
      <c r="F379" s="2">
        <v>18</v>
      </c>
      <c r="G379" s="2">
        <v>586</v>
      </c>
      <c r="H379" s="2">
        <v>12.3</v>
      </c>
      <c r="I379" s="2">
        <v>25</v>
      </c>
      <c r="J379" s="2">
        <v>0.49199999999999999</v>
      </c>
      <c r="K379" s="2">
        <v>5.8</v>
      </c>
      <c r="L379" s="2">
        <v>11.9</v>
      </c>
      <c r="M379" s="2">
        <v>0.48599999999999999</v>
      </c>
      <c r="N379" s="2">
        <v>6.5</v>
      </c>
      <c r="O379" s="2">
        <v>13</v>
      </c>
      <c r="P379" s="2">
        <v>0.497</v>
      </c>
      <c r="Q379" s="2">
        <v>0.60799999999999998</v>
      </c>
      <c r="R379" s="2">
        <v>5.3</v>
      </c>
      <c r="S379" s="2">
        <v>6.3</v>
      </c>
      <c r="T379" s="2">
        <v>0.84</v>
      </c>
      <c r="U379" s="2">
        <v>0.4</v>
      </c>
      <c r="V379" s="2">
        <v>4.0999999999999996</v>
      </c>
      <c r="W379" s="2">
        <v>4.5</v>
      </c>
      <c r="X379" s="2">
        <v>3.8</v>
      </c>
      <c r="Y379" s="2">
        <v>1.7</v>
      </c>
      <c r="Z379" s="2">
        <v>0.3</v>
      </c>
      <c r="AA379" s="2">
        <v>3.2</v>
      </c>
      <c r="AB379" s="2">
        <v>2.8</v>
      </c>
      <c r="AC379" s="2">
        <v>35.6</v>
      </c>
      <c r="AD379" s="2">
        <v>119</v>
      </c>
      <c r="AE379" s="2">
        <v>113</v>
      </c>
      <c r="AF379" s="2"/>
    </row>
    <row r="380" spans="1:32" x14ac:dyDescent="0.2">
      <c r="A380" t="s">
        <v>200</v>
      </c>
      <c r="B380" s="2">
        <v>26</v>
      </c>
      <c r="C380" t="s">
        <v>82</v>
      </c>
      <c r="D380" s="2" t="s">
        <v>27</v>
      </c>
      <c r="E380" s="2">
        <v>24</v>
      </c>
      <c r="F380" s="2">
        <v>0</v>
      </c>
      <c r="G380" s="2">
        <v>483</v>
      </c>
      <c r="H380" s="2">
        <v>9.5</v>
      </c>
      <c r="I380" s="2">
        <v>17.899999999999999</v>
      </c>
      <c r="J380" s="2">
        <v>0.53300000000000003</v>
      </c>
      <c r="K380" s="2">
        <v>2.8</v>
      </c>
      <c r="L380" s="2">
        <v>8.4</v>
      </c>
      <c r="M380" s="2">
        <v>0.32900000000000001</v>
      </c>
      <c r="N380" s="2">
        <v>6.8</v>
      </c>
      <c r="O380" s="2">
        <v>9.4</v>
      </c>
      <c r="P380" s="2">
        <v>0.71599999999999997</v>
      </c>
      <c r="Q380" s="2">
        <v>0.61099999999999999</v>
      </c>
      <c r="R380" s="2">
        <v>2.2000000000000002</v>
      </c>
      <c r="S380" s="2">
        <v>2.5</v>
      </c>
      <c r="T380" s="2">
        <v>0.88</v>
      </c>
      <c r="U380" s="2">
        <v>1.7</v>
      </c>
      <c r="V380" s="2">
        <v>7.3</v>
      </c>
      <c r="W380" s="2">
        <v>9</v>
      </c>
      <c r="X380" s="2">
        <v>4.3</v>
      </c>
      <c r="Y380" s="2">
        <v>1.4</v>
      </c>
      <c r="Z380" s="2">
        <v>1</v>
      </c>
      <c r="AA380" s="2">
        <v>1.7</v>
      </c>
      <c r="AB380" s="2">
        <v>3.4</v>
      </c>
      <c r="AC380" s="2">
        <v>24</v>
      </c>
      <c r="AD380" s="2">
        <v>124</v>
      </c>
      <c r="AE380" s="2">
        <v>117</v>
      </c>
      <c r="AF380" s="2"/>
    </row>
    <row r="381" spans="1:32" x14ac:dyDescent="0.2">
      <c r="A381" t="s">
        <v>159</v>
      </c>
      <c r="B381" s="2">
        <v>24</v>
      </c>
      <c r="C381" t="s">
        <v>66</v>
      </c>
      <c r="D381" s="2" t="s">
        <v>52</v>
      </c>
      <c r="E381" s="2">
        <v>26</v>
      </c>
      <c r="F381" s="2">
        <v>24</v>
      </c>
      <c r="G381" s="2">
        <v>801</v>
      </c>
      <c r="H381" s="2">
        <v>7.1</v>
      </c>
      <c r="I381" s="2">
        <v>13.4</v>
      </c>
      <c r="J381" s="2">
        <v>0.52700000000000002</v>
      </c>
      <c r="K381" s="2">
        <v>2.8</v>
      </c>
      <c r="L381" s="2">
        <v>6.1</v>
      </c>
      <c r="M381" s="2">
        <v>0.45500000000000002</v>
      </c>
      <c r="N381" s="2">
        <v>4.3</v>
      </c>
      <c r="O381" s="2">
        <v>7.3</v>
      </c>
      <c r="P381" s="2">
        <v>0.58699999999999997</v>
      </c>
      <c r="Q381" s="2">
        <v>0.63100000000000001</v>
      </c>
      <c r="R381" s="2">
        <v>0.8</v>
      </c>
      <c r="S381" s="2">
        <v>1.2</v>
      </c>
      <c r="T381" s="2">
        <v>0.7</v>
      </c>
      <c r="U381" s="2">
        <v>1.5</v>
      </c>
      <c r="V381" s="2">
        <v>5</v>
      </c>
      <c r="W381" s="2">
        <v>6.5</v>
      </c>
      <c r="X381" s="2">
        <v>3.1</v>
      </c>
      <c r="Y381" s="2">
        <v>1.6</v>
      </c>
      <c r="Z381" s="2">
        <v>0.8</v>
      </c>
      <c r="AA381" s="2">
        <v>1.4</v>
      </c>
      <c r="AB381" s="2">
        <v>3.9</v>
      </c>
      <c r="AC381" s="2">
        <v>17.7</v>
      </c>
      <c r="AD381" s="2">
        <v>125</v>
      </c>
      <c r="AE381" s="2">
        <v>118</v>
      </c>
      <c r="AF381" s="2"/>
    </row>
    <row r="382" spans="1:32" x14ac:dyDescent="0.2">
      <c r="A382" t="s">
        <v>98</v>
      </c>
      <c r="B382" s="2">
        <v>27</v>
      </c>
      <c r="C382" t="s">
        <v>44</v>
      </c>
      <c r="D382" s="2" t="s">
        <v>27</v>
      </c>
      <c r="E382" s="2">
        <v>25</v>
      </c>
      <c r="F382" s="2">
        <v>25</v>
      </c>
      <c r="G382" s="2">
        <v>920</v>
      </c>
      <c r="H382" s="2">
        <v>8.8000000000000007</v>
      </c>
      <c r="I382" s="2">
        <v>18.399999999999999</v>
      </c>
      <c r="J382" s="2">
        <v>0.47799999999999998</v>
      </c>
      <c r="K382" s="2">
        <v>3</v>
      </c>
      <c r="L382" s="2">
        <v>8.3000000000000007</v>
      </c>
      <c r="M382" s="2">
        <v>0.35699999999999998</v>
      </c>
      <c r="N382" s="2">
        <v>5.8</v>
      </c>
      <c r="O382" s="2">
        <v>10.1</v>
      </c>
      <c r="P382" s="2">
        <v>0.57799999999999996</v>
      </c>
      <c r="Q382" s="2">
        <v>0.55900000000000005</v>
      </c>
      <c r="R382" s="2">
        <v>2.9</v>
      </c>
      <c r="S382" s="2">
        <v>3.6</v>
      </c>
      <c r="T382" s="2">
        <v>0.80300000000000005</v>
      </c>
      <c r="U382" s="2">
        <v>1.5</v>
      </c>
      <c r="V382" s="2">
        <v>5.3</v>
      </c>
      <c r="W382" s="2">
        <v>6.8</v>
      </c>
      <c r="X382" s="2">
        <v>2.7</v>
      </c>
      <c r="Y382" s="2">
        <v>2.1</v>
      </c>
      <c r="Z382" s="2">
        <v>1.6</v>
      </c>
      <c r="AA382" s="2">
        <v>1.8</v>
      </c>
      <c r="AB382" s="2">
        <v>3.4</v>
      </c>
      <c r="AC382" s="2">
        <v>23.4</v>
      </c>
      <c r="AD382" s="2">
        <v>116</v>
      </c>
      <c r="AE382" s="2">
        <v>113</v>
      </c>
      <c r="AF382" s="2"/>
    </row>
    <row r="383" spans="1:32" x14ac:dyDescent="0.2">
      <c r="A383" t="s">
        <v>442</v>
      </c>
      <c r="B383" s="2">
        <v>22</v>
      </c>
      <c r="C383" t="s">
        <v>63</v>
      </c>
      <c r="D383" s="2" t="s">
        <v>27</v>
      </c>
      <c r="E383" s="2">
        <v>15</v>
      </c>
      <c r="F383" s="2">
        <v>0</v>
      </c>
      <c r="G383" s="2">
        <v>97</v>
      </c>
      <c r="H383" s="2">
        <v>5.5</v>
      </c>
      <c r="I383" s="2">
        <v>14.4</v>
      </c>
      <c r="J383" s="2">
        <v>0.379</v>
      </c>
      <c r="K383" s="2">
        <v>1.5</v>
      </c>
      <c r="L383" s="2">
        <v>4.5</v>
      </c>
      <c r="M383" s="2">
        <v>0.33300000000000002</v>
      </c>
      <c r="N383" s="2">
        <v>4</v>
      </c>
      <c r="O383" s="2">
        <v>9.9</v>
      </c>
      <c r="P383" s="2">
        <v>0.4</v>
      </c>
      <c r="Q383" s="2">
        <v>0.43099999999999999</v>
      </c>
      <c r="R383" s="2">
        <v>2.5</v>
      </c>
      <c r="S383" s="2">
        <v>4.5</v>
      </c>
      <c r="T383" s="2">
        <v>0.55600000000000005</v>
      </c>
      <c r="U383" s="2">
        <v>5.5</v>
      </c>
      <c r="V383" s="2">
        <v>7.5</v>
      </c>
      <c r="W383" s="2">
        <v>12.9</v>
      </c>
      <c r="X383" s="2">
        <v>2</v>
      </c>
      <c r="Y383" s="2">
        <v>1.5</v>
      </c>
      <c r="Z383" s="2">
        <v>1</v>
      </c>
      <c r="AA383" s="2">
        <v>0.5</v>
      </c>
      <c r="AB383" s="2">
        <v>3.5</v>
      </c>
      <c r="AC383" s="2">
        <v>14.9</v>
      </c>
      <c r="AD383" s="2">
        <v>115</v>
      </c>
      <c r="AE383" s="2">
        <v>112</v>
      </c>
      <c r="AF383" s="2"/>
    </row>
    <row r="384" spans="1:32" x14ac:dyDescent="0.2">
      <c r="A384" t="s">
        <v>179</v>
      </c>
      <c r="B384" s="2">
        <v>24</v>
      </c>
      <c r="C384" t="s">
        <v>72</v>
      </c>
      <c r="D384" s="2" t="s">
        <v>42</v>
      </c>
      <c r="E384" s="2">
        <v>24</v>
      </c>
      <c r="F384" s="2">
        <v>0</v>
      </c>
      <c r="G384" s="2">
        <v>574</v>
      </c>
      <c r="H384" s="2">
        <v>8.6999999999999993</v>
      </c>
      <c r="I384" s="2">
        <v>16</v>
      </c>
      <c r="J384" s="2">
        <v>0.54500000000000004</v>
      </c>
      <c r="K384" s="2">
        <v>0.6</v>
      </c>
      <c r="L384" s="2">
        <v>3.2</v>
      </c>
      <c r="M384" s="2">
        <v>0.20499999999999999</v>
      </c>
      <c r="N384" s="2">
        <v>8.1</v>
      </c>
      <c r="O384" s="2">
        <v>12.8</v>
      </c>
      <c r="P384" s="2">
        <v>0.629</v>
      </c>
      <c r="Q384" s="2">
        <v>0.56599999999999995</v>
      </c>
      <c r="R384" s="2">
        <v>4.0999999999999996</v>
      </c>
      <c r="S384" s="2">
        <v>5.3</v>
      </c>
      <c r="T384" s="2">
        <v>0.77300000000000002</v>
      </c>
      <c r="U384" s="2">
        <v>5.0999999999999996</v>
      </c>
      <c r="V384" s="2">
        <v>8.1</v>
      </c>
      <c r="W384" s="2">
        <v>13.2</v>
      </c>
      <c r="X384" s="2">
        <v>2.8</v>
      </c>
      <c r="Y384" s="2">
        <v>1.4</v>
      </c>
      <c r="Z384" s="2">
        <v>1.4</v>
      </c>
      <c r="AA384" s="2">
        <v>1.7</v>
      </c>
      <c r="AB384" s="2">
        <v>4.4000000000000004</v>
      </c>
      <c r="AC384" s="2">
        <v>22.2</v>
      </c>
      <c r="AD384" s="2">
        <v>126</v>
      </c>
      <c r="AE384" s="2">
        <v>115</v>
      </c>
      <c r="AF384" s="2"/>
    </row>
    <row r="385" spans="1:32" x14ac:dyDescent="0.2">
      <c r="A385" t="s">
        <v>491</v>
      </c>
      <c r="B385" s="2">
        <v>24</v>
      </c>
      <c r="C385" t="s">
        <v>37</v>
      </c>
      <c r="D385" s="2" t="s">
        <v>42</v>
      </c>
      <c r="E385" s="2">
        <v>6</v>
      </c>
      <c r="F385" s="2">
        <v>0</v>
      </c>
      <c r="G385" s="2">
        <v>45</v>
      </c>
      <c r="H385" s="2">
        <v>5.4</v>
      </c>
      <c r="I385" s="2">
        <v>11.9</v>
      </c>
      <c r="J385" s="2">
        <v>0.45500000000000002</v>
      </c>
      <c r="K385" s="2">
        <v>1.1000000000000001</v>
      </c>
      <c r="L385" s="2">
        <v>4.3</v>
      </c>
      <c r="M385" s="2">
        <v>0.25</v>
      </c>
      <c r="N385" s="2">
        <v>4.3</v>
      </c>
      <c r="O385" s="2">
        <v>7.6</v>
      </c>
      <c r="P385" s="2">
        <v>0.57099999999999995</v>
      </c>
      <c r="Q385" s="2">
        <v>0.5</v>
      </c>
      <c r="R385" s="2">
        <v>3.2</v>
      </c>
      <c r="S385" s="2">
        <v>6.5</v>
      </c>
      <c r="T385" s="2">
        <v>0.5</v>
      </c>
      <c r="U385" s="2">
        <v>2.2000000000000002</v>
      </c>
      <c r="V385" s="2">
        <v>9.6999999999999993</v>
      </c>
      <c r="W385" s="2">
        <v>11.9</v>
      </c>
      <c r="X385" s="2">
        <v>7.6</v>
      </c>
      <c r="Y385" s="2">
        <v>2.2000000000000002</v>
      </c>
      <c r="Z385" s="2">
        <v>1.1000000000000001</v>
      </c>
      <c r="AA385" s="2">
        <v>3.2</v>
      </c>
      <c r="AB385" s="2">
        <v>6.5</v>
      </c>
      <c r="AC385" s="2">
        <v>15.1</v>
      </c>
      <c r="AD385" s="2">
        <v>107</v>
      </c>
      <c r="AE385" s="2">
        <v>110</v>
      </c>
      <c r="AF385" s="2"/>
    </row>
    <row r="386" spans="1:32" x14ac:dyDescent="0.2">
      <c r="A386" t="s">
        <v>541</v>
      </c>
      <c r="B386" s="2">
        <v>25</v>
      </c>
      <c r="C386" t="s">
        <v>120</v>
      </c>
      <c r="D386" s="2" t="s">
        <v>27</v>
      </c>
      <c r="E386" s="2">
        <v>1</v>
      </c>
      <c r="F386" s="2">
        <v>0</v>
      </c>
      <c r="G386" s="2">
        <v>16</v>
      </c>
      <c r="H386" s="2">
        <v>0</v>
      </c>
      <c r="I386" s="2">
        <v>0</v>
      </c>
      <c r="J386" s="2"/>
      <c r="K386" s="2">
        <v>0</v>
      </c>
      <c r="L386" s="2">
        <v>0</v>
      </c>
      <c r="M386" s="2"/>
      <c r="N386" s="2">
        <v>0</v>
      </c>
      <c r="O386" s="2">
        <v>0</v>
      </c>
      <c r="P386" s="2"/>
      <c r="Q386" s="2"/>
      <c r="R386" s="2">
        <v>9.1</v>
      </c>
      <c r="S386" s="2">
        <v>12.1</v>
      </c>
      <c r="T386" s="2">
        <v>0.75</v>
      </c>
      <c r="U386" s="2">
        <v>9.1</v>
      </c>
      <c r="V386" s="2">
        <v>18.2</v>
      </c>
      <c r="W386" s="2">
        <v>27.3</v>
      </c>
      <c r="X386" s="2">
        <v>0</v>
      </c>
      <c r="Y386" s="2">
        <v>6.1</v>
      </c>
      <c r="Z386" s="2">
        <v>0</v>
      </c>
      <c r="AA386" s="2">
        <v>3</v>
      </c>
      <c r="AB386" s="2">
        <v>9.1</v>
      </c>
      <c r="AC386" s="2">
        <v>9.1</v>
      </c>
      <c r="AD386" s="2">
        <v>141</v>
      </c>
      <c r="AE386" s="2">
        <v>103</v>
      </c>
      <c r="AF386" s="2"/>
    </row>
    <row r="387" spans="1:32" x14ac:dyDescent="0.2">
      <c r="A387" t="s">
        <v>365</v>
      </c>
      <c r="B387" s="2">
        <v>22</v>
      </c>
      <c r="C387" t="s">
        <v>54</v>
      </c>
      <c r="D387" s="2" t="s">
        <v>27</v>
      </c>
      <c r="E387" s="2">
        <v>18</v>
      </c>
      <c r="F387" s="2">
        <v>2</v>
      </c>
      <c r="G387" s="2">
        <v>319</v>
      </c>
      <c r="H387" s="2">
        <v>5.4</v>
      </c>
      <c r="I387" s="2">
        <v>8.8000000000000007</v>
      </c>
      <c r="J387" s="2">
        <v>0.61399999999999999</v>
      </c>
      <c r="K387" s="2">
        <v>0</v>
      </c>
      <c r="L387" s="2">
        <v>0</v>
      </c>
      <c r="M387" s="2"/>
      <c r="N387" s="2">
        <v>5.4</v>
      </c>
      <c r="O387" s="2">
        <v>8.8000000000000007</v>
      </c>
      <c r="P387" s="2">
        <v>0.61399999999999999</v>
      </c>
      <c r="Q387" s="2">
        <v>0.61399999999999999</v>
      </c>
      <c r="R387" s="2">
        <v>1.5</v>
      </c>
      <c r="S387" s="2">
        <v>2</v>
      </c>
      <c r="T387" s="2">
        <v>0.76900000000000002</v>
      </c>
      <c r="U387" s="2">
        <v>3.4</v>
      </c>
      <c r="V387" s="2">
        <v>8</v>
      </c>
      <c r="W387" s="2">
        <v>11.4</v>
      </c>
      <c r="X387" s="2">
        <v>2.9</v>
      </c>
      <c r="Y387" s="2">
        <v>1.1000000000000001</v>
      </c>
      <c r="Z387" s="2">
        <v>0.9</v>
      </c>
      <c r="AA387" s="2">
        <v>1.9</v>
      </c>
      <c r="AB387" s="2">
        <v>5.4</v>
      </c>
      <c r="AC387" s="2">
        <v>12.3</v>
      </c>
      <c r="AD387" s="2">
        <v>125</v>
      </c>
      <c r="AE387" s="2">
        <v>116</v>
      </c>
      <c r="AF387" s="2"/>
    </row>
    <row r="388" spans="1:32" x14ac:dyDescent="0.2">
      <c r="A388" t="s">
        <v>395</v>
      </c>
      <c r="B388" s="2">
        <v>21</v>
      </c>
      <c r="C388" t="s">
        <v>32</v>
      </c>
      <c r="D388" s="2" t="s">
        <v>27</v>
      </c>
      <c r="E388" s="2">
        <v>16</v>
      </c>
      <c r="F388" s="2">
        <v>0</v>
      </c>
      <c r="G388" s="2">
        <v>186</v>
      </c>
      <c r="H388" s="2">
        <v>5.2</v>
      </c>
      <c r="I388" s="2">
        <v>15.2</v>
      </c>
      <c r="J388" s="2">
        <v>0.33900000000000002</v>
      </c>
      <c r="K388" s="2">
        <v>2.2999999999999998</v>
      </c>
      <c r="L388" s="2">
        <v>9.3000000000000007</v>
      </c>
      <c r="M388" s="2">
        <v>0.25</v>
      </c>
      <c r="N388" s="2">
        <v>2.8</v>
      </c>
      <c r="O388" s="2">
        <v>5.9</v>
      </c>
      <c r="P388" s="2">
        <v>0.47799999999999998</v>
      </c>
      <c r="Q388" s="2">
        <v>0.41499999999999998</v>
      </c>
      <c r="R388" s="2">
        <v>1.8</v>
      </c>
      <c r="S388" s="2">
        <v>2.8</v>
      </c>
      <c r="T388" s="2">
        <v>0.63600000000000001</v>
      </c>
      <c r="U388" s="2">
        <v>2.2999999999999998</v>
      </c>
      <c r="V388" s="2">
        <v>8.5</v>
      </c>
      <c r="W388" s="2">
        <v>10.9</v>
      </c>
      <c r="X388" s="2">
        <v>3.4</v>
      </c>
      <c r="Y388" s="2">
        <v>2.8</v>
      </c>
      <c r="Z388" s="2">
        <v>1</v>
      </c>
      <c r="AA388" s="2">
        <v>1</v>
      </c>
      <c r="AB388" s="2">
        <v>4.7</v>
      </c>
      <c r="AC388" s="2">
        <v>14.5</v>
      </c>
      <c r="AD388" s="2">
        <v>101</v>
      </c>
      <c r="AE388" s="2">
        <v>102</v>
      </c>
      <c r="AF388" s="2"/>
    </row>
    <row r="389" spans="1:32" x14ac:dyDescent="0.2">
      <c r="A389" t="s">
        <v>201</v>
      </c>
      <c r="B389" s="2">
        <v>26</v>
      </c>
      <c r="C389" t="s">
        <v>63</v>
      </c>
      <c r="D389" s="2" t="s">
        <v>27</v>
      </c>
      <c r="E389" s="2">
        <v>19</v>
      </c>
      <c r="F389" s="2">
        <v>18</v>
      </c>
      <c r="G389" s="2">
        <v>619</v>
      </c>
      <c r="H389" s="2">
        <v>6.8</v>
      </c>
      <c r="I389" s="2">
        <v>15.2</v>
      </c>
      <c r="J389" s="2">
        <v>0.45100000000000001</v>
      </c>
      <c r="K389" s="2">
        <v>2.1</v>
      </c>
      <c r="L389" s="2">
        <v>5.8</v>
      </c>
      <c r="M389" s="2">
        <v>0.36</v>
      </c>
      <c r="N389" s="2">
        <v>4.7</v>
      </c>
      <c r="O389" s="2">
        <v>9.3000000000000007</v>
      </c>
      <c r="P389" s="2">
        <v>0.50800000000000001</v>
      </c>
      <c r="Q389" s="2">
        <v>0.52100000000000002</v>
      </c>
      <c r="R389" s="2">
        <v>3</v>
      </c>
      <c r="S389" s="2">
        <v>3.9</v>
      </c>
      <c r="T389" s="2">
        <v>0.76</v>
      </c>
      <c r="U389" s="2">
        <v>2.2999999999999998</v>
      </c>
      <c r="V389" s="2">
        <v>10</v>
      </c>
      <c r="W389" s="2">
        <v>12.3</v>
      </c>
      <c r="X389" s="2">
        <v>3.7</v>
      </c>
      <c r="Y389" s="2">
        <v>1.9</v>
      </c>
      <c r="Z389" s="2">
        <v>1.8</v>
      </c>
      <c r="AA389" s="2">
        <v>2.4</v>
      </c>
      <c r="AB389" s="2">
        <v>3</v>
      </c>
      <c r="AC389" s="2">
        <v>18.8</v>
      </c>
      <c r="AD389" s="2">
        <v>113</v>
      </c>
      <c r="AE389" s="2">
        <v>108</v>
      </c>
      <c r="AF389" s="2"/>
    </row>
    <row r="390" spans="1:32" x14ac:dyDescent="0.2">
      <c r="A390" t="s">
        <v>470</v>
      </c>
      <c r="B390" s="2">
        <v>19</v>
      </c>
      <c r="C390" t="s">
        <v>44</v>
      </c>
      <c r="D390" s="2" t="s">
        <v>52</v>
      </c>
      <c r="E390" s="2">
        <v>11</v>
      </c>
      <c r="F390" s="2">
        <v>0</v>
      </c>
      <c r="G390" s="2">
        <v>77</v>
      </c>
      <c r="H390" s="2">
        <v>3.9</v>
      </c>
      <c r="I390" s="2">
        <v>11.6</v>
      </c>
      <c r="J390" s="2">
        <v>0.33300000000000002</v>
      </c>
      <c r="K390" s="2">
        <v>3.2</v>
      </c>
      <c r="L390" s="2">
        <v>7.7</v>
      </c>
      <c r="M390" s="2">
        <v>0.41699999999999998</v>
      </c>
      <c r="N390" s="2">
        <v>0.6</v>
      </c>
      <c r="O390" s="2">
        <v>3.9</v>
      </c>
      <c r="P390" s="2">
        <v>0.16700000000000001</v>
      </c>
      <c r="Q390" s="2">
        <v>0.47199999999999998</v>
      </c>
      <c r="R390" s="2">
        <v>1.3</v>
      </c>
      <c r="S390" s="2">
        <v>1.3</v>
      </c>
      <c r="T390" s="2">
        <v>1</v>
      </c>
      <c r="U390" s="2">
        <v>0</v>
      </c>
      <c r="V390" s="2">
        <v>8.4</v>
      </c>
      <c r="W390" s="2">
        <v>8.4</v>
      </c>
      <c r="X390" s="2">
        <v>3.2</v>
      </c>
      <c r="Y390" s="2">
        <v>0.6</v>
      </c>
      <c r="Z390" s="2">
        <v>1.3</v>
      </c>
      <c r="AA390" s="2">
        <v>0.6</v>
      </c>
      <c r="AB390" s="2">
        <v>3.2</v>
      </c>
      <c r="AC390" s="2">
        <v>12.2</v>
      </c>
      <c r="AD390" s="2">
        <v>110</v>
      </c>
      <c r="AE390" s="2">
        <v>115</v>
      </c>
      <c r="AF390" s="2"/>
    </row>
    <row r="391" spans="1:32" x14ac:dyDescent="0.2">
      <c r="A391" t="s">
        <v>286</v>
      </c>
      <c r="B391" s="2">
        <v>22</v>
      </c>
      <c r="C391" t="s">
        <v>48</v>
      </c>
      <c r="D391" s="2" t="s">
        <v>27</v>
      </c>
      <c r="E391" s="2">
        <v>5</v>
      </c>
      <c r="F391" s="2">
        <v>5</v>
      </c>
      <c r="G391" s="2">
        <v>182</v>
      </c>
      <c r="H391" s="2">
        <v>13</v>
      </c>
      <c r="I391" s="2">
        <v>26.3</v>
      </c>
      <c r="J391" s="2">
        <v>0.495</v>
      </c>
      <c r="K391" s="2">
        <v>3</v>
      </c>
      <c r="L391" s="2">
        <v>8.6999999999999993</v>
      </c>
      <c r="M391" s="2">
        <v>0.34399999999999997</v>
      </c>
      <c r="N391" s="2">
        <v>10</v>
      </c>
      <c r="O391" s="2">
        <v>17.600000000000001</v>
      </c>
      <c r="P391" s="2">
        <v>0.56899999999999995</v>
      </c>
      <c r="Q391" s="2">
        <v>0.55200000000000005</v>
      </c>
      <c r="R391" s="2">
        <v>10.3</v>
      </c>
      <c r="S391" s="2">
        <v>16</v>
      </c>
      <c r="T391" s="2">
        <v>0.64400000000000002</v>
      </c>
      <c r="U391" s="2">
        <v>3.3</v>
      </c>
      <c r="V391" s="2">
        <v>8.6999999999999993</v>
      </c>
      <c r="W391" s="2">
        <v>11.9</v>
      </c>
      <c r="X391" s="2">
        <v>7.6</v>
      </c>
      <c r="Y391" s="2">
        <v>0.8</v>
      </c>
      <c r="Z391" s="2">
        <v>1.1000000000000001</v>
      </c>
      <c r="AA391" s="2">
        <v>3</v>
      </c>
      <c r="AB391" s="2">
        <v>3.5</v>
      </c>
      <c r="AC391" s="2">
        <v>39.299999999999997</v>
      </c>
      <c r="AD391" s="2">
        <v>122</v>
      </c>
      <c r="AE391" s="2">
        <v>109</v>
      </c>
      <c r="AF391" s="2"/>
    </row>
    <row r="392" spans="1:32" x14ac:dyDescent="0.2">
      <c r="A392" t="s">
        <v>81</v>
      </c>
      <c r="B392" s="2">
        <v>30</v>
      </c>
      <c r="C392" t="s">
        <v>82</v>
      </c>
      <c r="D392" s="2" t="s">
        <v>27</v>
      </c>
      <c r="E392" s="2">
        <v>25</v>
      </c>
      <c r="F392" s="2">
        <v>25</v>
      </c>
      <c r="G392" s="2">
        <v>861</v>
      </c>
      <c r="H392" s="2">
        <v>10.5</v>
      </c>
      <c r="I392" s="2">
        <v>20.100000000000001</v>
      </c>
      <c r="J392" s="2">
        <v>0.52500000000000002</v>
      </c>
      <c r="K392" s="2">
        <v>2.5</v>
      </c>
      <c r="L392" s="2">
        <v>6</v>
      </c>
      <c r="M392" s="2">
        <v>0.41099999999999998</v>
      </c>
      <c r="N392" s="2">
        <v>8.1</v>
      </c>
      <c r="O392" s="2">
        <v>14.1</v>
      </c>
      <c r="P392" s="2">
        <v>0.57299999999999995</v>
      </c>
      <c r="Q392" s="2">
        <v>0.58599999999999997</v>
      </c>
      <c r="R392" s="2">
        <v>4</v>
      </c>
      <c r="S392" s="2">
        <v>5</v>
      </c>
      <c r="T392" s="2">
        <v>0.79800000000000004</v>
      </c>
      <c r="U392" s="2">
        <v>2.5</v>
      </c>
      <c r="V392" s="2">
        <v>6.7</v>
      </c>
      <c r="W392" s="2">
        <v>9.1</v>
      </c>
      <c r="X392" s="2">
        <v>5</v>
      </c>
      <c r="Y392" s="2">
        <v>1.3</v>
      </c>
      <c r="Z392" s="2">
        <v>0.3</v>
      </c>
      <c r="AA392" s="2">
        <v>2.1</v>
      </c>
      <c r="AB392" s="2">
        <v>4.0999999999999996</v>
      </c>
      <c r="AC392" s="2">
        <v>27.5</v>
      </c>
      <c r="AD392" s="2">
        <v>123</v>
      </c>
      <c r="AE392" s="2">
        <v>119</v>
      </c>
      <c r="AF392" s="2"/>
    </row>
    <row r="393" spans="1:32" x14ac:dyDescent="0.2">
      <c r="A393" t="s">
        <v>373</v>
      </c>
      <c r="B393" s="2">
        <v>32</v>
      </c>
      <c r="C393" t="s">
        <v>35</v>
      </c>
      <c r="D393" s="2" t="s">
        <v>52</v>
      </c>
      <c r="E393" s="2">
        <v>15</v>
      </c>
      <c r="F393" s="2">
        <v>0</v>
      </c>
      <c r="G393" s="2">
        <v>255</v>
      </c>
      <c r="H393" s="2">
        <v>5</v>
      </c>
      <c r="I393" s="2">
        <v>13.4</v>
      </c>
      <c r="J393" s="2">
        <v>0.371</v>
      </c>
      <c r="K393" s="2">
        <v>2.5</v>
      </c>
      <c r="L393" s="2">
        <v>8.4</v>
      </c>
      <c r="M393" s="2">
        <v>0.29499999999999998</v>
      </c>
      <c r="N393" s="2">
        <v>2.5</v>
      </c>
      <c r="O393" s="2">
        <v>5</v>
      </c>
      <c r="P393" s="2">
        <v>0.5</v>
      </c>
      <c r="Q393" s="2">
        <v>0.46400000000000002</v>
      </c>
      <c r="R393" s="2">
        <v>1.7</v>
      </c>
      <c r="S393" s="2">
        <v>2.2999999999999998</v>
      </c>
      <c r="T393" s="2">
        <v>0.75</v>
      </c>
      <c r="U393" s="2">
        <v>1.5</v>
      </c>
      <c r="V393" s="2">
        <v>7.1</v>
      </c>
      <c r="W393" s="2">
        <v>8.6</v>
      </c>
      <c r="X393" s="2">
        <v>5</v>
      </c>
      <c r="Y393" s="2">
        <v>0.6</v>
      </c>
      <c r="Z393" s="2">
        <v>1</v>
      </c>
      <c r="AA393" s="2">
        <v>2.1</v>
      </c>
      <c r="AB393" s="2">
        <v>3.6</v>
      </c>
      <c r="AC393" s="2">
        <v>14.2</v>
      </c>
      <c r="AD393" s="2">
        <v>104</v>
      </c>
      <c r="AE393" s="2">
        <v>116</v>
      </c>
      <c r="AF393" s="2"/>
    </row>
    <row r="394" spans="1:32" x14ac:dyDescent="0.2">
      <c r="A394" t="s">
        <v>492</v>
      </c>
      <c r="B394" s="2">
        <v>28</v>
      </c>
      <c r="C394" t="s">
        <v>100</v>
      </c>
      <c r="D394" s="2" t="s">
        <v>33</v>
      </c>
      <c r="E394" s="2">
        <v>8</v>
      </c>
      <c r="F394" s="2">
        <v>0</v>
      </c>
      <c r="G394" s="2">
        <v>44</v>
      </c>
      <c r="H394" s="2">
        <v>6.5</v>
      </c>
      <c r="I394" s="2">
        <v>17.399999999999999</v>
      </c>
      <c r="J394" s="2">
        <v>0.375</v>
      </c>
      <c r="K394" s="2">
        <v>0</v>
      </c>
      <c r="L394" s="2">
        <v>3.3</v>
      </c>
      <c r="M394" s="2">
        <v>0</v>
      </c>
      <c r="N394" s="2">
        <v>6.5</v>
      </c>
      <c r="O394" s="2">
        <v>14.2</v>
      </c>
      <c r="P394" s="2">
        <v>0.46200000000000002</v>
      </c>
      <c r="Q394" s="2">
        <v>0.375</v>
      </c>
      <c r="R394" s="2">
        <v>2.2000000000000002</v>
      </c>
      <c r="S394" s="2">
        <v>2.2000000000000002</v>
      </c>
      <c r="T394" s="2">
        <v>1</v>
      </c>
      <c r="U394" s="2">
        <v>4.4000000000000004</v>
      </c>
      <c r="V394" s="2">
        <v>3.3</v>
      </c>
      <c r="W394" s="2">
        <v>7.6</v>
      </c>
      <c r="X394" s="2">
        <v>13.1</v>
      </c>
      <c r="Y394" s="2">
        <v>5.5</v>
      </c>
      <c r="Z394" s="2">
        <v>0</v>
      </c>
      <c r="AA394" s="2">
        <v>4.4000000000000004</v>
      </c>
      <c r="AB394" s="2">
        <v>4.4000000000000004</v>
      </c>
      <c r="AC394" s="2">
        <v>15.3</v>
      </c>
      <c r="AD394" s="2">
        <v>103</v>
      </c>
      <c r="AE394" s="2">
        <v>104</v>
      </c>
      <c r="AF394" s="2"/>
    </row>
    <row r="395" spans="1:32" x14ac:dyDescent="0.2">
      <c r="A395" t="s">
        <v>452</v>
      </c>
      <c r="B395" s="2">
        <v>22</v>
      </c>
      <c r="C395" t="s">
        <v>114</v>
      </c>
      <c r="D395" s="2" t="s">
        <v>49</v>
      </c>
      <c r="E395" s="2">
        <v>11</v>
      </c>
      <c r="F395" s="2">
        <v>0</v>
      </c>
      <c r="G395" s="2">
        <v>56</v>
      </c>
      <c r="H395" s="2">
        <v>7.5</v>
      </c>
      <c r="I395" s="2">
        <v>15.8</v>
      </c>
      <c r="J395" s="2">
        <v>0.47399999999999998</v>
      </c>
      <c r="K395" s="2">
        <v>4.2</v>
      </c>
      <c r="L395" s="2">
        <v>9.1999999999999993</v>
      </c>
      <c r="M395" s="2">
        <v>0.45500000000000002</v>
      </c>
      <c r="N395" s="2">
        <v>3.3</v>
      </c>
      <c r="O395" s="2">
        <v>6.7</v>
      </c>
      <c r="P395" s="2">
        <v>0.5</v>
      </c>
      <c r="Q395" s="2">
        <v>0.60499999999999998</v>
      </c>
      <c r="R395" s="2">
        <v>1.7</v>
      </c>
      <c r="S395" s="2">
        <v>3.3</v>
      </c>
      <c r="T395" s="2">
        <v>0.5</v>
      </c>
      <c r="U395" s="2">
        <v>2.5</v>
      </c>
      <c r="V395" s="2">
        <v>7.5</v>
      </c>
      <c r="W395" s="2">
        <v>10</v>
      </c>
      <c r="X395" s="2">
        <v>0.8</v>
      </c>
      <c r="Y395" s="2">
        <v>1.7</v>
      </c>
      <c r="Z395" s="2">
        <v>1.7</v>
      </c>
      <c r="AA395" s="2">
        <v>1.7</v>
      </c>
      <c r="AB395" s="2">
        <v>3.3</v>
      </c>
      <c r="AC395" s="2">
        <v>20.8</v>
      </c>
      <c r="AD395" s="2">
        <v>112</v>
      </c>
      <c r="AE395" s="2">
        <v>119</v>
      </c>
      <c r="AF395" s="2"/>
    </row>
    <row r="396" spans="1:32" x14ac:dyDescent="0.2">
      <c r="A396" t="s">
        <v>283</v>
      </c>
      <c r="B396" s="2">
        <v>23</v>
      </c>
      <c r="C396" t="s">
        <v>70</v>
      </c>
      <c r="D396" s="2" t="s">
        <v>27</v>
      </c>
      <c r="E396" s="2">
        <v>15</v>
      </c>
      <c r="F396" s="2">
        <v>15</v>
      </c>
      <c r="G396" s="2">
        <v>433</v>
      </c>
      <c r="H396" s="2">
        <v>5.3</v>
      </c>
      <c r="I396" s="2">
        <v>14.1</v>
      </c>
      <c r="J396" s="2">
        <v>0.376</v>
      </c>
      <c r="K396" s="2">
        <v>3</v>
      </c>
      <c r="L396" s="2">
        <v>7.5</v>
      </c>
      <c r="M396" s="2">
        <v>0.39400000000000002</v>
      </c>
      <c r="N396" s="2">
        <v>2.2999999999999998</v>
      </c>
      <c r="O396" s="2">
        <v>6.6</v>
      </c>
      <c r="P396" s="2">
        <v>0.35499999999999998</v>
      </c>
      <c r="Q396" s="2">
        <v>0.48099999999999998</v>
      </c>
      <c r="R396" s="2">
        <v>2.2000000000000002</v>
      </c>
      <c r="S396" s="2">
        <v>2.7</v>
      </c>
      <c r="T396" s="2">
        <v>0.84</v>
      </c>
      <c r="U396" s="2">
        <v>1.7</v>
      </c>
      <c r="V396" s="2">
        <v>6.3</v>
      </c>
      <c r="W396" s="2">
        <v>8</v>
      </c>
      <c r="X396" s="2">
        <v>3.7</v>
      </c>
      <c r="Y396" s="2">
        <v>1.6</v>
      </c>
      <c r="Z396" s="2">
        <v>0.8</v>
      </c>
      <c r="AA396" s="2">
        <v>3.1</v>
      </c>
      <c r="AB396" s="2">
        <v>2.2000000000000002</v>
      </c>
      <c r="AC396" s="2">
        <v>15.8</v>
      </c>
      <c r="AD396" s="2">
        <v>98</v>
      </c>
      <c r="AE396" s="2">
        <v>118</v>
      </c>
      <c r="AF396" s="2"/>
    </row>
    <row r="397" spans="1:32" x14ac:dyDescent="0.2">
      <c r="A397" t="s">
        <v>436</v>
      </c>
      <c r="B397" s="2">
        <v>36</v>
      </c>
      <c r="C397" t="s">
        <v>120</v>
      </c>
      <c r="D397" s="2" t="s">
        <v>33</v>
      </c>
      <c r="E397" s="2">
        <v>9</v>
      </c>
      <c r="F397" s="2">
        <v>0</v>
      </c>
      <c r="G397" s="2">
        <v>138</v>
      </c>
      <c r="H397" s="2">
        <v>3.9</v>
      </c>
      <c r="I397" s="2">
        <v>10.9</v>
      </c>
      <c r="J397" s="2">
        <v>0.35499999999999998</v>
      </c>
      <c r="K397" s="2">
        <v>2.5</v>
      </c>
      <c r="L397" s="2">
        <v>8.4</v>
      </c>
      <c r="M397" s="2">
        <v>0.29199999999999998</v>
      </c>
      <c r="N397" s="2">
        <v>1.4</v>
      </c>
      <c r="O397" s="2">
        <v>2.5</v>
      </c>
      <c r="P397" s="2">
        <v>0.57099999999999995</v>
      </c>
      <c r="Q397" s="2">
        <v>0.46800000000000003</v>
      </c>
      <c r="R397" s="2">
        <v>1.1000000000000001</v>
      </c>
      <c r="S397" s="2">
        <v>1.1000000000000001</v>
      </c>
      <c r="T397" s="2">
        <v>1</v>
      </c>
      <c r="U397" s="2">
        <v>0.4</v>
      </c>
      <c r="V397" s="2">
        <v>2.5</v>
      </c>
      <c r="W397" s="2">
        <v>2.8</v>
      </c>
      <c r="X397" s="2">
        <v>4.5999999999999996</v>
      </c>
      <c r="Y397" s="2">
        <v>2.1</v>
      </c>
      <c r="Z397" s="2">
        <v>0.7</v>
      </c>
      <c r="AA397" s="2">
        <v>2.8</v>
      </c>
      <c r="AB397" s="2">
        <v>2.8</v>
      </c>
      <c r="AC397" s="2">
        <v>11.2</v>
      </c>
      <c r="AD397" s="2">
        <v>97</v>
      </c>
      <c r="AE397" s="2">
        <v>121</v>
      </c>
      <c r="AF397" s="2"/>
    </row>
    <row r="398" spans="1:32" x14ac:dyDescent="0.2">
      <c r="A398" t="s">
        <v>239</v>
      </c>
      <c r="B398" s="2">
        <v>34</v>
      </c>
      <c r="C398" t="s">
        <v>122</v>
      </c>
      <c r="D398" s="2" t="s">
        <v>27</v>
      </c>
      <c r="E398" s="2">
        <v>12</v>
      </c>
      <c r="F398" s="2">
        <v>12</v>
      </c>
      <c r="G398" s="2">
        <v>367</v>
      </c>
      <c r="H398" s="2">
        <v>9.4</v>
      </c>
      <c r="I398" s="2">
        <v>22.7</v>
      </c>
      <c r="J398" s="2">
        <v>0.41299999999999998</v>
      </c>
      <c r="K398" s="2">
        <v>3.3</v>
      </c>
      <c r="L398" s="2">
        <v>10.5</v>
      </c>
      <c r="M398" s="2">
        <v>0.312</v>
      </c>
      <c r="N398" s="2">
        <v>6.1</v>
      </c>
      <c r="O398" s="2">
        <v>12.2</v>
      </c>
      <c r="P398" s="2">
        <v>0.5</v>
      </c>
      <c r="Q398" s="2">
        <v>0.48499999999999999</v>
      </c>
      <c r="R398" s="2">
        <v>4.0999999999999996</v>
      </c>
      <c r="S398" s="2">
        <v>5</v>
      </c>
      <c r="T398" s="2">
        <v>0.81100000000000005</v>
      </c>
      <c r="U398" s="2">
        <v>1.2</v>
      </c>
      <c r="V398" s="2">
        <v>7.5</v>
      </c>
      <c r="W398" s="2">
        <v>8.6999999999999993</v>
      </c>
      <c r="X398" s="2">
        <v>8.4</v>
      </c>
      <c r="Y398" s="2">
        <v>3</v>
      </c>
      <c r="Z398" s="2">
        <v>0.5</v>
      </c>
      <c r="AA398" s="2">
        <v>4.5</v>
      </c>
      <c r="AB398" s="2">
        <v>3.9</v>
      </c>
      <c r="AC398" s="2">
        <v>26.1</v>
      </c>
      <c r="AD398" s="2">
        <v>103</v>
      </c>
      <c r="AE398" s="2">
        <v>110</v>
      </c>
      <c r="AF398" s="2"/>
    </row>
    <row r="399" spans="1:32" x14ac:dyDescent="0.2">
      <c r="A399" t="s">
        <v>392</v>
      </c>
      <c r="B399" s="2">
        <v>25</v>
      </c>
      <c r="C399" t="s">
        <v>75</v>
      </c>
      <c r="D399" s="2" t="s">
        <v>42</v>
      </c>
      <c r="E399" s="2">
        <v>12</v>
      </c>
      <c r="F399" s="2">
        <v>0</v>
      </c>
      <c r="G399" s="2">
        <v>125</v>
      </c>
      <c r="H399" s="2">
        <v>8.1999999999999993</v>
      </c>
      <c r="I399" s="2">
        <v>15.3</v>
      </c>
      <c r="J399" s="2">
        <v>0.53800000000000003</v>
      </c>
      <c r="K399" s="2">
        <v>1.6</v>
      </c>
      <c r="L399" s="2">
        <v>4.3</v>
      </c>
      <c r="M399" s="2">
        <v>0.36399999999999999</v>
      </c>
      <c r="N399" s="2">
        <v>6.6</v>
      </c>
      <c r="O399" s="2">
        <v>10.9</v>
      </c>
      <c r="P399" s="2">
        <v>0.60699999999999998</v>
      </c>
      <c r="Q399" s="2">
        <v>0.59</v>
      </c>
      <c r="R399" s="2">
        <v>4.7</v>
      </c>
      <c r="S399" s="2">
        <v>5.9</v>
      </c>
      <c r="T399" s="2">
        <v>0.8</v>
      </c>
      <c r="U399" s="2">
        <v>2.7</v>
      </c>
      <c r="V399" s="2">
        <v>6.3</v>
      </c>
      <c r="W399" s="2">
        <v>9</v>
      </c>
      <c r="X399" s="2">
        <v>3.1</v>
      </c>
      <c r="Y399" s="2">
        <v>3.9</v>
      </c>
      <c r="Z399" s="2">
        <v>2.2999999999999998</v>
      </c>
      <c r="AA399" s="2">
        <v>3.5</v>
      </c>
      <c r="AB399" s="2">
        <v>8.1999999999999993</v>
      </c>
      <c r="AC399" s="2">
        <v>22.7</v>
      </c>
      <c r="AD399" s="2">
        <v>116</v>
      </c>
      <c r="AE399" s="2">
        <v>107</v>
      </c>
      <c r="AF399" s="2"/>
    </row>
    <row r="400" spans="1:32" x14ac:dyDescent="0.2">
      <c r="A400" t="s">
        <v>111</v>
      </c>
      <c r="B400" s="2">
        <v>27</v>
      </c>
      <c r="C400" t="s">
        <v>39</v>
      </c>
      <c r="D400" s="2" t="s">
        <v>33</v>
      </c>
      <c r="E400" s="2">
        <v>25</v>
      </c>
      <c r="F400" s="2">
        <v>0</v>
      </c>
      <c r="G400" s="2">
        <v>709</v>
      </c>
      <c r="H400" s="2">
        <v>9.6999999999999993</v>
      </c>
      <c r="I400" s="2">
        <v>19.8</v>
      </c>
      <c r="J400" s="2">
        <v>0.48799999999999999</v>
      </c>
      <c r="K400" s="2">
        <v>6.6</v>
      </c>
      <c r="L400" s="2">
        <v>15.3</v>
      </c>
      <c r="M400" s="2">
        <v>0.432</v>
      </c>
      <c r="N400" s="2">
        <v>3</v>
      </c>
      <c r="O400" s="2">
        <v>4.5</v>
      </c>
      <c r="P400" s="2">
        <v>0.67700000000000005</v>
      </c>
      <c r="Q400" s="2">
        <v>0.65500000000000003</v>
      </c>
      <c r="R400" s="2">
        <v>2.6</v>
      </c>
      <c r="S400" s="2">
        <v>3</v>
      </c>
      <c r="T400" s="2">
        <v>0.84099999999999997</v>
      </c>
      <c r="U400" s="2">
        <v>1.9</v>
      </c>
      <c r="V400" s="2">
        <v>3.9</v>
      </c>
      <c r="W400" s="2">
        <v>5.7</v>
      </c>
      <c r="X400" s="2">
        <v>5.5</v>
      </c>
      <c r="Y400" s="2">
        <v>1.7</v>
      </c>
      <c r="Z400" s="2">
        <v>0.2</v>
      </c>
      <c r="AA400" s="2">
        <v>1.8</v>
      </c>
      <c r="AB400" s="2">
        <v>2.8</v>
      </c>
      <c r="AC400" s="2">
        <v>28.5</v>
      </c>
      <c r="AD400" s="2">
        <v>134</v>
      </c>
      <c r="AE400" s="2">
        <v>114</v>
      </c>
      <c r="AF400" s="2"/>
    </row>
    <row r="401" spans="1:32" x14ac:dyDescent="0.2">
      <c r="A401" t="s">
        <v>354</v>
      </c>
      <c r="B401" s="2">
        <v>23</v>
      </c>
      <c r="C401" t="s">
        <v>61</v>
      </c>
      <c r="D401" s="2" t="s">
        <v>52</v>
      </c>
      <c r="E401" s="2">
        <v>15</v>
      </c>
      <c r="F401" s="2">
        <v>0</v>
      </c>
      <c r="G401" s="2">
        <v>245</v>
      </c>
      <c r="H401" s="2">
        <v>6.9</v>
      </c>
      <c r="I401" s="2">
        <v>12.7</v>
      </c>
      <c r="J401" s="2">
        <v>0.54</v>
      </c>
      <c r="K401" s="2">
        <v>2.2000000000000002</v>
      </c>
      <c r="L401" s="2">
        <v>5.9</v>
      </c>
      <c r="M401" s="2">
        <v>0.379</v>
      </c>
      <c r="N401" s="2">
        <v>4.7</v>
      </c>
      <c r="O401" s="2">
        <v>6.9</v>
      </c>
      <c r="P401" s="2">
        <v>0.67600000000000005</v>
      </c>
      <c r="Q401" s="2">
        <v>0.627</v>
      </c>
      <c r="R401" s="2">
        <v>2.2000000000000002</v>
      </c>
      <c r="S401" s="2">
        <v>4</v>
      </c>
      <c r="T401" s="2">
        <v>0.55000000000000004</v>
      </c>
      <c r="U401" s="2">
        <v>2</v>
      </c>
      <c r="V401" s="2">
        <v>4</v>
      </c>
      <c r="W401" s="2">
        <v>6.1</v>
      </c>
      <c r="X401" s="2">
        <v>4.5</v>
      </c>
      <c r="Y401" s="2">
        <v>1.8</v>
      </c>
      <c r="Z401" s="2">
        <v>0</v>
      </c>
      <c r="AA401" s="2">
        <v>1.6</v>
      </c>
      <c r="AB401" s="2">
        <v>6.5</v>
      </c>
      <c r="AC401" s="2">
        <v>18.2</v>
      </c>
      <c r="AD401" s="2">
        <v>125</v>
      </c>
      <c r="AE401" s="2">
        <v>114</v>
      </c>
      <c r="AF401" s="2"/>
    </row>
    <row r="402" spans="1:32" x14ac:dyDescent="0.2">
      <c r="A402" t="s">
        <v>238</v>
      </c>
      <c r="B402" s="2">
        <v>22</v>
      </c>
      <c r="C402" t="s">
        <v>46</v>
      </c>
      <c r="D402" s="2" t="s">
        <v>49</v>
      </c>
      <c r="E402" s="2">
        <v>22</v>
      </c>
      <c r="F402" s="2">
        <v>12</v>
      </c>
      <c r="G402" s="2">
        <v>547</v>
      </c>
      <c r="H402" s="2">
        <v>6.3</v>
      </c>
      <c r="I402" s="2">
        <v>13</v>
      </c>
      <c r="J402" s="2">
        <v>0.48299999999999998</v>
      </c>
      <c r="K402" s="2">
        <v>1.6</v>
      </c>
      <c r="L402" s="2">
        <v>4.3</v>
      </c>
      <c r="M402" s="2">
        <v>0.36</v>
      </c>
      <c r="N402" s="2">
        <v>4.7</v>
      </c>
      <c r="O402" s="2">
        <v>8.6</v>
      </c>
      <c r="P402" s="2">
        <v>0.54500000000000004</v>
      </c>
      <c r="Q402" s="2">
        <v>0.54400000000000004</v>
      </c>
      <c r="R402" s="2">
        <v>2.9</v>
      </c>
      <c r="S402" s="2">
        <v>3.7</v>
      </c>
      <c r="T402" s="2">
        <v>0.76700000000000002</v>
      </c>
      <c r="U402" s="2">
        <v>1.7</v>
      </c>
      <c r="V402" s="2">
        <v>4.5</v>
      </c>
      <c r="W402" s="2">
        <v>6.3</v>
      </c>
      <c r="X402" s="2">
        <v>2.4</v>
      </c>
      <c r="Y402" s="2">
        <v>1.6</v>
      </c>
      <c r="Z402" s="2">
        <v>1.9</v>
      </c>
      <c r="AA402" s="2">
        <v>1.6</v>
      </c>
      <c r="AB402" s="2">
        <v>4.2</v>
      </c>
      <c r="AC402" s="2">
        <v>17</v>
      </c>
      <c r="AD402" s="2">
        <v>116</v>
      </c>
      <c r="AE402" s="2">
        <v>115</v>
      </c>
      <c r="AF402" s="2"/>
    </row>
    <row r="403" spans="1:32" x14ac:dyDescent="0.2">
      <c r="A403" t="s">
        <v>506</v>
      </c>
      <c r="B403" s="2">
        <v>28</v>
      </c>
      <c r="C403" t="s">
        <v>51</v>
      </c>
      <c r="D403" s="2" t="s">
        <v>52</v>
      </c>
      <c r="E403" s="2">
        <v>7</v>
      </c>
      <c r="F403" s="2">
        <v>0</v>
      </c>
      <c r="G403" s="2">
        <v>30</v>
      </c>
      <c r="H403" s="2">
        <v>3.3</v>
      </c>
      <c r="I403" s="2">
        <v>4.9000000000000004</v>
      </c>
      <c r="J403" s="2">
        <v>0.66700000000000004</v>
      </c>
      <c r="K403" s="2">
        <v>3.3</v>
      </c>
      <c r="L403" s="2">
        <v>4.9000000000000004</v>
      </c>
      <c r="M403" s="2">
        <v>0.66700000000000004</v>
      </c>
      <c r="N403" s="2">
        <v>0</v>
      </c>
      <c r="O403" s="2">
        <v>0</v>
      </c>
      <c r="P403" s="2"/>
      <c r="Q403" s="2">
        <v>1</v>
      </c>
      <c r="R403" s="2">
        <v>1.6</v>
      </c>
      <c r="S403" s="2">
        <v>9.8000000000000007</v>
      </c>
      <c r="T403" s="2">
        <v>0.16700000000000001</v>
      </c>
      <c r="U403" s="2">
        <v>1.6</v>
      </c>
      <c r="V403" s="2">
        <v>6.6</v>
      </c>
      <c r="W403" s="2">
        <v>8.1999999999999993</v>
      </c>
      <c r="X403" s="2">
        <v>8.1999999999999993</v>
      </c>
      <c r="Y403" s="2">
        <v>1.6</v>
      </c>
      <c r="Z403" s="2">
        <v>0</v>
      </c>
      <c r="AA403" s="2">
        <v>1.6</v>
      </c>
      <c r="AB403" s="2">
        <v>4.9000000000000004</v>
      </c>
      <c r="AC403" s="2">
        <v>11.5</v>
      </c>
      <c r="AD403" s="2">
        <v>127</v>
      </c>
      <c r="AE403" s="2">
        <v>110</v>
      </c>
      <c r="AF403" s="2"/>
    </row>
    <row r="404" spans="1:32" x14ac:dyDescent="0.2">
      <c r="A404" t="s">
        <v>525</v>
      </c>
      <c r="B404" s="2">
        <v>22</v>
      </c>
      <c r="C404" t="s">
        <v>46</v>
      </c>
      <c r="D404" s="2" t="s">
        <v>42</v>
      </c>
      <c r="E404" s="2">
        <v>5</v>
      </c>
      <c r="F404" s="2">
        <v>0</v>
      </c>
      <c r="G404" s="2">
        <v>11</v>
      </c>
      <c r="H404" s="2">
        <v>8.6</v>
      </c>
      <c r="I404" s="2">
        <v>21.6</v>
      </c>
      <c r="J404" s="2">
        <v>0.4</v>
      </c>
      <c r="K404" s="2">
        <v>0</v>
      </c>
      <c r="L404" s="2">
        <v>8.6</v>
      </c>
      <c r="M404" s="2">
        <v>0</v>
      </c>
      <c r="N404" s="2">
        <v>8.6</v>
      </c>
      <c r="O404" s="2">
        <v>13</v>
      </c>
      <c r="P404" s="2">
        <v>0.66700000000000004</v>
      </c>
      <c r="Q404" s="2">
        <v>0.4</v>
      </c>
      <c r="R404" s="2">
        <v>0</v>
      </c>
      <c r="S404" s="2">
        <v>0</v>
      </c>
      <c r="T404" s="2"/>
      <c r="U404" s="2">
        <v>0</v>
      </c>
      <c r="V404" s="2">
        <v>4.3</v>
      </c>
      <c r="W404" s="2">
        <v>4.3</v>
      </c>
      <c r="X404" s="2">
        <v>0</v>
      </c>
      <c r="Y404" s="2">
        <v>0</v>
      </c>
      <c r="Z404" s="2">
        <v>0</v>
      </c>
      <c r="AA404" s="2">
        <v>0</v>
      </c>
      <c r="AB404" s="2">
        <v>4.3</v>
      </c>
      <c r="AC404" s="2">
        <v>17.3</v>
      </c>
      <c r="AD404" s="2">
        <v>83</v>
      </c>
      <c r="AE404" s="2">
        <v>121</v>
      </c>
      <c r="AF404" s="2"/>
    </row>
    <row r="405" spans="1:32" x14ac:dyDescent="0.2">
      <c r="A405" t="s">
        <v>479</v>
      </c>
      <c r="B405" s="2">
        <v>25</v>
      </c>
      <c r="C405" t="s">
        <v>44</v>
      </c>
      <c r="D405" s="2" t="s">
        <v>27</v>
      </c>
      <c r="E405" s="2">
        <v>4</v>
      </c>
      <c r="F405" s="2">
        <v>0</v>
      </c>
      <c r="G405" s="2">
        <v>75</v>
      </c>
      <c r="H405" s="2">
        <v>4.5999999999999996</v>
      </c>
      <c r="I405" s="2">
        <v>10.6</v>
      </c>
      <c r="J405" s="2">
        <v>0.438</v>
      </c>
      <c r="K405" s="2">
        <v>0</v>
      </c>
      <c r="L405" s="2">
        <v>1.3</v>
      </c>
      <c r="M405" s="2">
        <v>0</v>
      </c>
      <c r="N405" s="2">
        <v>4.5999999999999996</v>
      </c>
      <c r="O405" s="2">
        <v>9.1999999999999993</v>
      </c>
      <c r="P405" s="2">
        <v>0.5</v>
      </c>
      <c r="Q405" s="2">
        <v>0.438</v>
      </c>
      <c r="R405" s="2">
        <v>2</v>
      </c>
      <c r="S405" s="2">
        <v>5.3</v>
      </c>
      <c r="T405" s="2">
        <v>0.375</v>
      </c>
      <c r="U405" s="2">
        <v>4</v>
      </c>
      <c r="V405" s="2">
        <v>12.5</v>
      </c>
      <c r="W405" s="2">
        <v>16.5</v>
      </c>
      <c r="X405" s="2">
        <v>4</v>
      </c>
      <c r="Y405" s="2">
        <v>2</v>
      </c>
      <c r="Z405" s="2">
        <v>3.3</v>
      </c>
      <c r="AA405" s="2">
        <v>2.6</v>
      </c>
      <c r="AB405" s="2">
        <v>2.6</v>
      </c>
      <c r="AC405" s="2">
        <v>11.2</v>
      </c>
      <c r="AD405" s="2">
        <v>98</v>
      </c>
      <c r="AE405" s="2">
        <v>107</v>
      </c>
      <c r="AF405" s="2"/>
    </row>
    <row r="406" spans="1:32" x14ac:dyDescent="0.2">
      <c r="A406" t="s">
        <v>237</v>
      </c>
      <c r="B406" s="2">
        <v>24</v>
      </c>
      <c r="C406" t="s">
        <v>63</v>
      </c>
      <c r="D406" s="2" t="s">
        <v>52</v>
      </c>
      <c r="E406" s="2">
        <v>23</v>
      </c>
      <c r="F406" s="2">
        <v>8</v>
      </c>
      <c r="G406" s="2">
        <v>468</v>
      </c>
      <c r="H406" s="2">
        <v>6.9</v>
      </c>
      <c r="I406" s="2">
        <v>14.4</v>
      </c>
      <c r="J406" s="2">
        <v>0.47899999999999998</v>
      </c>
      <c r="K406" s="2">
        <v>3.4</v>
      </c>
      <c r="L406" s="2">
        <v>8.3000000000000007</v>
      </c>
      <c r="M406" s="2">
        <v>0.40699999999999997</v>
      </c>
      <c r="N406" s="2">
        <v>3.5</v>
      </c>
      <c r="O406" s="2">
        <v>6.1</v>
      </c>
      <c r="P406" s="2">
        <v>0.57599999999999996</v>
      </c>
      <c r="Q406" s="2">
        <v>0.59599999999999997</v>
      </c>
      <c r="R406" s="2">
        <v>2.9</v>
      </c>
      <c r="S406" s="2">
        <v>4.0999999999999996</v>
      </c>
      <c r="T406" s="2">
        <v>0.7</v>
      </c>
      <c r="U406" s="2">
        <v>1.4</v>
      </c>
      <c r="V406" s="2">
        <v>7</v>
      </c>
      <c r="W406" s="2">
        <v>8.4</v>
      </c>
      <c r="X406" s="2">
        <v>3.5</v>
      </c>
      <c r="Y406" s="2">
        <v>1.8</v>
      </c>
      <c r="Z406" s="2">
        <v>0.5</v>
      </c>
      <c r="AA406" s="2">
        <v>3</v>
      </c>
      <c r="AB406" s="2">
        <v>4.3</v>
      </c>
      <c r="AC406" s="2">
        <v>20.100000000000001</v>
      </c>
      <c r="AD406" s="2">
        <v>114</v>
      </c>
      <c r="AE406" s="2">
        <v>112</v>
      </c>
      <c r="AF406" s="2"/>
    </row>
    <row r="407" spans="1:32" x14ac:dyDescent="0.2">
      <c r="A407" t="s">
        <v>344</v>
      </c>
      <c r="B407" s="2">
        <v>26</v>
      </c>
      <c r="C407" t="s">
        <v>82</v>
      </c>
      <c r="D407" s="2" t="s">
        <v>33</v>
      </c>
      <c r="E407" s="2">
        <v>14</v>
      </c>
      <c r="F407" s="2">
        <v>7</v>
      </c>
      <c r="G407" s="2">
        <v>240</v>
      </c>
      <c r="H407" s="2">
        <v>7.6</v>
      </c>
      <c r="I407" s="2">
        <v>14.6</v>
      </c>
      <c r="J407" s="2">
        <v>0.52100000000000002</v>
      </c>
      <c r="K407" s="2">
        <v>1.8</v>
      </c>
      <c r="L407" s="2">
        <v>4.5999999999999996</v>
      </c>
      <c r="M407" s="2">
        <v>0.39100000000000001</v>
      </c>
      <c r="N407" s="2">
        <v>5.8</v>
      </c>
      <c r="O407" s="2">
        <v>10</v>
      </c>
      <c r="P407" s="2">
        <v>0.57999999999999996</v>
      </c>
      <c r="Q407" s="2">
        <v>0.58199999999999996</v>
      </c>
      <c r="R407" s="2">
        <v>2.4</v>
      </c>
      <c r="S407" s="2">
        <v>3.4</v>
      </c>
      <c r="T407" s="2">
        <v>0.70599999999999996</v>
      </c>
      <c r="U407" s="2">
        <v>2</v>
      </c>
      <c r="V407" s="2">
        <v>3.4</v>
      </c>
      <c r="W407" s="2">
        <v>5.4</v>
      </c>
      <c r="X407" s="2">
        <v>5.6</v>
      </c>
      <c r="Y407" s="2">
        <v>1.8</v>
      </c>
      <c r="Z407" s="2">
        <v>1</v>
      </c>
      <c r="AA407" s="2">
        <v>2.2000000000000002</v>
      </c>
      <c r="AB407" s="2">
        <v>5.6</v>
      </c>
      <c r="AC407" s="2">
        <v>19.399999999999999</v>
      </c>
      <c r="AD407" s="2">
        <v>119</v>
      </c>
      <c r="AE407" s="2">
        <v>119</v>
      </c>
      <c r="AF407" s="2"/>
    </row>
    <row r="408" spans="1:32" x14ac:dyDescent="0.2">
      <c r="A408" t="s">
        <v>539</v>
      </c>
      <c r="B408" s="2">
        <v>23</v>
      </c>
      <c r="C408" t="s">
        <v>41</v>
      </c>
      <c r="D408" s="2" t="s">
        <v>33</v>
      </c>
      <c r="E408" s="2">
        <v>1</v>
      </c>
      <c r="F408" s="2">
        <v>0</v>
      </c>
      <c r="G408" s="2">
        <v>8</v>
      </c>
      <c r="H408" s="2">
        <v>6.1</v>
      </c>
      <c r="I408" s="2">
        <v>18.399999999999999</v>
      </c>
      <c r="J408" s="2">
        <v>0.33300000000000002</v>
      </c>
      <c r="K408" s="2">
        <v>6.1</v>
      </c>
      <c r="L408" s="2">
        <v>18.399999999999999</v>
      </c>
      <c r="M408" s="2">
        <v>0.33300000000000002</v>
      </c>
      <c r="N408" s="2">
        <v>0</v>
      </c>
      <c r="O408" s="2">
        <v>0</v>
      </c>
      <c r="P408" s="2"/>
      <c r="Q408" s="2">
        <v>0.5</v>
      </c>
      <c r="R408" s="2">
        <v>0</v>
      </c>
      <c r="S408" s="2">
        <v>0</v>
      </c>
      <c r="T408" s="2"/>
      <c r="U408" s="2">
        <v>0</v>
      </c>
      <c r="V408" s="2">
        <v>0</v>
      </c>
      <c r="W408" s="2">
        <v>0</v>
      </c>
      <c r="X408" s="2">
        <v>0</v>
      </c>
      <c r="Y408" s="2">
        <v>0</v>
      </c>
      <c r="Z408" s="2">
        <v>0</v>
      </c>
      <c r="AA408" s="2">
        <v>6.1</v>
      </c>
      <c r="AB408" s="2">
        <v>0</v>
      </c>
      <c r="AC408" s="2">
        <v>18.399999999999999</v>
      </c>
      <c r="AD408" s="2">
        <v>69</v>
      </c>
      <c r="AE408" s="2">
        <v>127</v>
      </c>
      <c r="AF408" s="2"/>
    </row>
    <row r="409" spans="1:32" x14ac:dyDescent="0.2">
      <c r="A409" t="s">
        <v>374</v>
      </c>
      <c r="B409" s="2">
        <v>20</v>
      </c>
      <c r="C409" t="s">
        <v>135</v>
      </c>
      <c r="D409" s="2" t="s">
        <v>52</v>
      </c>
      <c r="E409" s="2">
        <v>21</v>
      </c>
      <c r="F409" s="2">
        <v>0</v>
      </c>
      <c r="G409" s="2">
        <v>223</v>
      </c>
      <c r="H409" s="2">
        <v>6</v>
      </c>
      <c r="I409" s="2">
        <v>13.8</v>
      </c>
      <c r="J409" s="2">
        <v>0.438</v>
      </c>
      <c r="K409" s="2">
        <v>1.9</v>
      </c>
      <c r="L409" s="2">
        <v>6.3</v>
      </c>
      <c r="M409" s="2">
        <v>0.31</v>
      </c>
      <c r="N409" s="2">
        <v>4.0999999999999996</v>
      </c>
      <c r="O409" s="2">
        <v>7.6</v>
      </c>
      <c r="P409" s="2">
        <v>0.54300000000000004</v>
      </c>
      <c r="Q409" s="2">
        <v>0.50800000000000001</v>
      </c>
      <c r="R409" s="2">
        <v>1.7</v>
      </c>
      <c r="S409" s="2">
        <v>2.6</v>
      </c>
      <c r="T409" s="2">
        <v>0.66700000000000004</v>
      </c>
      <c r="U409" s="2">
        <v>3.7</v>
      </c>
      <c r="V409" s="2">
        <v>3.7</v>
      </c>
      <c r="W409" s="2">
        <v>7.3</v>
      </c>
      <c r="X409" s="2">
        <v>2.4</v>
      </c>
      <c r="Y409" s="2">
        <v>1.5</v>
      </c>
      <c r="Z409" s="2">
        <v>0.4</v>
      </c>
      <c r="AA409" s="2">
        <v>2.6</v>
      </c>
      <c r="AB409" s="2">
        <v>3.5</v>
      </c>
      <c r="AC409" s="2">
        <v>15.8</v>
      </c>
      <c r="AD409" s="2">
        <v>105</v>
      </c>
      <c r="AE409" s="2">
        <v>120</v>
      </c>
      <c r="AF409" s="2"/>
    </row>
    <row r="410" spans="1:32" x14ac:dyDescent="0.2">
      <c r="A410" t="s">
        <v>543</v>
      </c>
      <c r="B410" s="2">
        <v>23</v>
      </c>
      <c r="C410" t="s">
        <v>100</v>
      </c>
      <c r="D410" s="2" t="s">
        <v>33</v>
      </c>
      <c r="E410" s="2">
        <v>2</v>
      </c>
      <c r="F410" s="2">
        <v>0</v>
      </c>
      <c r="G410" s="2">
        <v>4</v>
      </c>
      <c r="H410" s="2">
        <v>12</v>
      </c>
      <c r="I410" s="2">
        <v>12</v>
      </c>
      <c r="J410" s="2">
        <v>1</v>
      </c>
      <c r="K410" s="2">
        <v>0</v>
      </c>
      <c r="L410" s="2">
        <v>0</v>
      </c>
      <c r="M410" s="2"/>
      <c r="N410" s="2">
        <v>12</v>
      </c>
      <c r="O410" s="2">
        <v>12</v>
      </c>
      <c r="P410" s="2">
        <v>1</v>
      </c>
      <c r="Q410" s="2">
        <v>1</v>
      </c>
      <c r="R410" s="2">
        <v>0</v>
      </c>
      <c r="S410" s="2">
        <v>0</v>
      </c>
      <c r="T410" s="2"/>
      <c r="U410" s="2">
        <v>12</v>
      </c>
      <c r="V410" s="2">
        <v>0</v>
      </c>
      <c r="W410" s="2">
        <v>12</v>
      </c>
      <c r="X410" s="2">
        <v>12</v>
      </c>
      <c r="Y410" s="2">
        <v>12</v>
      </c>
      <c r="Z410" s="2">
        <v>0</v>
      </c>
      <c r="AA410" s="2">
        <v>0</v>
      </c>
      <c r="AB410" s="2">
        <v>12</v>
      </c>
      <c r="AC410" s="2">
        <v>24</v>
      </c>
      <c r="AD410" s="2">
        <v>215</v>
      </c>
      <c r="AE410" s="2">
        <v>90</v>
      </c>
      <c r="AF410" s="2"/>
    </row>
    <row r="411" spans="1:32" x14ac:dyDescent="0.2">
      <c r="A411" t="s">
        <v>352</v>
      </c>
      <c r="B411" s="2">
        <v>20</v>
      </c>
      <c r="C411" t="s">
        <v>87</v>
      </c>
      <c r="D411" s="2" t="s">
        <v>33</v>
      </c>
      <c r="E411" s="2">
        <v>24</v>
      </c>
      <c r="F411" s="2">
        <v>0</v>
      </c>
      <c r="G411" s="2">
        <v>282</v>
      </c>
      <c r="H411" s="2">
        <v>6</v>
      </c>
      <c r="I411" s="2">
        <v>16.8</v>
      </c>
      <c r="J411" s="2">
        <v>0.35699999999999998</v>
      </c>
      <c r="K411" s="2">
        <v>2.9</v>
      </c>
      <c r="L411" s="2">
        <v>9.6</v>
      </c>
      <c r="M411" s="2">
        <v>0.30399999999999999</v>
      </c>
      <c r="N411" s="2">
        <v>3.1</v>
      </c>
      <c r="O411" s="2">
        <v>7.2</v>
      </c>
      <c r="P411" s="2">
        <v>0.42899999999999999</v>
      </c>
      <c r="Q411" s="2">
        <v>0.44400000000000001</v>
      </c>
      <c r="R411" s="2">
        <v>0.7</v>
      </c>
      <c r="S411" s="2">
        <v>0.7</v>
      </c>
      <c r="T411" s="2">
        <v>1</v>
      </c>
      <c r="U411" s="2">
        <v>1.2</v>
      </c>
      <c r="V411" s="2">
        <v>3.1</v>
      </c>
      <c r="W411" s="2">
        <v>4.3</v>
      </c>
      <c r="X411" s="2">
        <v>5.3</v>
      </c>
      <c r="Y411" s="2">
        <v>2.1</v>
      </c>
      <c r="Z411" s="2">
        <v>1.4</v>
      </c>
      <c r="AA411" s="2">
        <v>2.4</v>
      </c>
      <c r="AB411" s="2">
        <v>3.9</v>
      </c>
      <c r="AC411" s="2">
        <v>15.6</v>
      </c>
      <c r="AD411" s="2">
        <v>99</v>
      </c>
      <c r="AE411" s="2">
        <v>107</v>
      </c>
      <c r="AF411" s="2"/>
    </row>
    <row r="412" spans="1:32" x14ac:dyDescent="0.2">
      <c r="A412" t="s">
        <v>416</v>
      </c>
      <c r="B412" s="2">
        <v>34</v>
      </c>
      <c r="C412" t="s">
        <v>122</v>
      </c>
      <c r="D412" s="2" t="s">
        <v>33</v>
      </c>
      <c r="E412" s="2">
        <v>10</v>
      </c>
      <c r="F412" s="2">
        <v>0</v>
      </c>
      <c r="G412" s="2">
        <v>119</v>
      </c>
      <c r="H412" s="2">
        <v>6.7</v>
      </c>
      <c r="I412" s="2">
        <v>16.3</v>
      </c>
      <c r="J412" s="2">
        <v>0.41</v>
      </c>
      <c r="K412" s="2">
        <v>4.5999999999999996</v>
      </c>
      <c r="L412" s="2">
        <v>10.5</v>
      </c>
      <c r="M412" s="2">
        <v>0.44</v>
      </c>
      <c r="N412" s="2">
        <v>2.1</v>
      </c>
      <c r="O412" s="2">
        <v>5.9</v>
      </c>
      <c r="P412" s="2">
        <v>0.35699999999999998</v>
      </c>
      <c r="Q412" s="2">
        <v>0.55100000000000005</v>
      </c>
      <c r="R412" s="2">
        <v>0</v>
      </c>
      <c r="S412" s="2">
        <v>0</v>
      </c>
      <c r="T412" s="2"/>
      <c r="U412" s="2">
        <v>0.4</v>
      </c>
      <c r="V412" s="2">
        <v>3.4</v>
      </c>
      <c r="W412" s="2">
        <v>3.8</v>
      </c>
      <c r="X412" s="2">
        <v>8.8000000000000007</v>
      </c>
      <c r="Y412" s="2">
        <v>2.5</v>
      </c>
      <c r="Z412" s="2">
        <v>1.3</v>
      </c>
      <c r="AA412" s="2">
        <v>2.9</v>
      </c>
      <c r="AB412" s="2">
        <v>3.4</v>
      </c>
      <c r="AC412" s="2">
        <v>18</v>
      </c>
      <c r="AD412" s="2">
        <v>111</v>
      </c>
      <c r="AE412" s="2">
        <v>113</v>
      </c>
      <c r="AF412" s="2"/>
    </row>
    <row r="413" spans="1:32" x14ac:dyDescent="0.2">
      <c r="A413" t="s">
        <v>493</v>
      </c>
      <c r="B413" s="2">
        <v>31</v>
      </c>
      <c r="C413" t="s">
        <v>114</v>
      </c>
      <c r="D413" s="2" t="s">
        <v>27</v>
      </c>
      <c r="E413" s="2">
        <v>3</v>
      </c>
      <c r="F413" s="2">
        <v>0</v>
      </c>
      <c r="G413" s="2">
        <v>20</v>
      </c>
      <c r="H413" s="2">
        <v>11.7</v>
      </c>
      <c r="I413" s="2">
        <v>23.3</v>
      </c>
      <c r="J413" s="2">
        <v>0.5</v>
      </c>
      <c r="K413" s="2">
        <v>0</v>
      </c>
      <c r="L413" s="2">
        <v>2.2999999999999998</v>
      </c>
      <c r="M413" s="2">
        <v>0</v>
      </c>
      <c r="N413" s="2">
        <v>11.7</v>
      </c>
      <c r="O413" s="2">
        <v>21</v>
      </c>
      <c r="P413" s="2">
        <v>0.55600000000000005</v>
      </c>
      <c r="Q413" s="2">
        <v>0.5</v>
      </c>
      <c r="R413" s="2">
        <v>4.7</v>
      </c>
      <c r="S413" s="2">
        <v>4.7</v>
      </c>
      <c r="T413" s="2">
        <v>1</v>
      </c>
      <c r="U413" s="2">
        <v>4.7</v>
      </c>
      <c r="V413" s="2">
        <v>7</v>
      </c>
      <c r="W413" s="2">
        <v>11.7</v>
      </c>
      <c r="X413" s="2">
        <v>0</v>
      </c>
      <c r="Y413" s="2">
        <v>0</v>
      </c>
      <c r="Z413" s="2">
        <v>4.7</v>
      </c>
      <c r="AA413" s="2">
        <v>4.7</v>
      </c>
      <c r="AB413" s="2">
        <v>2.2999999999999998</v>
      </c>
      <c r="AC413" s="2">
        <v>28</v>
      </c>
      <c r="AD413" s="2">
        <v>97</v>
      </c>
      <c r="AE413" s="2">
        <v>120</v>
      </c>
      <c r="AF413" s="2"/>
    </row>
    <row r="414" spans="1:32" x14ac:dyDescent="0.2">
      <c r="A414" t="s">
        <v>369</v>
      </c>
      <c r="B414" s="2">
        <v>23</v>
      </c>
      <c r="C414" t="s">
        <v>122</v>
      </c>
      <c r="D414" s="2" t="s">
        <v>49</v>
      </c>
      <c r="E414" s="2">
        <v>17</v>
      </c>
      <c r="F414" s="2">
        <v>0</v>
      </c>
      <c r="G414" s="2">
        <v>200</v>
      </c>
      <c r="H414" s="2">
        <v>6.2</v>
      </c>
      <c r="I414" s="2">
        <v>15.2</v>
      </c>
      <c r="J414" s="2">
        <v>0.41</v>
      </c>
      <c r="K414" s="2">
        <v>1.7</v>
      </c>
      <c r="L414" s="2">
        <v>6.7</v>
      </c>
      <c r="M414" s="2">
        <v>0.25900000000000001</v>
      </c>
      <c r="N414" s="2">
        <v>4.5</v>
      </c>
      <c r="O414" s="2">
        <v>8.5</v>
      </c>
      <c r="P414" s="2">
        <v>0.52900000000000003</v>
      </c>
      <c r="Q414" s="2">
        <v>0.46700000000000003</v>
      </c>
      <c r="R414" s="2">
        <v>4.5</v>
      </c>
      <c r="S414" s="2">
        <v>5.2</v>
      </c>
      <c r="T414" s="2">
        <v>0.85699999999999998</v>
      </c>
      <c r="U414" s="2">
        <v>1.2</v>
      </c>
      <c r="V414" s="2">
        <v>5.2</v>
      </c>
      <c r="W414" s="2">
        <v>6.5</v>
      </c>
      <c r="X414" s="2">
        <v>3.5</v>
      </c>
      <c r="Y414" s="2">
        <v>0.7</v>
      </c>
      <c r="Z414" s="2">
        <v>0.7</v>
      </c>
      <c r="AA414" s="2">
        <v>1</v>
      </c>
      <c r="AB414" s="2">
        <v>3</v>
      </c>
      <c r="AC414" s="2">
        <v>18.7</v>
      </c>
      <c r="AD414" s="2">
        <v>116</v>
      </c>
      <c r="AE414" s="2">
        <v>116</v>
      </c>
      <c r="AF414" s="2"/>
    </row>
    <row r="415" spans="1:32" x14ac:dyDescent="0.2">
      <c r="A415" t="s">
        <v>565</v>
      </c>
      <c r="B415" s="2">
        <v>24</v>
      </c>
      <c r="C415" t="s">
        <v>93</v>
      </c>
      <c r="D415" s="2" t="s">
        <v>49</v>
      </c>
      <c r="E415" s="2">
        <v>1</v>
      </c>
      <c r="F415" s="2">
        <v>0</v>
      </c>
      <c r="G415" s="2">
        <v>7</v>
      </c>
      <c r="H415" s="2">
        <v>0</v>
      </c>
      <c r="I415" s="2">
        <v>6.9</v>
      </c>
      <c r="J415" s="2">
        <v>0</v>
      </c>
      <c r="K415" s="2">
        <v>0</v>
      </c>
      <c r="L415" s="2">
        <v>6.9</v>
      </c>
      <c r="M415" s="2">
        <v>0</v>
      </c>
      <c r="N415" s="2">
        <v>0</v>
      </c>
      <c r="O415" s="2">
        <v>0</v>
      </c>
      <c r="P415" s="2"/>
      <c r="Q415" s="2">
        <v>0</v>
      </c>
      <c r="R415" s="2">
        <v>0</v>
      </c>
      <c r="S415" s="2">
        <v>0</v>
      </c>
      <c r="T415" s="2"/>
      <c r="U415" s="2">
        <v>0</v>
      </c>
      <c r="V415" s="2">
        <v>13.9</v>
      </c>
      <c r="W415" s="2">
        <v>13.9</v>
      </c>
      <c r="X415" s="2">
        <v>0</v>
      </c>
      <c r="Y415" s="2">
        <v>0</v>
      </c>
      <c r="Z415" s="2">
        <v>0</v>
      </c>
      <c r="AA415" s="2">
        <v>0</v>
      </c>
      <c r="AB415" s="2">
        <v>0</v>
      </c>
      <c r="AC415" s="2">
        <v>0</v>
      </c>
      <c r="AD415" s="2">
        <v>0</v>
      </c>
      <c r="AE415" s="2">
        <v>115</v>
      </c>
      <c r="AF415" s="2"/>
    </row>
    <row r="416" spans="1:32" x14ac:dyDescent="0.2">
      <c r="A416" t="s">
        <v>65</v>
      </c>
      <c r="B416" s="2">
        <v>24</v>
      </c>
      <c r="C416" t="s">
        <v>66</v>
      </c>
      <c r="D416" s="2" t="s">
        <v>52</v>
      </c>
      <c r="E416" s="2">
        <v>23</v>
      </c>
      <c r="F416" s="2">
        <v>23</v>
      </c>
      <c r="G416" s="2">
        <v>787</v>
      </c>
      <c r="H416" s="2">
        <v>12</v>
      </c>
      <c r="I416" s="2">
        <v>26.5</v>
      </c>
      <c r="J416" s="2">
        <v>0.45500000000000002</v>
      </c>
      <c r="K416" s="2">
        <v>2.8</v>
      </c>
      <c r="L416" s="2">
        <v>8.1999999999999993</v>
      </c>
      <c r="M416" s="2">
        <v>0.34599999999999997</v>
      </c>
      <c r="N416" s="2">
        <v>9.1999999999999993</v>
      </c>
      <c r="O416" s="2">
        <v>18.3</v>
      </c>
      <c r="P416" s="2">
        <v>0.503</v>
      </c>
      <c r="Q416" s="2">
        <v>0.50800000000000001</v>
      </c>
      <c r="R416" s="2">
        <v>5.8</v>
      </c>
      <c r="S416" s="2">
        <v>8.1999999999999993</v>
      </c>
      <c r="T416" s="2">
        <v>0.71399999999999997</v>
      </c>
      <c r="U416" s="2">
        <v>1.3</v>
      </c>
      <c r="V416" s="2">
        <v>8.3000000000000007</v>
      </c>
      <c r="W416" s="2">
        <v>9.6</v>
      </c>
      <c r="X416" s="2">
        <v>8.5</v>
      </c>
      <c r="Y416" s="2">
        <v>1</v>
      </c>
      <c r="Z416" s="2">
        <v>0.6</v>
      </c>
      <c r="AA416" s="2">
        <v>4.7</v>
      </c>
      <c r="AB416" s="2">
        <v>3.7</v>
      </c>
      <c r="AC416" s="2">
        <v>32.700000000000003</v>
      </c>
      <c r="AD416" s="2">
        <v>108</v>
      </c>
      <c r="AE416" s="2">
        <v>117</v>
      </c>
      <c r="AF416" s="2"/>
    </row>
    <row r="417" spans="1:32" x14ac:dyDescent="0.2">
      <c r="A417" t="s">
        <v>417</v>
      </c>
      <c r="B417" s="2">
        <v>20</v>
      </c>
      <c r="C417" t="s">
        <v>51</v>
      </c>
      <c r="D417" s="2" t="s">
        <v>33</v>
      </c>
      <c r="E417" s="2">
        <v>11</v>
      </c>
      <c r="F417" s="2">
        <v>0</v>
      </c>
      <c r="G417" s="2">
        <v>92</v>
      </c>
      <c r="H417" s="2">
        <v>9.6</v>
      </c>
      <c r="I417" s="2">
        <v>19.3</v>
      </c>
      <c r="J417" s="2">
        <v>0.5</v>
      </c>
      <c r="K417" s="2">
        <v>3.2</v>
      </c>
      <c r="L417" s="2">
        <v>6.4</v>
      </c>
      <c r="M417" s="2">
        <v>0.5</v>
      </c>
      <c r="N417" s="2">
        <v>6.4</v>
      </c>
      <c r="O417" s="2">
        <v>12.8</v>
      </c>
      <c r="P417" s="2">
        <v>0.5</v>
      </c>
      <c r="Q417" s="2">
        <v>0.58299999999999996</v>
      </c>
      <c r="R417" s="2">
        <v>0</v>
      </c>
      <c r="S417" s="2">
        <v>0</v>
      </c>
      <c r="T417" s="2"/>
      <c r="U417" s="2">
        <v>0.5</v>
      </c>
      <c r="V417" s="2">
        <v>4.3</v>
      </c>
      <c r="W417" s="2">
        <v>4.8</v>
      </c>
      <c r="X417" s="2">
        <v>8.6</v>
      </c>
      <c r="Y417" s="2">
        <v>0</v>
      </c>
      <c r="Z417" s="2">
        <v>0</v>
      </c>
      <c r="AA417" s="2">
        <v>6.4</v>
      </c>
      <c r="AB417" s="2">
        <v>2.1</v>
      </c>
      <c r="AC417" s="2">
        <v>22.5</v>
      </c>
      <c r="AD417" s="2">
        <v>98</v>
      </c>
      <c r="AE417" s="2">
        <v>116</v>
      </c>
      <c r="AF417" s="2"/>
    </row>
    <row r="418" spans="1:32" x14ac:dyDescent="0.2">
      <c r="A418" t="s">
        <v>381</v>
      </c>
      <c r="B418" s="2">
        <v>27</v>
      </c>
      <c r="C418" t="s">
        <v>135</v>
      </c>
      <c r="D418" s="2" t="s">
        <v>42</v>
      </c>
      <c r="E418" s="2">
        <v>7</v>
      </c>
      <c r="F418" s="2">
        <v>1</v>
      </c>
      <c r="G418" s="2">
        <v>131</v>
      </c>
      <c r="H418" s="2">
        <v>9.9</v>
      </c>
      <c r="I418" s="2">
        <v>14</v>
      </c>
      <c r="J418" s="2">
        <v>0.71099999999999997</v>
      </c>
      <c r="K418" s="2">
        <v>0.4</v>
      </c>
      <c r="L418" s="2">
        <v>0.7</v>
      </c>
      <c r="M418" s="2">
        <v>0.5</v>
      </c>
      <c r="N418" s="2">
        <v>9.6</v>
      </c>
      <c r="O418" s="2">
        <v>13.2</v>
      </c>
      <c r="P418" s="2">
        <v>0.72199999999999998</v>
      </c>
      <c r="Q418" s="2">
        <v>0.72399999999999998</v>
      </c>
      <c r="R418" s="2">
        <v>4.4000000000000004</v>
      </c>
      <c r="S418" s="2">
        <v>4.8</v>
      </c>
      <c r="T418" s="2">
        <v>0.92300000000000004</v>
      </c>
      <c r="U418" s="2">
        <v>5.5</v>
      </c>
      <c r="V418" s="2">
        <v>9.9</v>
      </c>
      <c r="W418" s="2">
        <v>15.4</v>
      </c>
      <c r="X418" s="2">
        <v>3.7</v>
      </c>
      <c r="Y418" s="2">
        <v>2.9</v>
      </c>
      <c r="Z418" s="2">
        <v>4.8</v>
      </c>
      <c r="AA418" s="2">
        <v>2.6</v>
      </c>
      <c r="AB418" s="2">
        <v>2.6</v>
      </c>
      <c r="AC418" s="2">
        <v>24.6</v>
      </c>
      <c r="AD418" s="2">
        <v>143</v>
      </c>
      <c r="AE418" s="2">
        <v>107</v>
      </c>
      <c r="AF418" s="2"/>
    </row>
    <row r="419" spans="1:32" x14ac:dyDescent="0.2">
      <c r="A419" t="s">
        <v>267</v>
      </c>
      <c r="B419" s="2">
        <v>19</v>
      </c>
      <c r="C419" t="s">
        <v>75</v>
      </c>
      <c r="D419" s="2" t="s">
        <v>49</v>
      </c>
      <c r="E419" s="2">
        <v>26</v>
      </c>
      <c r="F419" s="2">
        <v>1</v>
      </c>
      <c r="G419" s="2">
        <v>418</v>
      </c>
      <c r="H419" s="2">
        <v>7.6</v>
      </c>
      <c r="I419" s="2">
        <v>16.5</v>
      </c>
      <c r="J419" s="2">
        <v>0.46100000000000002</v>
      </c>
      <c r="K419" s="2">
        <v>1.3</v>
      </c>
      <c r="L419" s="2">
        <v>6.4</v>
      </c>
      <c r="M419" s="2">
        <v>0.2</v>
      </c>
      <c r="N419" s="2">
        <v>6.3</v>
      </c>
      <c r="O419" s="2">
        <v>10.1</v>
      </c>
      <c r="P419" s="2">
        <v>0.628</v>
      </c>
      <c r="Q419" s="2">
        <v>0.5</v>
      </c>
      <c r="R419" s="2">
        <v>2.8</v>
      </c>
      <c r="S419" s="2">
        <v>3.5</v>
      </c>
      <c r="T419" s="2">
        <v>0.8</v>
      </c>
      <c r="U419" s="2">
        <v>1.8</v>
      </c>
      <c r="V419" s="2">
        <v>7.5</v>
      </c>
      <c r="W419" s="2">
        <v>9.1999999999999993</v>
      </c>
      <c r="X419" s="2">
        <v>2.2000000000000002</v>
      </c>
      <c r="Y419" s="2">
        <v>1.4</v>
      </c>
      <c r="Z419" s="2">
        <v>0.6</v>
      </c>
      <c r="AA419" s="2">
        <v>3.2</v>
      </c>
      <c r="AB419" s="2">
        <v>4.9000000000000004</v>
      </c>
      <c r="AC419" s="2">
        <v>19.3</v>
      </c>
      <c r="AD419" s="2">
        <v>100</v>
      </c>
      <c r="AE419" s="2">
        <v>114</v>
      </c>
      <c r="AF419" s="2"/>
    </row>
    <row r="420" spans="1:32" x14ac:dyDescent="0.2">
      <c r="A420" t="s">
        <v>190</v>
      </c>
      <c r="B420" s="2">
        <v>31</v>
      </c>
      <c r="C420" t="s">
        <v>54</v>
      </c>
      <c r="D420" s="2" t="s">
        <v>49</v>
      </c>
      <c r="E420" s="2">
        <v>23</v>
      </c>
      <c r="F420" s="2">
        <v>5</v>
      </c>
      <c r="G420" s="2">
        <v>595</v>
      </c>
      <c r="H420" s="2">
        <v>7.3</v>
      </c>
      <c r="I420" s="2">
        <v>16.2</v>
      </c>
      <c r="J420" s="2">
        <v>0.44900000000000001</v>
      </c>
      <c r="K420" s="2">
        <v>4.7</v>
      </c>
      <c r="L420" s="2">
        <v>10.5</v>
      </c>
      <c r="M420" s="2">
        <v>0.44900000000000001</v>
      </c>
      <c r="N420" s="2">
        <v>2.6</v>
      </c>
      <c r="O420" s="2">
        <v>5.7</v>
      </c>
      <c r="P420" s="2">
        <v>0.44900000000000001</v>
      </c>
      <c r="Q420" s="2">
        <v>0.59399999999999997</v>
      </c>
      <c r="R420" s="2">
        <v>1.3</v>
      </c>
      <c r="S420" s="2">
        <v>1.7</v>
      </c>
      <c r="T420" s="2">
        <v>0.76200000000000001</v>
      </c>
      <c r="U420" s="2">
        <v>2.4</v>
      </c>
      <c r="V420" s="2">
        <v>9.1999999999999993</v>
      </c>
      <c r="W420" s="2">
        <v>11.6</v>
      </c>
      <c r="X420" s="2">
        <v>3.9</v>
      </c>
      <c r="Y420" s="2">
        <v>1.8</v>
      </c>
      <c r="Z420" s="2">
        <v>1.2</v>
      </c>
      <c r="AA420" s="2">
        <v>2</v>
      </c>
      <c r="AB420" s="2">
        <v>4.3</v>
      </c>
      <c r="AC420" s="2">
        <v>20.6</v>
      </c>
      <c r="AD420" s="2">
        <v>118</v>
      </c>
      <c r="AE420" s="2">
        <v>114</v>
      </c>
      <c r="AF420" s="2"/>
    </row>
    <row r="421" spans="1:32" x14ac:dyDescent="0.2">
      <c r="A421" t="s">
        <v>197</v>
      </c>
      <c r="B421" s="2">
        <v>32</v>
      </c>
      <c r="C421" t="s">
        <v>51</v>
      </c>
      <c r="D421" s="2" t="s">
        <v>42</v>
      </c>
      <c r="E421" s="2">
        <v>23</v>
      </c>
      <c r="F421" s="2">
        <v>23</v>
      </c>
      <c r="G421" s="2">
        <v>788</v>
      </c>
      <c r="H421" s="2">
        <v>5.6</v>
      </c>
      <c r="I421" s="2">
        <v>8.6999999999999993</v>
      </c>
      <c r="J421" s="2">
        <v>0.64700000000000002</v>
      </c>
      <c r="K421" s="2">
        <v>0</v>
      </c>
      <c r="L421" s="2">
        <v>0</v>
      </c>
      <c r="M421" s="2"/>
      <c r="N421" s="2">
        <v>5.6</v>
      </c>
      <c r="O421" s="2">
        <v>8.6999999999999993</v>
      </c>
      <c r="P421" s="2">
        <v>0.64700000000000002</v>
      </c>
      <c r="Q421" s="2">
        <v>0.64700000000000002</v>
      </c>
      <c r="R421" s="2">
        <v>3.9</v>
      </c>
      <c r="S421" s="2">
        <v>5</v>
      </c>
      <c r="T421" s="2">
        <v>0.78800000000000003</v>
      </c>
      <c r="U421" s="2">
        <v>4.7</v>
      </c>
      <c r="V421" s="2">
        <v>11.1</v>
      </c>
      <c r="W421" s="2">
        <v>15.8</v>
      </c>
      <c r="X421" s="2">
        <v>2.9</v>
      </c>
      <c r="Y421" s="2">
        <v>1</v>
      </c>
      <c r="Z421" s="2">
        <v>2.1</v>
      </c>
      <c r="AA421" s="2">
        <v>2.4</v>
      </c>
      <c r="AB421" s="2">
        <v>4.2</v>
      </c>
      <c r="AC421" s="2">
        <v>15.2</v>
      </c>
      <c r="AD421" s="2">
        <v>132</v>
      </c>
      <c r="AE421" s="2">
        <v>106</v>
      </c>
      <c r="AF421" s="2"/>
    </row>
    <row r="422" spans="1:32" x14ac:dyDescent="0.2">
      <c r="A422" t="s">
        <v>202</v>
      </c>
      <c r="B422" s="2">
        <v>26</v>
      </c>
      <c r="C422" t="s">
        <v>41</v>
      </c>
      <c r="D422" s="2" t="s">
        <v>27</v>
      </c>
      <c r="E422" s="2">
        <v>19</v>
      </c>
      <c r="F422" s="2">
        <v>19</v>
      </c>
      <c r="G422" s="2">
        <v>616</v>
      </c>
      <c r="H422" s="2">
        <v>7.2</v>
      </c>
      <c r="I422" s="2">
        <v>14.3</v>
      </c>
      <c r="J422" s="2">
        <v>0.5</v>
      </c>
      <c r="K422" s="2">
        <v>2.5</v>
      </c>
      <c r="L422" s="2">
        <v>5.3</v>
      </c>
      <c r="M422" s="2">
        <v>0.46300000000000002</v>
      </c>
      <c r="N422" s="2">
        <v>4.7</v>
      </c>
      <c r="O422" s="2">
        <v>9</v>
      </c>
      <c r="P422" s="2">
        <v>0.52200000000000002</v>
      </c>
      <c r="Q422" s="2">
        <v>0.58599999999999997</v>
      </c>
      <c r="R422" s="2">
        <v>2.2999999999999998</v>
      </c>
      <c r="S422" s="2">
        <v>2.7</v>
      </c>
      <c r="T422" s="2">
        <v>0.85299999999999998</v>
      </c>
      <c r="U422" s="2">
        <v>2.8</v>
      </c>
      <c r="V422" s="2">
        <v>5.3</v>
      </c>
      <c r="W422" s="2">
        <v>8.1</v>
      </c>
      <c r="X422" s="2">
        <v>2.5</v>
      </c>
      <c r="Y422" s="2">
        <v>1.5</v>
      </c>
      <c r="Z422" s="2">
        <v>1</v>
      </c>
      <c r="AA422" s="2">
        <v>1</v>
      </c>
      <c r="AB422" s="2">
        <v>2.9</v>
      </c>
      <c r="AC422" s="2">
        <v>19.100000000000001</v>
      </c>
      <c r="AD422" s="2">
        <v>127</v>
      </c>
      <c r="AE422" s="2">
        <v>119</v>
      </c>
      <c r="AF422" s="2"/>
    </row>
    <row r="423" spans="1:32" x14ac:dyDescent="0.2">
      <c r="A423" t="s">
        <v>191</v>
      </c>
      <c r="B423" s="2">
        <v>36</v>
      </c>
      <c r="C423" t="s">
        <v>46</v>
      </c>
      <c r="D423" s="2" t="s">
        <v>33</v>
      </c>
      <c r="E423" s="2">
        <v>22</v>
      </c>
      <c r="F423" s="2">
        <v>5</v>
      </c>
      <c r="G423" s="2">
        <v>545</v>
      </c>
      <c r="H423" s="2">
        <v>7.4</v>
      </c>
      <c r="I423" s="2">
        <v>18.600000000000001</v>
      </c>
      <c r="J423" s="2">
        <v>0.39900000000000002</v>
      </c>
      <c r="K423" s="2">
        <v>2.4</v>
      </c>
      <c r="L423" s="2">
        <v>7</v>
      </c>
      <c r="M423" s="2">
        <v>0.35</v>
      </c>
      <c r="N423" s="2">
        <v>5</v>
      </c>
      <c r="O423" s="2">
        <v>11.6</v>
      </c>
      <c r="P423" s="2">
        <v>0.42899999999999999</v>
      </c>
      <c r="Q423" s="2">
        <v>0.46500000000000002</v>
      </c>
      <c r="R423" s="2">
        <v>4.5</v>
      </c>
      <c r="S423" s="2">
        <v>7</v>
      </c>
      <c r="T423" s="2">
        <v>0.63800000000000001</v>
      </c>
      <c r="U423" s="2">
        <v>1.5</v>
      </c>
      <c r="V423" s="2">
        <v>6.2</v>
      </c>
      <c r="W423" s="2">
        <v>7.7</v>
      </c>
      <c r="X423" s="2">
        <v>12.2</v>
      </c>
      <c r="Y423" s="2">
        <v>3</v>
      </c>
      <c r="Z423" s="2">
        <v>1.2</v>
      </c>
      <c r="AA423" s="2">
        <v>4.5999999999999996</v>
      </c>
      <c r="AB423" s="2">
        <v>4.8</v>
      </c>
      <c r="AC423" s="2">
        <v>21.7</v>
      </c>
      <c r="AD423" s="2">
        <v>106</v>
      </c>
      <c r="AE423" s="2">
        <v>112</v>
      </c>
      <c r="AF423" s="2"/>
    </row>
    <row r="424" spans="1:32" x14ac:dyDescent="0.2">
      <c r="A424" t="s">
        <v>318</v>
      </c>
      <c r="B424" s="2">
        <v>22</v>
      </c>
      <c r="C424" t="s">
        <v>54</v>
      </c>
      <c r="D424" s="2" t="s">
        <v>49</v>
      </c>
      <c r="E424" s="2">
        <v>19</v>
      </c>
      <c r="F424" s="2">
        <v>9</v>
      </c>
      <c r="G424" s="2">
        <v>339</v>
      </c>
      <c r="H424" s="2">
        <v>6.5</v>
      </c>
      <c r="I424" s="2">
        <v>16</v>
      </c>
      <c r="J424" s="2">
        <v>0.40899999999999997</v>
      </c>
      <c r="K424" s="2">
        <v>3.2</v>
      </c>
      <c r="L424" s="2">
        <v>10.3</v>
      </c>
      <c r="M424" s="2">
        <v>0.31</v>
      </c>
      <c r="N424" s="2">
        <v>3.3</v>
      </c>
      <c r="O424" s="2">
        <v>5.7</v>
      </c>
      <c r="P424" s="2">
        <v>0.59</v>
      </c>
      <c r="Q424" s="2">
        <v>0.50900000000000001</v>
      </c>
      <c r="R424" s="2">
        <v>0.3</v>
      </c>
      <c r="S424" s="2">
        <v>1.2</v>
      </c>
      <c r="T424" s="2">
        <v>0.25</v>
      </c>
      <c r="U424" s="2">
        <v>1.7</v>
      </c>
      <c r="V424" s="2">
        <v>5.7</v>
      </c>
      <c r="W424" s="2">
        <v>7.4</v>
      </c>
      <c r="X424" s="2">
        <v>2.2000000000000002</v>
      </c>
      <c r="Y424" s="2">
        <v>1.5</v>
      </c>
      <c r="Z424" s="2">
        <v>1.5</v>
      </c>
      <c r="AA424" s="2">
        <v>1.5</v>
      </c>
      <c r="AB424" s="2">
        <v>6.8</v>
      </c>
      <c r="AC424" s="2">
        <v>16.600000000000001</v>
      </c>
      <c r="AD424" s="2">
        <v>100</v>
      </c>
      <c r="AE424" s="2">
        <v>116</v>
      </c>
      <c r="AF424" s="2"/>
    </row>
    <row r="425" spans="1:32" x14ac:dyDescent="0.2">
      <c r="A425" t="s">
        <v>439</v>
      </c>
      <c r="B425" s="2">
        <v>22</v>
      </c>
      <c r="C425" t="s">
        <v>35</v>
      </c>
      <c r="D425" s="2" t="s">
        <v>33</v>
      </c>
      <c r="E425" s="2">
        <v>11</v>
      </c>
      <c r="F425" s="2">
        <v>1</v>
      </c>
      <c r="G425" s="2">
        <v>72</v>
      </c>
      <c r="H425" s="2">
        <v>6.8</v>
      </c>
      <c r="I425" s="2">
        <v>16.899999999999999</v>
      </c>
      <c r="J425" s="2">
        <v>0.4</v>
      </c>
      <c r="K425" s="2">
        <v>4.0999999999999996</v>
      </c>
      <c r="L425" s="2">
        <v>8.1</v>
      </c>
      <c r="M425" s="2">
        <v>0.5</v>
      </c>
      <c r="N425" s="2">
        <v>2.7</v>
      </c>
      <c r="O425" s="2">
        <v>8.8000000000000007</v>
      </c>
      <c r="P425" s="2">
        <v>0.308</v>
      </c>
      <c r="Q425" s="2">
        <v>0.52</v>
      </c>
      <c r="R425" s="2">
        <v>3.4</v>
      </c>
      <c r="S425" s="2">
        <v>4.0999999999999996</v>
      </c>
      <c r="T425" s="2">
        <v>0.83299999999999996</v>
      </c>
      <c r="U425" s="2">
        <v>2</v>
      </c>
      <c r="V425" s="2">
        <v>5.4</v>
      </c>
      <c r="W425" s="2">
        <v>7.5</v>
      </c>
      <c r="X425" s="2">
        <v>6.1</v>
      </c>
      <c r="Y425" s="2">
        <v>4.7</v>
      </c>
      <c r="Z425" s="2">
        <v>2.7</v>
      </c>
      <c r="AA425" s="2">
        <v>4.7</v>
      </c>
      <c r="AB425" s="2">
        <v>6.8</v>
      </c>
      <c r="AC425" s="2">
        <v>21</v>
      </c>
      <c r="AD425" s="2">
        <v>104</v>
      </c>
      <c r="AE425" s="2">
        <v>105</v>
      </c>
      <c r="AF425" s="2"/>
    </row>
    <row r="426" spans="1:32" x14ac:dyDescent="0.2">
      <c r="A426" t="s">
        <v>262</v>
      </c>
      <c r="B426" s="2">
        <v>27</v>
      </c>
      <c r="C426" t="s">
        <v>39</v>
      </c>
      <c r="D426" s="2" t="s">
        <v>27</v>
      </c>
      <c r="E426" s="2">
        <v>20</v>
      </c>
      <c r="F426" s="2">
        <v>2</v>
      </c>
      <c r="G426" s="2">
        <v>443</v>
      </c>
      <c r="H426" s="2">
        <v>6.8</v>
      </c>
      <c r="I426" s="2">
        <v>15.6</v>
      </c>
      <c r="J426" s="2">
        <v>0.44</v>
      </c>
      <c r="K426" s="2">
        <v>4.7</v>
      </c>
      <c r="L426" s="2">
        <v>12.9</v>
      </c>
      <c r="M426" s="2">
        <v>0.36799999999999999</v>
      </c>
      <c r="N426" s="2">
        <v>2.1</v>
      </c>
      <c r="O426" s="2">
        <v>2.7</v>
      </c>
      <c r="P426" s="2">
        <v>0.79200000000000004</v>
      </c>
      <c r="Q426" s="2">
        <v>0.59199999999999997</v>
      </c>
      <c r="R426" s="2">
        <v>0.2</v>
      </c>
      <c r="S426" s="2">
        <v>0.2</v>
      </c>
      <c r="T426" s="2">
        <v>1</v>
      </c>
      <c r="U426" s="2">
        <v>1.8</v>
      </c>
      <c r="V426" s="2">
        <v>5.6</v>
      </c>
      <c r="W426" s="2">
        <v>7.4</v>
      </c>
      <c r="X426" s="2">
        <v>2.2999999999999998</v>
      </c>
      <c r="Y426" s="2">
        <v>1.8</v>
      </c>
      <c r="Z426" s="2">
        <v>0.6</v>
      </c>
      <c r="AA426" s="2">
        <v>0.9</v>
      </c>
      <c r="AB426" s="2">
        <v>2.8</v>
      </c>
      <c r="AC426" s="2">
        <v>18.7</v>
      </c>
      <c r="AD426" s="2">
        <v>122</v>
      </c>
      <c r="AE426" s="2">
        <v>112</v>
      </c>
      <c r="AF426" s="2"/>
    </row>
    <row r="427" spans="1:32" x14ac:dyDescent="0.2">
      <c r="A427" t="s">
        <v>281</v>
      </c>
      <c r="B427" s="2">
        <v>28</v>
      </c>
      <c r="C427" t="s">
        <v>57</v>
      </c>
      <c r="D427" s="2" t="s">
        <v>52</v>
      </c>
      <c r="E427" s="2">
        <v>21</v>
      </c>
      <c r="F427" s="2">
        <v>1</v>
      </c>
      <c r="G427" s="2">
        <v>417</v>
      </c>
      <c r="H427" s="2">
        <v>5.7</v>
      </c>
      <c r="I427" s="2">
        <v>14.5</v>
      </c>
      <c r="J427" s="2">
        <v>0.39700000000000002</v>
      </c>
      <c r="K427" s="2">
        <v>4.4000000000000004</v>
      </c>
      <c r="L427" s="2">
        <v>12.5</v>
      </c>
      <c r="M427" s="2">
        <v>0.34899999999999998</v>
      </c>
      <c r="N427" s="2">
        <v>1.4</v>
      </c>
      <c r="O427" s="2">
        <v>2</v>
      </c>
      <c r="P427" s="2">
        <v>0.70599999999999996</v>
      </c>
      <c r="Q427" s="2">
        <v>0.54800000000000004</v>
      </c>
      <c r="R427" s="2">
        <v>1.3</v>
      </c>
      <c r="S427" s="2">
        <v>1.4</v>
      </c>
      <c r="T427" s="2">
        <v>0.91700000000000004</v>
      </c>
      <c r="U427" s="2">
        <v>0.7</v>
      </c>
      <c r="V427" s="2">
        <v>3.6</v>
      </c>
      <c r="W427" s="2">
        <v>4.3</v>
      </c>
      <c r="X427" s="2">
        <v>4.0999999999999996</v>
      </c>
      <c r="Y427" s="2">
        <v>1.4</v>
      </c>
      <c r="Z427" s="2">
        <v>0.6</v>
      </c>
      <c r="AA427" s="2">
        <v>1.1000000000000001</v>
      </c>
      <c r="AB427" s="2">
        <v>4.9000000000000004</v>
      </c>
      <c r="AC427" s="2">
        <v>17.100000000000001</v>
      </c>
      <c r="AD427" s="2">
        <v>118</v>
      </c>
      <c r="AE427" s="2">
        <v>115</v>
      </c>
      <c r="AF427" s="2"/>
    </row>
    <row r="428" spans="1:32" x14ac:dyDescent="0.2">
      <c r="A428" t="s">
        <v>360</v>
      </c>
      <c r="B428" s="2">
        <v>25</v>
      </c>
      <c r="C428" t="s">
        <v>93</v>
      </c>
      <c r="D428" s="2" t="s">
        <v>27</v>
      </c>
      <c r="E428" s="2">
        <v>17</v>
      </c>
      <c r="F428" s="2">
        <v>0</v>
      </c>
      <c r="G428" s="2">
        <v>160</v>
      </c>
      <c r="H428" s="2">
        <v>8.8000000000000007</v>
      </c>
      <c r="I428" s="2">
        <v>15.5</v>
      </c>
      <c r="J428" s="2">
        <v>0.56899999999999995</v>
      </c>
      <c r="K428" s="2">
        <v>4.9000000000000004</v>
      </c>
      <c r="L428" s="2">
        <v>10.6</v>
      </c>
      <c r="M428" s="2">
        <v>0.45700000000000002</v>
      </c>
      <c r="N428" s="2">
        <v>4</v>
      </c>
      <c r="O428" s="2">
        <v>4.9000000000000004</v>
      </c>
      <c r="P428" s="2">
        <v>0.81299999999999994</v>
      </c>
      <c r="Q428" s="2">
        <v>0.72499999999999998</v>
      </c>
      <c r="R428" s="2">
        <v>3.3</v>
      </c>
      <c r="S428" s="2">
        <v>4.5999999999999996</v>
      </c>
      <c r="T428" s="2">
        <v>0.73299999999999998</v>
      </c>
      <c r="U428" s="2">
        <v>3</v>
      </c>
      <c r="V428" s="2">
        <v>11.9</v>
      </c>
      <c r="W428" s="2">
        <v>14.9</v>
      </c>
      <c r="X428" s="2">
        <v>1.8</v>
      </c>
      <c r="Y428" s="2">
        <v>0.9</v>
      </c>
      <c r="Z428" s="2">
        <v>1.5</v>
      </c>
      <c r="AA428" s="2">
        <v>2.7</v>
      </c>
      <c r="AB428" s="2">
        <v>3.3</v>
      </c>
      <c r="AC428" s="2">
        <v>25.8</v>
      </c>
      <c r="AD428" s="2">
        <v>127</v>
      </c>
      <c r="AE428" s="2">
        <v>113</v>
      </c>
      <c r="AF428" s="2"/>
    </row>
    <row r="429" spans="1:32" x14ac:dyDescent="0.2">
      <c r="A429" t="s">
        <v>145</v>
      </c>
      <c r="B429" s="2">
        <v>24</v>
      </c>
      <c r="C429" t="s">
        <v>80</v>
      </c>
      <c r="D429" s="2" t="s">
        <v>27</v>
      </c>
      <c r="E429" s="2">
        <v>25</v>
      </c>
      <c r="F429" s="2">
        <v>11</v>
      </c>
      <c r="G429" s="2">
        <v>672</v>
      </c>
      <c r="H429" s="2">
        <v>9.1999999999999993</v>
      </c>
      <c r="I429" s="2">
        <v>17.399999999999999</v>
      </c>
      <c r="J429" s="2">
        <v>0.52500000000000002</v>
      </c>
      <c r="K429" s="2">
        <v>2.7</v>
      </c>
      <c r="L429" s="2">
        <v>7.1</v>
      </c>
      <c r="M429" s="2">
        <v>0.375</v>
      </c>
      <c r="N429" s="2">
        <v>6.5</v>
      </c>
      <c r="O429" s="2">
        <v>10.3</v>
      </c>
      <c r="P429" s="2">
        <v>0.629</v>
      </c>
      <c r="Q429" s="2">
        <v>0.60199999999999998</v>
      </c>
      <c r="R429" s="2">
        <v>1.6</v>
      </c>
      <c r="S429" s="2">
        <v>2.1</v>
      </c>
      <c r="T429" s="2">
        <v>0.77400000000000002</v>
      </c>
      <c r="U429" s="2">
        <v>2.9</v>
      </c>
      <c r="V429" s="2">
        <v>9.9</v>
      </c>
      <c r="W429" s="2">
        <v>12.8</v>
      </c>
      <c r="X429" s="2">
        <v>5.5</v>
      </c>
      <c r="Y429" s="2">
        <v>1.6</v>
      </c>
      <c r="Z429" s="2">
        <v>0.9</v>
      </c>
      <c r="AA429" s="2">
        <v>2.2000000000000002</v>
      </c>
      <c r="AB429" s="2">
        <v>2</v>
      </c>
      <c r="AC429" s="2">
        <v>22.6</v>
      </c>
      <c r="AD429" s="2">
        <v>125</v>
      </c>
      <c r="AE429" s="2">
        <v>108</v>
      </c>
      <c r="AF429" s="2"/>
    </row>
    <row r="430" spans="1:32" x14ac:dyDescent="0.2">
      <c r="A430" t="s">
        <v>231</v>
      </c>
      <c r="B430" s="2">
        <v>20</v>
      </c>
      <c r="C430" t="s">
        <v>135</v>
      </c>
      <c r="D430" s="2" t="s">
        <v>33</v>
      </c>
      <c r="E430" s="2">
        <v>17</v>
      </c>
      <c r="F430" s="2">
        <v>3</v>
      </c>
      <c r="G430" s="2">
        <v>445</v>
      </c>
      <c r="H430" s="2">
        <v>7.8</v>
      </c>
      <c r="I430" s="2">
        <v>18.600000000000001</v>
      </c>
      <c r="J430" s="2">
        <v>0.41899999999999998</v>
      </c>
      <c r="K430" s="2">
        <v>1.8</v>
      </c>
      <c r="L430" s="2">
        <v>5.7</v>
      </c>
      <c r="M430" s="2">
        <v>0.32100000000000001</v>
      </c>
      <c r="N430" s="2">
        <v>6</v>
      </c>
      <c r="O430" s="2">
        <v>12.9</v>
      </c>
      <c r="P430" s="2">
        <v>0.46200000000000002</v>
      </c>
      <c r="Q430" s="2">
        <v>0.46800000000000003</v>
      </c>
      <c r="R430" s="2">
        <v>4.2</v>
      </c>
      <c r="S430" s="2">
        <v>5.4</v>
      </c>
      <c r="T430" s="2">
        <v>0.78</v>
      </c>
      <c r="U430" s="2">
        <v>1.3</v>
      </c>
      <c r="V430" s="2">
        <v>3.9</v>
      </c>
      <c r="W430" s="2">
        <v>5.2</v>
      </c>
      <c r="X430" s="2">
        <v>9.4</v>
      </c>
      <c r="Y430" s="2">
        <v>1.7</v>
      </c>
      <c r="Z430" s="2">
        <v>0.2</v>
      </c>
      <c r="AA430" s="2">
        <v>5.6</v>
      </c>
      <c r="AB430" s="2">
        <v>4.7</v>
      </c>
      <c r="AC430" s="2">
        <v>21.6</v>
      </c>
      <c r="AD430" s="2">
        <v>100</v>
      </c>
      <c r="AE430" s="2">
        <v>119</v>
      </c>
      <c r="AF430" s="2"/>
    </row>
    <row r="431" spans="1:32" x14ac:dyDescent="0.2">
      <c r="A431" t="s">
        <v>167</v>
      </c>
      <c r="B431" s="2">
        <v>23</v>
      </c>
      <c r="C431" t="s">
        <v>66</v>
      </c>
      <c r="D431" s="2" t="s">
        <v>27</v>
      </c>
      <c r="E431" s="2">
        <v>14</v>
      </c>
      <c r="F431" s="2">
        <v>14</v>
      </c>
      <c r="G431" s="2">
        <v>465</v>
      </c>
      <c r="H431" s="2">
        <v>11</v>
      </c>
      <c r="I431" s="2">
        <v>23.9</v>
      </c>
      <c r="J431" s="2">
        <v>0.46100000000000002</v>
      </c>
      <c r="K431" s="2">
        <v>2.7</v>
      </c>
      <c r="L431" s="2">
        <v>8.6999999999999993</v>
      </c>
      <c r="M431" s="2">
        <v>0.31</v>
      </c>
      <c r="N431" s="2">
        <v>8.3000000000000007</v>
      </c>
      <c r="O431" s="2">
        <v>15.2</v>
      </c>
      <c r="P431" s="2">
        <v>0.54800000000000004</v>
      </c>
      <c r="Q431" s="2">
        <v>0.51700000000000002</v>
      </c>
      <c r="R431" s="2">
        <v>5.2</v>
      </c>
      <c r="S431" s="2">
        <v>7.2</v>
      </c>
      <c r="T431" s="2">
        <v>0.72499999999999998</v>
      </c>
      <c r="U431" s="2">
        <v>3</v>
      </c>
      <c r="V431" s="2">
        <v>9.1999999999999993</v>
      </c>
      <c r="W431" s="2">
        <v>12.3</v>
      </c>
      <c r="X431" s="2">
        <v>10.8</v>
      </c>
      <c r="Y431" s="2">
        <v>1.9</v>
      </c>
      <c r="Z431" s="2">
        <v>1</v>
      </c>
      <c r="AA431" s="2">
        <v>5.2</v>
      </c>
      <c r="AB431" s="2">
        <v>2.8</v>
      </c>
      <c r="AC431" s="2">
        <v>29.9</v>
      </c>
      <c r="AD431" s="2">
        <v>111</v>
      </c>
      <c r="AE431" s="2">
        <v>114</v>
      </c>
      <c r="AF431" s="2"/>
    </row>
    <row r="432" spans="1:32" x14ac:dyDescent="0.2">
      <c r="A432" t="s">
        <v>181</v>
      </c>
      <c r="B432" s="2">
        <v>24</v>
      </c>
      <c r="C432" t="s">
        <v>80</v>
      </c>
      <c r="D432" s="2" t="s">
        <v>33</v>
      </c>
      <c r="E432" s="2">
        <v>25</v>
      </c>
      <c r="F432" s="2">
        <v>10</v>
      </c>
      <c r="G432" s="2">
        <v>583</v>
      </c>
      <c r="H432" s="2">
        <v>8.1</v>
      </c>
      <c r="I432" s="2">
        <v>17.2</v>
      </c>
      <c r="J432" s="2">
        <v>0.47199999999999998</v>
      </c>
      <c r="K432" s="2">
        <v>1.9</v>
      </c>
      <c r="L432" s="2">
        <v>5.7</v>
      </c>
      <c r="M432" s="2">
        <v>0.33300000000000002</v>
      </c>
      <c r="N432" s="2">
        <v>6.2</v>
      </c>
      <c r="O432" s="2">
        <v>11.5</v>
      </c>
      <c r="P432" s="2">
        <v>0.54100000000000004</v>
      </c>
      <c r="Q432" s="2">
        <v>0.52800000000000002</v>
      </c>
      <c r="R432" s="2">
        <v>3</v>
      </c>
      <c r="S432" s="2">
        <v>4.2</v>
      </c>
      <c r="T432" s="2">
        <v>0.71699999999999997</v>
      </c>
      <c r="U432" s="2">
        <v>1.2</v>
      </c>
      <c r="V432" s="2">
        <v>5.9</v>
      </c>
      <c r="W432" s="2">
        <v>7.1</v>
      </c>
      <c r="X432" s="2">
        <v>10.7</v>
      </c>
      <c r="Y432" s="2">
        <v>2.2000000000000002</v>
      </c>
      <c r="Z432" s="2">
        <v>0.6</v>
      </c>
      <c r="AA432" s="2">
        <v>4</v>
      </c>
      <c r="AB432" s="2">
        <v>5</v>
      </c>
      <c r="AC432" s="2">
        <v>21.1</v>
      </c>
      <c r="AD432" s="2">
        <v>113</v>
      </c>
      <c r="AE432" s="2">
        <v>109</v>
      </c>
      <c r="AF432" s="2"/>
    </row>
    <row r="433" spans="1:32" x14ac:dyDescent="0.2">
      <c r="A433" t="s">
        <v>323</v>
      </c>
      <c r="B433" s="2">
        <v>34</v>
      </c>
      <c r="C433" t="s">
        <v>59</v>
      </c>
      <c r="D433" s="2" t="s">
        <v>52</v>
      </c>
      <c r="E433" s="2">
        <v>23</v>
      </c>
      <c r="F433" s="2">
        <v>4</v>
      </c>
      <c r="G433" s="2">
        <v>285</v>
      </c>
      <c r="H433" s="2">
        <v>7.1</v>
      </c>
      <c r="I433" s="2">
        <v>15</v>
      </c>
      <c r="J433" s="2">
        <v>0.47699999999999998</v>
      </c>
      <c r="K433" s="2">
        <v>3.5</v>
      </c>
      <c r="L433" s="2">
        <v>7.8</v>
      </c>
      <c r="M433" s="2">
        <v>0.44400000000000001</v>
      </c>
      <c r="N433" s="2">
        <v>3.7</v>
      </c>
      <c r="O433" s="2">
        <v>7.1</v>
      </c>
      <c r="P433" s="2">
        <v>0.51200000000000001</v>
      </c>
      <c r="Q433" s="2">
        <v>0.59299999999999997</v>
      </c>
      <c r="R433" s="2">
        <v>1.6</v>
      </c>
      <c r="S433" s="2">
        <v>1.9</v>
      </c>
      <c r="T433" s="2">
        <v>0.81799999999999995</v>
      </c>
      <c r="U433" s="2">
        <v>1.6</v>
      </c>
      <c r="V433" s="2">
        <v>3.8</v>
      </c>
      <c r="W433" s="2">
        <v>5.4</v>
      </c>
      <c r="X433" s="2">
        <v>1.4</v>
      </c>
      <c r="Y433" s="2">
        <v>1.7</v>
      </c>
      <c r="Z433" s="2">
        <v>0.7</v>
      </c>
      <c r="AA433" s="2">
        <v>1</v>
      </c>
      <c r="AB433" s="2">
        <v>4</v>
      </c>
      <c r="AC433" s="2">
        <v>19.3</v>
      </c>
      <c r="AD433" s="2">
        <v>124</v>
      </c>
      <c r="AE433" s="2">
        <v>117</v>
      </c>
      <c r="AF433" s="2"/>
    </row>
    <row r="434" spans="1:32" x14ac:dyDescent="0.2">
      <c r="A434" t="s">
        <v>174</v>
      </c>
      <c r="B434" s="2">
        <v>21</v>
      </c>
      <c r="C434" t="s">
        <v>135</v>
      </c>
      <c r="D434" s="2" t="s">
        <v>52</v>
      </c>
      <c r="E434" s="2">
        <v>16</v>
      </c>
      <c r="F434" s="2">
        <v>14</v>
      </c>
      <c r="G434" s="2">
        <v>489</v>
      </c>
      <c r="H434" s="2">
        <v>9.6999999999999993</v>
      </c>
      <c r="I434" s="2">
        <v>22.6</v>
      </c>
      <c r="J434" s="2">
        <v>0.432</v>
      </c>
      <c r="K434" s="2">
        <v>2.8</v>
      </c>
      <c r="L434" s="2">
        <v>9.6999999999999993</v>
      </c>
      <c r="M434" s="2">
        <v>0.28299999999999997</v>
      </c>
      <c r="N434" s="2">
        <v>7</v>
      </c>
      <c r="O434" s="2">
        <v>12.8</v>
      </c>
      <c r="P434" s="2">
        <v>0.54600000000000004</v>
      </c>
      <c r="Q434" s="2">
        <v>0.49299999999999999</v>
      </c>
      <c r="R434" s="2">
        <v>5.0999999999999996</v>
      </c>
      <c r="S434" s="2">
        <v>6.4</v>
      </c>
      <c r="T434" s="2">
        <v>0.8</v>
      </c>
      <c r="U434" s="2">
        <v>1.2</v>
      </c>
      <c r="V434" s="2">
        <v>4</v>
      </c>
      <c r="W434" s="2">
        <v>5.2</v>
      </c>
      <c r="X434" s="2">
        <v>3.7</v>
      </c>
      <c r="Y434" s="2">
        <v>1.3</v>
      </c>
      <c r="Z434" s="2">
        <v>0.3</v>
      </c>
      <c r="AA434" s="2">
        <v>3.2</v>
      </c>
      <c r="AB434" s="2">
        <v>2.8</v>
      </c>
      <c r="AC434" s="2">
        <v>27.4</v>
      </c>
      <c r="AD434" s="2">
        <v>107</v>
      </c>
      <c r="AE434" s="2">
        <v>120</v>
      </c>
      <c r="AF434" s="2"/>
    </row>
    <row r="435" spans="1:32" x14ac:dyDescent="0.2">
      <c r="A435" t="s">
        <v>31</v>
      </c>
      <c r="B435" s="2">
        <v>26</v>
      </c>
      <c r="C435" t="s">
        <v>32</v>
      </c>
      <c r="D435" s="2" t="s">
        <v>33</v>
      </c>
      <c r="E435" s="2">
        <v>24</v>
      </c>
      <c r="F435" s="2">
        <v>24</v>
      </c>
      <c r="G435" s="2">
        <v>823</v>
      </c>
      <c r="H435" s="2">
        <v>14.9</v>
      </c>
      <c r="I435" s="2">
        <v>28.9</v>
      </c>
      <c r="J435" s="2">
        <v>0.51500000000000001</v>
      </c>
      <c r="K435" s="2">
        <v>3</v>
      </c>
      <c r="L435" s="2">
        <v>8.8000000000000007</v>
      </c>
      <c r="M435" s="2">
        <v>0.34</v>
      </c>
      <c r="N435" s="2">
        <v>11.9</v>
      </c>
      <c r="O435" s="2">
        <v>20.2</v>
      </c>
      <c r="P435" s="2">
        <v>0.59099999999999997</v>
      </c>
      <c r="Q435" s="2">
        <v>0.56699999999999995</v>
      </c>
      <c r="R435" s="2">
        <v>9.6</v>
      </c>
      <c r="S435" s="2">
        <v>11.2</v>
      </c>
      <c r="T435" s="2">
        <v>0.85899999999999999</v>
      </c>
      <c r="U435" s="2">
        <v>1.2</v>
      </c>
      <c r="V435" s="2">
        <v>6.4</v>
      </c>
      <c r="W435" s="2">
        <v>7.5</v>
      </c>
      <c r="X435" s="2">
        <v>8.8000000000000007</v>
      </c>
      <c r="Y435" s="2">
        <v>2.5</v>
      </c>
      <c r="Z435" s="2">
        <v>1.4</v>
      </c>
      <c r="AA435" s="2">
        <v>3.7</v>
      </c>
      <c r="AB435" s="2">
        <v>3</v>
      </c>
      <c r="AC435" s="2">
        <v>42.3</v>
      </c>
      <c r="AD435" s="2">
        <v>125</v>
      </c>
      <c r="AE435" s="2">
        <v>104</v>
      </c>
      <c r="AF435" s="2"/>
    </row>
    <row r="436" spans="1:32" x14ac:dyDescent="0.2">
      <c r="A436" t="s">
        <v>316</v>
      </c>
      <c r="B436" s="2">
        <v>28</v>
      </c>
      <c r="C436" t="s">
        <v>103</v>
      </c>
      <c r="D436" s="2" t="s">
        <v>52</v>
      </c>
      <c r="E436" s="2">
        <v>20</v>
      </c>
      <c r="F436" s="2">
        <v>0</v>
      </c>
      <c r="G436" s="2">
        <v>327</v>
      </c>
      <c r="H436" s="2">
        <v>6.7</v>
      </c>
      <c r="I436" s="2">
        <v>14.1</v>
      </c>
      <c r="J436" s="2">
        <v>0.47299999999999998</v>
      </c>
      <c r="K436" s="2">
        <v>2.9</v>
      </c>
      <c r="L436" s="2">
        <v>6.8</v>
      </c>
      <c r="M436" s="2">
        <v>0.42199999999999999</v>
      </c>
      <c r="N436" s="2">
        <v>3.8</v>
      </c>
      <c r="O436" s="2">
        <v>7.3</v>
      </c>
      <c r="P436" s="2">
        <v>0.52100000000000002</v>
      </c>
      <c r="Q436" s="2">
        <v>0.57499999999999996</v>
      </c>
      <c r="R436" s="2">
        <v>1.8</v>
      </c>
      <c r="S436" s="2">
        <v>2.6</v>
      </c>
      <c r="T436" s="2">
        <v>0.70599999999999996</v>
      </c>
      <c r="U436" s="2">
        <v>1.4</v>
      </c>
      <c r="V436" s="2">
        <v>3.2</v>
      </c>
      <c r="W436" s="2">
        <v>4.5999999999999996</v>
      </c>
      <c r="X436" s="2">
        <v>6.2</v>
      </c>
      <c r="Y436" s="2">
        <v>1.2</v>
      </c>
      <c r="Z436" s="2">
        <v>0.2</v>
      </c>
      <c r="AA436" s="2">
        <v>2</v>
      </c>
      <c r="AB436" s="2">
        <v>3.5</v>
      </c>
      <c r="AC436" s="2">
        <v>18.100000000000001</v>
      </c>
      <c r="AD436" s="2">
        <v>120</v>
      </c>
      <c r="AE436" s="2">
        <v>120</v>
      </c>
      <c r="AF436" s="2"/>
    </row>
    <row r="437" spans="1:32" x14ac:dyDescent="0.2">
      <c r="A437" t="s">
        <v>517</v>
      </c>
      <c r="B437" s="2">
        <v>20</v>
      </c>
      <c r="C437" t="s">
        <v>93</v>
      </c>
      <c r="D437" s="2" t="s">
        <v>49</v>
      </c>
      <c r="E437" s="2">
        <v>10</v>
      </c>
      <c r="F437" s="2">
        <v>0</v>
      </c>
      <c r="G437" s="2">
        <v>30</v>
      </c>
      <c r="H437" s="2">
        <v>3.2</v>
      </c>
      <c r="I437" s="2">
        <v>11.3</v>
      </c>
      <c r="J437" s="2">
        <v>0.28599999999999998</v>
      </c>
      <c r="K437" s="2">
        <v>1.6</v>
      </c>
      <c r="L437" s="2">
        <v>3.2</v>
      </c>
      <c r="M437" s="2">
        <v>0.5</v>
      </c>
      <c r="N437" s="2">
        <v>1.6</v>
      </c>
      <c r="O437" s="2">
        <v>8.1</v>
      </c>
      <c r="P437" s="2">
        <v>0.2</v>
      </c>
      <c r="Q437" s="2">
        <v>0.35699999999999998</v>
      </c>
      <c r="R437" s="2">
        <v>0</v>
      </c>
      <c r="S437" s="2">
        <v>6.5</v>
      </c>
      <c r="T437" s="2">
        <v>0</v>
      </c>
      <c r="U437" s="2">
        <v>3.2</v>
      </c>
      <c r="V437" s="2">
        <v>9.6999999999999993</v>
      </c>
      <c r="W437" s="2">
        <v>13</v>
      </c>
      <c r="X437" s="2">
        <v>8.1</v>
      </c>
      <c r="Y437" s="2">
        <v>0</v>
      </c>
      <c r="Z437" s="2">
        <v>0</v>
      </c>
      <c r="AA437" s="2">
        <v>1.6</v>
      </c>
      <c r="AB437" s="2">
        <v>6.5</v>
      </c>
      <c r="AC437" s="2">
        <v>8.1</v>
      </c>
      <c r="AD437" s="2">
        <v>87</v>
      </c>
      <c r="AE437" s="2">
        <v>118</v>
      </c>
      <c r="AF437" s="2"/>
    </row>
    <row r="438" spans="1:32" x14ac:dyDescent="0.2">
      <c r="A438" t="s">
        <v>278</v>
      </c>
      <c r="B438" s="2">
        <v>29</v>
      </c>
      <c r="C438" t="s">
        <v>75</v>
      </c>
      <c r="D438" s="2" t="s">
        <v>49</v>
      </c>
      <c r="E438" s="2">
        <v>24</v>
      </c>
      <c r="F438" s="2">
        <v>0</v>
      </c>
      <c r="G438" s="2">
        <v>432</v>
      </c>
      <c r="H438" s="2">
        <v>5.5</v>
      </c>
      <c r="I438" s="2">
        <v>14</v>
      </c>
      <c r="J438" s="2">
        <v>0.39500000000000002</v>
      </c>
      <c r="K438" s="2">
        <v>3.3</v>
      </c>
      <c r="L438" s="2">
        <v>9.5</v>
      </c>
      <c r="M438" s="2">
        <v>0.34499999999999997</v>
      </c>
      <c r="N438" s="2">
        <v>2.2999999999999998</v>
      </c>
      <c r="O438" s="2">
        <v>4.5</v>
      </c>
      <c r="P438" s="2">
        <v>0.5</v>
      </c>
      <c r="Q438" s="2">
        <v>0.51200000000000001</v>
      </c>
      <c r="R438" s="2">
        <v>2.8</v>
      </c>
      <c r="S438" s="2">
        <v>3.6</v>
      </c>
      <c r="T438" s="2">
        <v>0.78100000000000003</v>
      </c>
      <c r="U438" s="2">
        <v>1.4</v>
      </c>
      <c r="V438" s="2">
        <v>6.7</v>
      </c>
      <c r="W438" s="2">
        <v>8</v>
      </c>
      <c r="X438" s="2">
        <v>2.4</v>
      </c>
      <c r="Y438" s="2">
        <v>0.7</v>
      </c>
      <c r="Z438" s="2">
        <v>0.6</v>
      </c>
      <c r="AA438" s="2">
        <v>1.9</v>
      </c>
      <c r="AB438" s="2">
        <v>3.7</v>
      </c>
      <c r="AC438" s="2">
        <v>17.2</v>
      </c>
      <c r="AD438" s="2">
        <v>109</v>
      </c>
      <c r="AE438" s="2">
        <v>116</v>
      </c>
      <c r="AF438" s="2"/>
    </row>
    <row r="439" spans="1:32" x14ac:dyDescent="0.2">
      <c r="A439" t="s">
        <v>243</v>
      </c>
      <c r="B439" s="2">
        <v>31</v>
      </c>
      <c r="C439" t="s">
        <v>63</v>
      </c>
      <c r="D439" s="2" t="s">
        <v>33</v>
      </c>
      <c r="E439" s="2">
        <v>23</v>
      </c>
      <c r="F439" s="2">
        <v>0</v>
      </c>
      <c r="G439" s="2">
        <v>492</v>
      </c>
      <c r="H439" s="2">
        <v>5.4</v>
      </c>
      <c r="I439" s="2">
        <v>13.4</v>
      </c>
      <c r="J439" s="2">
        <v>0.40100000000000002</v>
      </c>
      <c r="K439" s="2">
        <v>3.1</v>
      </c>
      <c r="L439" s="2">
        <v>8.1999999999999993</v>
      </c>
      <c r="M439" s="2">
        <v>0.38100000000000001</v>
      </c>
      <c r="N439" s="2">
        <v>2.2999999999999998</v>
      </c>
      <c r="O439" s="2">
        <v>5.2</v>
      </c>
      <c r="P439" s="2">
        <v>0.434</v>
      </c>
      <c r="Q439" s="2">
        <v>0.51800000000000002</v>
      </c>
      <c r="R439" s="2">
        <v>4.5</v>
      </c>
      <c r="S439" s="2">
        <v>5.2</v>
      </c>
      <c r="T439" s="2">
        <v>0.86799999999999999</v>
      </c>
      <c r="U439" s="2">
        <v>0.4</v>
      </c>
      <c r="V439" s="2">
        <v>3.6</v>
      </c>
      <c r="W439" s="2">
        <v>4</v>
      </c>
      <c r="X439" s="2">
        <v>6.9</v>
      </c>
      <c r="Y439" s="2">
        <v>1.6</v>
      </c>
      <c r="Z439" s="2">
        <v>0.6</v>
      </c>
      <c r="AA439" s="2">
        <v>1.8</v>
      </c>
      <c r="AB439" s="2">
        <v>3.6</v>
      </c>
      <c r="AC439" s="2">
        <v>18.399999999999999</v>
      </c>
      <c r="AD439" s="2">
        <v>126</v>
      </c>
      <c r="AE439" s="2">
        <v>115</v>
      </c>
      <c r="AF439" s="2"/>
    </row>
    <row r="440" spans="1:32" x14ac:dyDescent="0.2">
      <c r="A440" t="s">
        <v>562</v>
      </c>
      <c r="B440" s="2">
        <v>23</v>
      </c>
      <c r="C440" t="s">
        <v>46</v>
      </c>
      <c r="D440" s="2" t="s">
        <v>49</v>
      </c>
      <c r="E440" s="2">
        <v>2</v>
      </c>
      <c r="F440" s="2">
        <v>0</v>
      </c>
      <c r="G440" s="2">
        <v>4</v>
      </c>
      <c r="H440" s="2">
        <v>0</v>
      </c>
      <c r="I440" s="2">
        <v>11.9</v>
      </c>
      <c r="J440" s="2">
        <v>0</v>
      </c>
      <c r="K440" s="2">
        <v>0</v>
      </c>
      <c r="L440" s="2">
        <v>11.9</v>
      </c>
      <c r="M440" s="2">
        <v>0</v>
      </c>
      <c r="N440" s="2">
        <v>0</v>
      </c>
      <c r="O440" s="2">
        <v>0</v>
      </c>
      <c r="P440" s="2"/>
      <c r="Q440" s="2">
        <v>0</v>
      </c>
      <c r="R440" s="2">
        <v>0</v>
      </c>
      <c r="S440" s="2">
        <v>0</v>
      </c>
      <c r="T440" s="2"/>
      <c r="U440" s="2">
        <v>0</v>
      </c>
      <c r="V440" s="2">
        <v>11.9</v>
      </c>
      <c r="W440" s="2">
        <v>11.9</v>
      </c>
      <c r="X440" s="2">
        <v>0</v>
      </c>
      <c r="Y440" s="2">
        <v>23.8</v>
      </c>
      <c r="Z440" s="2">
        <v>0</v>
      </c>
      <c r="AA440" s="2">
        <v>0</v>
      </c>
      <c r="AB440" s="2">
        <v>0</v>
      </c>
      <c r="AC440" s="2">
        <v>0</v>
      </c>
      <c r="AD440" s="2">
        <v>0</v>
      </c>
      <c r="AE440" s="2">
        <v>62</v>
      </c>
      <c r="AF440" s="2"/>
    </row>
    <row r="441" spans="1:32" x14ac:dyDescent="0.2">
      <c r="A441" t="s">
        <v>542</v>
      </c>
      <c r="B441" s="2">
        <v>25</v>
      </c>
      <c r="C441" t="s">
        <v>35</v>
      </c>
      <c r="D441" s="2" t="s">
        <v>52</v>
      </c>
      <c r="E441" s="2">
        <v>6</v>
      </c>
      <c r="F441" s="2">
        <v>0</v>
      </c>
      <c r="G441" s="2">
        <v>17</v>
      </c>
      <c r="H441" s="2">
        <v>2.9</v>
      </c>
      <c r="I441" s="2">
        <v>8.6</v>
      </c>
      <c r="J441" s="2">
        <v>0.33300000000000002</v>
      </c>
      <c r="K441" s="2">
        <v>2.9</v>
      </c>
      <c r="L441" s="2">
        <v>8.6</v>
      </c>
      <c r="M441" s="2">
        <v>0.33300000000000002</v>
      </c>
      <c r="N441" s="2">
        <v>0</v>
      </c>
      <c r="O441" s="2">
        <v>0</v>
      </c>
      <c r="P441" s="2"/>
      <c r="Q441" s="2">
        <v>0.5</v>
      </c>
      <c r="R441" s="2">
        <v>0</v>
      </c>
      <c r="S441" s="2">
        <v>5.7</v>
      </c>
      <c r="T441" s="2">
        <v>0</v>
      </c>
      <c r="U441" s="2">
        <v>0</v>
      </c>
      <c r="V441" s="2">
        <v>8.6</v>
      </c>
      <c r="W441" s="2">
        <v>8.6</v>
      </c>
      <c r="X441" s="2">
        <v>2.9</v>
      </c>
      <c r="Y441" s="2">
        <v>0</v>
      </c>
      <c r="Z441" s="2">
        <v>2.9</v>
      </c>
      <c r="AA441" s="2">
        <v>0</v>
      </c>
      <c r="AB441" s="2">
        <v>0</v>
      </c>
      <c r="AC441" s="2">
        <v>8.6</v>
      </c>
      <c r="AD441" s="2">
        <v>88</v>
      </c>
      <c r="AE441" s="2">
        <v>114</v>
      </c>
      <c r="AF441" s="2"/>
    </row>
    <row r="442" spans="1:32" x14ac:dyDescent="0.2">
      <c r="A442" t="s">
        <v>99</v>
      </c>
      <c r="B442" s="2">
        <v>36</v>
      </c>
      <c r="C442" t="s">
        <v>100</v>
      </c>
      <c r="D442" s="2" t="s">
        <v>33</v>
      </c>
      <c r="E442" s="2">
        <v>19</v>
      </c>
      <c r="F442" s="2">
        <v>19</v>
      </c>
      <c r="G442" s="2">
        <v>583</v>
      </c>
      <c r="H442" s="2">
        <v>11.7</v>
      </c>
      <c r="I442" s="2">
        <v>25.9</v>
      </c>
      <c r="J442" s="2">
        <v>0.45100000000000001</v>
      </c>
      <c r="K442" s="2">
        <v>6.4</v>
      </c>
      <c r="L442" s="2">
        <v>15.6</v>
      </c>
      <c r="M442" s="2">
        <v>0.41299999999999998</v>
      </c>
      <c r="N442" s="2">
        <v>5.3</v>
      </c>
      <c r="O442" s="2">
        <v>10.4</v>
      </c>
      <c r="P442" s="2">
        <v>0.50800000000000001</v>
      </c>
      <c r="Q442" s="2">
        <v>0.57499999999999996</v>
      </c>
      <c r="R442" s="2">
        <v>5.8</v>
      </c>
      <c r="S442" s="2">
        <v>6.3</v>
      </c>
      <c r="T442" s="2">
        <v>0.92200000000000004</v>
      </c>
      <c r="U442" s="2">
        <v>0.8</v>
      </c>
      <c r="V442" s="2">
        <v>7.2</v>
      </c>
      <c r="W442" s="2">
        <v>8.1</v>
      </c>
      <c r="X442" s="2">
        <v>10.1</v>
      </c>
      <c r="Y442" s="2">
        <v>2.1</v>
      </c>
      <c r="Z442" s="2">
        <v>0.7</v>
      </c>
      <c r="AA442" s="2">
        <v>5.0999999999999996</v>
      </c>
      <c r="AB442" s="2">
        <v>1.6</v>
      </c>
      <c r="AC442" s="2">
        <v>35.6</v>
      </c>
      <c r="AD442" s="2">
        <v>118</v>
      </c>
      <c r="AE442" s="2">
        <v>108</v>
      </c>
      <c r="AF442" s="2"/>
    </row>
    <row r="443" spans="1:32" x14ac:dyDescent="0.2">
      <c r="A443" t="s">
        <v>163</v>
      </c>
      <c r="B443" s="2">
        <v>20</v>
      </c>
      <c r="C443" t="s">
        <v>93</v>
      </c>
      <c r="D443" s="2" t="s">
        <v>33</v>
      </c>
      <c r="E443" s="2">
        <v>24</v>
      </c>
      <c r="F443" s="2">
        <v>17</v>
      </c>
      <c r="G443" s="2">
        <v>658</v>
      </c>
      <c r="H443" s="2">
        <v>7.4</v>
      </c>
      <c r="I443" s="2">
        <v>19.100000000000001</v>
      </c>
      <c r="J443" s="2">
        <v>0.38600000000000001</v>
      </c>
      <c r="K443" s="2">
        <v>2.1</v>
      </c>
      <c r="L443" s="2">
        <v>7.6</v>
      </c>
      <c r="M443" s="2">
        <v>0.28199999999999997</v>
      </c>
      <c r="N443" s="2">
        <v>5.2</v>
      </c>
      <c r="O443" s="2">
        <v>11.5</v>
      </c>
      <c r="P443" s="2">
        <v>0.45500000000000002</v>
      </c>
      <c r="Q443" s="2">
        <v>0.442</v>
      </c>
      <c r="R443" s="2">
        <v>4.5999999999999996</v>
      </c>
      <c r="S443" s="2">
        <v>6.2</v>
      </c>
      <c r="T443" s="2">
        <v>0.73799999999999999</v>
      </c>
      <c r="U443" s="2">
        <v>1.4</v>
      </c>
      <c r="V443" s="2">
        <v>3.3</v>
      </c>
      <c r="W443" s="2">
        <v>4.7</v>
      </c>
      <c r="X443" s="2">
        <v>6.8</v>
      </c>
      <c r="Y443" s="2">
        <v>1.6</v>
      </c>
      <c r="Z443" s="2">
        <v>0.7</v>
      </c>
      <c r="AA443" s="2">
        <v>3.3</v>
      </c>
      <c r="AB443" s="2">
        <v>3</v>
      </c>
      <c r="AC443" s="2">
        <v>21.5</v>
      </c>
      <c r="AD443" s="2">
        <v>102</v>
      </c>
      <c r="AE443" s="2">
        <v>117</v>
      </c>
      <c r="AF443" s="2"/>
    </row>
    <row r="444" spans="1:32" x14ac:dyDescent="0.2">
      <c r="A444" t="s">
        <v>428</v>
      </c>
      <c r="B444" s="2">
        <v>31</v>
      </c>
      <c r="C444" t="s">
        <v>87</v>
      </c>
      <c r="D444" s="2" t="s">
        <v>42</v>
      </c>
      <c r="E444" s="2">
        <v>13</v>
      </c>
      <c r="F444" s="2">
        <v>0</v>
      </c>
      <c r="G444" s="2">
        <v>144</v>
      </c>
      <c r="H444" s="2">
        <v>4.4000000000000004</v>
      </c>
      <c r="I444" s="2">
        <v>7.4</v>
      </c>
      <c r="J444" s="2">
        <v>0.59099999999999997</v>
      </c>
      <c r="K444" s="2">
        <v>0</v>
      </c>
      <c r="L444" s="2">
        <v>0</v>
      </c>
      <c r="M444" s="2"/>
      <c r="N444" s="2">
        <v>4.4000000000000004</v>
      </c>
      <c r="O444" s="2">
        <v>7.4</v>
      </c>
      <c r="P444" s="2">
        <v>0.59099999999999997</v>
      </c>
      <c r="Q444" s="2">
        <v>0.59099999999999997</v>
      </c>
      <c r="R444" s="2">
        <v>2.7</v>
      </c>
      <c r="S444" s="2">
        <v>6.7</v>
      </c>
      <c r="T444" s="2">
        <v>0.4</v>
      </c>
      <c r="U444" s="2">
        <v>6.4</v>
      </c>
      <c r="V444" s="2">
        <v>7.7</v>
      </c>
      <c r="W444" s="2">
        <v>14.1</v>
      </c>
      <c r="X444" s="2">
        <v>4.7</v>
      </c>
      <c r="Y444" s="2">
        <v>1</v>
      </c>
      <c r="Z444" s="2">
        <v>0.7</v>
      </c>
      <c r="AA444" s="2">
        <v>5.7</v>
      </c>
      <c r="AB444" s="2">
        <v>5.4</v>
      </c>
      <c r="AC444" s="2">
        <v>11.4</v>
      </c>
      <c r="AD444" s="2">
        <v>95</v>
      </c>
      <c r="AE444" s="2">
        <v>107</v>
      </c>
      <c r="AF444" s="2"/>
    </row>
    <row r="445" spans="1:32" x14ac:dyDescent="0.2">
      <c r="A445" t="s">
        <v>441</v>
      </c>
      <c r="B445" s="2">
        <v>27</v>
      </c>
      <c r="C445" t="s">
        <v>120</v>
      </c>
      <c r="D445" s="2" t="s">
        <v>49</v>
      </c>
      <c r="E445" s="2">
        <v>6</v>
      </c>
      <c r="F445" s="2">
        <v>2</v>
      </c>
      <c r="G445" s="2">
        <v>81</v>
      </c>
      <c r="H445" s="2">
        <v>6</v>
      </c>
      <c r="I445" s="2">
        <v>16.2</v>
      </c>
      <c r="J445" s="2">
        <v>0.37</v>
      </c>
      <c r="K445" s="2">
        <v>4.2</v>
      </c>
      <c r="L445" s="2">
        <v>13.2</v>
      </c>
      <c r="M445" s="2">
        <v>0.318</v>
      </c>
      <c r="N445" s="2">
        <v>1.8</v>
      </c>
      <c r="O445" s="2">
        <v>3</v>
      </c>
      <c r="P445" s="2">
        <v>0.6</v>
      </c>
      <c r="Q445" s="2">
        <v>0.5</v>
      </c>
      <c r="R445" s="2">
        <v>1.8</v>
      </c>
      <c r="S445" s="2">
        <v>2.4</v>
      </c>
      <c r="T445" s="2">
        <v>0.75</v>
      </c>
      <c r="U445" s="2">
        <v>0.6</v>
      </c>
      <c r="V445" s="2">
        <v>5.4</v>
      </c>
      <c r="W445" s="2">
        <v>6</v>
      </c>
      <c r="X445" s="2">
        <v>4.8</v>
      </c>
      <c r="Y445" s="2">
        <v>3</v>
      </c>
      <c r="Z445" s="2">
        <v>0.6</v>
      </c>
      <c r="AA445" s="2">
        <v>6</v>
      </c>
      <c r="AB445" s="2">
        <v>4.8</v>
      </c>
      <c r="AC445" s="2">
        <v>17.899999999999999</v>
      </c>
      <c r="AD445" s="2">
        <v>88</v>
      </c>
      <c r="AE445" s="2">
        <v>118</v>
      </c>
      <c r="AF445" s="2"/>
    </row>
    <row r="446" spans="1:32" x14ac:dyDescent="0.2">
      <c r="A446" t="s">
        <v>178</v>
      </c>
      <c r="B446" s="2">
        <v>32</v>
      </c>
      <c r="C446" t="s">
        <v>82</v>
      </c>
      <c r="D446" s="2" t="s">
        <v>33</v>
      </c>
      <c r="E446" s="2">
        <v>24</v>
      </c>
      <c r="F446" s="2">
        <v>0</v>
      </c>
      <c r="G446" s="2">
        <v>480</v>
      </c>
      <c r="H446" s="2">
        <v>12.7</v>
      </c>
      <c r="I446" s="2">
        <v>22</v>
      </c>
      <c r="J446" s="2">
        <v>0.57699999999999996</v>
      </c>
      <c r="K446" s="2">
        <v>0.3</v>
      </c>
      <c r="L446" s="2">
        <v>1.2</v>
      </c>
      <c r="M446" s="2">
        <v>0.25</v>
      </c>
      <c r="N446" s="2">
        <v>12.4</v>
      </c>
      <c r="O446" s="2">
        <v>20.8</v>
      </c>
      <c r="P446" s="2">
        <v>0.59599999999999997</v>
      </c>
      <c r="Q446" s="2">
        <v>0.58399999999999996</v>
      </c>
      <c r="R446" s="2">
        <v>1.9</v>
      </c>
      <c r="S446" s="2">
        <v>2.6</v>
      </c>
      <c r="T446" s="2">
        <v>0.73099999999999998</v>
      </c>
      <c r="U446" s="2">
        <v>1.3</v>
      </c>
      <c r="V446" s="2">
        <v>4.8</v>
      </c>
      <c r="W446" s="2">
        <v>6.1</v>
      </c>
      <c r="X446" s="2">
        <v>9.6999999999999993</v>
      </c>
      <c r="Y446" s="2">
        <v>3.3</v>
      </c>
      <c r="Z446" s="2">
        <v>0.7</v>
      </c>
      <c r="AA446" s="2">
        <v>3.9</v>
      </c>
      <c r="AB446" s="2">
        <v>2.5</v>
      </c>
      <c r="AC446" s="2">
        <v>27.6</v>
      </c>
      <c r="AD446" s="2">
        <v>115</v>
      </c>
      <c r="AE446" s="2">
        <v>115</v>
      </c>
      <c r="AF446" s="2"/>
    </row>
    <row r="447" spans="1:32" x14ac:dyDescent="0.2">
      <c r="A447" t="s">
        <v>422</v>
      </c>
      <c r="B447" s="2">
        <v>39</v>
      </c>
      <c r="C447" t="s">
        <v>59</v>
      </c>
      <c r="D447" s="2" t="s">
        <v>42</v>
      </c>
      <c r="E447" s="2">
        <v>13</v>
      </c>
      <c r="F447" s="2">
        <v>8</v>
      </c>
      <c r="G447" s="2">
        <v>150</v>
      </c>
      <c r="H447" s="2">
        <v>5.3</v>
      </c>
      <c r="I447" s="2">
        <v>11.2</v>
      </c>
      <c r="J447" s="2">
        <v>0.47099999999999997</v>
      </c>
      <c r="K447" s="2">
        <v>0.3</v>
      </c>
      <c r="L447" s="2">
        <v>0.7</v>
      </c>
      <c r="M447" s="2">
        <v>0.5</v>
      </c>
      <c r="N447" s="2">
        <v>5</v>
      </c>
      <c r="O447" s="2">
        <v>10.6</v>
      </c>
      <c r="P447" s="2">
        <v>0.46899999999999997</v>
      </c>
      <c r="Q447" s="2">
        <v>0.48499999999999999</v>
      </c>
      <c r="R447" s="2">
        <v>1.3</v>
      </c>
      <c r="S447" s="2">
        <v>2</v>
      </c>
      <c r="T447" s="2">
        <v>0.66700000000000004</v>
      </c>
      <c r="U447" s="2">
        <v>6.9</v>
      </c>
      <c r="V447" s="2">
        <v>7.9</v>
      </c>
      <c r="W447" s="2">
        <v>14.9</v>
      </c>
      <c r="X447" s="2">
        <v>2.2999999999999998</v>
      </c>
      <c r="Y447" s="2">
        <v>1.7</v>
      </c>
      <c r="Z447" s="2">
        <v>1</v>
      </c>
      <c r="AA447" s="2">
        <v>3</v>
      </c>
      <c r="AB447" s="2">
        <v>5.9</v>
      </c>
      <c r="AC447" s="2">
        <v>12.2</v>
      </c>
      <c r="AD447" s="2">
        <v>107</v>
      </c>
      <c r="AE447" s="2">
        <v>114</v>
      </c>
      <c r="AF447" s="2"/>
    </row>
    <row r="448" spans="1:32" x14ac:dyDescent="0.2">
      <c r="A448" t="s">
        <v>298</v>
      </c>
      <c r="B448" s="2">
        <v>24</v>
      </c>
      <c r="C448" t="s">
        <v>70</v>
      </c>
      <c r="D448" s="2" t="s">
        <v>52</v>
      </c>
      <c r="E448" s="2">
        <v>19</v>
      </c>
      <c r="F448" s="2">
        <v>0</v>
      </c>
      <c r="G448" s="2">
        <v>208</v>
      </c>
      <c r="H448" s="2">
        <v>10.6</v>
      </c>
      <c r="I448" s="2">
        <v>19.2</v>
      </c>
      <c r="J448" s="2">
        <v>0.55200000000000005</v>
      </c>
      <c r="K448" s="2">
        <v>4.2</v>
      </c>
      <c r="L448" s="2">
        <v>8.1999999999999993</v>
      </c>
      <c r="M448" s="2">
        <v>0.51400000000000001</v>
      </c>
      <c r="N448" s="2">
        <v>6.4</v>
      </c>
      <c r="O448" s="2">
        <v>11.1</v>
      </c>
      <c r="P448" s="2">
        <v>0.57999999999999996</v>
      </c>
      <c r="Q448" s="2">
        <v>0.66100000000000003</v>
      </c>
      <c r="R448" s="2">
        <v>4.5999999999999996</v>
      </c>
      <c r="S448" s="2">
        <v>6.4</v>
      </c>
      <c r="T448" s="2">
        <v>0.72399999999999998</v>
      </c>
      <c r="U448" s="2">
        <v>1.8</v>
      </c>
      <c r="V448" s="2">
        <v>5.7</v>
      </c>
      <c r="W448" s="2">
        <v>7.5</v>
      </c>
      <c r="X448" s="2">
        <v>6.2</v>
      </c>
      <c r="Y448" s="2">
        <v>0.9</v>
      </c>
      <c r="Z448" s="2">
        <v>0.9</v>
      </c>
      <c r="AA448" s="2">
        <v>2.4</v>
      </c>
      <c r="AB448" s="2">
        <v>3.5</v>
      </c>
      <c r="AC448" s="2">
        <v>30.1</v>
      </c>
      <c r="AD448" s="2">
        <v>130</v>
      </c>
      <c r="AE448" s="2">
        <v>120</v>
      </c>
      <c r="AF448" s="2"/>
    </row>
    <row r="449" spans="1:32" x14ac:dyDescent="0.2">
      <c r="A449" t="s">
        <v>187</v>
      </c>
      <c r="B449" s="2">
        <v>23</v>
      </c>
      <c r="C449" t="s">
        <v>87</v>
      </c>
      <c r="D449" s="2" t="s">
        <v>27</v>
      </c>
      <c r="E449" s="2">
        <v>23</v>
      </c>
      <c r="F449" s="2">
        <v>0</v>
      </c>
      <c r="G449" s="2">
        <v>529</v>
      </c>
      <c r="H449" s="2">
        <v>9.3000000000000007</v>
      </c>
      <c r="I449" s="2">
        <v>19.5</v>
      </c>
      <c r="J449" s="2">
        <v>0.47899999999999998</v>
      </c>
      <c r="K449" s="2">
        <v>1.9</v>
      </c>
      <c r="L449" s="2">
        <v>6.1</v>
      </c>
      <c r="M449" s="2">
        <v>0.313</v>
      </c>
      <c r="N449" s="2">
        <v>7.4</v>
      </c>
      <c r="O449" s="2">
        <v>13.3</v>
      </c>
      <c r="P449" s="2">
        <v>0.55500000000000005</v>
      </c>
      <c r="Q449" s="2">
        <v>0.52800000000000002</v>
      </c>
      <c r="R449" s="2">
        <v>3</v>
      </c>
      <c r="S449" s="2">
        <v>3.9</v>
      </c>
      <c r="T449" s="2">
        <v>0.76700000000000002</v>
      </c>
      <c r="U449" s="2">
        <v>4.7</v>
      </c>
      <c r="V449" s="2">
        <v>9</v>
      </c>
      <c r="W449" s="2">
        <v>13.6</v>
      </c>
      <c r="X449" s="2">
        <v>2.2999999999999998</v>
      </c>
      <c r="Y449" s="4">
        <v>4.2</v>
      </c>
      <c r="Z449" s="2">
        <v>2.1</v>
      </c>
      <c r="AA449" s="2">
        <v>1.8</v>
      </c>
      <c r="AB449" s="2">
        <v>5</v>
      </c>
      <c r="AC449" s="2">
        <v>23.6</v>
      </c>
      <c r="AD449" s="2">
        <v>118</v>
      </c>
      <c r="AE449" s="4">
        <v>98</v>
      </c>
      <c r="AF449" s="2"/>
    </row>
    <row r="450" spans="1:32" x14ac:dyDescent="0.2">
      <c r="A450" t="s">
        <v>242</v>
      </c>
      <c r="B450" s="2">
        <v>30</v>
      </c>
      <c r="C450" t="s">
        <v>35</v>
      </c>
      <c r="D450" s="2" t="s">
        <v>49</v>
      </c>
      <c r="E450" s="2">
        <v>24</v>
      </c>
      <c r="F450" s="2">
        <v>24</v>
      </c>
      <c r="G450" s="2">
        <v>644</v>
      </c>
      <c r="H450" s="2">
        <v>5.0999999999999996</v>
      </c>
      <c r="I450" s="2">
        <v>10.3</v>
      </c>
      <c r="J450" s="2">
        <v>0.49299999999999999</v>
      </c>
      <c r="K450" s="2">
        <v>3.4</v>
      </c>
      <c r="L450" s="2">
        <v>6.4</v>
      </c>
      <c r="M450" s="4">
        <v>0.53600000000000003</v>
      </c>
      <c r="N450" s="2">
        <v>1.7</v>
      </c>
      <c r="O450" s="2">
        <v>3.9</v>
      </c>
      <c r="P450" s="2">
        <v>0.42299999999999999</v>
      </c>
      <c r="Q450" s="2">
        <v>0.65800000000000003</v>
      </c>
      <c r="R450" s="2">
        <v>0.8</v>
      </c>
      <c r="S450" s="2">
        <v>1</v>
      </c>
      <c r="T450" s="2">
        <v>0.84599999999999997</v>
      </c>
      <c r="U450" s="2">
        <v>1.1000000000000001</v>
      </c>
      <c r="V450" s="2">
        <v>6.5</v>
      </c>
      <c r="W450" s="2">
        <v>7.7</v>
      </c>
      <c r="X450" s="2">
        <v>3.3</v>
      </c>
      <c r="Y450" s="2">
        <v>1.5</v>
      </c>
      <c r="Z450" s="2">
        <v>0.4</v>
      </c>
      <c r="AA450" s="2">
        <v>2</v>
      </c>
      <c r="AB450" s="2">
        <v>3.7</v>
      </c>
      <c r="AC450" s="2">
        <v>14.4</v>
      </c>
      <c r="AD450" s="2">
        <v>121</v>
      </c>
      <c r="AE450" s="2">
        <v>115</v>
      </c>
      <c r="AF450" s="2"/>
    </row>
    <row r="451" spans="1:32" x14ac:dyDescent="0.2">
      <c r="A451" t="s">
        <v>489</v>
      </c>
      <c r="B451" s="2">
        <v>21</v>
      </c>
      <c r="C451" t="s">
        <v>120</v>
      </c>
      <c r="D451" s="2" t="s">
        <v>27</v>
      </c>
      <c r="E451" s="2">
        <v>3</v>
      </c>
      <c r="F451" s="2">
        <v>3</v>
      </c>
      <c r="G451" s="2">
        <v>75</v>
      </c>
      <c r="H451" s="2">
        <v>2.6</v>
      </c>
      <c r="I451" s="2">
        <v>11.6</v>
      </c>
      <c r="J451" s="2">
        <v>0.222</v>
      </c>
      <c r="K451" s="2">
        <v>1.9</v>
      </c>
      <c r="L451" s="2">
        <v>7.8</v>
      </c>
      <c r="M451" s="2">
        <v>0.25</v>
      </c>
      <c r="N451" s="2">
        <v>0.6</v>
      </c>
      <c r="O451" s="2">
        <v>3.9</v>
      </c>
      <c r="P451" s="2">
        <v>0.16700000000000001</v>
      </c>
      <c r="Q451" s="2">
        <v>0.30599999999999999</v>
      </c>
      <c r="R451" s="2">
        <v>1.9</v>
      </c>
      <c r="S451" s="2">
        <v>2.6</v>
      </c>
      <c r="T451" s="2">
        <v>0.75</v>
      </c>
      <c r="U451" s="2">
        <v>3.2</v>
      </c>
      <c r="V451" s="2">
        <v>6.5</v>
      </c>
      <c r="W451" s="2">
        <v>9.6999999999999993</v>
      </c>
      <c r="X451" s="2">
        <v>1.3</v>
      </c>
      <c r="Y451" s="2">
        <v>3.2</v>
      </c>
      <c r="Z451" s="2">
        <v>2.6</v>
      </c>
      <c r="AA451" s="2">
        <v>1.3</v>
      </c>
      <c r="AB451" s="2">
        <v>5.2</v>
      </c>
      <c r="AC451" s="2">
        <v>9</v>
      </c>
      <c r="AD451" s="2">
        <v>88</v>
      </c>
      <c r="AE451" s="2">
        <v>114</v>
      </c>
      <c r="AF451" s="2"/>
    </row>
    <row r="452" spans="1:32" x14ac:dyDescent="0.2">
      <c r="A452" t="s">
        <v>510</v>
      </c>
      <c r="B452" s="2">
        <v>26</v>
      </c>
      <c r="C452" t="s">
        <v>135</v>
      </c>
      <c r="D452" s="2" t="s">
        <v>52</v>
      </c>
      <c r="E452" s="2">
        <v>2</v>
      </c>
      <c r="F452" s="2">
        <v>0</v>
      </c>
      <c r="G452" s="2">
        <v>20</v>
      </c>
      <c r="H452" s="2">
        <v>4.8</v>
      </c>
      <c r="I452" s="2">
        <v>24.1</v>
      </c>
      <c r="J452" s="2">
        <v>0.2</v>
      </c>
      <c r="K452" s="2">
        <v>2.4</v>
      </c>
      <c r="L452" s="2">
        <v>9.6</v>
      </c>
      <c r="M452" s="2">
        <v>0.25</v>
      </c>
      <c r="N452" s="2">
        <v>2.4</v>
      </c>
      <c r="O452" s="2">
        <v>14.4</v>
      </c>
      <c r="P452" s="2">
        <v>0.16700000000000001</v>
      </c>
      <c r="Q452" s="2">
        <v>0.25</v>
      </c>
      <c r="R452" s="2">
        <v>2.4</v>
      </c>
      <c r="S452" s="2">
        <v>4.8</v>
      </c>
      <c r="T452" s="2">
        <v>0.5</v>
      </c>
      <c r="U452" s="2">
        <v>9.6</v>
      </c>
      <c r="V452" s="2">
        <v>9.6</v>
      </c>
      <c r="W452" s="2">
        <v>19.3</v>
      </c>
      <c r="X452" s="2">
        <v>2.4</v>
      </c>
      <c r="Y452" s="2">
        <v>4.8</v>
      </c>
      <c r="Z452" s="2">
        <v>0</v>
      </c>
      <c r="AA452" s="2">
        <v>4.8</v>
      </c>
      <c r="AB452" s="2">
        <v>0</v>
      </c>
      <c r="AC452" s="2">
        <v>14.4</v>
      </c>
      <c r="AD452" s="2">
        <v>72</v>
      </c>
      <c r="AE452" s="2">
        <v>108</v>
      </c>
      <c r="AF452" s="2"/>
    </row>
    <row r="453" spans="1:32" x14ac:dyDescent="0.2">
      <c r="A453" t="s">
        <v>290</v>
      </c>
      <c r="B453" s="2">
        <v>28</v>
      </c>
      <c r="C453" t="s">
        <v>77</v>
      </c>
      <c r="D453" s="2" t="s">
        <v>52</v>
      </c>
      <c r="E453" s="2">
        <v>23</v>
      </c>
      <c r="F453" s="2">
        <v>11</v>
      </c>
      <c r="G453" s="2">
        <v>484</v>
      </c>
      <c r="H453" s="2">
        <v>5.7</v>
      </c>
      <c r="I453" s="2">
        <v>13</v>
      </c>
      <c r="J453" s="2">
        <v>0.438</v>
      </c>
      <c r="K453" s="2">
        <v>1.6</v>
      </c>
      <c r="L453" s="2">
        <v>4.8</v>
      </c>
      <c r="M453" s="2">
        <v>0.34</v>
      </c>
      <c r="N453" s="2">
        <v>4.0999999999999996</v>
      </c>
      <c r="O453" s="2">
        <v>8.1999999999999993</v>
      </c>
      <c r="P453" s="2">
        <v>0.49399999999999999</v>
      </c>
      <c r="Q453" s="2">
        <v>0.5</v>
      </c>
      <c r="R453" s="2">
        <v>1.6</v>
      </c>
      <c r="S453" s="2">
        <v>2.4</v>
      </c>
      <c r="T453" s="2">
        <v>0.66700000000000004</v>
      </c>
      <c r="U453" s="2">
        <v>2.4</v>
      </c>
      <c r="V453" s="2">
        <v>4.8</v>
      </c>
      <c r="W453" s="2">
        <v>7.2</v>
      </c>
      <c r="X453" s="2">
        <v>4.0999999999999996</v>
      </c>
      <c r="Y453" s="2">
        <v>2.2000000000000002</v>
      </c>
      <c r="Z453" s="2">
        <v>0.5</v>
      </c>
      <c r="AA453" s="2">
        <v>1.3</v>
      </c>
      <c r="AB453" s="2">
        <v>4.8</v>
      </c>
      <c r="AC453" s="2">
        <v>14.7</v>
      </c>
      <c r="AD453" s="2">
        <v>115</v>
      </c>
      <c r="AE453" s="2">
        <v>111</v>
      </c>
      <c r="AF453" s="2"/>
    </row>
    <row r="454" spans="1:32" x14ac:dyDescent="0.2">
      <c r="A454" t="s">
        <v>501</v>
      </c>
      <c r="B454" s="2">
        <v>24</v>
      </c>
      <c r="C454" t="s">
        <v>51</v>
      </c>
      <c r="D454" s="2" t="s">
        <v>52</v>
      </c>
      <c r="E454" s="2">
        <v>7</v>
      </c>
      <c r="F454" s="2">
        <v>0</v>
      </c>
      <c r="G454" s="2">
        <v>30</v>
      </c>
      <c r="H454" s="2">
        <v>6.6</v>
      </c>
      <c r="I454" s="2">
        <v>14.8</v>
      </c>
      <c r="J454" s="2">
        <v>0.44400000000000001</v>
      </c>
      <c r="K454" s="2">
        <v>1.6</v>
      </c>
      <c r="L454" s="2">
        <v>4.9000000000000004</v>
      </c>
      <c r="M454" s="2">
        <v>0.33300000000000002</v>
      </c>
      <c r="N454" s="2">
        <v>4.9000000000000004</v>
      </c>
      <c r="O454" s="2">
        <v>9.8000000000000007</v>
      </c>
      <c r="P454" s="2">
        <v>0.5</v>
      </c>
      <c r="Q454" s="2">
        <v>0.5</v>
      </c>
      <c r="R454" s="2">
        <v>0</v>
      </c>
      <c r="S454" s="2">
        <v>0</v>
      </c>
      <c r="T454" s="2"/>
      <c r="U454" s="2">
        <v>0</v>
      </c>
      <c r="V454" s="2">
        <v>1.6</v>
      </c>
      <c r="W454" s="2">
        <v>1.6</v>
      </c>
      <c r="X454" s="2">
        <v>6.6</v>
      </c>
      <c r="Y454" s="2">
        <v>3.3</v>
      </c>
      <c r="Z454" s="2">
        <v>1.6</v>
      </c>
      <c r="AA454" s="2">
        <v>4.9000000000000004</v>
      </c>
      <c r="AB454" s="2">
        <v>0</v>
      </c>
      <c r="AC454" s="2">
        <v>14.8</v>
      </c>
      <c r="AD454" s="2">
        <v>88</v>
      </c>
      <c r="AE454" s="2">
        <v>108</v>
      </c>
      <c r="AF454" s="2"/>
    </row>
    <row r="455" spans="1:32" x14ac:dyDescent="0.2">
      <c r="A455" t="s">
        <v>193</v>
      </c>
      <c r="B455" s="2">
        <v>30</v>
      </c>
      <c r="C455" t="s">
        <v>61</v>
      </c>
      <c r="D455" s="2" t="s">
        <v>33</v>
      </c>
      <c r="E455" s="2">
        <v>21</v>
      </c>
      <c r="F455" s="2">
        <v>12</v>
      </c>
      <c r="G455" s="2">
        <v>597</v>
      </c>
      <c r="H455" s="2">
        <v>7.2</v>
      </c>
      <c r="I455" s="2">
        <v>18.100000000000001</v>
      </c>
      <c r="J455" s="2">
        <v>0.39900000000000002</v>
      </c>
      <c r="K455" s="2">
        <v>3.3</v>
      </c>
      <c r="L455" s="2">
        <v>9.4</v>
      </c>
      <c r="M455" s="2">
        <v>0.35399999999999998</v>
      </c>
      <c r="N455" s="2">
        <v>3.9</v>
      </c>
      <c r="O455" s="2">
        <v>8.6999999999999993</v>
      </c>
      <c r="P455" s="2">
        <v>0.44800000000000001</v>
      </c>
      <c r="Q455" s="2">
        <v>0.49099999999999999</v>
      </c>
      <c r="R455" s="2">
        <v>2.7</v>
      </c>
      <c r="S455" s="2">
        <v>3.1</v>
      </c>
      <c r="T455" s="2">
        <v>0.89200000000000002</v>
      </c>
      <c r="U455" s="2">
        <v>1.2</v>
      </c>
      <c r="V455" s="2">
        <v>5.5</v>
      </c>
      <c r="W455" s="2">
        <v>6.7</v>
      </c>
      <c r="X455" s="2">
        <v>5.0999999999999996</v>
      </c>
      <c r="Y455" s="2">
        <v>1.1000000000000001</v>
      </c>
      <c r="Z455" s="2">
        <v>0.7</v>
      </c>
      <c r="AA455" s="2">
        <v>2.7</v>
      </c>
      <c r="AB455" s="2">
        <v>2.5</v>
      </c>
      <c r="AC455" s="2">
        <v>20.5</v>
      </c>
      <c r="AD455" s="2">
        <v>106</v>
      </c>
      <c r="AE455" s="2">
        <v>114</v>
      </c>
      <c r="AF455" s="2"/>
    </row>
    <row r="456" spans="1:32" x14ac:dyDescent="0.2">
      <c r="A456" t="s">
        <v>419</v>
      </c>
      <c r="B456" s="2">
        <v>27</v>
      </c>
      <c r="C456" t="s">
        <v>61</v>
      </c>
      <c r="D456" s="2" t="s">
        <v>42</v>
      </c>
      <c r="E456" s="2">
        <v>10</v>
      </c>
      <c r="F456" s="2">
        <v>0</v>
      </c>
      <c r="G456" s="2">
        <v>115</v>
      </c>
      <c r="H456" s="2">
        <v>5.2</v>
      </c>
      <c r="I456" s="2">
        <v>12.1</v>
      </c>
      <c r="J456" s="2">
        <v>0.42899999999999999</v>
      </c>
      <c r="K456" s="2">
        <v>2.6</v>
      </c>
      <c r="L456" s="2">
        <v>7.3</v>
      </c>
      <c r="M456" s="2">
        <v>0.35299999999999998</v>
      </c>
      <c r="N456" s="2">
        <v>2.6</v>
      </c>
      <c r="O456" s="2">
        <v>4.7</v>
      </c>
      <c r="P456" s="2">
        <v>0.54500000000000004</v>
      </c>
      <c r="Q456" s="2">
        <v>0.53600000000000003</v>
      </c>
      <c r="R456" s="2">
        <v>4.7</v>
      </c>
      <c r="S456" s="2">
        <v>4.7</v>
      </c>
      <c r="T456" s="2">
        <v>1</v>
      </c>
      <c r="U456" s="2">
        <v>2.6</v>
      </c>
      <c r="V456" s="2">
        <v>11.2</v>
      </c>
      <c r="W456" s="2">
        <v>13.8</v>
      </c>
      <c r="X456" s="2">
        <v>1.7</v>
      </c>
      <c r="Y456" s="2">
        <v>0.4</v>
      </c>
      <c r="Z456" s="2">
        <v>3.9</v>
      </c>
      <c r="AA456" s="2">
        <v>0.9</v>
      </c>
      <c r="AB456" s="2">
        <v>3.9</v>
      </c>
      <c r="AC456" s="2">
        <v>17.7</v>
      </c>
      <c r="AD456" s="2">
        <v>132</v>
      </c>
      <c r="AE456" s="2">
        <v>108</v>
      </c>
      <c r="AF456" s="2"/>
    </row>
    <row r="457" spans="1:32" x14ac:dyDescent="0.2">
      <c r="A457" t="s">
        <v>337</v>
      </c>
      <c r="B457" s="2">
        <v>19</v>
      </c>
      <c r="C457" t="s">
        <v>59</v>
      </c>
      <c r="D457" s="2" t="s">
        <v>27</v>
      </c>
      <c r="E457" s="2">
        <v>20</v>
      </c>
      <c r="F457" s="2">
        <v>8</v>
      </c>
      <c r="G457" s="2">
        <v>376</v>
      </c>
      <c r="H457" s="2">
        <v>4.4000000000000004</v>
      </c>
      <c r="I457" s="2">
        <v>13.3</v>
      </c>
      <c r="J457" s="2">
        <v>0.32700000000000001</v>
      </c>
      <c r="K457" s="2">
        <v>2.6</v>
      </c>
      <c r="L457" s="2">
        <v>9</v>
      </c>
      <c r="M457" s="2">
        <v>0.29399999999999998</v>
      </c>
      <c r="N457" s="2">
        <v>1.7</v>
      </c>
      <c r="O457" s="2">
        <v>4.4000000000000004</v>
      </c>
      <c r="P457" s="2">
        <v>0.39400000000000002</v>
      </c>
      <c r="Q457" s="2">
        <v>0.42599999999999999</v>
      </c>
      <c r="R457" s="2">
        <v>1.8</v>
      </c>
      <c r="S457" s="2">
        <v>2.5</v>
      </c>
      <c r="T457" s="2">
        <v>0.73699999999999999</v>
      </c>
      <c r="U457" s="2">
        <v>2.4</v>
      </c>
      <c r="V457" s="2">
        <v>8.3000000000000007</v>
      </c>
      <c r="W457" s="2">
        <v>10.7</v>
      </c>
      <c r="X457" s="2">
        <v>2.5</v>
      </c>
      <c r="Y457" s="2">
        <v>1.6</v>
      </c>
      <c r="Z457" s="2">
        <v>0.4</v>
      </c>
      <c r="AA457" s="2">
        <v>2.1</v>
      </c>
      <c r="AB457" s="2">
        <v>3.7</v>
      </c>
      <c r="AC457" s="2">
        <v>13.2</v>
      </c>
      <c r="AD457" s="2">
        <v>98</v>
      </c>
      <c r="AE457" s="2">
        <v>115</v>
      </c>
      <c r="AF457" s="2"/>
    </row>
    <row r="458" spans="1:32" x14ac:dyDescent="0.2">
      <c r="A458" t="s">
        <v>214</v>
      </c>
      <c r="B458" s="2">
        <v>32</v>
      </c>
      <c r="C458" t="s">
        <v>75</v>
      </c>
      <c r="D458" s="2" t="s">
        <v>52</v>
      </c>
      <c r="E458" s="2">
        <v>23</v>
      </c>
      <c r="F458" s="2">
        <v>23</v>
      </c>
      <c r="G458" s="2">
        <v>627</v>
      </c>
      <c r="H458" s="2">
        <v>5.7</v>
      </c>
      <c r="I458" s="2">
        <v>13.9</v>
      </c>
      <c r="J458" s="2">
        <v>0.41</v>
      </c>
      <c r="K458" s="2">
        <v>3.1</v>
      </c>
      <c r="L458" s="2">
        <v>9.1</v>
      </c>
      <c r="M458" s="2">
        <v>0.34200000000000003</v>
      </c>
      <c r="N458" s="2">
        <v>2.6</v>
      </c>
      <c r="O458" s="2">
        <v>4.8</v>
      </c>
      <c r="P458" s="2">
        <v>0.54100000000000004</v>
      </c>
      <c r="Q458" s="2">
        <v>0.52200000000000002</v>
      </c>
      <c r="R458" s="2">
        <v>2.7</v>
      </c>
      <c r="S458" s="2">
        <v>3</v>
      </c>
      <c r="T458" s="2">
        <v>0.89700000000000002</v>
      </c>
      <c r="U458" s="2">
        <v>0.4</v>
      </c>
      <c r="V458" s="2">
        <v>3.4</v>
      </c>
      <c r="W458" s="2">
        <v>3.7</v>
      </c>
      <c r="X458" s="2">
        <v>2.7</v>
      </c>
      <c r="Y458" s="2">
        <v>0.6</v>
      </c>
      <c r="Z458" s="2">
        <v>0</v>
      </c>
      <c r="AA458" s="2">
        <v>1.2</v>
      </c>
      <c r="AB458" s="2">
        <v>2.2999999999999998</v>
      </c>
      <c r="AC458" s="2">
        <v>17.2</v>
      </c>
      <c r="AD458" s="2">
        <v>116</v>
      </c>
      <c r="AE458" s="2">
        <v>119</v>
      </c>
      <c r="AF458" s="2"/>
    </row>
    <row r="459" spans="1:32" x14ac:dyDescent="0.2">
      <c r="A459" t="s">
        <v>132</v>
      </c>
      <c r="B459" s="2">
        <v>32</v>
      </c>
      <c r="C459" t="s">
        <v>75</v>
      </c>
      <c r="D459" s="2" t="s">
        <v>27</v>
      </c>
      <c r="E459" s="2">
        <v>25</v>
      </c>
      <c r="F459" s="2">
        <v>25</v>
      </c>
      <c r="G459" s="2">
        <v>807</v>
      </c>
      <c r="H459" s="2">
        <v>7.9</v>
      </c>
      <c r="I459" s="2">
        <v>17.7</v>
      </c>
      <c r="J459" s="2">
        <v>0.44900000000000001</v>
      </c>
      <c r="K459" s="2">
        <v>2.2999999999999998</v>
      </c>
      <c r="L459" s="2">
        <v>6.7</v>
      </c>
      <c r="M459" s="2">
        <v>0.34200000000000003</v>
      </c>
      <c r="N459" s="2">
        <v>5.6</v>
      </c>
      <c r="O459" s="2">
        <v>11</v>
      </c>
      <c r="P459" s="2">
        <v>0.51400000000000001</v>
      </c>
      <c r="Q459" s="2">
        <v>0.51400000000000001</v>
      </c>
      <c r="R459" s="2">
        <v>2.8</v>
      </c>
      <c r="S459" s="2">
        <v>3.4</v>
      </c>
      <c r="T459" s="2">
        <v>0.83899999999999997</v>
      </c>
      <c r="U459" s="2">
        <v>1.6</v>
      </c>
      <c r="V459" s="2">
        <v>8.9</v>
      </c>
      <c r="W459" s="2">
        <v>10.5</v>
      </c>
      <c r="X459" s="2">
        <v>3.6</v>
      </c>
      <c r="Y459" s="2">
        <v>1.2</v>
      </c>
      <c r="Z459" s="2">
        <v>1.3</v>
      </c>
      <c r="AA459" s="2">
        <v>1.9</v>
      </c>
      <c r="AB459" s="2">
        <v>2.9</v>
      </c>
      <c r="AC459" s="2">
        <v>21</v>
      </c>
      <c r="AD459" s="2">
        <v>112</v>
      </c>
      <c r="AE459" s="2">
        <v>113</v>
      </c>
      <c r="AF459" s="2"/>
    </row>
    <row r="460" spans="1:32" x14ac:dyDescent="0.2">
      <c r="A460" t="s">
        <v>438</v>
      </c>
      <c r="B460" s="2">
        <v>34</v>
      </c>
      <c r="C460" t="s">
        <v>70</v>
      </c>
      <c r="D460" s="2" t="s">
        <v>49</v>
      </c>
      <c r="E460" s="2">
        <v>6</v>
      </c>
      <c r="F460" s="2">
        <v>1</v>
      </c>
      <c r="G460" s="2">
        <v>67</v>
      </c>
      <c r="H460" s="2">
        <v>7.5</v>
      </c>
      <c r="I460" s="2">
        <v>15.1</v>
      </c>
      <c r="J460" s="2">
        <v>0.5</v>
      </c>
      <c r="K460" s="2">
        <v>4.8</v>
      </c>
      <c r="L460" s="2">
        <v>12.4</v>
      </c>
      <c r="M460" s="2">
        <v>0.38900000000000001</v>
      </c>
      <c r="N460" s="2">
        <v>2.7</v>
      </c>
      <c r="O460" s="2">
        <v>2.7</v>
      </c>
      <c r="P460" s="2">
        <v>1</v>
      </c>
      <c r="Q460" s="2">
        <v>0.65900000000000003</v>
      </c>
      <c r="R460" s="2">
        <v>1.4</v>
      </c>
      <c r="S460" s="2">
        <v>1.4</v>
      </c>
      <c r="T460" s="2">
        <v>1</v>
      </c>
      <c r="U460" s="2">
        <v>2.1</v>
      </c>
      <c r="V460" s="2">
        <v>6.9</v>
      </c>
      <c r="W460" s="2">
        <v>8.9</v>
      </c>
      <c r="X460" s="2">
        <v>2.1</v>
      </c>
      <c r="Y460" s="2">
        <v>0.7</v>
      </c>
      <c r="Z460" s="2">
        <v>0.7</v>
      </c>
      <c r="AA460" s="2">
        <v>0</v>
      </c>
      <c r="AB460" s="2">
        <v>6.9</v>
      </c>
      <c r="AC460" s="2">
        <v>21.3</v>
      </c>
      <c r="AD460" s="2">
        <v>140</v>
      </c>
      <c r="AE460" s="2">
        <v>120</v>
      </c>
      <c r="AF460" s="2"/>
    </row>
    <row r="461" spans="1:32" x14ac:dyDescent="0.2">
      <c r="A461" t="s">
        <v>217</v>
      </c>
      <c r="B461" s="2">
        <v>24</v>
      </c>
      <c r="C461" t="s">
        <v>135</v>
      </c>
      <c r="D461" s="2" t="s">
        <v>27</v>
      </c>
      <c r="E461" s="2">
        <v>24</v>
      </c>
      <c r="F461" s="2">
        <v>24</v>
      </c>
      <c r="G461" s="2">
        <v>720</v>
      </c>
      <c r="H461" s="2">
        <v>5.4</v>
      </c>
      <c r="I461" s="2">
        <v>12.8</v>
      </c>
      <c r="J461" s="2">
        <v>0.41899999999999998</v>
      </c>
      <c r="K461" s="2">
        <v>2.5</v>
      </c>
      <c r="L461" s="2">
        <v>6.7</v>
      </c>
      <c r="M461" s="2">
        <v>0.37</v>
      </c>
      <c r="N461" s="2">
        <v>2.9</v>
      </c>
      <c r="O461" s="2">
        <v>6.1</v>
      </c>
      <c r="P461" s="2">
        <v>0.47299999999999998</v>
      </c>
      <c r="Q461" s="2">
        <v>0.51600000000000001</v>
      </c>
      <c r="R461" s="2">
        <v>1.2</v>
      </c>
      <c r="S461" s="2">
        <v>1.7</v>
      </c>
      <c r="T461" s="2">
        <v>0.69199999999999995</v>
      </c>
      <c r="U461" s="2">
        <v>3.3</v>
      </c>
      <c r="V461" s="2">
        <v>4.7</v>
      </c>
      <c r="W461" s="2">
        <v>8</v>
      </c>
      <c r="X461" s="2">
        <v>3.3</v>
      </c>
      <c r="Y461" s="2">
        <v>2.2999999999999998</v>
      </c>
      <c r="Z461" s="2">
        <v>0.5</v>
      </c>
      <c r="AA461" s="2">
        <v>2.5</v>
      </c>
      <c r="AB461" s="2">
        <v>4.5999999999999996</v>
      </c>
      <c r="AC461" s="2">
        <v>14.4</v>
      </c>
      <c r="AD461" s="2">
        <v>107</v>
      </c>
      <c r="AE461" s="2">
        <v>117</v>
      </c>
      <c r="AF461" s="2"/>
    </row>
    <row r="462" spans="1:32" x14ac:dyDescent="0.2">
      <c r="A462" t="s">
        <v>71</v>
      </c>
      <c r="B462" s="2">
        <v>26</v>
      </c>
      <c r="C462" t="s">
        <v>72</v>
      </c>
      <c r="D462" s="2" t="s">
        <v>33</v>
      </c>
      <c r="E462" s="2">
        <v>25</v>
      </c>
      <c r="F462" s="2">
        <v>25</v>
      </c>
      <c r="G462" s="2">
        <v>899</v>
      </c>
      <c r="H462" s="2">
        <v>8.4</v>
      </c>
      <c r="I462" s="2">
        <v>21.8</v>
      </c>
      <c r="J462" s="2">
        <v>0.38400000000000001</v>
      </c>
      <c r="K462" s="2">
        <v>3.4</v>
      </c>
      <c r="L462" s="2">
        <v>10.9</v>
      </c>
      <c r="M462" s="2">
        <v>0.308</v>
      </c>
      <c r="N462" s="2">
        <v>5</v>
      </c>
      <c r="O462" s="2">
        <v>10.9</v>
      </c>
      <c r="P462" s="2">
        <v>0.46</v>
      </c>
      <c r="Q462" s="2">
        <v>0.46100000000000002</v>
      </c>
      <c r="R462" s="2">
        <v>7</v>
      </c>
      <c r="S462" s="2">
        <v>7.8</v>
      </c>
      <c r="T462" s="2">
        <v>0.89400000000000002</v>
      </c>
      <c r="U462" s="2">
        <v>0.8</v>
      </c>
      <c r="V462" s="2">
        <v>4.3</v>
      </c>
      <c r="W462" s="2">
        <v>5.0999999999999996</v>
      </c>
      <c r="X462" s="4">
        <v>15.7</v>
      </c>
      <c r="Y462" s="2">
        <v>1.7</v>
      </c>
      <c r="Z462" s="2">
        <v>0.2</v>
      </c>
      <c r="AA462" s="2">
        <v>5.9</v>
      </c>
      <c r="AB462" s="2">
        <v>2.6</v>
      </c>
      <c r="AC462" s="2">
        <v>27</v>
      </c>
      <c r="AD462" s="2">
        <v>111</v>
      </c>
      <c r="AE462" s="2">
        <v>118</v>
      </c>
      <c r="AF462" s="2"/>
    </row>
    <row r="463" spans="1:32" x14ac:dyDescent="0.2">
      <c r="A463" t="s">
        <v>259</v>
      </c>
      <c r="B463" s="2">
        <v>24</v>
      </c>
      <c r="C463" t="s">
        <v>100</v>
      </c>
      <c r="D463" s="2" t="s">
        <v>42</v>
      </c>
      <c r="E463" s="2">
        <v>23</v>
      </c>
      <c r="F463" s="2">
        <v>18</v>
      </c>
      <c r="G463" s="2">
        <v>388</v>
      </c>
      <c r="H463" s="2">
        <v>9.4</v>
      </c>
      <c r="I463" s="2">
        <v>15.7</v>
      </c>
      <c r="J463" s="2">
        <v>0.59799999999999998</v>
      </c>
      <c r="K463" s="2">
        <v>0</v>
      </c>
      <c r="L463" s="2">
        <v>0.1</v>
      </c>
      <c r="M463" s="2">
        <v>0</v>
      </c>
      <c r="N463" s="2">
        <v>9.4</v>
      </c>
      <c r="O463" s="2">
        <v>15.6</v>
      </c>
      <c r="P463" s="2">
        <v>0.60299999999999998</v>
      </c>
      <c r="Q463" s="2">
        <v>0.59799999999999998</v>
      </c>
      <c r="R463" s="2">
        <v>2.2999999999999998</v>
      </c>
      <c r="S463" s="2">
        <v>4</v>
      </c>
      <c r="T463" s="2">
        <v>0.59399999999999997</v>
      </c>
      <c r="U463" s="2">
        <v>4.7</v>
      </c>
      <c r="V463" s="2">
        <v>8.6999999999999993</v>
      </c>
      <c r="W463" s="2">
        <v>13.4</v>
      </c>
      <c r="X463" s="2">
        <v>5.6</v>
      </c>
      <c r="Y463" s="2">
        <v>0.7</v>
      </c>
      <c r="Z463" s="2">
        <v>2</v>
      </c>
      <c r="AA463" s="2">
        <v>2.2000000000000002</v>
      </c>
      <c r="AB463" s="2">
        <v>3.2</v>
      </c>
      <c r="AC463" s="2">
        <v>21.1</v>
      </c>
      <c r="AD463" s="2">
        <v>125</v>
      </c>
      <c r="AE463" s="2">
        <v>108</v>
      </c>
      <c r="AF463" s="2"/>
    </row>
    <row r="464" spans="1:32" x14ac:dyDescent="0.2">
      <c r="A464" t="s">
        <v>432</v>
      </c>
      <c r="B464" s="2">
        <v>25</v>
      </c>
      <c r="C464" t="s">
        <v>93</v>
      </c>
      <c r="D464" s="2" t="s">
        <v>33</v>
      </c>
      <c r="E464" s="2">
        <v>8</v>
      </c>
      <c r="F464" s="2">
        <v>0</v>
      </c>
      <c r="G464" s="2">
        <v>140</v>
      </c>
      <c r="H464" s="2">
        <v>3.5</v>
      </c>
      <c r="I464" s="2">
        <v>10.4</v>
      </c>
      <c r="J464" s="2">
        <v>0.33300000000000002</v>
      </c>
      <c r="K464" s="2">
        <v>1</v>
      </c>
      <c r="L464" s="2">
        <v>4.2</v>
      </c>
      <c r="M464" s="2">
        <v>0.25</v>
      </c>
      <c r="N464" s="2">
        <v>2.4</v>
      </c>
      <c r="O464" s="2">
        <v>6.3</v>
      </c>
      <c r="P464" s="2">
        <v>0.38900000000000001</v>
      </c>
      <c r="Q464" s="2">
        <v>0.38300000000000001</v>
      </c>
      <c r="R464" s="2">
        <v>3.5</v>
      </c>
      <c r="S464" s="2">
        <v>4.9000000000000004</v>
      </c>
      <c r="T464" s="2">
        <v>0.71399999999999997</v>
      </c>
      <c r="U464" s="2">
        <v>1.7</v>
      </c>
      <c r="V464" s="2">
        <v>4.9000000000000004</v>
      </c>
      <c r="W464" s="2">
        <v>6.6</v>
      </c>
      <c r="X464" s="2">
        <v>9</v>
      </c>
      <c r="Y464" s="2">
        <v>1.7</v>
      </c>
      <c r="Z464" s="2">
        <v>0.7</v>
      </c>
      <c r="AA464" s="2">
        <v>1.7</v>
      </c>
      <c r="AB464" s="2">
        <v>4.2</v>
      </c>
      <c r="AC464" s="2">
        <v>11.5</v>
      </c>
      <c r="AD464" s="2">
        <v>115</v>
      </c>
      <c r="AE464" s="2">
        <v>116</v>
      </c>
      <c r="AF464" s="2"/>
    </row>
    <row r="465" spans="1:32" x14ac:dyDescent="0.2">
      <c r="A465" t="s">
        <v>246</v>
      </c>
      <c r="B465" s="2">
        <v>23</v>
      </c>
      <c r="C465" t="s">
        <v>59</v>
      </c>
      <c r="D465" s="2" t="s">
        <v>33</v>
      </c>
      <c r="E465" s="2">
        <v>13</v>
      </c>
      <c r="F465" s="2">
        <v>0</v>
      </c>
      <c r="G465" s="2">
        <v>319</v>
      </c>
      <c r="H465" s="2">
        <v>10.9</v>
      </c>
      <c r="I465" s="2">
        <v>25</v>
      </c>
      <c r="J465" s="2">
        <v>0.435</v>
      </c>
      <c r="K465" s="2">
        <v>3.7</v>
      </c>
      <c r="L465" s="2">
        <v>9.3000000000000007</v>
      </c>
      <c r="M465" s="2">
        <v>0.4</v>
      </c>
      <c r="N465" s="2">
        <v>7.1</v>
      </c>
      <c r="O465" s="2">
        <v>15.7</v>
      </c>
      <c r="P465" s="2">
        <v>0.45500000000000002</v>
      </c>
      <c r="Q465" s="2">
        <v>0.50900000000000001</v>
      </c>
      <c r="R465" s="2">
        <v>3</v>
      </c>
      <c r="S465" s="2">
        <v>3.3</v>
      </c>
      <c r="T465" s="2">
        <v>0.90500000000000003</v>
      </c>
      <c r="U465" s="2">
        <v>1.9</v>
      </c>
      <c r="V465" s="2">
        <v>4</v>
      </c>
      <c r="W465" s="2">
        <v>5.9</v>
      </c>
      <c r="X465" s="2">
        <v>6.1</v>
      </c>
      <c r="Y465" s="2">
        <v>1.1000000000000001</v>
      </c>
      <c r="Z465" s="2">
        <v>0.6</v>
      </c>
      <c r="AA465" s="2">
        <v>3.9</v>
      </c>
      <c r="AB465" s="2">
        <v>3.7</v>
      </c>
      <c r="AC465" s="2">
        <v>28.4</v>
      </c>
      <c r="AD465" s="2">
        <v>108</v>
      </c>
      <c r="AE465" s="2">
        <v>119</v>
      </c>
      <c r="AF465" s="2"/>
    </row>
    <row r="466" spans="1:32" x14ac:dyDescent="0.2">
      <c r="A466" t="s">
        <v>338</v>
      </c>
      <c r="B466" s="2">
        <v>24</v>
      </c>
      <c r="C466" t="s">
        <v>103</v>
      </c>
      <c r="D466" s="2" t="s">
        <v>27</v>
      </c>
      <c r="E466" s="2">
        <v>11</v>
      </c>
      <c r="F466" s="2">
        <v>0</v>
      </c>
      <c r="G466" s="2">
        <v>199</v>
      </c>
      <c r="H466" s="2">
        <v>8.1999999999999993</v>
      </c>
      <c r="I466" s="2">
        <v>19</v>
      </c>
      <c r="J466" s="2">
        <v>0.434</v>
      </c>
      <c r="K466" s="2">
        <v>1.7</v>
      </c>
      <c r="L466" s="2">
        <v>6.2</v>
      </c>
      <c r="M466" s="2">
        <v>0.28000000000000003</v>
      </c>
      <c r="N466" s="2">
        <v>6.5</v>
      </c>
      <c r="O466" s="2">
        <v>12.7</v>
      </c>
      <c r="P466" s="2">
        <v>0.51</v>
      </c>
      <c r="Q466" s="2">
        <v>0.48</v>
      </c>
      <c r="R466" s="2">
        <v>6.7</v>
      </c>
      <c r="S466" s="2">
        <v>8</v>
      </c>
      <c r="T466" s="2">
        <v>0.84399999999999997</v>
      </c>
      <c r="U466" s="2">
        <v>1</v>
      </c>
      <c r="V466" s="2">
        <v>8</v>
      </c>
      <c r="W466" s="2">
        <v>9</v>
      </c>
      <c r="X466" s="2">
        <v>3.7</v>
      </c>
      <c r="Y466" s="2">
        <v>1.2</v>
      </c>
      <c r="Z466" s="2">
        <v>1</v>
      </c>
      <c r="AA466" s="2">
        <v>4</v>
      </c>
      <c r="AB466" s="2">
        <v>7.5</v>
      </c>
      <c r="AC466" s="2">
        <v>25</v>
      </c>
      <c r="AD466" s="2">
        <v>102</v>
      </c>
      <c r="AE466" s="2">
        <v>116</v>
      </c>
      <c r="AF466" s="2"/>
    </row>
    <row r="467" spans="1:32" x14ac:dyDescent="0.2">
      <c r="A467" t="s">
        <v>499</v>
      </c>
      <c r="B467" s="2">
        <v>19</v>
      </c>
      <c r="C467" t="s">
        <v>77</v>
      </c>
      <c r="D467" s="2" t="s">
        <v>49</v>
      </c>
      <c r="E467" s="2">
        <v>1</v>
      </c>
      <c r="F467" s="2">
        <v>0</v>
      </c>
      <c r="G467" s="2">
        <v>14</v>
      </c>
      <c r="H467" s="2">
        <v>14.1</v>
      </c>
      <c r="I467" s="2">
        <v>31.7</v>
      </c>
      <c r="J467" s="2">
        <v>0.44400000000000001</v>
      </c>
      <c r="K467" s="2">
        <v>0</v>
      </c>
      <c r="L467" s="2">
        <v>7</v>
      </c>
      <c r="M467" s="2">
        <v>0</v>
      </c>
      <c r="N467" s="2">
        <v>14.1</v>
      </c>
      <c r="O467" s="2">
        <v>24.6</v>
      </c>
      <c r="P467" s="2">
        <v>0.57099999999999995</v>
      </c>
      <c r="Q467" s="2">
        <v>0.44400000000000001</v>
      </c>
      <c r="R467" s="2">
        <v>3.5</v>
      </c>
      <c r="S467" s="2">
        <v>3.5</v>
      </c>
      <c r="T467" s="2">
        <v>1</v>
      </c>
      <c r="U467" s="2">
        <v>3.5</v>
      </c>
      <c r="V467" s="2">
        <v>10.6</v>
      </c>
      <c r="W467" s="2">
        <v>14.1</v>
      </c>
      <c r="X467" s="2">
        <v>0</v>
      </c>
      <c r="Y467" s="2">
        <v>0</v>
      </c>
      <c r="Z467" s="2">
        <v>0</v>
      </c>
      <c r="AA467" s="2">
        <v>3.5</v>
      </c>
      <c r="AB467" s="2">
        <v>10.6</v>
      </c>
      <c r="AC467" s="2">
        <v>31.7</v>
      </c>
      <c r="AD467" s="2">
        <v>91</v>
      </c>
      <c r="AE467" s="2">
        <v>113</v>
      </c>
      <c r="AF467" s="2"/>
    </row>
    <row r="468" spans="1:32" x14ac:dyDescent="0.2">
      <c r="A468" t="s">
        <v>540</v>
      </c>
      <c r="B468" s="2">
        <v>27</v>
      </c>
      <c r="C468" t="s">
        <v>48</v>
      </c>
      <c r="D468" s="2" t="s">
        <v>52</v>
      </c>
      <c r="E468" s="2">
        <v>2</v>
      </c>
      <c r="F468" s="2">
        <v>0</v>
      </c>
      <c r="G468" s="2">
        <v>5</v>
      </c>
      <c r="H468" s="2">
        <v>9.9</v>
      </c>
      <c r="I468" s="2">
        <v>29.6</v>
      </c>
      <c r="J468" s="2">
        <v>0.33300000000000002</v>
      </c>
      <c r="K468" s="2">
        <v>9.9</v>
      </c>
      <c r="L468" s="2">
        <v>9.9</v>
      </c>
      <c r="M468" s="2">
        <v>1</v>
      </c>
      <c r="N468" s="2">
        <v>0</v>
      </c>
      <c r="O468" s="2">
        <v>19.7</v>
      </c>
      <c r="P468" s="2">
        <v>0</v>
      </c>
      <c r="Q468" s="2">
        <v>0.5</v>
      </c>
      <c r="R468" s="2">
        <v>0</v>
      </c>
      <c r="S468" s="2">
        <v>0</v>
      </c>
      <c r="T468" s="2"/>
      <c r="U468" s="2">
        <v>0</v>
      </c>
      <c r="V468" s="2">
        <v>0</v>
      </c>
      <c r="W468" s="2">
        <v>0</v>
      </c>
      <c r="X468" s="2">
        <v>0</v>
      </c>
      <c r="Y468" s="2">
        <v>0</v>
      </c>
      <c r="Z468" s="2">
        <v>0</v>
      </c>
      <c r="AA468" s="2">
        <v>9.9</v>
      </c>
      <c r="AB468" s="2">
        <v>9.9</v>
      </c>
      <c r="AC468" s="2">
        <v>29.6</v>
      </c>
      <c r="AD468" s="2">
        <v>69</v>
      </c>
      <c r="AE468" s="2">
        <v>116</v>
      </c>
      <c r="AF468" s="2"/>
    </row>
    <row r="469" spans="1:32" x14ac:dyDescent="0.2">
      <c r="A469" t="s">
        <v>497</v>
      </c>
      <c r="B469" s="2">
        <v>21</v>
      </c>
      <c r="C469" t="s">
        <v>46</v>
      </c>
      <c r="D469" s="2" t="s">
        <v>52</v>
      </c>
      <c r="E469" s="2">
        <v>9</v>
      </c>
      <c r="F469" s="2">
        <v>0</v>
      </c>
      <c r="G469" s="2">
        <v>44</v>
      </c>
      <c r="H469" s="2">
        <v>3.2</v>
      </c>
      <c r="I469" s="2">
        <v>13</v>
      </c>
      <c r="J469" s="2">
        <v>0.25</v>
      </c>
      <c r="K469" s="2">
        <v>1.1000000000000001</v>
      </c>
      <c r="L469" s="2">
        <v>6.5</v>
      </c>
      <c r="M469" s="2">
        <v>0.16700000000000001</v>
      </c>
      <c r="N469" s="2">
        <v>2.2000000000000002</v>
      </c>
      <c r="O469" s="2">
        <v>6.5</v>
      </c>
      <c r="P469" s="2">
        <v>0.33300000000000002</v>
      </c>
      <c r="Q469" s="2">
        <v>0.29199999999999998</v>
      </c>
      <c r="R469" s="2">
        <v>2.2000000000000002</v>
      </c>
      <c r="S469" s="2">
        <v>2.2000000000000002</v>
      </c>
      <c r="T469" s="2">
        <v>1</v>
      </c>
      <c r="U469" s="2">
        <v>0</v>
      </c>
      <c r="V469" s="2">
        <v>1.1000000000000001</v>
      </c>
      <c r="W469" s="2">
        <v>1.1000000000000001</v>
      </c>
      <c r="X469" s="2">
        <v>2.2000000000000002</v>
      </c>
      <c r="Y469" s="2">
        <v>0</v>
      </c>
      <c r="Z469" s="2">
        <v>1.1000000000000001</v>
      </c>
      <c r="AA469" s="2">
        <v>1.1000000000000001</v>
      </c>
      <c r="AB469" s="2">
        <v>3.2</v>
      </c>
      <c r="AC469" s="2">
        <v>9.6999999999999993</v>
      </c>
      <c r="AD469" s="2">
        <v>79</v>
      </c>
      <c r="AE469" s="2">
        <v>122</v>
      </c>
      <c r="AF469" s="2"/>
    </row>
    <row r="470" spans="1:32" x14ac:dyDescent="0.2">
      <c r="A470" t="s">
        <v>426</v>
      </c>
      <c r="B470" s="2">
        <v>25</v>
      </c>
      <c r="C470" t="s">
        <v>117</v>
      </c>
      <c r="D470" s="2" t="s">
        <v>42</v>
      </c>
      <c r="E470" s="2">
        <v>15</v>
      </c>
      <c r="F470" s="2">
        <v>0</v>
      </c>
      <c r="G470" s="2">
        <v>152</v>
      </c>
      <c r="H470" s="2">
        <v>4.5</v>
      </c>
      <c r="I470" s="2">
        <v>9.3000000000000007</v>
      </c>
      <c r="J470" s="2">
        <v>0.48299999999999998</v>
      </c>
      <c r="K470" s="2">
        <v>0</v>
      </c>
      <c r="L470" s="2">
        <v>0</v>
      </c>
      <c r="M470" s="2"/>
      <c r="N470" s="2">
        <v>4.5</v>
      </c>
      <c r="O470" s="2">
        <v>9.3000000000000007</v>
      </c>
      <c r="P470" s="2">
        <v>0.48299999999999998</v>
      </c>
      <c r="Q470" s="2">
        <v>0.48299999999999998</v>
      </c>
      <c r="R470" s="2">
        <v>2.2999999999999998</v>
      </c>
      <c r="S470" s="2">
        <v>5.5</v>
      </c>
      <c r="T470" s="2">
        <v>0.41199999999999998</v>
      </c>
      <c r="U470" s="2">
        <v>5.5</v>
      </c>
      <c r="V470" s="2">
        <v>6.8</v>
      </c>
      <c r="W470" s="2">
        <v>12.2</v>
      </c>
      <c r="X470" s="2">
        <v>2.6</v>
      </c>
      <c r="Y470" s="2">
        <v>2.2999999999999998</v>
      </c>
      <c r="Z470" s="2">
        <v>1.9</v>
      </c>
      <c r="AA470" s="2">
        <v>3.2</v>
      </c>
      <c r="AB470" s="2">
        <v>7.7</v>
      </c>
      <c r="AC470" s="2">
        <v>11.3</v>
      </c>
      <c r="AD470" s="2">
        <v>97</v>
      </c>
      <c r="AE470" s="2">
        <v>116</v>
      </c>
      <c r="AF470" s="2"/>
    </row>
    <row r="471" spans="1:32" x14ac:dyDescent="0.2">
      <c r="A471" t="s">
        <v>340</v>
      </c>
      <c r="B471" s="2">
        <v>29</v>
      </c>
      <c r="C471" t="s">
        <v>37</v>
      </c>
      <c r="D471" s="2" t="s">
        <v>27</v>
      </c>
      <c r="E471" s="2">
        <v>18</v>
      </c>
      <c r="F471" s="2">
        <v>2</v>
      </c>
      <c r="G471" s="2">
        <v>353</v>
      </c>
      <c r="H471" s="2">
        <v>4.5999999999999996</v>
      </c>
      <c r="I471" s="2">
        <v>12.5</v>
      </c>
      <c r="J471" s="2">
        <v>0.36299999999999999</v>
      </c>
      <c r="K471" s="2">
        <v>3</v>
      </c>
      <c r="L471" s="2">
        <v>9.1</v>
      </c>
      <c r="M471" s="2">
        <v>0.33300000000000002</v>
      </c>
      <c r="N471" s="2">
        <v>1.5</v>
      </c>
      <c r="O471" s="2">
        <v>3.4</v>
      </c>
      <c r="P471" s="2">
        <v>0.44</v>
      </c>
      <c r="Q471" s="2">
        <v>0.48399999999999999</v>
      </c>
      <c r="R471" s="2">
        <v>1.4</v>
      </c>
      <c r="S471" s="2">
        <v>1.9</v>
      </c>
      <c r="T471" s="2">
        <v>0.71399999999999997</v>
      </c>
      <c r="U471" s="2">
        <v>2.1</v>
      </c>
      <c r="V471" s="2">
        <v>7.7</v>
      </c>
      <c r="W471" s="2">
        <v>9.8000000000000007</v>
      </c>
      <c r="X471" s="2">
        <v>2.2999999999999998</v>
      </c>
      <c r="Y471" s="2">
        <v>1.4</v>
      </c>
      <c r="Z471" s="2">
        <v>1.5</v>
      </c>
      <c r="AA471" s="2">
        <v>1.4</v>
      </c>
      <c r="AB471" s="2">
        <v>3.4</v>
      </c>
      <c r="AC471" s="2">
        <v>13.5</v>
      </c>
      <c r="AD471" s="2">
        <v>107</v>
      </c>
      <c r="AE471" s="2">
        <v>113</v>
      </c>
      <c r="AF471" s="2"/>
    </row>
    <row r="472" spans="1:32" x14ac:dyDescent="0.2">
      <c r="A472" t="s">
        <v>205</v>
      </c>
      <c r="B472" s="2">
        <v>24</v>
      </c>
      <c r="C472" t="s">
        <v>117</v>
      </c>
      <c r="D472" s="2" t="s">
        <v>49</v>
      </c>
      <c r="E472" s="2">
        <v>13</v>
      </c>
      <c r="F472" s="2">
        <v>11</v>
      </c>
      <c r="G472" s="2">
        <v>438</v>
      </c>
      <c r="H472" s="2">
        <v>8.9</v>
      </c>
      <c r="I472" s="2">
        <v>21</v>
      </c>
      <c r="J472" s="2">
        <v>0.42599999999999999</v>
      </c>
      <c r="K472" s="2">
        <v>4</v>
      </c>
      <c r="L472" s="2">
        <v>11.8</v>
      </c>
      <c r="M472" s="2">
        <v>0.34</v>
      </c>
      <c r="N472" s="2">
        <v>4.9000000000000004</v>
      </c>
      <c r="O472" s="2">
        <v>9.1</v>
      </c>
      <c r="P472" s="2">
        <v>0.53700000000000003</v>
      </c>
      <c r="Q472" s="2">
        <v>0.52100000000000002</v>
      </c>
      <c r="R472" s="2">
        <v>4.5999999999999996</v>
      </c>
      <c r="S472" s="2">
        <v>5.2</v>
      </c>
      <c r="T472" s="2">
        <v>0.872</v>
      </c>
      <c r="U472" s="2">
        <v>1.1000000000000001</v>
      </c>
      <c r="V472" s="2">
        <v>5.5</v>
      </c>
      <c r="W472" s="2">
        <v>6.6</v>
      </c>
      <c r="X472" s="2">
        <v>3.3</v>
      </c>
      <c r="Y472" s="2">
        <v>1.7</v>
      </c>
      <c r="Z472" s="2">
        <v>0.9</v>
      </c>
      <c r="AA472" s="2">
        <v>2.2999999999999998</v>
      </c>
      <c r="AB472" s="2">
        <v>3.3</v>
      </c>
      <c r="AC472" s="2">
        <v>26.4</v>
      </c>
      <c r="AD472" s="2">
        <v>113</v>
      </c>
      <c r="AE472" s="2">
        <v>120</v>
      </c>
      <c r="AF472" s="2"/>
    </row>
    <row r="473" spans="1:32" x14ac:dyDescent="0.2">
      <c r="A473" t="s">
        <v>268</v>
      </c>
      <c r="B473" s="2">
        <v>23</v>
      </c>
      <c r="C473" t="s">
        <v>48</v>
      </c>
      <c r="D473" s="2" t="s">
        <v>49</v>
      </c>
      <c r="E473" s="2">
        <v>23</v>
      </c>
      <c r="F473" s="2">
        <v>16</v>
      </c>
      <c r="G473" s="2">
        <v>523</v>
      </c>
      <c r="H473" s="2">
        <v>5.8</v>
      </c>
      <c r="I473" s="2">
        <v>14.2</v>
      </c>
      <c r="J473" s="2">
        <v>0.40699999999999997</v>
      </c>
      <c r="K473" s="2">
        <v>2.4</v>
      </c>
      <c r="L473" s="2">
        <v>7.2</v>
      </c>
      <c r="M473" s="2">
        <v>0.32900000000000001</v>
      </c>
      <c r="N473" s="2">
        <v>3.4</v>
      </c>
      <c r="O473" s="2">
        <v>7</v>
      </c>
      <c r="P473" s="2">
        <v>0.48599999999999999</v>
      </c>
      <c r="Q473" s="2">
        <v>0.49</v>
      </c>
      <c r="R473" s="2">
        <v>1.6</v>
      </c>
      <c r="S473" s="2">
        <v>2.2999999999999998</v>
      </c>
      <c r="T473" s="2">
        <v>0.70799999999999996</v>
      </c>
      <c r="U473" s="2">
        <v>2</v>
      </c>
      <c r="V473" s="2">
        <v>5.9</v>
      </c>
      <c r="W473" s="2">
        <v>7.8</v>
      </c>
      <c r="X473" s="2">
        <v>3.1</v>
      </c>
      <c r="Y473" s="2">
        <v>0.8</v>
      </c>
      <c r="Z473" s="2">
        <v>0.4</v>
      </c>
      <c r="AA473" s="2">
        <v>1.4</v>
      </c>
      <c r="AB473" s="2">
        <v>3.1</v>
      </c>
      <c r="AC473" s="2">
        <v>15.5</v>
      </c>
      <c r="AD473" s="2">
        <v>108</v>
      </c>
      <c r="AE473" s="2">
        <v>111</v>
      </c>
      <c r="AF473" s="2"/>
    </row>
    <row r="474" spans="1:32" x14ac:dyDescent="0.2">
      <c r="A474" t="s">
        <v>451</v>
      </c>
      <c r="B474" s="2">
        <v>33</v>
      </c>
      <c r="C474" t="s">
        <v>57</v>
      </c>
      <c r="D474" s="2" t="s">
        <v>27</v>
      </c>
      <c r="E474" s="2">
        <v>8</v>
      </c>
      <c r="F474" s="2">
        <v>0</v>
      </c>
      <c r="G474" s="2">
        <v>58</v>
      </c>
      <c r="H474" s="2">
        <v>10.7</v>
      </c>
      <c r="I474" s="2">
        <v>15.7</v>
      </c>
      <c r="J474" s="2">
        <v>0.68400000000000005</v>
      </c>
      <c r="K474" s="2">
        <v>0</v>
      </c>
      <c r="L474" s="2">
        <v>0.8</v>
      </c>
      <c r="M474" s="2">
        <v>0</v>
      </c>
      <c r="N474" s="2">
        <v>10.7</v>
      </c>
      <c r="O474" s="2">
        <v>14.9</v>
      </c>
      <c r="P474" s="2">
        <v>0.72199999999999998</v>
      </c>
      <c r="Q474" s="2">
        <v>0.68400000000000005</v>
      </c>
      <c r="R474" s="2">
        <v>0</v>
      </c>
      <c r="S474" s="2">
        <v>5</v>
      </c>
      <c r="T474" s="2">
        <v>0</v>
      </c>
      <c r="U474" s="2">
        <v>2.5</v>
      </c>
      <c r="V474" s="2">
        <v>11.6</v>
      </c>
      <c r="W474" s="2">
        <v>14</v>
      </c>
      <c r="X474" s="2">
        <v>3.3</v>
      </c>
      <c r="Y474" s="2">
        <v>0</v>
      </c>
      <c r="Z474" s="2">
        <v>1.7</v>
      </c>
      <c r="AA474" s="2">
        <v>3.3</v>
      </c>
      <c r="AB474" s="2">
        <v>5</v>
      </c>
      <c r="AC474" s="2">
        <v>21.5</v>
      </c>
      <c r="AD474" s="2">
        <v>105</v>
      </c>
      <c r="AE474" s="2">
        <v>112</v>
      </c>
      <c r="AF474" s="2"/>
    </row>
    <row r="475" spans="1:32" x14ac:dyDescent="0.2">
      <c r="A475" t="s">
        <v>538</v>
      </c>
      <c r="B475" s="2">
        <v>23</v>
      </c>
      <c r="C475" t="s">
        <v>82</v>
      </c>
      <c r="D475" s="2" t="s">
        <v>52</v>
      </c>
      <c r="E475" s="2">
        <v>5</v>
      </c>
      <c r="F475" s="2">
        <v>0</v>
      </c>
      <c r="G475" s="2">
        <v>8</v>
      </c>
      <c r="H475" s="2">
        <v>6</v>
      </c>
      <c r="I475" s="2">
        <v>36</v>
      </c>
      <c r="J475" s="2">
        <v>0.16700000000000001</v>
      </c>
      <c r="K475" s="2">
        <v>0</v>
      </c>
      <c r="L475" s="2">
        <v>18</v>
      </c>
      <c r="M475" s="2">
        <v>0</v>
      </c>
      <c r="N475" s="2">
        <v>6</v>
      </c>
      <c r="O475" s="2">
        <v>18</v>
      </c>
      <c r="P475" s="2">
        <v>0.33300000000000002</v>
      </c>
      <c r="Q475" s="2">
        <v>0.16700000000000001</v>
      </c>
      <c r="R475" s="2">
        <v>6</v>
      </c>
      <c r="S475" s="2">
        <v>6</v>
      </c>
      <c r="T475" s="2">
        <v>1</v>
      </c>
      <c r="U475" s="2">
        <v>0</v>
      </c>
      <c r="V475" s="2">
        <v>0</v>
      </c>
      <c r="W475" s="2">
        <v>0</v>
      </c>
      <c r="X475" s="2">
        <v>6</v>
      </c>
      <c r="Y475" s="2">
        <v>0</v>
      </c>
      <c r="Z475" s="2">
        <v>0</v>
      </c>
      <c r="AA475" s="2">
        <v>6</v>
      </c>
      <c r="AB475" s="2">
        <v>12</v>
      </c>
      <c r="AC475" s="2">
        <v>18</v>
      </c>
      <c r="AD475" s="2">
        <v>52</v>
      </c>
      <c r="AE475" s="2">
        <v>126</v>
      </c>
      <c r="AF475" s="2"/>
    </row>
    <row r="476" spans="1:32" x14ac:dyDescent="0.2">
      <c r="A476" t="s">
        <v>180</v>
      </c>
      <c r="B476" s="2">
        <v>27</v>
      </c>
      <c r="C476" t="s">
        <v>57</v>
      </c>
      <c r="D476" s="2" t="s">
        <v>52</v>
      </c>
      <c r="E476" s="2">
        <v>24</v>
      </c>
      <c r="F476" s="2">
        <v>2</v>
      </c>
      <c r="G476" s="2">
        <v>441</v>
      </c>
      <c r="H476" s="2">
        <v>10.6</v>
      </c>
      <c r="I476" s="2">
        <v>19.3</v>
      </c>
      <c r="J476" s="2">
        <v>0.55100000000000005</v>
      </c>
      <c r="K476" s="2">
        <v>3.6</v>
      </c>
      <c r="L476" s="2">
        <v>7.6</v>
      </c>
      <c r="M476" s="2">
        <v>0.47099999999999997</v>
      </c>
      <c r="N476" s="2">
        <v>7.1</v>
      </c>
      <c r="O476" s="2">
        <v>11.7</v>
      </c>
      <c r="P476" s="2">
        <v>0.60199999999999998</v>
      </c>
      <c r="Q476" s="2">
        <v>0.64300000000000002</v>
      </c>
      <c r="R476" s="2">
        <v>4.5</v>
      </c>
      <c r="S476" s="2">
        <v>4.9000000000000004</v>
      </c>
      <c r="T476" s="2">
        <v>0.91100000000000003</v>
      </c>
      <c r="U476" s="2">
        <v>1.5</v>
      </c>
      <c r="V476" s="2">
        <v>3.9</v>
      </c>
      <c r="W476" s="2">
        <v>5.4</v>
      </c>
      <c r="X476" s="2">
        <v>9</v>
      </c>
      <c r="Y476" s="2">
        <v>3.2</v>
      </c>
      <c r="Z476" s="2">
        <v>0.1</v>
      </c>
      <c r="AA476" s="2">
        <v>3.2</v>
      </c>
      <c r="AB476" s="2">
        <v>4.2</v>
      </c>
      <c r="AC476" s="2">
        <v>29.3</v>
      </c>
      <c r="AD476" s="2">
        <v>133</v>
      </c>
      <c r="AE476" s="2">
        <v>111</v>
      </c>
      <c r="AF476" s="2"/>
    </row>
    <row r="477" spans="1:32" x14ac:dyDescent="0.2">
      <c r="A477" t="s">
        <v>60</v>
      </c>
      <c r="B477" s="2">
        <v>25</v>
      </c>
      <c r="C477" t="s">
        <v>61</v>
      </c>
      <c r="D477" s="2" t="s">
        <v>52</v>
      </c>
      <c r="E477" s="2">
        <v>23</v>
      </c>
      <c r="F477" s="2">
        <v>23</v>
      </c>
      <c r="G477" s="2">
        <v>797</v>
      </c>
      <c r="H477" s="2">
        <v>11.9</v>
      </c>
      <c r="I477" s="2">
        <v>24.7</v>
      </c>
      <c r="J477" s="2">
        <v>0.48399999999999999</v>
      </c>
      <c r="K477" s="2">
        <v>6</v>
      </c>
      <c r="L477" s="2">
        <v>14</v>
      </c>
      <c r="M477" s="2">
        <v>0.42699999999999999</v>
      </c>
      <c r="N477" s="2">
        <v>6</v>
      </c>
      <c r="O477" s="2">
        <v>10.7</v>
      </c>
      <c r="P477" s="2">
        <v>0.55800000000000005</v>
      </c>
      <c r="Q477" s="2">
        <v>0.60499999999999998</v>
      </c>
      <c r="R477" s="2">
        <v>4.7</v>
      </c>
      <c r="S477" s="2">
        <v>5.4</v>
      </c>
      <c r="T477" s="2">
        <v>0.874</v>
      </c>
      <c r="U477" s="2">
        <v>0.4</v>
      </c>
      <c r="V477" s="2">
        <v>7.2</v>
      </c>
      <c r="W477" s="2">
        <v>7.6</v>
      </c>
      <c r="X477" s="2">
        <v>7.2</v>
      </c>
      <c r="Y477" s="2">
        <v>1.1000000000000001</v>
      </c>
      <c r="Z477" s="2">
        <v>0.1</v>
      </c>
      <c r="AA477" s="2">
        <v>3.5</v>
      </c>
      <c r="AB477" s="2">
        <v>2.4</v>
      </c>
      <c r="AC477" s="2">
        <v>34.6</v>
      </c>
      <c r="AD477" s="2">
        <v>120</v>
      </c>
      <c r="AE477" s="2">
        <v>114</v>
      </c>
      <c r="AF477" s="2"/>
    </row>
    <row r="478" spans="1:32" x14ac:dyDescent="0.2">
      <c r="A478" t="s">
        <v>411</v>
      </c>
      <c r="B478" s="2">
        <v>23</v>
      </c>
      <c r="C478" t="s">
        <v>44</v>
      </c>
      <c r="D478" s="2" t="s">
        <v>33</v>
      </c>
      <c r="E478" s="2">
        <v>16</v>
      </c>
      <c r="F478" s="2">
        <v>0</v>
      </c>
      <c r="G478" s="2">
        <v>110</v>
      </c>
      <c r="H478" s="2">
        <v>7.2</v>
      </c>
      <c r="I478" s="2">
        <v>16.7</v>
      </c>
      <c r="J478" s="2">
        <v>0.432</v>
      </c>
      <c r="K478" s="2">
        <v>4.5</v>
      </c>
      <c r="L478" s="2">
        <v>9.9</v>
      </c>
      <c r="M478" s="2">
        <v>0.45500000000000002</v>
      </c>
      <c r="N478" s="2">
        <v>2.7</v>
      </c>
      <c r="O478" s="2">
        <v>6.8</v>
      </c>
      <c r="P478" s="2">
        <v>0.4</v>
      </c>
      <c r="Q478" s="2">
        <v>0.56799999999999995</v>
      </c>
      <c r="R478" s="2">
        <v>1.8</v>
      </c>
      <c r="S478" s="2">
        <v>1.8</v>
      </c>
      <c r="T478" s="2">
        <v>1</v>
      </c>
      <c r="U478" s="2">
        <v>0.9</v>
      </c>
      <c r="V478" s="2">
        <v>4.5</v>
      </c>
      <c r="W478" s="2">
        <v>5.4</v>
      </c>
      <c r="X478" s="2">
        <v>5</v>
      </c>
      <c r="Y478" s="2">
        <v>2.7</v>
      </c>
      <c r="Z478" s="2">
        <v>0.5</v>
      </c>
      <c r="AA478" s="2">
        <v>3.2</v>
      </c>
      <c r="AB478" s="2">
        <v>4.0999999999999996</v>
      </c>
      <c r="AC478" s="2">
        <v>20.7</v>
      </c>
      <c r="AD478" s="2">
        <v>110</v>
      </c>
      <c r="AE478" s="2">
        <v>114</v>
      </c>
      <c r="AF478" s="2"/>
    </row>
    <row r="479" spans="1:32" x14ac:dyDescent="0.2">
      <c r="A479" t="s">
        <v>469</v>
      </c>
      <c r="B479" s="2">
        <v>20</v>
      </c>
      <c r="C479" t="s">
        <v>35</v>
      </c>
      <c r="D479" s="2" t="s">
        <v>27</v>
      </c>
      <c r="E479" s="2">
        <v>10</v>
      </c>
      <c r="F479" s="2">
        <v>0</v>
      </c>
      <c r="G479" s="2">
        <v>34</v>
      </c>
      <c r="H479" s="2">
        <v>11.5</v>
      </c>
      <c r="I479" s="2">
        <v>18.7</v>
      </c>
      <c r="J479" s="2">
        <v>0.61499999999999999</v>
      </c>
      <c r="K479" s="2">
        <v>4.3</v>
      </c>
      <c r="L479" s="2">
        <v>11.5</v>
      </c>
      <c r="M479" s="2">
        <v>0.375</v>
      </c>
      <c r="N479" s="2">
        <v>7.2</v>
      </c>
      <c r="O479" s="2">
        <v>7.2</v>
      </c>
      <c r="P479" s="2">
        <v>1</v>
      </c>
      <c r="Q479" s="2">
        <v>0.73099999999999998</v>
      </c>
      <c r="R479" s="2">
        <v>1.4</v>
      </c>
      <c r="S479" s="2">
        <v>2.9</v>
      </c>
      <c r="T479" s="2">
        <v>0.5</v>
      </c>
      <c r="U479" s="2">
        <v>1.4</v>
      </c>
      <c r="V479" s="2">
        <v>10</v>
      </c>
      <c r="W479" s="2">
        <v>11.5</v>
      </c>
      <c r="X479" s="2">
        <v>1.4</v>
      </c>
      <c r="Y479" s="2">
        <v>0</v>
      </c>
      <c r="Z479" s="2">
        <v>4.3</v>
      </c>
      <c r="AA479" s="2">
        <v>4.3</v>
      </c>
      <c r="AB479" s="2">
        <v>5.7</v>
      </c>
      <c r="AC479" s="2">
        <v>28.7</v>
      </c>
      <c r="AD479" s="2">
        <v>111</v>
      </c>
      <c r="AE479" s="2">
        <v>111</v>
      </c>
      <c r="AF479" s="2"/>
    </row>
    <row r="480" spans="1:32" x14ac:dyDescent="0.2">
      <c r="A480" t="s">
        <v>97</v>
      </c>
      <c r="B480" s="2">
        <v>24</v>
      </c>
      <c r="C480" t="s">
        <v>82</v>
      </c>
      <c r="D480" s="2" t="s">
        <v>33</v>
      </c>
      <c r="E480" s="2">
        <v>25</v>
      </c>
      <c r="F480" s="2">
        <v>25</v>
      </c>
      <c r="G480" s="2">
        <v>884</v>
      </c>
      <c r="H480" s="2">
        <v>8.1</v>
      </c>
      <c r="I480" s="2">
        <v>19.399999999999999</v>
      </c>
      <c r="J480" s="2">
        <v>0.42</v>
      </c>
      <c r="K480" s="2">
        <v>3.9</v>
      </c>
      <c r="L480" s="2">
        <v>11.4</v>
      </c>
      <c r="M480" s="2">
        <v>0.33600000000000002</v>
      </c>
      <c r="N480" s="2">
        <v>4.3</v>
      </c>
      <c r="O480" s="2">
        <v>7.9</v>
      </c>
      <c r="P480" s="2">
        <v>0.54100000000000004</v>
      </c>
      <c r="Q480" s="2">
        <v>0.52</v>
      </c>
      <c r="R480" s="2">
        <v>3.6</v>
      </c>
      <c r="S480" s="2">
        <v>4.2</v>
      </c>
      <c r="T480" s="2">
        <v>0.84599999999999997</v>
      </c>
      <c r="U480" s="2">
        <v>1</v>
      </c>
      <c r="V480" s="2">
        <v>3.6</v>
      </c>
      <c r="W480" s="2">
        <v>4.5999999999999996</v>
      </c>
      <c r="X480" s="2">
        <v>11.4</v>
      </c>
      <c r="Y480" s="2">
        <v>1.7</v>
      </c>
      <c r="Z480" s="2">
        <v>0.8</v>
      </c>
      <c r="AA480" s="2">
        <v>2.7</v>
      </c>
      <c r="AB480" s="2">
        <v>2.2000000000000002</v>
      </c>
      <c r="AC480" s="2">
        <v>23.7</v>
      </c>
      <c r="AD480" s="2">
        <v>119</v>
      </c>
      <c r="AE480" s="2">
        <v>119</v>
      </c>
      <c r="AF480" s="2"/>
    </row>
    <row r="481" spans="1:32" x14ac:dyDescent="0.2">
      <c r="A481" t="s">
        <v>383</v>
      </c>
      <c r="B481" s="2">
        <v>25</v>
      </c>
      <c r="C481" t="s">
        <v>103</v>
      </c>
      <c r="D481" s="2" t="s">
        <v>52</v>
      </c>
      <c r="E481" s="2">
        <v>9</v>
      </c>
      <c r="F481" s="2">
        <v>2</v>
      </c>
      <c r="G481" s="2">
        <v>132</v>
      </c>
      <c r="H481" s="2">
        <v>8.3000000000000007</v>
      </c>
      <c r="I481" s="2">
        <v>16.600000000000001</v>
      </c>
      <c r="J481" s="2">
        <v>0.5</v>
      </c>
      <c r="K481" s="2">
        <v>6.4</v>
      </c>
      <c r="L481" s="2">
        <v>12.4</v>
      </c>
      <c r="M481" s="2">
        <v>0.51500000000000001</v>
      </c>
      <c r="N481" s="2">
        <v>1.9</v>
      </c>
      <c r="O481" s="2">
        <v>4.0999999999999996</v>
      </c>
      <c r="P481" s="2">
        <v>0.45500000000000002</v>
      </c>
      <c r="Q481" s="2">
        <v>0.69299999999999995</v>
      </c>
      <c r="R481" s="2">
        <v>1.5</v>
      </c>
      <c r="S481" s="2">
        <v>1.9</v>
      </c>
      <c r="T481" s="2">
        <v>0.8</v>
      </c>
      <c r="U481" s="2">
        <v>1.5</v>
      </c>
      <c r="V481" s="2">
        <v>6</v>
      </c>
      <c r="W481" s="2">
        <v>7.5</v>
      </c>
      <c r="X481" s="2">
        <v>3.8</v>
      </c>
      <c r="Y481" s="2">
        <v>1.1000000000000001</v>
      </c>
      <c r="Z481" s="2">
        <v>0.8</v>
      </c>
      <c r="AA481" s="2">
        <v>1.5</v>
      </c>
      <c r="AB481" s="2">
        <v>4.5</v>
      </c>
      <c r="AC481" s="2">
        <v>24.5</v>
      </c>
      <c r="AD481" s="2">
        <v>132</v>
      </c>
      <c r="AE481" s="2">
        <v>118</v>
      </c>
      <c r="AF481" s="2"/>
    </row>
    <row r="482" spans="1:32" x14ac:dyDescent="0.2">
      <c r="A482" t="s">
        <v>121</v>
      </c>
      <c r="B482" s="2">
        <v>24</v>
      </c>
      <c r="C482" t="s">
        <v>122</v>
      </c>
      <c r="D482" s="2" t="s">
        <v>33</v>
      </c>
      <c r="E482" s="2">
        <v>16</v>
      </c>
      <c r="F482" s="2">
        <v>16</v>
      </c>
      <c r="G482" s="2">
        <v>587</v>
      </c>
      <c r="H482" s="2">
        <v>11.7</v>
      </c>
      <c r="I482" s="2">
        <v>28.9</v>
      </c>
      <c r="J482" s="2">
        <v>0.40600000000000003</v>
      </c>
      <c r="K482" s="2">
        <v>3.7</v>
      </c>
      <c r="L482" s="2">
        <v>12.7</v>
      </c>
      <c r="M482" s="2">
        <v>0.29299999999999998</v>
      </c>
      <c r="N482" s="2">
        <v>8</v>
      </c>
      <c r="O482" s="2">
        <v>16.100000000000001</v>
      </c>
      <c r="P482" s="2">
        <v>0.495</v>
      </c>
      <c r="Q482" s="2">
        <v>0.47099999999999997</v>
      </c>
      <c r="R482" s="2">
        <v>5.9</v>
      </c>
      <c r="S482" s="2">
        <v>6.9</v>
      </c>
      <c r="T482" s="2">
        <v>0.85199999999999998</v>
      </c>
      <c r="U482" s="2">
        <v>0.3</v>
      </c>
      <c r="V482" s="2">
        <v>4.7</v>
      </c>
      <c r="W482" s="2">
        <v>4.9000000000000004</v>
      </c>
      <c r="X482" s="2">
        <v>7.1</v>
      </c>
      <c r="Y482" s="2">
        <v>2.7</v>
      </c>
      <c r="Z482" s="2">
        <v>0.4</v>
      </c>
      <c r="AA482" s="2">
        <v>2.6</v>
      </c>
      <c r="AB482" s="2">
        <v>3.5</v>
      </c>
      <c r="AC482" s="2">
        <v>33</v>
      </c>
      <c r="AD482" s="2">
        <v>108</v>
      </c>
      <c r="AE482" s="2">
        <v>113</v>
      </c>
      <c r="AF482" s="2"/>
    </row>
    <row r="483" spans="1:32" x14ac:dyDescent="0.2">
      <c r="A483" t="s">
        <v>505</v>
      </c>
      <c r="B483" s="2">
        <v>23</v>
      </c>
      <c r="C483" t="s">
        <v>54</v>
      </c>
      <c r="D483" s="2" t="s">
        <v>33</v>
      </c>
      <c r="E483" s="2">
        <v>3</v>
      </c>
      <c r="F483" s="2">
        <v>0</v>
      </c>
      <c r="G483" s="2">
        <v>27</v>
      </c>
      <c r="H483" s="2">
        <v>5.5</v>
      </c>
      <c r="I483" s="2">
        <v>10.9</v>
      </c>
      <c r="J483" s="2">
        <v>0.5</v>
      </c>
      <c r="K483" s="2">
        <v>3.6</v>
      </c>
      <c r="L483" s="2">
        <v>5.5</v>
      </c>
      <c r="M483" s="2">
        <v>0.66700000000000004</v>
      </c>
      <c r="N483" s="2">
        <v>1.8</v>
      </c>
      <c r="O483" s="2">
        <v>5.5</v>
      </c>
      <c r="P483" s="2">
        <v>0.33300000000000002</v>
      </c>
      <c r="Q483" s="2">
        <v>0.66700000000000004</v>
      </c>
      <c r="R483" s="2">
        <v>0</v>
      </c>
      <c r="S483" s="2">
        <v>0</v>
      </c>
      <c r="T483" s="2"/>
      <c r="U483" s="2">
        <v>0</v>
      </c>
      <c r="V483" s="2">
        <v>1.8</v>
      </c>
      <c r="W483" s="2">
        <v>1.8</v>
      </c>
      <c r="X483" s="2">
        <v>7.3</v>
      </c>
      <c r="Y483" s="2">
        <v>3.6</v>
      </c>
      <c r="Z483" s="2">
        <v>0</v>
      </c>
      <c r="AA483" s="2">
        <v>1.8</v>
      </c>
      <c r="AB483" s="2">
        <v>0</v>
      </c>
      <c r="AC483" s="2">
        <v>14.6</v>
      </c>
      <c r="AD483" s="2">
        <v>129</v>
      </c>
      <c r="AE483" s="2">
        <v>116</v>
      </c>
      <c r="AF483" s="2"/>
    </row>
    <row r="484" spans="1:32" x14ac:dyDescent="0.2">
      <c r="A484" t="s">
        <v>171</v>
      </c>
      <c r="B484" s="2">
        <v>28</v>
      </c>
      <c r="C484" t="s">
        <v>54</v>
      </c>
      <c r="D484" s="2" t="s">
        <v>33</v>
      </c>
      <c r="E484" s="2">
        <v>23</v>
      </c>
      <c r="F484" s="2">
        <v>23</v>
      </c>
      <c r="G484" s="2">
        <v>742</v>
      </c>
      <c r="H484" s="2">
        <v>7.1</v>
      </c>
      <c r="I484" s="2">
        <v>15.1</v>
      </c>
      <c r="J484" s="2">
        <v>0.47099999999999997</v>
      </c>
      <c r="K484" s="2">
        <v>3.4</v>
      </c>
      <c r="L484" s="2">
        <v>8.4</v>
      </c>
      <c r="M484" s="2">
        <v>0.41299999999999998</v>
      </c>
      <c r="N484" s="2">
        <v>3.6</v>
      </c>
      <c r="O484" s="2">
        <v>6.7</v>
      </c>
      <c r="P484" s="2">
        <v>0.54500000000000004</v>
      </c>
      <c r="Q484" s="2">
        <v>0.58599999999999997</v>
      </c>
      <c r="R484" s="2">
        <v>1</v>
      </c>
      <c r="S484" s="2">
        <v>1.2</v>
      </c>
      <c r="T484" s="2">
        <v>0.83299999999999996</v>
      </c>
      <c r="U484" s="2">
        <v>0.9</v>
      </c>
      <c r="V484" s="2">
        <v>3</v>
      </c>
      <c r="W484" s="2">
        <v>3.9</v>
      </c>
      <c r="X484" s="2">
        <v>10.4</v>
      </c>
      <c r="Y484" s="2">
        <v>1.8</v>
      </c>
      <c r="Z484" s="2">
        <v>0.1</v>
      </c>
      <c r="AA484" s="2">
        <v>1.6</v>
      </c>
      <c r="AB484" s="2">
        <v>1.5</v>
      </c>
      <c r="AC484" s="2">
        <v>18.600000000000001</v>
      </c>
      <c r="AD484" s="2">
        <v>131</v>
      </c>
      <c r="AE484" s="2">
        <v>119</v>
      </c>
      <c r="AF484" s="2"/>
    </row>
    <row r="485" spans="1:32" x14ac:dyDescent="0.2">
      <c r="A485" t="s">
        <v>544</v>
      </c>
      <c r="B485" s="2">
        <v>19</v>
      </c>
      <c r="C485" t="s">
        <v>66</v>
      </c>
      <c r="D485" s="2" t="s">
        <v>27</v>
      </c>
      <c r="E485" s="2">
        <v>1</v>
      </c>
      <c r="F485" s="2">
        <v>0</v>
      </c>
      <c r="G485" s="2">
        <v>5</v>
      </c>
      <c r="H485" s="2">
        <v>9.6999999999999993</v>
      </c>
      <c r="I485" s="2">
        <v>9.6999999999999993</v>
      </c>
      <c r="J485" s="2">
        <v>1</v>
      </c>
      <c r="K485" s="2">
        <v>0</v>
      </c>
      <c r="L485" s="2">
        <v>0</v>
      </c>
      <c r="M485" s="2"/>
      <c r="N485" s="2">
        <v>9.6999999999999993</v>
      </c>
      <c r="O485" s="2">
        <v>9.6999999999999993</v>
      </c>
      <c r="P485" s="2">
        <v>1</v>
      </c>
      <c r="Q485" s="2">
        <v>1</v>
      </c>
      <c r="R485" s="2">
        <v>0</v>
      </c>
      <c r="S485" s="2">
        <v>0</v>
      </c>
      <c r="T485" s="2"/>
      <c r="U485" s="2">
        <v>0</v>
      </c>
      <c r="V485" s="2">
        <v>9.6999999999999993</v>
      </c>
      <c r="W485" s="2">
        <v>9.6999999999999993</v>
      </c>
      <c r="X485" s="2">
        <v>0</v>
      </c>
      <c r="Y485" s="2">
        <v>0</v>
      </c>
      <c r="Z485" s="2">
        <v>0</v>
      </c>
      <c r="AA485" s="2">
        <v>0</v>
      </c>
      <c r="AB485" s="2">
        <v>0</v>
      </c>
      <c r="AC485" s="2">
        <v>19.3</v>
      </c>
      <c r="AD485" s="2">
        <v>200</v>
      </c>
      <c r="AE485" s="2">
        <v>120</v>
      </c>
      <c r="AF485" s="2"/>
    </row>
    <row r="486" spans="1:32" x14ac:dyDescent="0.2">
      <c r="A486" t="s">
        <v>336</v>
      </c>
      <c r="B486" s="2">
        <v>31</v>
      </c>
      <c r="C486" t="s">
        <v>59</v>
      </c>
      <c r="D486" s="2" t="s">
        <v>33</v>
      </c>
      <c r="E486" s="2">
        <v>13</v>
      </c>
      <c r="F486" s="2">
        <v>6</v>
      </c>
      <c r="G486" s="2">
        <v>283</v>
      </c>
      <c r="H486" s="2">
        <v>6.7</v>
      </c>
      <c r="I486" s="2">
        <v>18</v>
      </c>
      <c r="J486" s="2">
        <v>0.36899999999999999</v>
      </c>
      <c r="K486" s="2">
        <v>3</v>
      </c>
      <c r="L486" s="2">
        <v>7.5</v>
      </c>
      <c r="M486" s="2">
        <v>0.39500000000000002</v>
      </c>
      <c r="N486" s="2">
        <v>3.7</v>
      </c>
      <c r="O486" s="2">
        <v>10.5</v>
      </c>
      <c r="P486" s="2">
        <v>0.35</v>
      </c>
      <c r="Q486" s="2">
        <v>0.45100000000000001</v>
      </c>
      <c r="R486" s="2">
        <v>1.2</v>
      </c>
      <c r="S486" s="2">
        <v>1.8</v>
      </c>
      <c r="T486" s="2">
        <v>0.7</v>
      </c>
      <c r="U486" s="2">
        <v>1.8</v>
      </c>
      <c r="V486" s="2">
        <v>4.7</v>
      </c>
      <c r="W486" s="2">
        <v>6.5</v>
      </c>
      <c r="X486" s="2">
        <v>8.8000000000000007</v>
      </c>
      <c r="Y486" s="2">
        <v>1.2</v>
      </c>
      <c r="Z486" s="2">
        <v>0</v>
      </c>
      <c r="AA486" s="2">
        <v>4.5999999999999996</v>
      </c>
      <c r="AB486" s="2">
        <v>2.8</v>
      </c>
      <c r="AC486" s="2">
        <v>17.5</v>
      </c>
      <c r="AD486" s="2">
        <v>98</v>
      </c>
      <c r="AE486" s="2">
        <v>119</v>
      </c>
      <c r="AF486" s="2"/>
    </row>
    <row r="487" spans="1:32" x14ac:dyDescent="0.2">
      <c r="A487" t="s">
        <v>92</v>
      </c>
      <c r="B487" s="2">
        <v>21</v>
      </c>
      <c r="C487" t="s">
        <v>93</v>
      </c>
      <c r="D487" s="2" t="s">
        <v>42</v>
      </c>
      <c r="E487" s="2">
        <v>19</v>
      </c>
      <c r="F487" s="2">
        <v>19</v>
      </c>
      <c r="G487" s="2">
        <v>611</v>
      </c>
      <c r="H487" s="2">
        <v>13.1</v>
      </c>
      <c r="I487" s="2">
        <v>27.4</v>
      </c>
      <c r="J487" s="2">
        <v>0.48</v>
      </c>
      <c r="K487" s="2">
        <v>4.7</v>
      </c>
      <c r="L487" s="2">
        <v>13.8</v>
      </c>
      <c r="M487" s="2">
        <v>0.34100000000000003</v>
      </c>
      <c r="N487" s="2">
        <v>8.4</v>
      </c>
      <c r="O487" s="2">
        <v>13.6</v>
      </c>
      <c r="P487" s="2">
        <v>0.62</v>
      </c>
      <c r="Q487" s="2">
        <v>0.56499999999999995</v>
      </c>
      <c r="R487" s="2">
        <v>4.7</v>
      </c>
      <c r="S487" s="2">
        <v>5.4</v>
      </c>
      <c r="T487" s="2">
        <v>0.86799999999999999</v>
      </c>
      <c r="U487" s="2">
        <v>3.2</v>
      </c>
      <c r="V487" s="2">
        <v>12.5</v>
      </c>
      <c r="W487" s="2">
        <v>15.7</v>
      </c>
      <c r="X487" s="2">
        <v>5.5</v>
      </c>
      <c r="Y487" s="2">
        <v>1.8</v>
      </c>
      <c r="Z487" s="2">
        <v>5.0999999999999996</v>
      </c>
      <c r="AA487" s="2">
        <v>5.4</v>
      </c>
      <c r="AB487" s="2">
        <v>3.2</v>
      </c>
      <c r="AC487" s="2">
        <v>35.6</v>
      </c>
      <c r="AD487" s="2">
        <v>109</v>
      </c>
      <c r="AE487" s="2">
        <v>106</v>
      </c>
      <c r="AF487" s="2"/>
    </row>
    <row r="488" spans="1:32" x14ac:dyDescent="0.2">
      <c r="A488" t="s">
        <v>483</v>
      </c>
      <c r="B488" s="2">
        <v>24</v>
      </c>
      <c r="C488" t="s">
        <v>80</v>
      </c>
      <c r="D488" s="2" t="s">
        <v>52</v>
      </c>
      <c r="E488" s="2">
        <v>3</v>
      </c>
      <c r="F488" s="2">
        <v>0</v>
      </c>
      <c r="G488" s="2">
        <v>45</v>
      </c>
      <c r="H488" s="2">
        <v>7.1</v>
      </c>
      <c r="I488" s="2">
        <v>19.399999999999999</v>
      </c>
      <c r="J488" s="2">
        <v>0.36799999999999999</v>
      </c>
      <c r="K488" s="2">
        <v>1</v>
      </c>
      <c r="L488" s="2">
        <v>8.1999999999999993</v>
      </c>
      <c r="M488" s="2">
        <v>0.125</v>
      </c>
      <c r="N488" s="2">
        <v>6.1</v>
      </c>
      <c r="O488" s="2">
        <v>11.2</v>
      </c>
      <c r="P488" s="2">
        <v>0.54500000000000004</v>
      </c>
      <c r="Q488" s="2">
        <v>0.39500000000000002</v>
      </c>
      <c r="R488" s="2">
        <v>1</v>
      </c>
      <c r="S488" s="2">
        <v>4.0999999999999996</v>
      </c>
      <c r="T488" s="2">
        <v>0.25</v>
      </c>
      <c r="U488" s="2">
        <v>4.0999999999999996</v>
      </c>
      <c r="V488" s="2">
        <v>7.1</v>
      </c>
      <c r="W488" s="2">
        <v>11.2</v>
      </c>
      <c r="X488" s="2">
        <v>9.1999999999999993</v>
      </c>
      <c r="Y488" s="2">
        <v>0</v>
      </c>
      <c r="Z488" s="2">
        <v>2</v>
      </c>
      <c r="AA488" s="2">
        <v>7.1</v>
      </c>
      <c r="AB488" s="2">
        <v>9.1999999999999993</v>
      </c>
      <c r="AC488" s="2">
        <v>16.3</v>
      </c>
      <c r="AD488" s="2">
        <v>82</v>
      </c>
      <c r="AE488" s="2">
        <v>111</v>
      </c>
      <c r="AF488" s="2"/>
    </row>
    <row r="489" spans="1:32" x14ac:dyDescent="0.2">
      <c r="A489" t="s">
        <v>433</v>
      </c>
      <c r="B489" s="2">
        <v>24</v>
      </c>
      <c r="C489" t="s">
        <v>72</v>
      </c>
      <c r="D489" s="2" t="s">
        <v>33</v>
      </c>
      <c r="E489" s="2">
        <v>12</v>
      </c>
      <c r="F489" s="2">
        <v>0</v>
      </c>
      <c r="G489" s="2">
        <v>140</v>
      </c>
      <c r="H489" s="2">
        <v>4</v>
      </c>
      <c r="I489" s="2">
        <v>11.6</v>
      </c>
      <c r="J489" s="2">
        <v>0.34300000000000003</v>
      </c>
      <c r="K489" s="2">
        <v>1.3</v>
      </c>
      <c r="L489" s="2">
        <v>5.6</v>
      </c>
      <c r="M489" s="2">
        <v>0.23499999999999999</v>
      </c>
      <c r="N489" s="2">
        <v>2.7</v>
      </c>
      <c r="O489" s="2">
        <v>6</v>
      </c>
      <c r="P489" s="2">
        <v>0.44400000000000001</v>
      </c>
      <c r="Q489" s="2">
        <v>0.4</v>
      </c>
      <c r="R489" s="2">
        <v>1.7</v>
      </c>
      <c r="S489" s="2">
        <v>3</v>
      </c>
      <c r="T489" s="2">
        <v>0.55600000000000005</v>
      </c>
      <c r="U489" s="2">
        <v>2.2999999999999998</v>
      </c>
      <c r="V489" s="2">
        <v>5</v>
      </c>
      <c r="W489" s="2">
        <v>7.3</v>
      </c>
      <c r="X489" s="2">
        <v>5.6</v>
      </c>
      <c r="Y489" s="2">
        <v>1.3</v>
      </c>
      <c r="Z489" s="2">
        <v>1</v>
      </c>
      <c r="AA489" s="2">
        <v>2.2999999999999998</v>
      </c>
      <c r="AB489" s="2">
        <v>6.3</v>
      </c>
      <c r="AC489" s="2">
        <v>10.9</v>
      </c>
      <c r="AD489" s="2">
        <v>98</v>
      </c>
      <c r="AE489" s="2">
        <v>117</v>
      </c>
      <c r="AF489" s="2"/>
    </row>
    <row r="490" spans="1:32" x14ac:dyDescent="0.2">
      <c r="A490" t="s">
        <v>498</v>
      </c>
      <c r="B490" s="2">
        <v>27</v>
      </c>
      <c r="C490" t="s">
        <v>46</v>
      </c>
      <c r="D490" s="2" t="s">
        <v>27</v>
      </c>
      <c r="E490" s="2">
        <v>4</v>
      </c>
      <c r="F490" s="2">
        <v>0</v>
      </c>
      <c r="G490" s="2">
        <v>34</v>
      </c>
      <c r="H490" s="2">
        <v>5.6</v>
      </c>
      <c r="I490" s="2">
        <v>9.8000000000000007</v>
      </c>
      <c r="J490" s="2">
        <v>0.57099999999999995</v>
      </c>
      <c r="K490" s="2">
        <v>1.4</v>
      </c>
      <c r="L490" s="2">
        <v>2.8</v>
      </c>
      <c r="M490" s="2">
        <v>0.5</v>
      </c>
      <c r="N490" s="2">
        <v>4.2</v>
      </c>
      <c r="O490" s="2">
        <v>7</v>
      </c>
      <c r="P490" s="2">
        <v>0.6</v>
      </c>
      <c r="Q490" s="2">
        <v>0.64300000000000002</v>
      </c>
      <c r="R490" s="2">
        <v>0</v>
      </c>
      <c r="S490" s="2">
        <v>0</v>
      </c>
      <c r="T490" s="2"/>
      <c r="U490" s="2">
        <v>4.2</v>
      </c>
      <c r="V490" s="2">
        <v>7</v>
      </c>
      <c r="W490" s="2">
        <v>11.2</v>
      </c>
      <c r="X490" s="2">
        <v>0</v>
      </c>
      <c r="Y490" s="2">
        <v>0</v>
      </c>
      <c r="Z490" s="2">
        <v>1.4</v>
      </c>
      <c r="AA490" s="2">
        <v>2.8</v>
      </c>
      <c r="AB490" s="2">
        <v>5.6</v>
      </c>
      <c r="AC490" s="2">
        <v>12.6</v>
      </c>
      <c r="AD490" s="2">
        <v>106</v>
      </c>
      <c r="AE490" s="2">
        <v>118</v>
      </c>
      <c r="AF490" s="2"/>
    </row>
    <row r="491" spans="1:32" x14ac:dyDescent="0.2">
      <c r="A491" t="s">
        <v>245</v>
      </c>
      <c r="B491" s="2">
        <v>23</v>
      </c>
      <c r="C491" t="s">
        <v>120</v>
      </c>
      <c r="D491" s="2" t="s">
        <v>42</v>
      </c>
      <c r="E491" s="2">
        <v>17</v>
      </c>
      <c r="F491" s="2">
        <v>17</v>
      </c>
      <c r="G491" s="2">
        <v>495</v>
      </c>
      <c r="H491" s="2">
        <v>7.7</v>
      </c>
      <c r="I491" s="2">
        <v>10.6</v>
      </c>
      <c r="J491" s="2">
        <v>0.73099999999999998</v>
      </c>
      <c r="K491" s="2">
        <v>0</v>
      </c>
      <c r="L491" s="2">
        <v>0</v>
      </c>
      <c r="M491" s="2"/>
      <c r="N491" s="2">
        <v>7.7</v>
      </c>
      <c r="O491" s="2">
        <v>10.6</v>
      </c>
      <c r="P491" s="2">
        <v>0.73099999999999998</v>
      </c>
      <c r="Q491" s="2">
        <v>0.73099999999999998</v>
      </c>
      <c r="R491" s="2">
        <v>2.6</v>
      </c>
      <c r="S491" s="2">
        <v>4.4000000000000004</v>
      </c>
      <c r="T491" s="2">
        <v>0.6</v>
      </c>
      <c r="U491" s="2">
        <v>6.7</v>
      </c>
      <c r="V491" s="2">
        <v>11.7</v>
      </c>
      <c r="W491" s="2">
        <v>18.399999999999999</v>
      </c>
      <c r="X491" s="2">
        <v>2.2999999999999998</v>
      </c>
      <c r="Y491" s="2">
        <v>0.8</v>
      </c>
      <c r="Z491" s="2">
        <v>5</v>
      </c>
      <c r="AA491" s="2">
        <v>2.4</v>
      </c>
      <c r="AB491" s="2">
        <v>3.6</v>
      </c>
      <c r="AC491" s="2">
        <v>18.100000000000001</v>
      </c>
      <c r="AD491" s="2">
        <v>135</v>
      </c>
      <c r="AE491" s="2">
        <v>113</v>
      </c>
      <c r="AF491" s="2"/>
    </row>
    <row r="492" spans="1:32" x14ac:dyDescent="0.2">
      <c r="A492" t="s">
        <v>329</v>
      </c>
      <c r="B492" s="2">
        <v>25</v>
      </c>
      <c r="C492" t="s">
        <v>48</v>
      </c>
      <c r="D492" s="2" t="s">
        <v>42</v>
      </c>
      <c r="E492" s="2">
        <v>14</v>
      </c>
      <c r="F492" s="2">
        <v>14</v>
      </c>
      <c r="G492" s="2">
        <v>362</v>
      </c>
      <c r="H492" s="2">
        <v>4.9000000000000004</v>
      </c>
      <c r="I492" s="2">
        <v>9.8000000000000007</v>
      </c>
      <c r="J492" s="2">
        <v>0.5</v>
      </c>
      <c r="K492" s="2">
        <v>0.7</v>
      </c>
      <c r="L492" s="2">
        <v>4</v>
      </c>
      <c r="M492" s="2">
        <v>0.17199999999999999</v>
      </c>
      <c r="N492" s="2">
        <v>4.2</v>
      </c>
      <c r="O492" s="2">
        <v>5.9</v>
      </c>
      <c r="P492" s="2">
        <v>0.72099999999999997</v>
      </c>
      <c r="Q492" s="2">
        <v>0.53500000000000003</v>
      </c>
      <c r="R492" s="2">
        <v>4</v>
      </c>
      <c r="S492" s="2">
        <v>5.2</v>
      </c>
      <c r="T492" s="2">
        <v>0.76300000000000001</v>
      </c>
      <c r="U492" s="2">
        <v>3.7</v>
      </c>
      <c r="V492" s="2">
        <v>11.2</v>
      </c>
      <c r="W492" s="2">
        <v>14.9</v>
      </c>
      <c r="X492" s="2">
        <v>4.5</v>
      </c>
      <c r="Y492" s="2">
        <v>1.8</v>
      </c>
      <c r="Z492" s="2">
        <v>1.1000000000000001</v>
      </c>
      <c r="AA492" s="2">
        <v>1.8</v>
      </c>
      <c r="AB492" s="2">
        <v>5.6</v>
      </c>
      <c r="AC492" s="2">
        <v>14.5</v>
      </c>
      <c r="AD492" s="2">
        <v>127</v>
      </c>
      <c r="AE492" s="2">
        <v>105</v>
      </c>
      <c r="AF492" s="2"/>
    </row>
    <row r="493" spans="1:32" x14ac:dyDescent="0.2">
      <c r="A493" t="s">
        <v>402</v>
      </c>
      <c r="B493" s="2">
        <v>23</v>
      </c>
      <c r="C493" t="s">
        <v>75</v>
      </c>
      <c r="D493" s="2" t="s">
        <v>52</v>
      </c>
      <c r="E493" s="2">
        <v>12</v>
      </c>
      <c r="F493" s="2">
        <v>0</v>
      </c>
      <c r="G493" s="2">
        <v>171</v>
      </c>
      <c r="H493" s="2">
        <v>5.4</v>
      </c>
      <c r="I493" s="2">
        <v>10.3</v>
      </c>
      <c r="J493" s="2">
        <v>0.52800000000000002</v>
      </c>
      <c r="K493" s="2">
        <v>0.9</v>
      </c>
      <c r="L493" s="2">
        <v>2.6</v>
      </c>
      <c r="M493" s="2">
        <v>0.33300000000000002</v>
      </c>
      <c r="N493" s="2">
        <v>4.5999999999999996</v>
      </c>
      <c r="O493" s="2">
        <v>7.7</v>
      </c>
      <c r="P493" s="2">
        <v>0.59299999999999997</v>
      </c>
      <c r="Q493" s="2">
        <v>0.56899999999999995</v>
      </c>
      <c r="R493" s="2">
        <v>3.1</v>
      </c>
      <c r="S493" s="2">
        <v>3.4</v>
      </c>
      <c r="T493" s="2">
        <v>0.91700000000000004</v>
      </c>
      <c r="U493" s="2">
        <v>2.6</v>
      </c>
      <c r="V493" s="2">
        <v>8</v>
      </c>
      <c r="W493" s="2">
        <v>10.6</v>
      </c>
      <c r="X493" s="2">
        <v>4</v>
      </c>
      <c r="Y493" s="2">
        <v>2.2999999999999998</v>
      </c>
      <c r="Z493" s="2">
        <v>0.9</v>
      </c>
      <c r="AA493" s="2">
        <v>2.2999999999999998</v>
      </c>
      <c r="AB493" s="2">
        <v>3.7</v>
      </c>
      <c r="AC493" s="2">
        <v>14.9</v>
      </c>
      <c r="AD493" s="2">
        <v>123</v>
      </c>
      <c r="AE493" s="2">
        <v>112</v>
      </c>
      <c r="AF493" s="2"/>
    </row>
    <row r="494" spans="1:32" x14ac:dyDescent="0.2">
      <c r="A494" t="s">
        <v>477</v>
      </c>
      <c r="B494" s="2">
        <v>26</v>
      </c>
      <c r="C494" t="s">
        <v>39</v>
      </c>
      <c r="D494" s="2" t="s">
        <v>42</v>
      </c>
      <c r="E494" s="2">
        <v>16</v>
      </c>
      <c r="F494" s="2">
        <v>1</v>
      </c>
      <c r="G494" s="2">
        <v>144</v>
      </c>
      <c r="H494" s="2">
        <v>2.4</v>
      </c>
      <c r="I494" s="2">
        <v>9.5</v>
      </c>
      <c r="J494" s="2">
        <v>0.25</v>
      </c>
      <c r="K494" s="2">
        <v>1</v>
      </c>
      <c r="L494" s="2">
        <v>5.4</v>
      </c>
      <c r="M494" s="2">
        <v>0.188</v>
      </c>
      <c r="N494" s="2">
        <v>1.4</v>
      </c>
      <c r="O494" s="2">
        <v>4.0999999999999996</v>
      </c>
      <c r="P494" s="2">
        <v>0.33300000000000002</v>
      </c>
      <c r="Q494" s="2">
        <v>0.30399999999999999</v>
      </c>
      <c r="R494" s="2">
        <v>0.3</v>
      </c>
      <c r="S494" s="2">
        <v>0.7</v>
      </c>
      <c r="T494" s="2">
        <v>0.5</v>
      </c>
      <c r="U494" s="2">
        <v>2.4</v>
      </c>
      <c r="V494" s="2">
        <v>8.5</v>
      </c>
      <c r="W494" s="2">
        <v>10.9</v>
      </c>
      <c r="X494" s="2">
        <v>2</v>
      </c>
      <c r="Y494" s="2">
        <v>1.4</v>
      </c>
      <c r="Z494" s="2">
        <v>1</v>
      </c>
      <c r="AA494" s="2">
        <v>1.7</v>
      </c>
      <c r="AB494" s="2">
        <v>4.0999999999999996</v>
      </c>
      <c r="AC494" s="2">
        <v>6.1</v>
      </c>
      <c r="AD494" s="2">
        <v>79</v>
      </c>
      <c r="AE494" s="2">
        <v>111</v>
      </c>
      <c r="AF494" s="2"/>
    </row>
    <row r="495" spans="1:32" x14ac:dyDescent="0.2">
      <c r="A495" t="s">
        <v>490</v>
      </c>
      <c r="B495" s="2">
        <v>23</v>
      </c>
      <c r="C495" t="s">
        <v>80</v>
      </c>
      <c r="D495" s="2" t="s">
        <v>33</v>
      </c>
      <c r="E495" s="2">
        <v>13</v>
      </c>
      <c r="F495" s="2">
        <v>0</v>
      </c>
      <c r="G495" s="2">
        <v>40</v>
      </c>
      <c r="H495" s="2">
        <v>4.5999999999999996</v>
      </c>
      <c r="I495" s="2">
        <v>17.2</v>
      </c>
      <c r="J495" s="2">
        <v>0.26700000000000002</v>
      </c>
      <c r="K495" s="2">
        <v>2.2999999999999998</v>
      </c>
      <c r="L495" s="2">
        <v>12.6</v>
      </c>
      <c r="M495" s="2">
        <v>0.182</v>
      </c>
      <c r="N495" s="2">
        <v>2.2999999999999998</v>
      </c>
      <c r="O495" s="2">
        <v>4.5999999999999996</v>
      </c>
      <c r="P495" s="2">
        <v>0.5</v>
      </c>
      <c r="Q495" s="2">
        <v>0.33300000000000002</v>
      </c>
      <c r="R495" s="2">
        <v>4.5999999999999996</v>
      </c>
      <c r="S495" s="2">
        <v>6.9</v>
      </c>
      <c r="T495" s="2">
        <v>0.66700000000000004</v>
      </c>
      <c r="U495" s="2">
        <v>0</v>
      </c>
      <c r="V495" s="2">
        <v>2.2999999999999998</v>
      </c>
      <c r="W495" s="2">
        <v>2.2999999999999998</v>
      </c>
      <c r="X495" s="2">
        <v>8</v>
      </c>
      <c r="Y495" s="2">
        <v>1.1000000000000001</v>
      </c>
      <c r="Z495" s="2">
        <v>0</v>
      </c>
      <c r="AA495" s="2">
        <v>4.5999999999999996</v>
      </c>
      <c r="AB495" s="2">
        <v>4.5999999999999996</v>
      </c>
      <c r="AC495" s="2">
        <v>16.100000000000001</v>
      </c>
      <c r="AD495" s="2">
        <v>85</v>
      </c>
      <c r="AE495" s="2">
        <v>115</v>
      </c>
      <c r="AF495" s="2"/>
    </row>
    <row r="496" spans="1:32" x14ac:dyDescent="0.2">
      <c r="A496" t="s">
        <v>206</v>
      </c>
      <c r="B496" s="2">
        <v>20</v>
      </c>
      <c r="C496" t="s">
        <v>117</v>
      </c>
      <c r="D496" s="2" t="s">
        <v>42</v>
      </c>
      <c r="E496" s="2">
        <v>25</v>
      </c>
      <c r="F496" s="2">
        <v>19</v>
      </c>
      <c r="G496" s="2">
        <v>634</v>
      </c>
      <c r="H496" s="2">
        <v>7</v>
      </c>
      <c r="I496" s="2">
        <v>12.8</v>
      </c>
      <c r="J496" s="2">
        <v>0.54800000000000004</v>
      </c>
      <c r="K496" s="2">
        <v>0</v>
      </c>
      <c r="L496" s="2">
        <v>0</v>
      </c>
      <c r="M496" s="2"/>
      <c r="N496" s="2">
        <v>7</v>
      </c>
      <c r="O496" s="2">
        <v>12.8</v>
      </c>
      <c r="P496" s="2">
        <v>0.54800000000000004</v>
      </c>
      <c r="Q496" s="2">
        <v>0.54800000000000004</v>
      </c>
      <c r="R496" s="2">
        <v>3.8</v>
      </c>
      <c r="S496" s="2">
        <v>5.8</v>
      </c>
      <c r="T496" s="2">
        <v>0.65300000000000002</v>
      </c>
      <c r="U496" s="2">
        <v>7.3</v>
      </c>
      <c r="V496" s="2">
        <v>8.6</v>
      </c>
      <c r="W496" s="2">
        <v>16</v>
      </c>
      <c r="X496" s="2">
        <v>2.2999999999999998</v>
      </c>
      <c r="Y496" s="2">
        <v>1.3</v>
      </c>
      <c r="Z496" s="2">
        <v>2.4</v>
      </c>
      <c r="AA496" s="2">
        <v>2.2000000000000002</v>
      </c>
      <c r="AB496" s="2">
        <v>3.9</v>
      </c>
      <c r="AC496" s="2">
        <v>17.8</v>
      </c>
      <c r="AD496" s="2">
        <v>122</v>
      </c>
      <c r="AE496" s="2">
        <v>117</v>
      </c>
      <c r="AF496" s="2"/>
    </row>
    <row r="497" spans="1:32" x14ac:dyDescent="0.2">
      <c r="A497" t="s">
        <v>165</v>
      </c>
      <c r="B497" s="2">
        <v>19</v>
      </c>
      <c r="C497" t="s">
        <v>72</v>
      </c>
      <c r="D497" s="2" t="s">
        <v>49</v>
      </c>
      <c r="E497" s="2">
        <v>26</v>
      </c>
      <c r="F497" s="2">
        <v>24</v>
      </c>
      <c r="G497" s="2">
        <v>623</v>
      </c>
      <c r="H497" s="2">
        <v>8</v>
      </c>
      <c r="I497" s="2">
        <v>19.899999999999999</v>
      </c>
      <c r="J497" s="2">
        <v>0.39900000000000002</v>
      </c>
      <c r="K497" s="2">
        <v>2.4</v>
      </c>
      <c r="L497" s="2">
        <v>8.6</v>
      </c>
      <c r="M497" s="2">
        <v>0.27600000000000002</v>
      </c>
      <c r="N497" s="2">
        <v>5.6</v>
      </c>
      <c r="O497" s="2">
        <v>11.3</v>
      </c>
      <c r="P497" s="2">
        <v>0.49299999999999999</v>
      </c>
      <c r="Q497" s="2">
        <v>0.45900000000000002</v>
      </c>
      <c r="R497" s="2">
        <v>3.3</v>
      </c>
      <c r="S497" s="2">
        <v>4.9000000000000004</v>
      </c>
      <c r="T497" s="2">
        <v>0.68200000000000005</v>
      </c>
      <c r="U497" s="2">
        <v>2.2000000000000002</v>
      </c>
      <c r="V497" s="2">
        <v>4.5</v>
      </c>
      <c r="W497" s="2">
        <v>6.7</v>
      </c>
      <c r="X497" s="2">
        <v>2.4</v>
      </c>
      <c r="Y497" s="2">
        <v>1.6</v>
      </c>
      <c r="Z497" s="2">
        <v>1.4</v>
      </c>
      <c r="AA497" s="2">
        <v>2.2000000000000002</v>
      </c>
      <c r="AB497" s="2">
        <v>4</v>
      </c>
      <c r="AC497" s="2">
        <v>21.7</v>
      </c>
      <c r="AD497" s="2">
        <v>101</v>
      </c>
      <c r="AE497" s="2">
        <v>116</v>
      </c>
      <c r="AF497" s="2"/>
    </row>
    <row r="498" spans="1:32" x14ac:dyDescent="0.2">
      <c r="A498" t="s">
        <v>296</v>
      </c>
      <c r="B498" s="2">
        <v>27</v>
      </c>
      <c r="C498" t="s">
        <v>93</v>
      </c>
      <c r="D498" s="2" t="s">
        <v>42</v>
      </c>
      <c r="E498" s="2">
        <v>24</v>
      </c>
      <c r="F498" s="2">
        <v>4</v>
      </c>
      <c r="G498" s="2">
        <v>341</v>
      </c>
      <c r="H498" s="2">
        <v>7.1</v>
      </c>
      <c r="I498" s="2">
        <v>15</v>
      </c>
      <c r="J498" s="2">
        <v>0.47599999999999998</v>
      </c>
      <c r="K498" s="2">
        <v>1.7</v>
      </c>
      <c r="L498" s="2">
        <v>5.0999999999999996</v>
      </c>
      <c r="M498" s="2">
        <v>0.33300000000000002</v>
      </c>
      <c r="N498" s="2">
        <v>5.4</v>
      </c>
      <c r="O498" s="2">
        <v>9.8000000000000007</v>
      </c>
      <c r="P498" s="2">
        <v>0.55100000000000005</v>
      </c>
      <c r="Q498" s="2">
        <v>0.53300000000000003</v>
      </c>
      <c r="R498" s="2">
        <v>4</v>
      </c>
      <c r="S498" s="2">
        <v>4.5999999999999996</v>
      </c>
      <c r="T498" s="2">
        <v>0.875</v>
      </c>
      <c r="U498" s="2">
        <v>4</v>
      </c>
      <c r="V498" s="2">
        <v>7.4</v>
      </c>
      <c r="W498" s="2">
        <v>11.4</v>
      </c>
      <c r="X498" s="2">
        <v>6</v>
      </c>
      <c r="Y498" s="2">
        <v>1.6</v>
      </c>
      <c r="Z498" s="2">
        <v>1.7</v>
      </c>
      <c r="AA498" s="2">
        <v>3</v>
      </c>
      <c r="AB498" s="2">
        <v>7.6</v>
      </c>
      <c r="AC498" s="2">
        <v>20</v>
      </c>
      <c r="AD498" s="2">
        <v>119</v>
      </c>
      <c r="AE498" s="2">
        <v>114</v>
      </c>
      <c r="AF498" s="2"/>
    </row>
    <row r="499" spans="1:32" x14ac:dyDescent="0.2">
      <c r="A499" t="s">
        <v>274</v>
      </c>
      <c r="B499" s="2">
        <v>22</v>
      </c>
      <c r="C499" t="s">
        <v>80</v>
      </c>
      <c r="D499" s="2" t="s">
        <v>42</v>
      </c>
      <c r="E499" s="2">
        <v>14</v>
      </c>
      <c r="F499" s="2">
        <v>9</v>
      </c>
      <c r="G499" s="2">
        <v>281</v>
      </c>
      <c r="H499" s="2">
        <v>10.5</v>
      </c>
      <c r="I499" s="2">
        <v>17.2</v>
      </c>
      <c r="J499" s="2">
        <v>0.61</v>
      </c>
      <c r="K499" s="2">
        <v>1</v>
      </c>
      <c r="L499" s="2">
        <v>1.6</v>
      </c>
      <c r="M499" s="2">
        <v>0.6</v>
      </c>
      <c r="N499" s="2">
        <v>9.5</v>
      </c>
      <c r="O499" s="2">
        <v>15.5</v>
      </c>
      <c r="P499" s="2">
        <v>0.61099999999999999</v>
      </c>
      <c r="Q499" s="2">
        <v>0.63800000000000001</v>
      </c>
      <c r="R499" s="2">
        <v>3.6</v>
      </c>
      <c r="S499" s="2">
        <v>5.4</v>
      </c>
      <c r="T499" s="2">
        <v>0.66700000000000004</v>
      </c>
      <c r="U499" s="2">
        <v>7</v>
      </c>
      <c r="V499" s="2">
        <v>8.8000000000000007</v>
      </c>
      <c r="W499" s="2">
        <v>15.8</v>
      </c>
      <c r="X499" s="2">
        <v>1.8</v>
      </c>
      <c r="Y499" s="2">
        <v>2</v>
      </c>
      <c r="Z499" s="2">
        <v>2.2999999999999998</v>
      </c>
      <c r="AA499" s="2">
        <v>3.8</v>
      </c>
      <c r="AB499" s="2">
        <v>7.2</v>
      </c>
      <c r="AC499" s="2">
        <v>25.5</v>
      </c>
      <c r="AD499" s="2">
        <v>120</v>
      </c>
      <c r="AE499" s="2">
        <v>105</v>
      </c>
      <c r="AF499" s="2"/>
    </row>
    <row r="500" spans="1:32" x14ac:dyDescent="0.2">
      <c r="A500" t="s">
        <v>85</v>
      </c>
      <c r="B500" s="2">
        <v>29</v>
      </c>
      <c r="C500" t="s">
        <v>70</v>
      </c>
      <c r="D500" s="2" t="s">
        <v>49</v>
      </c>
      <c r="E500" s="2">
        <v>22</v>
      </c>
      <c r="F500" s="2">
        <v>22</v>
      </c>
      <c r="G500" s="2">
        <v>733</v>
      </c>
      <c r="H500" s="2">
        <v>11.1</v>
      </c>
      <c r="I500" s="2">
        <v>22</v>
      </c>
      <c r="J500" s="2">
        <v>0.50600000000000001</v>
      </c>
      <c r="K500" s="2">
        <v>4.5999999999999996</v>
      </c>
      <c r="L500" s="2">
        <v>10.6</v>
      </c>
      <c r="M500" s="2">
        <v>0.432</v>
      </c>
      <c r="N500" s="2">
        <v>6.5</v>
      </c>
      <c r="O500" s="2">
        <v>11.4</v>
      </c>
      <c r="P500" s="2">
        <v>0.57499999999999996</v>
      </c>
      <c r="Q500" s="2">
        <v>0.61</v>
      </c>
      <c r="R500" s="2">
        <v>3.8</v>
      </c>
      <c r="S500" s="2">
        <v>4.7</v>
      </c>
      <c r="T500" s="2">
        <v>0.8</v>
      </c>
      <c r="U500" s="2">
        <v>0.3</v>
      </c>
      <c r="V500" s="2">
        <v>5.8</v>
      </c>
      <c r="W500" s="2">
        <v>6.1</v>
      </c>
      <c r="X500" s="2">
        <v>5.8</v>
      </c>
      <c r="Y500" s="2">
        <v>1.1000000000000001</v>
      </c>
      <c r="Z500" s="2">
        <v>0.4</v>
      </c>
      <c r="AA500" s="2">
        <v>3.9</v>
      </c>
      <c r="AB500" s="2">
        <v>2.5</v>
      </c>
      <c r="AC500" s="2">
        <v>30.6</v>
      </c>
      <c r="AD500" s="2">
        <v>113</v>
      </c>
      <c r="AE500" s="2">
        <v>120</v>
      </c>
      <c r="AF500" s="2"/>
    </row>
    <row r="501" spans="1:32" x14ac:dyDescent="0.2">
      <c r="A501" t="s">
        <v>471</v>
      </c>
      <c r="B501" s="2">
        <v>24</v>
      </c>
      <c r="C501" t="s">
        <v>46</v>
      </c>
      <c r="D501" s="2" t="s">
        <v>27</v>
      </c>
      <c r="E501" s="2">
        <v>15</v>
      </c>
      <c r="F501" s="2">
        <v>0</v>
      </c>
      <c r="G501" s="2">
        <v>75</v>
      </c>
      <c r="H501" s="2">
        <v>5.7</v>
      </c>
      <c r="I501" s="2">
        <v>14</v>
      </c>
      <c r="J501" s="2">
        <v>0.40899999999999997</v>
      </c>
      <c r="K501" s="2">
        <v>0</v>
      </c>
      <c r="L501" s="2">
        <v>5.0999999999999996</v>
      </c>
      <c r="M501" s="2">
        <v>0</v>
      </c>
      <c r="N501" s="2">
        <v>5.7</v>
      </c>
      <c r="O501" s="2">
        <v>8.9</v>
      </c>
      <c r="P501" s="2">
        <v>0.64300000000000002</v>
      </c>
      <c r="Q501" s="2">
        <v>0.40899999999999997</v>
      </c>
      <c r="R501" s="2">
        <v>0.6</v>
      </c>
      <c r="S501" s="2">
        <v>3.2</v>
      </c>
      <c r="T501" s="2">
        <v>0.2</v>
      </c>
      <c r="U501" s="2">
        <v>1.3</v>
      </c>
      <c r="V501" s="2">
        <v>3.2</v>
      </c>
      <c r="W501" s="2">
        <v>4.4000000000000004</v>
      </c>
      <c r="X501" s="2">
        <v>1.9</v>
      </c>
      <c r="Y501" s="2">
        <v>0.6</v>
      </c>
      <c r="Z501" s="2">
        <v>1.3</v>
      </c>
      <c r="AA501" s="2">
        <v>0.6</v>
      </c>
      <c r="AB501" s="2">
        <v>3.8</v>
      </c>
      <c r="AC501" s="2">
        <v>12.1</v>
      </c>
      <c r="AD501" s="2">
        <v>88</v>
      </c>
      <c r="AE501" s="2">
        <v>119</v>
      </c>
      <c r="AF501" s="2"/>
    </row>
    <row r="502" spans="1:32" x14ac:dyDescent="0.2">
      <c r="A502" t="s">
        <v>248</v>
      </c>
      <c r="B502" s="2">
        <v>23</v>
      </c>
      <c r="C502" t="s">
        <v>103</v>
      </c>
      <c r="D502" s="2" t="s">
        <v>49</v>
      </c>
      <c r="E502" s="2">
        <v>21</v>
      </c>
      <c r="F502" s="2">
        <v>7</v>
      </c>
      <c r="G502" s="2">
        <v>459</v>
      </c>
      <c r="H502" s="2">
        <v>6.9</v>
      </c>
      <c r="I502" s="2">
        <v>17.2</v>
      </c>
      <c r="J502" s="2">
        <v>0.40300000000000002</v>
      </c>
      <c r="K502" s="2">
        <v>2</v>
      </c>
      <c r="L502" s="2">
        <v>7.2</v>
      </c>
      <c r="M502" s="2">
        <v>0.27300000000000002</v>
      </c>
      <c r="N502" s="2">
        <v>5</v>
      </c>
      <c r="O502" s="2">
        <v>10.1</v>
      </c>
      <c r="P502" s="2">
        <v>0.495</v>
      </c>
      <c r="Q502" s="2">
        <v>0.45900000000000002</v>
      </c>
      <c r="R502" s="2">
        <v>3.8</v>
      </c>
      <c r="S502" s="2">
        <v>4.8</v>
      </c>
      <c r="T502" s="2">
        <v>0.79500000000000004</v>
      </c>
      <c r="U502" s="2">
        <v>2.4</v>
      </c>
      <c r="V502" s="2">
        <v>7.6</v>
      </c>
      <c r="W502" s="2">
        <v>10</v>
      </c>
      <c r="X502" s="2">
        <v>2.6</v>
      </c>
      <c r="Y502" s="2">
        <v>2.2000000000000002</v>
      </c>
      <c r="Z502" s="2">
        <v>0.8</v>
      </c>
      <c r="AA502" s="2">
        <v>2.1</v>
      </c>
      <c r="AB502" s="2">
        <v>6.1</v>
      </c>
      <c r="AC502" s="2">
        <v>19.600000000000001</v>
      </c>
      <c r="AD502" s="2">
        <v>103</v>
      </c>
      <c r="AE502" s="2">
        <v>115</v>
      </c>
      <c r="AF502" s="2"/>
    </row>
    <row r="503" spans="1:32" x14ac:dyDescent="0.2">
      <c r="A503" t="s">
        <v>300</v>
      </c>
      <c r="B503" s="2">
        <v>24</v>
      </c>
      <c r="C503" t="s">
        <v>117</v>
      </c>
      <c r="D503" s="2" t="s">
        <v>27</v>
      </c>
      <c r="E503" s="2">
        <v>6</v>
      </c>
      <c r="F503" s="2">
        <v>6</v>
      </c>
      <c r="G503" s="2">
        <v>186</v>
      </c>
      <c r="H503" s="2">
        <v>12.3</v>
      </c>
      <c r="I503" s="2">
        <v>27.3</v>
      </c>
      <c r="J503" s="2">
        <v>0.45200000000000001</v>
      </c>
      <c r="K503" s="2">
        <v>0.5</v>
      </c>
      <c r="L503" s="2">
        <v>1.6</v>
      </c>
      <c r="M503" s="2">
        <v>0.33300000000000002</v>
      </c>
      <c r="N503" s="2">
        <v>11.8</v>
      </c>
      <c r="O503" s="2">
        <v>25.7</v>
      </c>
      <c r="P503" s="2">
        <v>0.45900000000000002</v>
      </c>
      <c r="Q503" s="2">
        <v>0.46200000000000002</v>
      </c>
      <c r="R503" s="2">
        <v>10.5</v>
      </c>
      <c r="S503" s="2">
        <v>15.8</v>
      </c>
      <c r="T503" s="2">
        <v>0.66700000000000004</v>
      </c>
      <c r="U503" s="2">
        <v>4.2</v>
      </c>
      <c r="V503" s="2">
        <v>8.4</v>
      </c>
      <c r="W503" s="2">
        <v>12.6</v>
      </c>
      <c r="X503" s="2">
        <v>8.4</v>
      </c>
      <c r="Y503" s="2">
        <v>1.1000000000000001</v>
      </c>
      <c r="Z503" s="2">
        <v>1.8</v>
      </c>
      <c r="AA503" s="2">
        <v>5.8</v>
      </c>
      <c r="AB503" s="2">
        <v>4.7</v>
      </c>
      <c r="AC503" s="2">
        <v>35.700000000000003</v>
      </c>
      <c r="AD503" s="2">
        <v>105</v>
      </c>
      <c r="AE503" s="2">
        <v>118</v>
      </c>
      <c r="AF503" s="2"/>
    </row>
  </sheetData>
  <sortState xmlns:xlrd2="http://schemas.microsoft.com/office/spreadsheetml/2017/richdata2" ref="A2:AF503">
    <sortCondition ref="A1:A503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C65E1-1BCF-6B40-B840-12DE4B45189E}">
  <dimension ref="A1:AA503"/>
  <sheetViews>
    <sheetView topLeftCell="P1" workbookViewId="0">
      <selection activeCell="AB1" sqref="AB1"/>
    </sheetView>
  </sheetViews>
  <sheetFormatPr baseColWidth="10" defaultRowHeight="16" x14ac:dyDescent="0.2"/>
  <sheetData>
    <row r="1" spans="1:27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569</v>
      </c>
      <c r="I1" s="1" t="s">
        <v>570</v>
      </c>
      <c r="J1" s="1" t="s">
        <v>571</v>
      </c>
      <c r="K1" s="1" t="s">
        <v>572</v>
      </c>
      <c r="L1" s="1" t="s">
        <v>573</v>
      </c>
      <c r="M1" s="1" t="s">
        <v>574</v>
      </c>
      <c r="N1" s="1" t="s">
        <v>575</v>
      </c>
      <c r="O1" s="1" t="s">
        <v>576</v>
      </c>
      <c r="P1" s="1" t="s">
        <v>577</v>
      </c>
      <c r="Q1" s="1" t="s">
        <v>578</v>
      </c>
      <c r="R1" s="1" t="s">
        <v>579</v>
      </c>
      <c r="S1" s="1" t="s">
        <v>580</v>
      </c>
      <c r="T1" s="1" t="s">
        <v>581</v>
      </c>
      <c r="U1" s="1" t="s">
        <v>582</v>
      </c>
      <c r="V1" s="1" t="s">
        <v>583</v>
      </c>
      <c r="W1" s="1" t="s">
        <v>584</v>
      </c>
      <c r="X1" s="1" t="s">
        <v>585</v>
      </c>
      <c r="Y1" s="1" t="s">
        <v>586</v>
      </c>
      <c r="Z1" s="1" t="s">
        <v>587</v>
      </c>
      <c r="AA1" s="1" t="s">
        <v>588</v>
      </c>
    </row>
    <row r="2" spans="1:27" x14ac:dyDescent="0.2">
      <c r="A2" t="s">
        <v>244</v>
      </c>
      <c r="B2" s="2">
        <v>25</v>
      </c>
      <c r="C2" t="s">
        <v>35</v>
      </c>
      <c r="D2" s="2" t="s">
        <v>52</v>
      </c>
      <c r="E2" s="2">
        <v>23</v>
      </c>
      <c r="F2" s="2">
        <v>3</v>
      </c>
      <c r="G2" s="2">
        <v>488</v>
      </c>
      <c r="H2" s="2">
        <v>11.1</v>
      </c>
      <c r="I2" s="2">
        <v>0.69699999999999995</v>
      </c>
      <c r="J2" s="2">
        <v>0.90800000000000003</v>
      </c>
      <c r="K2" s="2">
        <v>4.5999999999999999E-2</v>
      </c>
      <c r="L2" s="2">
        <v>0.9</v>
      </c>
      <c r="M2" s="2">
        <v>10</v>
      </c>
      <c r="N2" s="2">
        <v>5.7</v>
      </c>
      <c r="O2" s="2">
        <v>6.2</v>
      </c>
      <c r="P2" s="2">
        <v>1.2</v>
      </c>
      <c r="Q2" s="2">
        <v>0.4</v>
      </c>
      <c r="R2" s="2">
        <v>10.199999999999999</v>
      </c>
      <c r="S2" s="2">
        <v>13.4</v>
      </c>
      <c r="T2" s="2">
        <v>0.7</v>
      </c>
      <c r="U2" s="2">
        <v>0.3</v>
      </c>
      <c r="V2" s="2">
        <v>1</v>
      </c>
      <c r="W2" s="2">
        <v>9.6000000000000002E-2</v>
      </c>
      <c r="X2" s="2">
        <v>-0.3</v>
      </c>
      <c r="Y2" s="2">
        <v>-0.8</v>
      </c>
      <c r="Z2" s="2">
        <v>-1.1000000000000001</v>
      </c>
      <c r="AA2" s="2">
        <v>0.1</v>
      </c>
    </row>
    <row r="3" spans="1:27" x14ac:dyDescent="0.2">
      <c r="A3" t="s">
        <v>273</v>
      </c>
      <c r="B3" s="2">
        <v>29</v>
      </c>
      <c r="C3" t="s">
        <v>46</v>
      </c>
      <c r="D3" s="2" t="s">
        <v>27</v>
      </c>
      <c r="E3" s="2">
        <v>11</v>
      </c>
      <c r="F3" s="2">
        <v>10</v>
      </c>
      <c r="G3" s="2">
        <v>326</v>
      </c>
      <c r="H3" s="2">
        <v>17.100000000000001</v>
      </c>
      <c r="I3" s="2">
        <v>0.65200000000000002</v>
      </c>
      <c r="J3" s="2">
        <v>0.33300000000000002</v>
      </c>
      <c r="K3" s="2">
        <v>0.41199999999999998</v>
      </c>
      <c r="L3" s="2">
        <v>7.2</v>
      </c>
      <c r="M3" s="2">
        <v>14.6</v>
      </c>
      <c r="N3" s="2">
        <v>11</v>
      </c>
      <c r="O3" s="2">
        <v>16.100000000000001</v>
      </c>
      <c r="P3" s="2">
        <v>0.9</v>
      </c>
      <c r="Q3" s="2">
        <v>0.8</v>
      </c>
      <c r="R3" s="2">
        <v>12.4</v>
      </c>
      <c r="S3" s="2">
        <v>17.7</v>
      </c>
      <c r="T3" s="2">
        <v>0.8</v>
      </c>
      <c r="U3" s="2">
        <v>0.2</v>
      </c>
      <c r="V3" s="2">
        <v>1</v>
      </c>
      <c r="W3" s="2">
        <v>0.14799999999999999</v>
      </c>
      <c r="X3" s="2">
        <v>3</v>
      </c>
      <c r="Y3" s="2">
        <v>-0.8</v>
      </c>
      <c r="Z3" s="2">
        <v>2.2999999999999998</v>
      </c>
      <c r="AA3" s="2">
        <v>0.3</v>
      </c>
    </row>
    <row r="4" spans="1:27" x14ac:dyDescent="0.2">
      <c r="A4" t="s">
        <v>384</v>
      </c>
      <c r="B4" s="2">
        <v>28</v>
      </c>
      <c r="C4" t="s">
        <v>87</v>
      </c>
      <c r="D4" s="2" t="s">
        <v>33</v>
      </c>
      <c r="E4" s="2">
        <v>15</v>
      </c>
      <c r="F4" s="2">
        <v>0</v>
      </c>
      <c r="G4" s="2">
        <v>145</v>
      </c>
      <c r="H4" s="2">
        <v>14.8</v>
      </c>
      <c r="I4" s="2">
        <v>0.65400000000000003</v>
      </c>
      <c r="J4" s="2">
        <v>0.75600000000000001</v>
      </c>
      <c r="K4" s="2">
        <v>0.2</v>
      </c>
      <c r="L4" s="2">
        <v>0</v>
      </c>
      <c r="M4" s="2">
        <v>10.9</v>
      </c>
      <c r="N4" s="2">
        <v>5.4</v>
      </c>
      <c r="O4" s="2">
        <v>19.600000000000001</v>
      </c>
      <c r="P4" s="2">
        <v>0.7</v>
      </c>
      <c r="Q4" s="2">
        <v>0.6</v>
      </c>
      <c r="R4" s="2">
        <v>9.3000000000000007</v>
      </c>
      <c r="S4" s="2">
        <v>15.4</v>
      </c>
      <c r="T4" s="2">
        <v>0.4</v>
      </c>
      <c r="U4" s="2">
        <v>0.2</v>
      </c>
      <c r="V4" s="2">
        <v>0.6</v>
      </c>
      <c r="W4" s="2">
        <v>0.192</v>
      </c>
      <c r="X4" s="2">
        <v>1.9</v>
      </c>
      <c r="Y4" s="2">
        <v>0.6</v>
      </c>
      <c r="Z4" s="2">
        <v>2.6</v>
      </c>
      <c r="AA4" s="2">
        <v>0.2</v>
      </c>
    </row>
    <row r="5" spans="1:27" x14ac:dyDescent="0.2">
      <c r="A5" t="s">
        <v>398</v>
      </c>
      <c r="B5" s="2">
        <v>25</v>
      </c>
      <c r="C5" t="s">
        <v>82</v>
      </c>
      <c r="D5" s="2" t="s">
        <v>49</v>
      </c>
      <c r="E5" s="2">
        <v>6</v>
      </c>
      <c r="F5" s="2">
        <v>6</v>
      </c>
      <c r="G5" s="2">
        <v>136</v>
      </c>
      <c r="H5" s="2">
        <v>12</v>
      </c>
      <c r="I5" s="2">
        <v>0.65900000000000003</v>
      </c>
      <c r="J5" s="2">
        <v>0.30599999999999999</v>
      </c>
      <c r="K5" s="2">
        <v>0.36099999999999999</v>
      </c>
      <c r="L5" s="2">
        <v>3.4</v>
      </c>
      <c r="M5" s="2">
        <v>17</v>
      </c>
      <c r="N5" s="2">
        <v>10.3</v>
      </c>
      <c r="O5" s="2">
        <v>6</v>
      </c>
      <c r="P5" s="2">
        <v>1.4</v>
      </c>
      <c r="Q5" s="2">
        <v>1.4</v>
      </c>
      <c r="R5" s="2">
        <v>10.7</v>
      </c>
      <c r="S5" s="2">
        <v>14.9</v>
      </c>
      <c r="T5" s="2">
        <v>0.2</v>
      </c>
      <c r="U5" s="2">
        <v>0.1</v>
      </c>
      <c r="V5" s="2">
        <v>0.3</v>
      </c>
      <c r="W5" s="2">
        <v>0.10100000000000001</v>
      </c>
      <c r="X5" s="2">
        <v>-2.1</v>
      </c>
      <c r="Y5" s="2">
        <v>-0.4</v>
      </c>
      <c r="Z5" s="2">
        <v>-2.5</v>
      </c>
      <c r="AA5" s="2">
        <v>0</v>
      </c>
    </row>
    <row r="6" spans="1:27" x14ac:dyDescent="0.2">
      <c r="A6" t="s">
        <v>215</v>
      </c>
      <c r="B6" s="2">
        <v>26</v>
      </c>
      <c r="C6" t="s">
        <v>32</v>
      </c>
      <c r="D6" s="2" t="s">
        <v>52</v>
      </c>
      <c r="E6" s="2">
        <v>24</v>
      </c>
      <c r="F6" s="2">
        <v>8</v>
      </c>
      <c r="G6" s="2">
        <v>489</v>
      </c>
      <c r="H6" s="2">
        <v>14.3</v>
      </c>
      <c r="I6" s="2">
        <v>0.55400000000000005</v>
      </c>
      <c r="J6" s="2">
        <v>0.46100000000000002</v>
      </c>
      <c r="K6" s="2">
        <v>7.8E-2</v>
      </c>
      <c r="L6" s="2">
        <v>5.0999999999999996</v>
      </c>
      <c r="M6" s="2">
        <v>13.1</v>
      </c>
      <c r="N6" s="2">
        <v>9.1</v>
      </c>
      <c r="O6" s="2">
        <v>10.5</v>
      </c>
      <c r="P6" s="2">
        <v>2.2000000000000002</v>
      </c>
      <c r="Q6" s="2">
        <v>1.5</v>
      </c>
      <c r="R6" s="2">
        <v>9.5</v>
      </c>
      <c r="S6" s="2">
        <v>19.100000000000001</v>
      </c>
      <c r="T6" s="2">
        <v>0.4</v>
      </c>
      <c r="U6" s="2">
        <v>0.9</v>
      </c>
      <c r="V6" s="2">
        <v>1.3</v>
      </c>
      <c r="W6" s="2">
        <v>0.125</v>
      </c>
      <c r="X6" s="2">
        <v>0.1</v>
      </c>
      <c r="Y6" s="2">
        <v>0.3</v>
      </c>
      <c r="Z6" s="2">
        <v>0.4</v>
      </c>
      <c r="AA6" s="2">
        <v>0.3</v>
      </c>
    </row>
    <row r="7" spans="1:27" x14ac:dyDescent="0.2">
      <c r="A7" t="s">
        <v>484</v>
      </c>
      <c r="B7" s="2">
        <v>25</v>
      </c>
      <c r="C7" t="s">
        <v>32</v>
      </c>
      <c r="D7" s="2" t="s">
        <v>52</v>
      </c>
      <c r="E7" s="2">
        <v>11</v>
      </c>
      <c r="F7" s="2">
        <v>0</v>
      </c>
      <c r="G7" s="2">
        <v>40</v>
      </c>
      <c r="H7" s="2">
        <v>4.8</v>
      </c>
      <c r="I7" s="2">
        <v>0.375</v>
      </c>
      <c r="J7" s="2">
        <v>0.95</v>
      </c>
      <c r="K7" s="2">
        <v>0</v>
      </c>
      <c r="L7" s="2">
        <v>5.2</v>
      </c>
      <c r="M7" s="2">
        <v>10.5</v>
      </c>
      <c r="N7" s="2">
        <v>7.9</v>
      </c>
      <c r="O7" s="2">
        <v>0</v>
      </c>
      <c r="P7" s="2">
        <v>2.4</v>
      </c>
      <c r="Q7" s="2">
        <v>0</v>
      </c>
      <c r="R7" s="2">
        <v>0</v>
      </c>
      <c r="S7" s="2">
        <v>21.2</v>
      </c>
      <c r="T7" s="2">
        <v>-0.1</v>
      </c>
      <c r="U7" s="2">
        <v>0.1</v>
      </c>
      <c r="V7" s="2">
        <v>0</v>
      </c>
      <c r="W7" s="2">
        <v>-1.4999999999999999E-2</v>
      </c>
      <c r="X7" s="2">
        <v>-6.4</v>
      </c>
      <c r="Y7" s="2">
        <v>-2</v>
      </c>
      <c r="Z7" s="2">
        <v>-8.5</v>
      </c>
      <c r="AA7" s="2">
        <v>-0.1</v>
      </c>
    </row>
    <row r="8" spans="1:27" x14ac:dyDescent="0.2">
      <c r="A8" t="s">
        <v>511</v>
      </c>
      <c r="B8" s="2">
        <v>22</v>
      </c>
      <c r="C8" t="s">
        <v>70</v>
      </c>
      <c r="D8" s="2" t="s">
        <v>42</v>
      </c>
      <c r="E8" s="2">
        <v>3</v>
      </c>
      <c r="F8" s="2">
        <v>0</v>
      </c>
      <c r="G8" s="2">
        <v>14</v>
      </c>
      <c r="H8" s="2">
        <v>12.2</v>
      </c>
      <c r="I8" s="2">
        <v>0.6</v>
      </c>
      <c r="J8" s="2">
        <v>0</v>
      </c>
      <c r="K8" s="2">
        <v>0</v>
      </c>
      <c r="L8" s="2">
        <v>15.3</v>
      </c>
      <c r="M8" s="2">
        <v>0</v>
      </c>
      <c r="N8" s="2">
        <v>7.6</v>
      </c>
      <c r="O8" s="2">
        <v>10.3</v>
      </c>
      <c r="P8" s="2">
        <v>0</v>
      </c>
      <c r="Q8" s="2">
        <v>0</v>
      </c>
      <c r="R8" s="2">
        <v>16.7</v>
      </c>
      <c r="S8" s="2">
        <v>17.899999999999999</v>
      </c>
      <c r="T8" s="2">
        <v>0</v>
      </c>
      <c r="U8" s="2">
        <v>0</v>
      </c>
      <c r="V8" s="2">
        <v>0</v>
      </c>
      <c r="W8" s="2">
        <v>3.7999999999999999E-2</v>
      </c>
      <c r="X8" s="2">
        <v>-0.2</v>
      </c>
      <c r="Y8" s="2">
        <v>-1.9</v>
      </c>
      <c r="Z8" s="2">
        <v>-2.2000000000000002</v>
      </c>
      <c r="AA8" s="2">
        <v>0</v>
      </c>
    </row>
    <row r="9" spans="1:27" x14ac:dyDescent="0.2">
      <c r="A9" t="s">
        <v>461</v>
      </c>
      <c r="B9" s="2">
        <v>21</v>
      </c>
      <c r="C9" t="s">
        <v>122</v>
      </c>
      <c r="D9" s="2" t="s">
        <v>42</v>
      </c>
      <c r="E9" s="2">
        <v>14</v>
      </c>
      <c r="F9" s="2">
        <v>0</v>
      </c>
      <c r="G9" s="2">
        <v>90</v>
      </c>
      <c r="H9" s="2">
        <v>9</v>
      </c>
      <c r="I9" s="2">
        <v>0.67100000000000004</v>
      </c>
      <c r="J9" s="2">
        <v>0</v>
      </c>
      <c r="K9" s="2">
        <v>0.46200000000000002</v>
      </c>
      <c r="L9" s="2">
        <v>9.6999999999999993</v>
      </c>
      <c r="M9" s="2">
        <v>22</v>
      </c>
      <c r="N9" s="2">
        <v>15.4</v>
      </c>
      <c r="O9" s="2">
        <v>0</v>
      </c>
      <c r="P9" s="2">
        <v>0</v>
      </c>
      <c r="Q9" s="2">
        <v>7</v>
      </c>
      <c r="R9" s="2">
        <v>27.7</v>
      </c>
      <c r="S9" s="2">
        <v>10.6</v>
      </c>
      <c r="T9" s="2">
        <v>0</v>
      </c>
      <c r="U9" s="2">
        <v>0.1</v>
      </c>
      <c r="V9" s="2">
        <v>0.1</v>
      </c>
      <c r="W9" s="2">
        <v>6.6000000000000003E-2</v>
      </c>
      <c r="X9" s="2">
        <v>-6.2</v>
      </c>
      <c r="Y9" s="2">
        <v>-0.6</v>
      </c>
      <c r="Z9" s="2">
        <v>-6.8</v>
      </c>
      <c r="AA9" s="2">
        <v>-0.1</v>
      </c>
    </row>
    <row r="10" spans="1:27" x14ac:dyDescent="0.2">
      <c r="A10" t="s">
        <v>507</v>
      </c>
      <c r="B10" s="2">
        <v>20</v>
      </c>
      <c r="C10" t="s">
        <v>35</v>
      </c>
      <c r="D10" s="2" t="s">
        <v>52</v>
      </c>
      <c r="E10" s="2">
        <v>5</v>
      </c>
      <c r="F10" s="2">
        <v>0</v>
      </c>
      <c r="G10" s="2">
        <v>11</v>
      </c>
      <c r="H10" s="2">
        <v>10.1</v>
      </c>
      <c r="I10" s="2">
        <v>0.58299999999999996</v>
      </c>
      <c r="J10" s="2">
        <v>0.16700000000000001</v>
      </c>
      <c r="K10" s="2">
        <v>0</v>
      </c>
      <c r="L10" s="2">
        <v>0</v>
      </c>
      <c r="M10" s="2">
        <v>19.3</v>
      </c>
      <c r="N10" s="2">
        <v>10</v>
      </c>
      <c r="O10" s="2">
        <v>15.7</v>
      </c>
      <c r="P10" s="2">
        <v>0</v>
      </c>
      <c r="Q10" s="2">
        <v>0</v>
      </c>
      <c r="R10" s="2">
        <v>25</v>
      </c>
      <c r="S10" s="2">
        <v>32.200000000000003</v>
      </c>
      <c r="T10" s="2">
        <v>0</v>
      </c>
      <c r="U10" s="2">
        <v>0</v>
      </c>
      <c r="V10" s="2">
        <v>0</v>
      </c>
      <c r="W10" s="2">
        <v>-0.13400000000000001</v>
      </c>
      <c r="X10" s="2">
        <v>-5.3</v>
      </c>
      <c r="Y10" s="2">
        <v>-5.0999999999999996</v>
      </c>
      <c r="Z10" s="2">
        <v>-10.4</v>
      </c>
      <c r="AA10" s="2">
        <v>0</v>
      </c>
    </row>
    <row r="11" spans="1:27" x14ac:dyDescent="0.2">
      <c r="A11" t="s">
        <v>301</v>
      </c>
      <c r="B11" s="2">
        <v>22</v>
      </c>
      <c r="C11" t="s">
        <v>32</v>
      </c>
      <c r="D11" s="2" t="s">
        <v>52</v>
      </c>
      <c r="E11" s="2">
        <v>24</v>
      </c>
      <c r="F11" s="2">
        <v>0</v>
      </c>
      <c r="G11" s="2">
        <v>383</v>
      </c>
      <c r="H11" s="2">
        <v>11</v>
      </c>
      <c r="I11" s="2">
        <v>0.55500000000000005</v>
      </c>
      <c r="J11" s="2">
        <v>0.27</v>
      </c>
      <c r="K11" s="2">
        <v>0.13</v>
      </c>
      <c r="L11" s="2">
        <v>2.7</v>
      </c>
      <c r="M11" s="2">
        <v>7.1</v>
      </c>
      <c r="N11" s="2">
        <v>4.9000000000000004</v>
      </c>
      <c r="O11" s="2">
        <v>14.1</v>
      </c>
      <c r="P11" s="2">
        <v>2.6</v>
      </c>
      <c r="Q11" s="2">
        <v>0.5</v>
      </c>
      <c r="R11" s="2">
        <v>13.5</v>
      </c>
      <c r="S11" s="2">
        <v>15.6</v>
      </c>
      <c r="T11" s="2">
        <v>0.2</v>
      </c>
      <c r="U11" s="2">
        <v>0.7</v>
      </c>
      <c r="V11" s="2">
        <v>0.9</v>
      </c>
      <c r="W11" s="2">
        <v>0.108</v>
      </c>
      <c r="X11" s="2">
        <v>-3.7</v>
      </c>
      <c r="Y11" s="2">
        <v>1.2</v>
      </c>
      <c r="Z11" s="2">
        <v>-2.5</v>
      </c>
      <c r="AA11" s="2">
        <v>0</v>
      </c>
    </row>
    <row r="12" spans="1:27" x14ac:dyDescent="0.2">
      <c r="A12" t="s">
        <v>255</v>
      </c>
      <c r="B12" s="2">
        <v>38</v>
      </c>
      <c r="C12" t="s">
        <v>39</v>
      </c>
      <c r="D12" s="2" t="s">
        <v>42</v>
      </c>
      <c r="E12" s="2">
        <v>19</v>
      </c>
      <c r="F12" s="2">
        <v>18</v>
      </c>
      <c r="G12" s="2">
        <v>532</v>
      </c>
      <c r="H12" s="2">
        <v>13</v>
      </c>
      <c r="I12" s="2">
        <v>0.627</v>
      </c>
      <c r="J12" s="2">
        <v>0.73699999999999999</v>
      </c>
      <c r="K12" s="2">
        <v>4.3999999999999997E-2</v>
      </c>
      <c r="L12" s="2">
        <v>3.3</v>
      </c>
      <c r="M12" s="2">
        <v>17.7</v>
      </c>
      <c r="N12" s="2">
        <v>10.5</v>
      </c>
      <c r="O12" s="2">
        <v>11.2</v>
      </c>
      <c r="P12" s="2">
        <v>1.3</v>
      </c>
      <c r="Q12" s="2">
        <v>2.8</v>
      </c>
      <c r="R12" s="2">
        <v>12</v>
      </c>
      <c r="S12" s="2">
        <v>12.9</v>
      </c>
      <c r="T12" s="2">
        <v>0.7</v>
      </c>
      <c r="U12" s="2">
        <v>0.7</v>
      </c>
      <c r="V12" s="2">
        <v>1.4</v>
      </c>
      <c r="W12" s="2">
        <v>0.13100000000000001</v>
      </c>
      <c r="X12" s="2">
        <v>0.7</v>
      </c>
      <c r="Y12" s="2">
        <v>1.4</v>
      </c>
      <c r="Z12" s="2">
        <v>2.1</v>
      </c>
      <c r="AA12" s="2">
        <v>0.5</v>
      </c>
    </row>
    <row r="13" spans="1:27" x14ac:dyDescent="0.2">
      <c r="A13" t="s">
        <v>388</v>
      </c>
      <c r="B13" s="2">
        <v>33</v>
      </c>
      <c r="C13" t="s">
        <v>61</v>
      </c>
      <c r="D13" s="2" t="s">
        <v>52</v>
      </c>
      <c r="E13" s="2">
        <v>12</v>
      </c>
      <c r="F13" s="2">
        <v>0</v>
      </c>
      <c r="G13" s="2">
        <v>181</v>
      </c>
      <c r="H13" s="2">
        <v>14.4</v>
      </c>
      <c r="I13" s="2">
        <v>0.63600000000000001</v>
      </c>
      <c r="J13" s="2">
        <v>0.69599999999999995</v>
      </c>
      <c r="K13" s="2">
        <v>0.17399999999999999</v>
      </c>
      <c r="L13" s="2">
        <v>2.4</v>
      </c>
      <c r="M13" s="2">
        <v>11.4</v>
      </c>
      <c r="N13" s="2">
        <v>6.9</v>
      </c>
      <c r="O13" s="2">
        <v>12.5</v>
      </c>
      <c r="P13" s="2">
        <v>1.6</v>
      </c>
      <c r="Q13" s="2">
        <v>1.6</v>
      </c>
      <c r="R13" s="2">
        <v>3.9</v>
      </c>
      <c r="S13" s="2">
        <v>12.4</v>
      </c>
      <c r="T13" s="2">
        <v>0.4</v>
      </c>
      <c r="U13" s="2">
        <v>0.2</v>
      </c>
      <c r="V13" s="2">
        <v>0.6</v>
      </c>
      <c r="W13" s="2">
        <v>0.154</v>
      </c>
      <c r="X13" s="2">
        <v>0.9</v>
      </c>
      <c r="Y13" s="2">
        <v>1.6</v>
      </c>
      <c r="Z13" s="2">
        <v>2.5</v>
      </c>
      <c r="AA13" s="2">
        <v>0.2</v>
      </c>
    </row>
    <row r="14" spans="1:27" x14ac:dyDescent="0.2">
      <c r="A14" t="s">
        <v>349</v>
      </c>
      <c r="B14" s="2">
        <v>30</v>
      </c>
      <c r="C14" t="s">
        <v>32</v>
      </c>
      <c r="D14" s="2" t="s">
        <v>52</v>
      </c>
      <c r="E14" s="2">
        <v>16</v>
      </c>
      <c r="F14" s="2">
        <v>0</v>
      </c>
      <c r="G14" s="2">
        <v>320</v>
      </c>
      <c r="H14" s="2">
        <v>12.4</v>
      </c>
      <c r="I14" s="2">
        <v>0.47899999999999998</v>
      </c>
      <c r="J14" s="2">
        <v>0.54300000000000004</v>
      </c>
      <c r="K14" s="2">
        <v>7.3999999999999996E-2</v>
      </c>
      <c r="L14" s="2">
        <v>3.3</v>
      </c>
      <c r="M14" s="2">
        <v>12.5</v>
      </c>
      <c r="N14" s="2">
        <v>7.9</v>
      </c>
      <c r="O14" s="2">
        <v>14.7</v>
      </c>
      <c r="P14" s="2">
        <v>4.5</v>
      </c>
      <c r="Q14" s="2">
        <v>3.2</v>
      </c>
      <c r="R14" s="2">
        <v>11.8</v>
      </c>
      <c r="S14" s="2">
        <v>14.6</v>
      </c>
      <c r="T14" s="2">
        <v>0</v>
      </c>
      <c r="U14" s="2">
        <v>0.8</v>
      </c>
      <c r="V14" s="2">
        <v>0.8</v>
      </c>
      <c r="W14" s="2">
        <v>0.122</v>
      </c>
      <c r="X14" s="2">
        <v>-3.1</v>
      </c>
      <c r="Y14" s="2">
        <v>4.2</v>
      </c>
      <c r="Z14" s="2">
        <v>1.2</v>
      </c>
      <c r="AA14" s="2">
        <v>0.3</v>
      </c>
    </row>
    <row r="15" spans="1:27" x14ac:dyDescent="0.2">
      <c r="A15" t="s">
        <v>556</v>
      </c>
      <c r="B15" s="2">
        <v>24</v>
      </c>
      <c r="C15" t="s">
        <v>32</v>
      </c>
      <c r="D15" s="2" t="s">
        <v>52</v>
      </c>
      <c r="E15" s="2">
        <v>4</v>
      </c>
      <c r="F15" s="2">
        <v>0</v>
      </c>
      <c r="G15" s="2">
        <v>7</v>
      </c>
      <c r="H15" s="2">
        <v>-15.8</v>
      </c>
      <c r="I15" s="2">
        <v>0</v>
      </c>
      <c r="J15" s="2">
        <v>0.66700000000000004</v>
      </c>
      <c r="K15" s="2">
        <v>0</v>
      </c>
      <c r="L15" s="2">
        <v>0</v>
      </c>
      <c r="M15" s="2">
        <v>0</v>
      </c>
      <c r="N15" s="2">
        <v>0</v>
      </c>
      <c r="O15" s="2">
        <v>0</v>
      </c>
      <c r="P15" s="2">
        <v>0</v>
      </c>
      <c r="Q15" s="2">
        <v>0</v>
      </c>
      <c r="R15" s="2">
        <v>0</v>
      </c>
      <c r="S15" s="2">
        <v>18.2</v>
      </c>
      <c r="T15" s="2">
        <v>-0.1</v>
      </c>
      <c r="U15" s="2">
        <v>0</v>
      </c>
      <c r="V15" s="2">
        <v>-0.1</v>
      </c>
      <c r="W15" s="2">
        <v>-0.41099999999999998</v>
      </c>
      <c r="X15" s="2">
        <v>-17.5</v>
      </c>
      <c r="Y15" s="2">
        <v>-6.4</v>
      </c>
      <c r="Z15" s="2">
        <v>-23.8</v>
      </c>
      <c r="AA15" s="2">
        <v>0</v>
      </c>
    </row>
    <row r="16" spans="1:27" x14ac:dyDescent="0.2">
      <c r="A16" t="s">
        <v>450</v>
      </c>
      <c r="B16" s="2">
        <v>31</v>
      </c>
      <c r="C16" t="s">
        <v>37</v>
      </c>
      <c r="D16" s="2" t="s">
        <v>42</v>
      </c>
      <c r="E16" s="2">
        <v>19</v>
      </c>
      <c r="F16" s="2">
        <v>2</v>
      </c>
      <c r="G16" s="2">
        <v>135</v>
      </c>
      <c r="H16" s="2">
        <v>12.6</v>
      </c>
      <c r="I16" s="2">
        <v>0.54700000000000004</v>
      </c>
      <c r="J16" s="2">
        <v>0.182</v>
      </c>
      <c r="K16" s="2">
        <v>0.182</v>
      </c>
      <c r="L16" s="2">
        <v>7.7</v>
      </c>
      <c r="M16" s="2">
        <v>20.8</v>
      </c>
      <c r="N16" s="2">
        <v>14.4</v>
      </c>
      <c r="O16" s="2">
        <v>14.9</v>
      </c>
      <c r="P16" s="2">
        <v>1.1000000000000001</v>
      </c>
      <c r="Q16" s="2">
        <v>8.3000000000000007</v>
      </c>
      <c r="R16" s="2">
        <v>20.2</v>
      </c>
      <c r="S16" s="2">
        <v>9.5</v>
      </c>
      <c r="T16" s="2">
        <v>0.1</v>
      </c>
      <c r="U16" s="2">
        <v>0.2</v>
      </c>
      <c r="V16" s="2">
        <v>0.3</v>
      </c>
      <c r="W16" s="2">
        <v>0.113</v>
      </c>
      <c r="X16" s="2">
        <v>-2.5</v>
      </c>
      <c r="Y16" s="2">
        <v>2.6</v>
      </c>
      <c r="Z16" s="2">
        <v>0.1</v>
      </c>
      <c r="AA16" s="2">
        <v>0.1</v>
      </c>
    </row>
    <row r="17" spans="1:27" x14ac:dyDescent="0.2">
      <c r="A17" t="s">
        <v>550</v>
      </c>
      <c r="B17" s="2">
        <v>25</v>
      </c>
      <c r="C17" t="s">
        <v>32</v>
      </c>
      <c r="D17" s="2" t="s">
        <v>27</v>
      </c>
      <c r="E17" s="2">
        <v>1</v>
      </c>
      <c r="F17" s="2">
        <v>0</v>
      </c>
      <c r="G17" s="2">
        <v>2</v>
      </c>
      <c r="H17" s="2">
        <v>54.8</v>
      </c>
      <c r="I17" s="2">
        <v>1</v>
      </c>
      <c r="J17" s="2">
        <v>0</v>
      </c>
      <c r="K17" s="2">
        <v>0</v>
      </c>
      <c r="L17" s="2">
        <v>52.2</v>
      </c>
      <c r="M17" s="2">
        <v>0</v>
      </c>
      <c r="N17" s="2">
        <v>26.2</v>
      </c>
      <c r="O17" s="2">
        <v>0</v>
      </c>
      <c r="P17" s="2">
        <v>0</v>
      </c>
      <c r="Q17" s="2">
        <v>0</v>
      </c>
      <c r="R17" s="2">
        <v>0</v>
      </c>
      <c r="S17" s="2">
        <v>21.2</v>
      </c>
      <c r="T17" s="2">
        <v>0</v>
      </c>
      <c r="U17" s="2">
        <v>0</v>
      </c>
      <c r="V17" s="2">
        <v>0</v>
      </c>
      <c r="W17" s="2">
        <v>0.59699999999999998</v>
      </c>
      <c r="X17" s="2">
        <v>22.9</v>
      </c>
      <c r="Y17" s="2">
        <v>-4</v>
      </c>
      <c r="Z17" s="2">
        <v>18.899999999999999</v>
      </c>
      <c r="AA17" s="2">
        <v>0</v>
      </c>
    </row>
    <row r="18" spans="1:27" x14ac:dyDescent="0.2">
      <c r="A18" t="s">
        <v>222</v>
      </c>
      <c r="B18" s="2">
        <v>19</v>
      </c>
      <c r="C18" t="s">
        <v>114</v>
      </c>
      <c r="D18" s="2" t="s">
        <v>42</v>
      </c>
      <c r="E18" s="2">
        <v>20</v>
      </c>
      <c r="F18" s="2">
        <v>20</v>
      </c>
      <c r="G18" s="2">
        <v>536</v>
      </c>
      <c r="H18" s="2">
        <v>11.9</v>
      </c>
      <c r="I18" s="2">
        <v>0.46200000000000002</v>
      </c>
      <c r="J18" s="2">
        <v>0.42099999999999999</v>
      </c>
      <c r="K18" s="2">
        <v>0.21099999999999999</v>
      </c>
      <c r="L18" s="2">
        <v>8.1</v>
      </c>
      <c r="M18" s="2">
        <v>16.899999999999999</v>
      </c>
      <c r="N18" s="2">
        <v>12.4</v>
      </c>
      <c r="O18" s="2">
        <v>11</v>
      </c>
      <c r="P18" s="2">
        <v>1.3</v>
      </c>
      <c r="Q18" s="2">
        <v>6.2</v>
      </c>
      <c r="R18" s="2">
        <v>10.9</v>
      </c>
      <c r="S18" s="2">
        <v>19.8</v>
      </c>
      <c r="T18" s="2">
        <v>-0.4</v>
      </c>
      <c r="U18" s="2">
        <v>0.3</v>
      </c>
      <c r="V18" s="2">
        <v>-0.2</v>
      </c>
      <c r="W18" s="2">
        <v>-1.4E-2</v>
      </c>
      <c r="X18" s="2">
        <v>-3.2</v>
      </c>
      <c r="Y18" s="2">
        <v>-0.9</v>
      </c>
      <c r="Z18" s="2">
        <v>-4.0999999999999996</v>
      </c>
      <c r="AA18" s="2">
        <v>-0.3</v>
      </c>
    </row>
    <row r="19" spans="1:27" x14ac:dyDescent="0.2">
      <c r="A19" t="s">
        <v>522</v>
      </c>
      <c r="B19" s="2">
        <v>25</v>
      </c>
      <c r="C19" t="s">
        <v>75</v>
      </c>
      <c r="D19" s="2" t="s">
        <v>52</v>
      </c>
      <c r="E19" s="2">
        <v>1</v>
      </c>
      <c r="F19" s="2">
        <v>0</v>
      </c>
      <c r="G19" s="2">
        <v>4</v>
      </c>
      <c r="H19" s="2">
        <v>55.5</v>
      </c>
      <c r="I19" s="2">
        <v>1.25</v>
      </c>
      <c r="J19" s="2">
        <v>0.5</v>
      </c>
      <c r="K19" s="2">
        <v>0</v>
      </c>
      <c r="L19" s="2">
        <v>0</v>
      </c>
      <c r="M19" s="2">
        <v>0</v>
      </c>
      <c r="N19" s="2">
        <v>0</v>
      </c>
      <c r="O19" s="2">
        <v>74.2</v>
      </c>
      <c r="P19" s="2">
        <v>0</v>
      </c>
      <c r="Q19" s="2">
        <v>0</v>
      </c>
      <c r="R19" s="2">
        <v>0</v>
      </c>
      <c r="S19" s="2">
        <v>21.4</v>
      </c>
      <c r="T19" s="2">
        <v>0</v>
      </c>
      <c r="U19" s="2">
        <v>0</v>
      </c>
      <c r="V19" s="2">
        <v>0</v>
      </c>
      <c r="W19" s="2">
        <v>0.55500000000000005</v>
      </c>
      <c r="X19" s="2">
        <v>37.9</v>
      </c>
      <c r="Y19" s="2">
        <v>6</v>
      </c>
      <c r="Z19" s="2">
        <v>43.8</v>
      </c>
      <c r="AA19" s="2">
        <v>0</v>
      </c>
    </row>
    <row r="20" spans="1:27" x14ac:dyDescent="0.2">
      <c r="A20" t="s">
        <v>90</v>
      </c>
      <c r="B20" s="2">
        <v>22</v>
      </c>
      <c r="C20" t="s">
        <v>87</v>
      </c>
      <c r="D20" s="2" t="s">
        <v>42</v>
      </c>
      <c r="E20" s="2">
        <v>25</v>
      </c>
      <c r="F20" s="2">
        <v>25</v>
      </c>
      <c r="G20" s="2">
        <v>776</v>
      </c>
      <c r="H20" s="2">
        <v>23.1</v>
      </c>
      <c r="I20" s="2">
        <v>0.53800000000000003</v>
      </c>
      <c r="J20" s="2">
        <v>9.7000000000000003E-2</v>
      </c>
      <c r="K20" s="2">
        <v>0.33200000000000002</v>
      </c>
      <c r="L20" s="2">
        <v>11.3</v>
      </c>
      <c r="M20" s="2">
        <v>24.4</v>
      </c>
      <c r="N20" s="2">
        <v>17.8</v>
      </c>
      <c r="O20" s="2">
        <v>27.8</v>
      </c>
      <c r="P20" s="2">
        <v>1.9</v>
      </c>
      <c r="Q20" s="2">
        <v>3</v>
      </c>
      <c r="R20" s="2">
        <v>11.3</v>
      </c>
      <c r="S20" s="2">
        <v>26.3</v>
      </c>
      <c r="T20" s="2">
        <v>1.6</v>
      </c>
      <c r="U20" s="4">
        <v>1.8</v>
      </c>
      <c r="V20" s="2">
        <v>3.4</v>
      </c>
      <c r="W20" s="2">
        <v>0.21099999999999999</v>
      </c>
      <c r="X20" s="2">
        <v>4.2</v>
      </c>
      <c r="Y20" s="2">
        <v>3</v>
      </c>
      <c r="Z20" s="2">
        <v>7.2</v>
      </c>
      <c r="AA20" s="2">
        <v>1.8</v>
      </c>
    </row>
    <row r="21" spans="1:27" x14ac:dyDescent="0.2">
      <c r="A21" t="s">
        <v>158</v>
      </c>
      <c r="B21" s="2">
        <v>22</v>
      </c>
      <c r="C21" t="s">
        <v>87</v>
      </c>
      <c r="D21" s="2" t="s">
        <v>49</v>
      </c>
      <c r="E21" s="2">
        <v>25</v>
      </c>
      <c r="F21" s="2">
        <v>2</v>
      </c>
      <c r="G21" s="2">
        <v>675</v>
      </c>
      <c r="H21" s="2">
        <v>17.3</v>
      </c>
      <c r="I21" s="2">
        <v>0.61199999999999999</v>
      </c>
      <c r="J21" s="2">
        <v>0.14899999999999999</v>
      </c>
      <c r="K21" s="2">
        <v>0.46300000000000002</v>
      </c>
      <c r="L21" s="2">
        <v>8.6</v>
      </c>
      <c r="M21" s="2">
        <v>18.399999999999999</v>
      </c>
      <c r="N21" s="2">
        <v>13.4</v>
      </c>
      <c r="O21" s="2">
        <v>11</v>
      </c>
      <c r="P21" s="2">
        <v>2</v>
      </c>
      <c r="Q21" s="2">
        <v>3.2</v>
      </c>
      <c r="R21" s="2">
        <v>15.1</v>
      </c>
      <c r="S21" s="2">
        <v>17.399999999999999</v>
      </c>
      <c r="T21" s="2">
        <v>1</v>
      </c>
      <c r="U21" s="2">
        <v>1.5</v>
      </c>
      <c r="V21" s="2">
        <v>2.5</v>
      </c>
      <c r="W21" s="2">
        <v>0.17799999999999999</v>
      </c>
      <c r="X21" s="2">
        <v>0.3</v>
      </c>
      <c r="Y21" s="2">
        <v>2.5</v>
      </c>
      <c r="Z21" s="2">
        <v>2.8</v>
      </c>
      <c r="AA21" s="2">
        <v>0.8</v>
      </c>
    </row>
    <row r="22" spans="1:27" x14ac:dyDescent="0.2">
      <c r="A22" t="s">
        <v>195</v>
      </c>
      <c r="B22" s="2">
        <v>27</v>
      </c>
      <c r="C22" t="s">
        <v>77</v>
      </c>
      <c r="D22" s="2" t="s">
        <v>52</v>
      </c>
      <c r="E22" s="2">
        <v>24</v>
      </c>
      <c r="F22" s="2">
        <v>7</v>
      </c>
      <c r="G22" s="2">
        <v>576</v>
      </c>
      <c r="H22" s="2">
        <v>13</v>
      </c>
      <c r="I22" s="2">
        <v>0.63100000000000001</v>
      </c>
      <c r="J22" s="2">
        <v>0.52500000000000002</v>
      </c>
      <c r="K22" s="2">
        <v>0.22</v>
      </c>
      <c r="L22" s="2">
        <v>2.9</v>
      </c>
      <c r="M22" s="2">
        <v>9.1999999999999993</v>
      </c>
      <c r="N22" s="2">
        <v>6</v>
      </c>
      <c r="O22" s="2">
        <v>7.9</v>
      </c>
      <c r="P22" s="2">
        <v>1.2</v>
      </c>
      <c r="Q22" s="2">
        <v>0.2</v>
      </c>
      <c r="R22" s="2">
        <v>8.1</v>
      </c>
      <c r="S22" s="2">
        <v>15.8</v>
      </c>
      <c r="T22" s="2">
        <v>1</v>
      </c>
      <c r="U22" s="2">
        <v>0.5</v>
      </c>
      <c r="V22" s="2">
        <v>1.5</v>
      </c>
      <c r="W22" s="2">
        <v>0.128</v>
      </c>
      <c r="X22" s="2">
        <v>0.1</v>
      </c>
      <c r="Y22" s="2">
        <v>-0.3</v>
      </c>
      <c r="Z22" s="2">
        <v>-0.1</v>
      </c>
      <c r="AA22" s="2">
        <v>0.3</v>
      </c>
    </row>
    <row r="23" spans="1:27" x14ac:dyDescent="0.2">
      <c r="A23" t="s">
        <v>284</v>
      </c>
      <c r="B23" s="2">
        <v>31</v>
      </c>
      <c r="C23" t="s">
        <v>122</v>
      </c>
      <c r="D23" s="2" t="s">
        <v>42</v>
      </c>
      <c r="E23" s="2">
        <v>19</v>
      </c>
      <c r="F23" s="2">
        <v>12</v>
      </c>
      <c r="G23" s="2">
        <v>380</v>
      </c>
      <c r="H23" s="2">
        <v>16.2</v>
      </c>
      <c r="I23" s="2">
        <v>0.54200000000000004</v>
      </c>
      <c r="J23" s="2">
        <v>5.2999999999999999E-2</v>
      </c>
      <c r="K23" s="2">
        <v>0.44700000000000001</v>
      </c>
      <c r="L23" s="2">
        <v>16</v>
      </c>
      <c r="M23" s="2">
        <v>32.9</v>
      </c>
      <c r="N23" s="2">
        <v>23.9</v>
      </c>
      <c r="O23" s="2">
        <v>4.2</v>
      </c>
      <c r="P23" s="2">
        <v>3.4</v>
      </c>
      <c r="Q23" s="2">
        <v>2.2000000000000002</v>
      </c>
      <c r="R23" s="2">
        <v>19.5</v>
      </c>
      <c r="S23" s="2">
        <v>19.600000000000001</v>
      </c>
      <c r="T23" s="2">
        <v>-0.1</v>
      </c>
      <c r="U23" s="2">
        <v>0.8</v>
      </c>
      <c r="V23" s="2">
        <v>0.7</v>
      </c>
      <c r="W23" s="2">
        <v>8.6999999999999994E-2</v>
      </c>
      <c r="X23" s="2">
        <v>-2.7</v>
      </c>
      <c r="Y23" s="2">
        <v>0</v>
      </c>
      <c r="Z23" s="2">
        <v>-2.7</v>
      </c>
      <c r="AA23" s="2">
        <v>-0.1</v>
      </c>
    </row>
    <row r="24" spans="1:27" x14ac:dyDescent="0.2">
      <c r="A24" t="s">
        <v>361</v>
      </c>
      <c r="B24" s="2">
        <v>23</v>
      </c>
      <c r="C24" t="s">
        <v>35</v>
      </c>
      <c r="D24" s="2" t="s">
        <v>52</v>
      </c>
      <c r="E24" s="2">
        <v>23</v>
      </c>
      <c r="F24" s="2">
        <v>15</v>
      </c>
      <c r="G24" s="2">
        <v>407</v>
      </c>
      <c r="H24" s="2">
        <v>5.4</v>
      </c>
      <c r="I24" s="2">
        <v>0.503</v>
      </c>
      <c r="J24" s="2">
        <v>0.51900000000000002</v>
      </c>
      <c r="K24" s="2">
        <v>0.10100000000000001</v>
      </c>
      <c r="L24" s="2">
        <v>4.5</v>
      </c>
      <c r="M24" s="2">
        <v>13.3</v>
      </c>
      <c r="N24" s="2">
        <v>9.1</v>
      </c>
      <c r="O24" s="2">
        <v>9.5</v>
      </c>
      <c r="P24" s="2">
        <v>2</v>
      </c>
      <c r="Q24" s="2">
        <v>1.6</v>
      </c>
      <c r="R24" s="2">
        <v>27.3</v>
      </c>
      <c r="S24" s="2">
        <v>12.3</v>
      </c>
      <c r="T24" s="2">
        <v>-0.4</v>
      </c>
      <c r="U24" s="2">
        <v>0.4</v>
      </c>
      <c r="V24" s="2">
        <v>0</v>
      </c>
      <c r="W24" s="2">
        <v>-4.0000000000000001E-3</v>
      </c>
      <c r="X24" s="2">
        <v>-6.2</v>
      </c>
      <c r="Y24" s="2">
        <v>0.3</v>
      </c>
      <c r="Z24" s="2">
        <v>-5.9</v>
      </c>
      <c r="AA24" s="2">
        <v>-0.4</v>
      </c>
    </row>
    <row r="25" spans="1:27" x14ac:dyDescent="0.2">
      <c r="A25" t="s">
        <v>356</v>
      </c>
      <c r="B25" s="2">
        <v>25</v>
      </c>
      <c r="C25" t="s">
        <v>82</v>
      </c>
      <c r="D25" s="2" t="s">
        <v>52</v>
      </c>
      <c r="E25" s="2">
        <v>11</v>
      </c>
      <c r="F25" s="2">
        <v>11</v>
      </c>
      <c r="G25" s="2">
        <v>272</v>
      </c>
      <c r="H25" s="2">
        <v>10.6</v>
      </c>
      <c r="I25" s="2">
        <v>0.52300000000000002</v>
      </c>
      <c r="J25" s="2">
        <v>0.29499999999999998</v>
      </c>
      <c r="K25" s="2">
        <v>0.20499999999999999</v>
      </c>
      <c r="L25" s="2">
        <v>0.9</v>
      </c>
      <c r="M25" s="2">
        <v>10.199999999999999</v>
      </c>
      <c r="N25" s="2">
        <v>5.6</v>
      </c>
      <c r="O25" s="2">
        <v>23.5</v>
      </c>
      <c r="P25" s="2">
        <v>2.1</v>
      </c>
      <c r="Q25" s="2">
        <v>0</v>
      </c>
      <c r="R25" s="2">
        <v>16.7</v>
      </c>
      <c r="S25" s="2">
        <v>16.3</v>
      </c>
      <c r="T25" s="2">
        <v>0.1</v>
      </c>
      <c r="U25" s="2">
        <v>0.1</v>
      </c>
      <c r="V25" s="2">
        <v>0.2</v>
      </c>
      <c r="W25" s="2">
        <v>3.2000000000000001E-2</v>
      </c>
      <c r="X25" s="2">
        <v>-2.8</v>
      </c>
      <c r="Y25" s="2">
        <v>-0.9</v>
      </c>
      <c r="Z25" s="2">
        <v>-3.7</v>
      </c>
      <c r="AA25" s="2">
        <v>-0.1</v>
      </c>
    </row>
    <row r="26" spans="1:27" x14ac:dyDescent="0.2">
      <c r="A26" t="s">
        <v>137</v>
      </c>
      <c r="B26" s="2">
        <v>29</v>
      </c>
      <c r="C26" t="s">
        <v>100</v>
      </c>
      <c r="D26" s="2" t="s">
        <v>49</v>
      </c>
      <c r="E26" s="2">
        <v>20</v>
      </c>
      <c r="F26" s="2">
        <v>20</v>
      </c>
      <c r="G26" s="2">
        <v>572</v>
      </c>
      <c r="H26" s="2">
        <v>18</v>
      </c>
      <c r="I26" s="2">
        <v>0.59099999999999997</v>
      </c>
      <c r="J26" s="2">
        <v>0.40899999999999997</v>
      </c>
      <c r="K26" s="2">
        <v>0.34499999999999997</v>
      </c>
      <c r="L26" s="2">
        <v>5.5</v>
      </c>
      <c r="M26" s="2">
        <v>10.4</v>
      </c>
      <c r="N26" s="2">
        <v>7.9</v>
      </c>
      <c r="O26" s="2">
        <v>12.2</v>
      </c>
      <c r="P26" s="2">
        <v>1.6</v>
      </c>
      <c r="Q26" s="2">
        <v>2.2999999999999998</v>
      </c>
      <c r="R26" s="2">
        <v>7.3</v>
      </c>
      <c r="S26" s="2">
        <v>22.8</v>
      </c>
      <c r="T26" s="2">
        <v>1.2</v>
      </c>
      <c r="U26" s="2">
        <v>0.8</v>
      </c>
      <c r="V26" s="2">
        <v>2</v>
      </c>
      <c r="W26" s="2">
        <v>0.16800000000000001</v>
      </c>
      <c r="X26" s="2">
        <v>2.8</v>
      </c>
      <c r="Y26" s="2">
        <v>0.4</v>
      </c>
      <c r="Z26" s="2">
        <v>3.2</v>
      </c>
      <c r="AA26" s="2">
        <v>0.8</v>
      </c>
    </row>
    <row r="27" spans="1:27" x14ac:dyDescent="0.2">
      <c r="A27" t="s">
        <v>134</v>
      </c>
      <c r="B27" s="2">
        <v>25</v>
      </c>
      <c r="C27" t="s">
        <v>135</v>
      </c>
      <c r="D27" s="2" t="s">
        <v>52</v>
      </c>
      <c r="E27" s="2">
        <v>21</v>
      </c>
      <c r="F27" s="2">
        <v>21</v>
      </c>
      <c r="G27" s="2">
        <v>636</v>
      </c>
      <c r="H27" s="2">
        <v>12.3</v>
      </c>
      <c r="I27" s="2">
        <v>0.52500000000000002</v>
      </c>
      <c r="J27" s="2">
        <v>0.51</v>
      </c>
      <c r="K27" s="2">
        <v>0.191</v>
      </c>
      <c r="L27" s="2">
        <v>1</v>
      </c>
      <c r="M27" s="2">
        <v>8.6</v>
      </c>
      <c r="N27" s="2">
        <v>4.5999999999999996</v>
      </c>
      <c r="O27" s="2">
        <v>23.6</v>
      </c>
      <c r="P27" s="2">
        <v>1.3</v>
      </c>
      <c r="Q27" s="2">
        <v>0.3</v>
      </c>
      <c r="R27" s="2">
        <v>13.4</v>
      </c>
      <c r="S27" s="2">
        <v>24.8</v>
      </c>
      <c r="T27" s="2">
        <v>0.1</v>
      </c>
      <c r="U27" s="2">
        <v>0.1</v>
      </c>
      <c r="V27" s="2">
        <v>0.2</v>
      </c>
      <c r="W27" s="2">
        <v>1.7999999999999999E-2</v>
      </c>
      <c r="X27" s="2">
        <v>-0.5</v>
      </c>
      <c r="Y27" s="2">
        <v>-2.4</v>
      </c>
      <c r="Z27" s="2">
        <v>-2.9</v>
      </c>
      <c r="AA27" s="2">
        <v>-0.1</v>
      </c>
    </row>
    <row r="28" spans="1:27" x14ac:dyDescent="0.2">
      <c r="A28" t="s">
        <v>212</v>
      </c>
      <c r="B28" s="2">
        <v>21</v>
      </c>
      <c r="C28" t="s">
        <v>48</v>
      </c>
      <c r="D28" s="2" t="s">
        <v>33</v>
      </c>
      <c r="E28" s="4">
        <v>27</v>
      </c>
      <c r="F28" s="2">
        <v>1</v>
      </c>
      <c r="G28" s="2">
        <v>655</v>
      </c>
      <c r="H28" s="2">
        <v>10.1</v>
      </c>
      <c r="I28" s="2">
        <v>0.50900000000000001</v>
      </c>
      <c r="J28" s="2">
        <v>0.34200000000000003</v>
      </c>
      <c r="K28" s="2">
        <v>0.35799999999999998</v>
      </c>
      <c r="L28" s="2">
        <v>2.6</v>
      </c>
      <c r="M28" s="2">
        <v>11.4</v>
      </c>
      <c r="N28" s="2">
        <v>6.8</v>
      </c>
      <c r="O28" s="2">
        <v>23.1</v>
      </c>
      <c r="P28" s="2">
        <v>2</v>
      </c>
      <c r="Q28" s="2">
        <v>3.3</v>
      </c>
      <c r="R28" s="2">
        <v>22.3</v>
      </c>
      <c r="S28" s="2">
        <v>18.7</v>
      </c>
      <c r="T28" s="2">
        <v>-0.5</v>
      </c>
      <c r="U28" s="2">
        <v>1.1000000000000001</v>
      </c>
      <c r="V28" s="2">
        <v>0.6</v>
      </c>
      <c r="W28" s="2">
        <v>4.3999999999999997E-2</v>
      </c>
      <c r="X28" s="2">
        <v>-3.6</v>
      </c>
      <c r="Y28" s="2">
        <v>1.2</v>
      </c>
      <c r="Z28" s="2">
        <v>-2.4</v>
      </c>
      <c r="AA28" s="2">
        <v>-0.1</v>
      </c>
    </row>
    <row r="29" spans="1:27" x14ac:dyDescent="0.2">
      <c r="A29" t="s">
        <v>40</v>
      </c>
      <c r="B29" s="2">
        <v>31</v>
      </c>
      <c r="C29" t="s">
        <v>41</v>
      </c>
      <c r="D29" s="2" t="s">
        <v>42</v>
      </c>
      <c r="E29" s="2">
        <v>23</v>
      </c>
      <c r="F29" s="2">
        <v>23</v>
      </c>
      <c r="G29" s="2">
        <v>813</v>
      </c>
      <c r="H29" s="2">
        <v>27.8</v>
      </c>
      <c r="I29" s="2">
        <v>0.61</v>
      </c>
      <c r="J29" s="2">
        <v>0.11700000000000001</v>
      </c>
      <c r="K29" s="2">
        <v>0.47299999999999998</v>
      </c>
      <c r="L29" s="2">
        <v>8</v>
      </c>
      <c r="M29" s="2">
        <v>28.2</v>
      </c>
      <c r="N29" s="2">
        <v>18.100000000000001</v>
      </c>
      <c r="O29" s="2">
        <v>17.3</v>
      </c>
      <c r="P29" s="2">
        <v>1.7</v>
      </c>
      <c r="Q29" s="2">
        <v>5.3</v>
      </c>
      <c r="R29" s="2">
        <v>8.1999999999999993</v>
      </c>
      <c r="S29" s="2">
        <v>30.5</v>
      </c>
      <c r="T29" s="2">
        <v>2.5</v>
      </c>
      <c r="U29" s="2">
        <v>1</v>
      </c>
      <c r="V29" s="2">
        <v>3.5</v>
      </c>
      <c r="W29" s="2">
        <v>0.20599999999999999</v>
      </c>
      <c r="X29" s="2">
        <v>5.0999999999999996</v>
      </c>
      <c r="Y29" s="2">
        <v>0.5</v>
      </c>
      <c r="Z29" s="2">
        <v>5.6</v>
      </c>
      <c r="AA29" s="2">
        <v>1.6</v>
      </c>
    </row>
    <row r="30" spans="1:27" x14ac:dyDescent="0.2">
      <c r="A30" t="s">
        <v>50</v>
      </c>
      <c r="B30" s="2">
        <v>23</v>
      </c>
      <c r="C30" t="s">
        <v>51</v>
      </c>
      <c r="D30" s="2" t="s">
        <v>52</v>
      </c>
      <c r="E30" s="2">
        <v>23</v>
      </c>
      <c r="F30" s="2">
        <v>23</v>
      </c>
      <c r="G30" s="2">
        <v>836</v>
      </c>
      <c r="H30" s="2">
        <v>19.2</v>
      </c>
      <c r="I30" s="2">
        <v>0.59499999999999997</v>
      </c>
      <c r="J30" s="2">
        <v>0.51700000000000002</v>
      </c>
      <c r="K30" s="2">
        <v>0.217</v>
      </c>
      <c r="L30" s="2">
        <v>2</v>
      </c>
      <c r="M30" s="2">
        <v>14.7</v>
      </c>
      <c r="N30" s="2">
        <v>8.5</v>
      </c>
      <c r="O30" s="2">
        <v>19.8</v>
      </c>
      <c r="P30" s="2">
        <v>1.9</v>
      </c>
      <c r="Q30" s="2">
        <v>1.6</v>
      </c>
      <c r="R30" s="2">
        <v>12.4</v>
      </c>
      <c r="S30" s="2">
        <v>30.6</v>
      </c>
      <c r="T30" s="2">
        <v>0.9</v>
      </c>
      <c r="U30" s="2">
        <v>1.3</v>
      </c>
      <c r="V30" s="2">
        <v>2.2000000000000002</v>
      </c>
      <c r="W30" s="2">
        <v>0.126</v>
      </c>
      <c r="X30" s="2">
        <v>3.6</v>
      </c>
      <c r="Y30" s="2">
        <v>0.2</v>
      </c>
      <c r="Z30" s="2">
        <v>3.8</v>
      </c>
      <c r="AA30" s="2">
        <v>1.2</v>
      </c>
    </row>
    <row r="31" spans="1:27" x14ac:dyDescent="0.2">
      <c r="A31" t="s">
        <v>414</v>
      </c>
      <c r="B31" s="2">
        <v>32</v>
      </c>
      <c r="C31" t="s">
        <v>114</v>
      </c>
      <c r="D31" s="2" t="s">
        <v>27</v>
      </c>
      <c r="E31" s="2">
        <v>17</v>
      </c>
      <c r="F31" s="2">
        <v>0</v>
      </c>
      <c r="G31" s="2">
        <v>131</v>
      </c>
      <c r="H31" s="2">
        <v>11.5</v>
      </c>
      <c r="I31" s="2">
        <v>0.61199999999999999</v>
      </c>
      <c r="J31" s="2">
        <v>0.32100000000000001</v>
      </c>
      <c r="K31" s="2">
        <v>0.64300000000000002</v>
      </c>
      <c r="L31" s="2">
        <v>4</v>
      </c>
      <c r="M31" s="2">
        <v>14</v>
      </c>
      <c r="N31" s="2">
        <v>8.9</v>
      </c>
      <c r="O31" s="2">
        <v>6.4</v>
      </c>
      <c r="P31" s="2">
        <v>1.8</v>
      </c>
      <c r="Q31" s="2">
        <v>0.7</v>
      </c>
      <c r="R31" s="2">
        <v>10</v>
      </c>
      <c r="S31" s="2">
        <v>12.6</v>
      </c>
      <c r="T31" s="2">
        <v>0.1</v>
      </c>
      <c r="U31" s="2">
        <v>0</v>
      </c>
      <c r="V31" s="2">
        <v>0.2</v>
      </c>
      <c r="W31" s="2">
        <v>5.5E-2</v>
      </c>
      <c r="X31" s="2">
        <v>-1.7</v>
      </c>
      <c r="Y31" s="2">
        <v>-0.8</v>
      </c>
      <c r="Z31" s="2">
        <v>-2.5</v>
      </c>
      <c r="AA31" s="2">
        <v>0</v>
      </c>
    </row>
    <row r="32" spans="1:27" x14ac:dyDescent="0.2">
      <c r="A32" t="s">
        <v>386</v>
      </c>
      <c r="B32" s="2">
        <v>24</v>
      </c>
      <c r="C32" t="s">
        <v>117</v>
      </c>
      <c r="D32" s="2" t="s">
        <v>52</v>
      </c>
      <c r="E32" s="2">
        <v>14</v>
      </c>
      <c r="F32" s="2">
        <v>0</v>
      </c>
      <c r="G32" s="2">
        <v>138</v>
      </c>
      <c r="H32" s="2">
        <v>10.8</v>
      </c>
      <c r="I32" s="2">
        <v>0.48399999999999999</v>
      </c>
      <c r="J32" s="2">
        <v>0.49199999999999999</v>
      </c>
      <c r="K32" s="2">
        <v>0.111</v>
      </c>
      <c r="L32" s="2">
        <v>3.8</v>
      </c>
      <c r="M32" s="2">
        <v>9.8000000000000007</v>
      </c>
      <c r="N32" s="2">
        <v>6.7</v>
      </c>
      <c r="O32" s="2">
        <v>8</v>
      </c>
      <c r="P32" s="2">
        <v>1.8</v>
      </c>
      <c r="Q32" s="2">
        <v>0</v>
      </c>
      <c r="R32" s="2">
        <v>5.7</v>
      </c>
      <c r="S32" s="2">
        <v>21.5</v>
      </c>
      <c r="T32" s="2">
        <v>0</v>
      </c>
      <c r="U32" s="2">
        <v>0</v>
      </c>
      <c r="V32" s="2">
        <v>0</v>
      </c>
      <c r="W32" s="2">
        <v>-6.0000000000000001E-3</v>
      </c>
      <c r="X32" s="2">
        <v>-2.2999999999999998</v>
      </c>
      <c r="Y32" s="2">
        <v>-2.5</v>
      </c>
      <c r="Z32" s="2">
        <v>-4.8</v>
      </c>
      <c r="AA32" s="2">
        <v>-0.1</v>
      </c>
    </row>
    <row r="33" spans="1:27" x14ac:dyDescent="0.2">
      <c r="A33" t="s">
        <v>463</v>
      </c>
      <c r="B33" s="2">
        <v>22</v>
      </c>
      <c r="C33" t="s">
        <v>44</v>
      </c>
      <c r="D33" s="2" t="s">
        <v>42</v>
      </c>
      <c r="E33" s="2">
        <v>11</v>
      </c>
      <c r="F33" s="2">
        <v>0</v>
      </c>
      <c r="G33" s="2">
        <v>97</v>
      </c>
      <c r="H33" s="2">
        <v>7</v>
      </c>
      <c r="I33" s="2">
        <v>0.63100000000000001</v>
      </c>
      <c r="J33" s="2">
        <v>0</v>
      </c>
      <c r="K33" s="2">
        <v>0.42899999999999999</v>
      </c>
      <c r="L33" s="2">
        <v>3.7</v>
      </c>
      <c r="M33" s="2">
        <v>19.2</v>
      </c>
      <c r="N33" s="2">
        <v>11.9</v>
      </c>
      <c r="O33" s="2">
        <v>7.6</v>
      </c>
      <c r="P33" s="2">
        <v>0</v>
      </c>
      <c r="Q33" s="2">
        <v>7.9</v>
      </c>
      <c r="R33" s="2">
        <v>35.1</v>
      </c>
      <c r="S33" s="2">
        <v>11.7</v>
      </c>
      <c r="T33" s="2">
        <v>-0.1</v>
      </c>
      <c r="U33" s="2">
        <v>0.1</v>
      </c>
      <c r="V33" s="2">
        <v>0</v>
      </c>
      <c r="W33" s="2">
        <v>8.9999999999999993E-3</v>
      </c>
      <c r="X33" s="2">
        <v>-6.6</v>
      </c>
      <c r="Y33" s="2">
        <v>1.3</v>
      </c>
      <c r="Z33" s="2">
        <v>-5.3</v>
      </c>
      <c r="AA33" s="2">
        <v>-0.1</v>
      </c>
    </row>
    <row r="34" spans="1:27" x14ac:dyDescent="0.2">
      <c r="A34" t="s">
        <v>494</v>
      </c>
      <c r="B34" s="2">
        <v>22</v>
      </c>
      <c r="C34" t="s">
        <v>41</v>
      </c>
      <c r="D34" s="2" t="s">
        <v>49</v>
      </c>
      <c r="E34" s="2">
        <v>8</v>
      </c>
      <c r="F34" s="2">
        <v>0</v>
      </c>
      <c r="G34" s="2">
        <v>61</v>
      </c>
      <c r="H34" s="2">
        <v>2.8</v>
      </c>
      <c r="I34" s="2">
        <v>0.28499999999999998</v>
      </c>
      <c r="J34" s="2">
        <v>0.38900000000000001</v>
      </c>
      <c r="K34" s="2">
        <v>0.38900000000000001</v>
      </c>
      <c r="L34" s="2">
        <v>1.9</v>
      </c>
      <c r="M34" s="2">
        <v>24.3</v>
      </c>
      <c r="N34" s="2">
        <v>13.1</v>
      </c>
      <c r="O34" s="2">
        <v>2.1</v>
      </c>
      <c r="P34" s="2">
        <v>3.2</v>
      </c>
      <c r="Q34" s="2">
        <v>3.1</v>
      </c>
      <c r="R34" s="2">
        <v>8.6999999999999993</v>
      </c>
      <c r="S34" s="2">
        <v>16.600000000000001</v>
      </c>
      <c r="T34" s="2">
        <v>-0.2</v>
      </c>
      <c r="U34" s="2">
        <v>0.1</v>
      </c>
      <c r="V34" s="2">
        <v>-0.2</v>
      </c>
      <c r="W34" s="2">
        <v>-0.128</v>
      </c>
      <c r="X34" s="2">
        <v>-10.1</v>
      </c>
      <c r="Y34" s="2">
        <v>-1</v>
      </c>
      <c r="Z34" s="2">
        <v>-11</v>
      </c>
      <c r="AA34" s="2">
        <v>-0.1</v>
      </c>
    </row>
    <row r="35" spans="1:27" x14ac:dyDescent="0.2">
      <c r="A35" t="s">
        <v>430</v>
      </c>
      <c r="B35" s="2">
        <v>22</v>
      </c>
      <c r="C35" t="s">
        <v>75</v>
      </c>
      <c r="D35" s="2" t="s">
        <v>49</v>
      </c>
      <c r="E35" s="2">
        <v>6</v>
      </c>
      <c r="F35" s="2">
        <v>1</v>
      </c>
      <c r="G35" s="2">
        <v>90</v>
      </c>
      <c r="H35" s="2">
        <v>9</v>
      </c>
      <c r="I35" s="2">
        <v>0.44600000000000001</v>
      </c>
      <c r="J35" s="2">
        <v>0.28599999999999998</v>
      </c>
      <c r="K35" s="2">
        <v>0.2</v>
      </c>
      <c r="L35" s="2">
        <v>8.8000000000000007</v>
      </c>
      <c r="M35" s="2">
        <v>13.4</v>
      </c>
      <c r="N35" s="2">
        <v>11.1</v>
      </c>
      <c r="O35" s="2">
        <v>22.8</v>
      </c>
      <c r="P35" s="2">
        <v>1.1000000000000001</v>
      </c>
      <c r="Q35" s="2">
        <v>3.2</v>
      </c>
      <c r="R35" s="2">
        <v>19.100000000000001</v>
      </c>
      <c r="S35" s="2">
        <v>22.4</v>
      </c>
      <c r="T35" s="2">
        <v>-0.1</v>
      </c>
      <c r="U35" s="2">
        <v>0.1</v>
      </c>
      <c r="V35" s="2">
        <v>0</v>
      </c>
      <c r="W35" s="2">
        <v>-2.7E-2</v>
      </c>
      <c r="X35" s="2">
        <v>-4.5999999999999996</v>
      </c>
      <c r="Y35" s="2">
        <v>-1.1000000000000001</v>
      </c>
      <c r="Z35" s="2">
        <v>-5.7</v>
      </c>
      <c r="AA35" s="2">
        <v>-0.1</v>
      </c>
    </row>
    <row r="36" spans="1:27" x14ac:dyDescent="0.2">
      <c r="A36" t="s">
        <v>148</v>
      </c>
      <c r="B36" s="2">
        <v>26</v>
      </c>
      <c r="C36" t="s">
        <v>41</v>
      </c>
      <c r="D36" s="2" t="s">
        <v>52</v>
      </c>
      <c r="E36" s="2">
        <v>19</v>
      </c>
      <c r="F36" s="2">
        <v>19</v>
      </c>
      <c r="G36" s="2">
        <v>641</v>
      </c>
      <c r="H36" s="2">
        <v>14.1</v>
      </c>
      <c r="I36" s="2">
        <v>0.57299999999999995</v>
      </c>
      <c r="J36" s="2">
        <v>0.56399999999999995</v>
      </c>
      <c r="K36" s="2">
        <v>0.248</v>
      </c>
      <c r="L36" s="2">
        <v>2.7</v>
      </c>
      <c r="M36" s="2">
        <v>9.1999999999999993</v>
      </c>
      <c r="N36" s="2">
        <v>6</v>
      </c>
      <c r="O36" s="2">
        <v>21.2</v>
      </c>
      <c r="P36" s="2">
        <v>1.5</v>
      </c>
      <c r="Q36" s="2">
        <v>0.6</v>
      </c>
      <c r="R36" s="2">
        <v>13.4</v>
      </c>
      <c r="S36" s="2">
        <v>22</v>
      </c>
      <c r="T36" s="2">
        <v>0.5</v>
      </c>
      <c r="U36" s="2">
        <v>0.2</v>
      </c>
      <c r="V36" s="2">
        <v>0.7</v>
      </c>
      <c r="W36" s="2">
        <v>5.1999999999999998E-2</v>
      </c>
      <c r="X36" s="2">
        <v>0</v>
      </c>
      <c r="Y36" s="2">
        <v>-1.9</v>
      </c>
      <c r="Z36" s="2">
        <v>-1.9</v>
      </c>
      <c r="AA36" s="2">
        <v>0</v>
      </c>
    </row>
    <row r="37" spans="1:27" x14ac:dyDescent="0.2">
      <c r="A37" t="s">
        <v>149</v>
      </c>
      <c r="B37" s="2">
        <v>25</v>
      </c>
      <c r="C37" t="s">
        <v>70</v>
      </c>
      <c r="D37" s="2" t="s">
        <v>52</v>
      </c>
      <c r="E37" s="2">
        <v>25</v>
      </c>
      <c r="F37" s="2">
        <v>12</v>
      </c>
      <c r="G37" s="2">
        <v>748</v>
      </c>
      <c r="H37" s="2">
        <v>13.8</v>
      </c>
      <c r="I37" s="2">
        <v>0.59799999999999998</v>
      </c>
      <c r="J37" s="2">
        <v>0.40699999999999997</v>
      </c>
      <c r="K37" s="2">
        <v>0.20599999999999999</v>
      </c>
      <c r="L37" s="2">
        <v>2.2999999999999998</v>
      </c>
      <c r="M37" s="2">
        <v>11</v>
      </c>
      <c r="N37" s="2">
        <v>6.7</v>
      </c>
      <c r="O37" s="2">
        <v>20.5</v>
      </c>
      <c r="P37" s="2">
        <v>1</v>
      </c>
      <c r="Q37" s="2">
        <v>1.4</v>
      </c>
      <c r="R37" s="2">
        <v>11.1</v>
      </c>
      <c r="S37" s="2">
        <v>16.600000000000001</v>
      </c>
      <c r="T37" s="2">
        <v>1.3</v>
      </c>
      <c r="U37" s="2">
        <v>0.2</v>
      </c>
      <c r="V37" s="2">
        <v>1.5</v>
      </c>
      <c r="W37" s="2">
        <v>9.4E-2</v>
      </c>
      <c r="X37" s="2">
        <v>-0.5</v>
      </c>
      <c r="Y37" s="2">
        <v>-1</v>
      </c>
      <c r="Z37" s="2">
        <v>-1.5</v>
      </c>
      <c r="AA37" s="2">
        <v>0.1</v>
      </c>
    </row>
    <row r="38" spans="1:27" x14ac:dyDescent="0.2">
      <c r="A38" t="s">
        <v>125</v>
      </c>
      <c r="B38" s="2">
        <v>27</v>
      </c>
      <c r="C38" t="s">
        <v>61</v>
      </c>
      <c r="D38" s="2" t="s">
        <v>42</v>
      </c>
      <c r="E38" s="2">
        <v>23</v>
      </c>
      <c r="F38" s="2">
        <v>23</v>
      </c>
      <c r="G38" s="2">
        <v>799</v>
      </c>
      <c r="H38" s="2">
        <v>18.100000000000001</v>
      </c>
      <c r="I38" s="2">
        <v>0.51400000000000001</v>
      </c>
      <c r="J38" s="2">
        <v>0.20499999999999999</v>
      </c>
      <c r="K38" s="2">
        <v>0.28899999999999998</v>
      </c>
      <c r="L38" s="2">
        <v>8.1999999999999993</v>
      </c>
      <c r="M38" s="2">
        <v>24.1</v>
      </c>
      <c r="N38" s="2">
        <v>16.2</v>
      </c>
      <c r="O38" s="2">
        <v>23.1</v>
      </c>
      <c r="P38" s="2">
        <v>2.1</v>
      </c>
      <c r="Q38" s="2">
        <v>2.2000000000000002</v>
      </c>
      <c r="R38" s="2">
        <v>10.6</v>
      </c>
      <c r="S38" s="2">
        <v>22.2</v>
      </c>
      <c r="T38" s="2">
        <v>0.9</v>
      </c>
      <c r="U38" s="2">
        <v>1.3</v>
      </c>
      <c r="V38" s="2">
        <v>2.2000000000000002</v>
      </c>
      <c r="W38" s="2">
        <v>0.13500000000000001</v>
      </c>
      <c r="X38" s="2">
        <v>0.5</v>
      </c>
      <c r="Y38" s="2">
        <v>1.4</v>
      </c>
      <c r="Z38" s="2">
        <v>1.8</v>
      </c>
      <c r="AA38" s="2">
        <v>0.8</v>
      </c>
    </row>
    <row r="39" spans="1:27" x14ac:dyDescent="0.2">
      <c r="A39" t="s">
        <v>532</v>
      </c>
      <c r="B39" s="2">
        <v>24</v>
      </c>
      <c r="C39" t="s">
        <v>39</v>
      </c>
      <c r="D39" s="2" t="s">
        <v>52</v>
      </c>
      <c r="E39" s="2">
        <v>5</v>
      </c>
      <c r="F39" s="2">
        <v>0</v>
      </c>
      <c r="G39" s="2">
        <v>34</v>
      </c>
      <c r="H39" s="2">
        <v>0.5</v>
      </c>
      <c r="I39" s="2">
        <v>0.184</v>
      </c>
      <c r="J39" s="2">
        <v>0.6</v>
      </c>
      <c r="K39" s="2">
        <v>0.2</v>
      </c>
      <c r="L39" s="2">
        <v>6.4</v>
      </c>
      <c r="M39" s="2">
        <v>16.3</v>
      </c>
      <c r="N39" s="2">
        <v>11.3</v>
      </c>
      <c r="O39" s="2">
        <v>7.1</v>
      </c>
      <c r="P39" s="2">
        <v>1.4</v>
      </c>
      <c r="Q39" s="2">
        <v>0</v>
      </c>
      <c r="R39" s="2">
        <v>0</v>
      </c>
      <c r="S39" s="2">
        <v>13.8</v>
      </c>
      <c r="T39" s="2">
        <v>-0.1</v>
      </c>
      <c r="U39" s="2">
        <v>0</v>
      </c>
      <c r="V39" s="2">
        <v>-0.1</v>
      </c>
      <c r="W39" s="2">
        <v>-8.2000000000000003E-2</v>
      </c>
      <c r="X39" s="2">
        <v>-9.8000000000000007</v>
      </c>
      <c r="Y39" s="2">
        <v>-0.9</v>
      </c>
      <c r="Z39" s="2">
        <v>-10.7</v>
      </c>
      <c r="AA39" s="2">
        <v>-0.1</v>
      </c>
    </row>
    <row r="40" spans="1:27" x14ac:dyDescent="0.2">
      <c r="A40" t="s">
        <v>371</v>
      </c>
      <c r="B40" s="2">
        <v>23</v>
      </c>
      <c r="C40" t="s">
        <v>82</v>
      </c>
      <c r="D40" s="2" t="s">
        <v>52</v>
      </c>
      <c r="E40" s="2">
        <v>13</v>
      </c>
      <c r="F40" s="2">
        <v>5</v>
      </c>
      <c r="G40" s="2">
        <v>272</v>
      </c>
      <c r="H40" s="2">
        <v>7.7</v>
      </c>
      <c r="I40" s="2">
        <v>0.56799999999999995</v>
      </c>
      <c r="J40" s="2">
        <v>0.71199999999999997</v>
      </c>
      <c r="K40" s="2">
        <v>0</v>
      </c>
      <c r="L40" s="2">
        <v>2.2000000000000002</v>
      </c>
      <c r="M40" s="2">
        <v>10.199999999999999</v>
      </c>
      <c r="N40" s="2">
        <v>6.2</v>
      </c>
      <c r="O40" s="2">
        <v>8.1</v>
      </c>
      <c r="P40" s="2">
        <v>0.9</v>
      </c>
      <c r="Q40" s="2">
        <v>1.4</v>
      </c>
      <c r="R40" s="2">
        <v>7</v>
      </c>
      <c r="S40" s="2">
        <v>11.3</v>
      </c>
      <c r="T40" s="2">
        <v>0.2</v>
      </c>
      <c r="U40" s="2">
        <v>0.1</v>
      </c>
      <c r="V40" s="2">
        <v>0.2</v>
      </c>
      <c r="W40" s="2">
        <v>4.2000000000000003E-2</v>
      </c>
      <c r="X40" s="2">
        <v>-2.6</v>
      </c>
      <c r="Y40" s="2">
        <v>-0.9</v>
      </c>
      <c r="Z40" s="2">
        <v>-3.5</v>
      </c>
      <c r="AA40" s="2">
        <v>-0.1</v>
      </c>
    </row>
    <row r="41" spans="1:27" x14ac:dyDescent="0.2">
      <c r="A41" t="s">
        <v>347</v>
      </c>
      <c r="B41" s="2">
        <v>28</v>
      </c>
      <c r="C41" t="s">
        <v>103</v>
      </c>
      <c r="D41" s="2" t="s">
        <v>33</v>
      </c>
      <c r="E41" s="2">
        <v>18</v>
      </c>
      <c r="F41" s="2">
        <v>13</v>
      </c>
      <c r="G41" s="2">
        <v>425</v>
      </c>
      <c r="H41" s="2">
        <v>13.6</v>
      </c>
      <c r="I41" s="2">
        <v>0.60599999999999998</v>
      </c>
      <c r="J41" s="2">
        <v>0</v>
      </c>
      <c r="K41" s="2">
        <v>0.108</v>
      </c>
      <c r="L41" s="2">
        <v>4.9000000000000004</v>
      </c>
      <c r="M41" s="2">
        <v>24.5</v>
      </c>
      <c r="N41" s="2">
        <v>14.4</v>
      </c>
      <c r="O41" s="2">
        <v>38.9</v>
      </c>
      <c r="P41" s="2">
        <v>1.8</v>
      </c>
      <c r="Q41" s="2">
        <v>2.6</v>
      </c>
      <c r="R41" s="2">
        <v>36.200000000000003</v>
      </c>
      <c r="S41" s="2">
        <v>12.8</v>
      </c>
      <c r="T41" s="2">
        <v>0.4</v>
      </c>
      <c r="U41" s="2">
        <v>0.4</v>
      </c>
      <c r="V41" s="2">
        <v>0.8</v>
      </c>
      <c r="W41" s="2">
        <v>9.4E-2</v>
      </c>
      <c r="X41" s="2">
        <v>-1.4</v>
      </c>
      <c r="Y41" s="2">
        <v>2.6</v>
      </c>
      <c r="Z41" s="2">
        <v>1.3</v>
      </c>
      <c r="AA41" s="2">
        <v>0.3</v>
      </c>
    </row>
    <row r="42" spans="1:27" x14ac:dyDescent="0.2">
      <c r="A42" t="s">
        <v>94</v>
      </c>
      <c r="B42" s="2">
        <v>22</v>
      </c>
      <c r="C42" t="s">
        <v>82</v>
      </c>
      <c r="D42" s="2" t="s">
        <v>52</v>
      </c>
      <c r="E42" s="2">
        <v>25</v>
      </c>
      <c r="F42" s="2">
        <v>20</v>
      </c>
      <c r="G42" s="2">
        <v>818</v>
      </c>
      <c r="H42" s="2">
        <v>14.4</v>
      </c>
      <c r="I42" s="2">
        <v>0.60099999999999998</v>
      </c>
      <c r="J42" s="2">
        <v>0.32100000000000001</v>
      </c>
      <c r="K42" s="2">
        <v>0.42</v>
      </c>
      <c r="L42" s="2">
        <v>4.4000000000000004</v>
      </c>
      <c r="M42" s="2">
        <v>18</v>
      </c>
      <c r="N42" s="2">
        <v>11.2</v>
      </c>
      <c r="O42" s="2">
        <v>7.5</v>
      </c>
      <c r="P42" s="2">
        <v>1</v>
      </c>
      <c r="Q42" s="2">
        <v>0.9</v>
      </c>
      <c r="R42" s="2">
        <v>12.5</v>
      </c>
      <c r="S42" s="2">
        <v>22.4</v>
      </c>
      <c r="T42" s="2">
        <v>0.8</v>
      </c>
      <c r="U42" s="2">
        <v>0.3</v>
      </c>
      <c r="V42" s="2">
        <v>1.1000000000000001</v>
      </c>
      <c r="W42" s="2">
        <v>6.6000000000000003E-2</v>
      </c>
      <c r="X42" s="2">
        <v>-0.8</v>
      </c>
      <c r="Y42" s="2">
        <v>-2.2999999999999998</v>
      </c>
      <c r="Z42" s="2">
        <v>-3.1</v>
      </c>
      <c r="AA42" s="2">
        <v>-0.2</v>
      </c>
    </row>
    <row r="43" spans="1:27" x14ac:dyDescent="0.2">
      <c r="A43" t="s">
        <v>192</v>
      </c>
      <c r="B43" s="2">
        <v>20</v>
      </c>
      <c r="C43" t="s">
        <v>114</v>
      </c>
      <c r="D43" s="2" t="s">
        <v>49</v>
      </c>
      <c r="E43" s="2">
        <v>21</v>
      </c>
      <c r="F43" s="2">
        <v>21</v>
      </c>
      <c r="G43" s="2">
        <v>726</v>
      </c>
      <c r="H43" s="2">
        <v>11.1</v>
      </c>
      <c r="I43" s="2">
        <v>0.53100000000000003</v>
      </c>
      <c r="J43" s="2">
        <v>0.33500000000000002</v>
      </c>
      <c r="K43" s="2">
        <v>0.34</v>
      </c>
      <c r="L43" s="2">
        <v>4.7</v>
      </c>
      <c r="M43" s="2">
        <v>11.9</v>
      </c>
      <c r="N43" s="2">
        <v>8.1999999999999993</v>
      </c>
      <c r="O43" s="2">
        <v>12.6</v>
      </c>
      <c r="P43" s="2">
        <v>2.1</v>
      </c>
      <c r="Q43" s="2">
        <v>1.9</v>
      </c>
      <c r="R43" s="2">
        <v>14.6</v>
      </c>
      <c r="S43" s="2">
        <v>15.6</v>
      </c>
      <c r="T43" s="2">
        <v>0.1</v>
      </c>
      <c r="U43" s="2">
        <v>0.2</v>
      </c>
      <c r="V43" s="2">
        <v>0.2</v>
      </c>
      <c r="W43" s="2">
        <v>1.6E-2</v>
      </c>
      <c r="X43" s="2">
        <v>-2.7</v>
      </c>
      <c r="Y43" s="2">
        <v>-0.6</v>
      </c>
      <c r="Z43" s="2">
        <v>-3.3</v>
      </c>
      <c r="AA43" s="2">
        <v>-0.2</v>
      </c>
    </row>
    <row r="44" spans="1:27" x14ac:dyDescent="0.2">
      <c r="A44" t="s">
        <v>372</v>
      </c>
      <c r="B44" s="2">
        <v>21</v>
      </c>
      <c r="C44" t="s">
        <v>93</v>
      </c>
      <c r="D44" s="2" t="s">
        <v>52</v>
      </c>
      <c r="E44" s="2">
        <v>19</v>
      </c>
      <c r="F44" s="2">
        <v>0</v>
      </c>
      <c r="G44" s="2">
        <v>212</v>
      </c>
      <c r="H44" s="2">
        <v>7.9</v>
      </c>
      <c r="I44" s="2">
        <v>0.504</v>
      </c>
      <c r="J44" s="2">
        <v>0.30299999999999999</v>
      </c>
      <c r="K44" s="2">
        <v>0.28799999999999998</v>
      </c>
      <c r="L44" s="2">
        <v>2.6</v>
      </c>
      <c r="M44" s="2">
        <v>5</v>
      </c>
      <c r="N44" s="2">
        <v>3.8</v>
      </c>
      <c r="O44" s="2">
        <v>19.2</v>
      </c>
      <c r="P44" s="2">
        <v>1.8</v>
      </c>
      <c r="Q44" s="2">
        <v>0.4</v>
      </c>
      <c r="R44" s="2">
        <v>21.2</v>
      </c>
      <c r="S44" s="2">
        <v>19</v>
      </c>
      <c r="T44" s="2">
        <v>-0.2</v>
      </c>
      <c r="U44" s="2">
        <v>0.1</v>
      </c>
      <c r="V44" s="2">
        <v>-0.1</v>
      </c>
      <c r="W44" s="2">
        <v>-0.03</v>
      </c>
      <c r="X44" s="2">
        <v>-4.8</v>
      </c>
      <c r="Y44" s="2">
        <v>-1.6</v>
      </c>
      <c r="Z44" s="2">
        <v>-6.3</v>
      </c>
      <c r="AA44" s="2">
        <v>-0.2</v>
      </c>
    </row>
    <row r="45" spans="1:27" x14ac:dyDescent="0.2">
      <c r="A45" t="s">
        <v>152</v>
      </c>
      <c r="B45" s="2">
        <v>29</v>
      </c>
      <c r="C45" t="s">
        <v>35</v>
      </c>
      <c r="D45" s="2" t="s">
        <v>27</v>
      </c>
      <c r="E45" s="2">
        <v>23</v>
      </c>
      <c r="F45" s="2">
        <v>1</v>
      </c>
      <c r="G45" s="2">
        <v>555</v>
      </c>
      <c r="H45" s="2">
        <v>17.8</v>
      </c>
      <c r="I45" s="2">
        <v>0.54500000000000004</v>
      </c>
      <c r="J45" s="2">
        <v>0.28599999999999998</v>
      </c>
      <c r="K45" s="2">
        <v>0.109</v>
      </c>
      <c r="L45" s="2">
        <v>8.6999999999999993</v>
      </c>
      <c r="M45" s="2">
        <v>25.4</v>
      </c>
      <c r="N45" s="2">
        <v>17.399999999999999</v>
      </c>
      <c r="O45" s="2">
        <v>11</v>
      </c>
      <c r="P45" s="2">
        <v>1.1000000000000001</v>
      </c>
      <c r="Q45" s="2">
        <v>2.2999999999999998</v>
      </c>
      <c r="R45" s="2">
        <v>9.1</v>
      </c>
      <c r="S45" s="2">
        <v>24.5</v>
      </c>
      <c r="T45" s="2">
        <v>0.4</v>
      </c>
      <c r="U45" s="2">
        <v>0.7</v>
      </c>
      <c r="V45" s="2">
        <v>1.1000000000000001</v>
      </c>
      <c r="W45" s="2">
        <v>9.1999999999999998E-2</v>
      </c>
      <c r="X45" s="2">
        <v>0.7</v>
      </c>
      <c r="Y45" s="2">
        <v>-1.4</v>
      </c>
      <c r="Z45" s="2">
        <v>-0.6</v>
      </c>
      <c r="AA45" s="2">
        <v>0.2</v>
      </c>
    </row>
    <row r="46" spans="1:27" x14ac:dyDescent="0.2">
      <c r="A46" t="s">
        <v>303</v>
      </c>
      <c r="B46" s="2">
        <v>32</v>
      </c>
      <c r="C46" t="s">
        <v>72</v>
      </c>
      <c r="D46" s="2" t="s">
        <v>52</v>
      </c>
      <c r="E46" s="2">
        <v>11</v>
      </c>
      <c r="F46" s="2">
        <v>0</v>
      </c>
      <c r="G46" s="2">
        <v>277</v>
      </c>
      <c r="H46" s="2">
        <v>10.7</v>
      </c>
      <c r="I46" s="2">
        <v>0.54800000000000004</v>
      </c>
      <c r="J46" s="2">
        <v>0.67</v>
      </c>
      <c r="K46" s="2">
        <v>0.152</v>
      </c>
      <c r="L46" s="2">
        <v>3</v>
      </c>
      <c r="M46" s="2">
        <v>12.1</v>
      </c>
      <c r="N46" s="2">
        <v>7.5</v>
      </c>
      <c r="O46" s="2">
        <v>11.4</v>
      </c>
      <c r="P46" s="2">
        <v>1.8</v>
      </c>
      <c r="Q46" s="2">
        <v>1.4</v>
      </c>
      <c r="R46" s="2">
        <v>13.7</v>
      </c>
      <c r="S46" s="2">
        <v>20.100000000000001</v>
      </c>
      <c r="T46" s="2">
        <v>0</v>
      </c>
      <c r="U46" s="2">
        <v>0.2</v>
      </c>
      <c r="V46" s="2">
        <v>0.2</v>
      </c>
      <c r="W46" s="2">
        <v>3.5999999999999997E-2</v>
      </c>
      <c r="X46" s="2">
        <v>-2.5</v>
      </c>
      <c r="Y46" s="2">
        <v>-0.1</v>
      </c>
      <c r="Z46" s="2">
        <v>-2.6</v>
      </c>
      <c r="AA46" s="2">
        <v>0</v>
      </c>
    </row>
    <row r="47" spans="1:27" x14ac:dyDescent="0.2">
      <c r="A47" t="s">
        <v>456</v>
      </c>
      <c r="B47" s="2">
        <v>25</v>
      </c>
      <c r="C47" t="s">
        <v>54</v>
      </c>
      <c r="D47" s="2" t="s">
        <v>27</v>
      </c>
      <c r="E47" s="2">
        <v>7</v>
      </c>
      <c r="F47" s="2">
        <v>0</v>
      </c>
      <c r="G47" s="2">
        <v>37</v>
      </c>
      <c r="H47" s="2">
        <v>18.899999999999999</v>
      </c>
      <c r="I47" s="2">
        <v>0.65200000000000002</v>
      </c>
      <c r="J47" s="2">
        <v>0.33300000000000002</v>
      </c>
      <c r="K47" s="2">
        <v>0.4</v>
      </c>
      <c r="L47" s="2">
        <v>12.3</v>
      </c>
      <c r="M47" s="2">
        <v>20.5</v>
      </c>
      <c r="N47" s="2">
        <v>16.5</v>
      </c>
      <c r="O47" s="2">
        <v>4.7</v>
      </c>
      <c r="P47" s="2">
        <v>0</v>
      </c>
      <c r="Q47" s="2">
        <v>0</v>
      </c>
      <c r="R47" s="2">
        <v>14.5</v>
      </c>
      <c r="S47" s="2">
        <v>24.6</v>
      </c>
      <c r="T47" s="2">
        <v>0.1</v>
      </c>
      <c r="U47" s="2">
        <v>0</v>
      </c>
      <c r="V47" s="2">
        <v>0.1</v>
      </c>
      <c r="W47" s="2">
        <v>8.7999999999999995E-2</v>
      </c>
      <c r="X47" s="2">
        <v>2.2000000000000002</v>
      </c>
      <c r="Y47" s="2">
        <v>-3.6</v>
      </c>
      <c r="Z47" s="2">
        <v>-1.4</v>
      </c>
      <c r="AA47" s="2">
        <v>0</v>
      </c>
    </row>
    <row r="48" spans="1:27" x14ac:dyDescent="0.2">
      <c r="A48" t="s">
        <v>368</v>
      </c>
      <c r="B48" s="2">
        <v>24</v>
      </c>
      <c r="C48" t="s">
        <v>77</v>
      </c>
      <c r="D48" s="2" t="s">
        <v>33</v>
      </c>
      <c r="E48" s="2">
        <v>10</v>
      </c>
      <c r="F48" s="2">
        <v>0</v>
      </c>
      <c r="G48" s="2">
        <v>104</v>
      </c>
      <c r="H48" s="2">
        <v>18</v>
      </c>
      <c r="I48" s="2">
        <v>0.58699999999999997</v>
      </c>
      <c r="J48" s="2">
        <v>0.69499999999999995</v>
      </c>
      <c r="K48" s="2">
        <v>0.254</v>
      </c>
      <c r="L48" s="2">
        <v>3.2</v>
      </c>
      <c r="M48" s="2">
        <v>10.9</v>
      </c>
      <c r="N48" s="2">
        <v>7</v>
      </c>
      <c r="O48" s="2">
        <v>15.9</v>
      </c>
      <c r="P48" s="2">
        <v>3.3</v>
      </c>
      <c r="Q48" s="2">
        <v>2</v>
      </c>
      <c r="R48" s="2">
        <v>14.4</v>
      </c>
      <c r="S48" s="2">
        <v>31.8</v>
      </c>
      <c r="T48" s="2">
        <v>0.1</v>
      </c>
      <c r="U48" s="2">
        <v>0.2</v>
      </c>
      <c r="V48" s="2">
        <v>0.2</v>
      </c>
      <c r="W48" s="2">
        <v>0.11</v>
      </c>
      <c r="X48" s="2">
        <v>3.6</v>
      </c>
      <c r="Y48" s="2">
        <v>0.8</v>
      </c>
      <c r="Z48" s="2">
        <v>4.4000000000000004</v>
      </c>
      <c r="AA48" s="2">
        <v>0.2</v>
      </c>
    </row>
    <row r="49" spans="1:27" x14ac:dyDescent="0.2">
      <c r="A49" t="s">
        <v>182</v>
      </c>
      <c r="B49" s="2">
        <v>31</v>
      </c>
      <c r="C49" t="s">
        <v>54</v>
      </c>
      <c r="D49" s="2" t="s">
        <v>52</v>
      </c>
      <c r="E49" s="2">
        <v>15</v>
      </c>
      <c r="F49" s="2">
        <v>15</v>
      </c>
      <c r="G49" s="2">
        <v>502</v>
      </c>
      <c r="H49" s="2">
        <v>14.8</v>
      </c>
      <c r="I49" s="2">
        <v>0.59399999999999997</v>
      </c>
      <c r="J49" s="2">
        <v>0.41499999999999998</v>
      </c>
      <c r="K49" s="2">
        <v>0.193</v>
      </c>
      <c r="L49" s="2">
        <v>2.2999999999999998</v>
      </c>
      <c r="M49" s="2">
        <v>11.5</v>
      </c>
      <c r="N49" s="2">
        <v>7</v>
      </c>
      <c r="O49" s="2">
        <v>15.7</v>
      </c>
      <c r="P49" s="2">
        <v>1.7</v>
      </c>
      <c r="Q49" s="2">
        <v>2</v>
      </c>
      <c r="R49" s="2">
        <v>13.1</v>
      </c>
      <c r="S49" s="2">
        <v>22.7</v>
      </c>
      <c r="T49" s="2">
        <v>0.3</v>
      </c>
      <c r="U49" s="2">
        <v>0.3</v>
      </c>
      <c r="V49" s="2">
        <v>0.7</v>
      </c>
      <c r="W49" s="2">
        <v>6.5000000000000002E-2</v>
      </c>
      <c r="X49" s="2">
        <v>-0.7</v>
      </c>
      <c r="Y49" s="2">
        <v>-0.7</v>
      </c>
      <c r="Z49" s="2">
        <v>-1.4</v>
      </c>
      <c r="AA49" s="2">
        <v>0.1</v>
      </c>
    </row>
    <row r="50" spans="1:27" x14ac:dyDescent="0.2">
      <c r="A50" t="s">
        <v>523</v>
      </c>
      <c r="B50" s="2">
        <v>25</v>
      </c>
      <c r="C50" t="s">
        <v>32</v>
      </c>
      <c r="D50" s="2" t="s">
        <v>42</v>
      </c>
      <c r="E50" s="2">
        <v>5</v>
      </c>
      <c r="F50" s="2">
        <v>0</v>
      </c>
      <c r="G50" s="2">
        <v>18</v>
      </c>
      <c r="H50" s="2">
        <v>12.9</v>
      </c>
      <c r="I50" s="2">
        <v>0.254</v>
      </c>
      <c r="J50" s="2">
        <v>0.71399999999999997</v>
      </c>
      <c r="K50" s="2">
        <v>0.28599999999999998</v>
      </c>
      <c r="L50" s="2">
        <v>17.399999999999999</v>
      </c>
      <c r="M50" s="2">
        <v>29.2</v>
      </c>
      <c r="N50" s="2">
        <v>23.3</v>
      </c>
      <c r="O50" s="2">
        <v>13.2</v>
      </c>
      <c r="P50" s="2">
        <v>2.7</v>
      </c>
      <c r="Q50" s="2">
        <v>5.7</v>
      </c>
      <c r="R50" s="2">
        <v>0</v>
      </c>
      <c r="S50" s="2">
        <v>18.600000000000001</v>
      </c>
      <c r="T50" s="2">
        <v>0</v>
      </c>
      <c r="U50" s="2">
        <v>0.1</v>
      </c>
      <c r="V50" s="2">
        <v>0</v>
      </c>
      <c r="W50" s="2">
        <v>7.3999999999999996E-2</v>
      </c>
      <c r="X50" s="2">
        <v>-5.0999999999999996</v>
      </c>
      <c r="Y50" s="2">
        <v>-1.3</v>
      </c>
      <c r="Z50" s="2">
        <v>-6.4</v>
      </c>
      <c r="AA50" s="2">
        <v>0</v>
      </c>
    </row>
    <row r="51" spans="1:27" x14ac:dyDescent="0.2">
      <c r="A51" t="s">
        <v>247</v>
      </c>
      <c r="B51" s="2">
        <v>21</v>
      </c>
      <c r="C51" t="s">
        <v>100</v>
      </c>
      <c r="D51" s="2" t="s">
        <v>52</v>
      </c>
      <c r="E51" s="2">
        <v>23</v>
      </c>
      <c r="F51" s="2">
        <v>8</v>
      </c>
      <c r="G51" s="2">
        <v>572</v>
      </c>
      <c r="H51" s="2">
        <v>10.1</v>
      </c>
      <c r="I51" s="2">
        <v>0.46400000000000002</v>
      </c>
      <c r="J51" s="2">
        <v>0.46200000000000002</v>
      </c>
      <c r="K51" s="2">
        <v>0.152</v>
      </c>
      <c r="L51" s="2">
        <v>4.3</v>
      </c>
      <c r="M51" s="2">
        <v>15.7</v>
      </c>
      <c r="N51" s="2">
        <v>9.9</v>
      </c>
      <c r="O51" s="2">
        <v>18.7</v>
      </c>
      <c r="P51" s="2">
        <v>1.6</v>
      </c>
      <c r="Q51" s="2">
        <v>1.2</v>
      </c>
      <c r="R51" s="2">
        <v>12.9</v>
      </c>
      <c r="S51" s="2">
        <v>16.399999999999999</v>
      </c>
      <c r="T51" s="2">
        <v>0</v>
      </c>
      <c r="U51" s="2">
        <v>0.9</v>
      </c>
      <c r="V51" s="2">
        <v>0.8</v>
      </c>
      <c r="W51" s="2">
        <v>7.0000000000000007E-2</v>
      </c>
      <c r="X51" s="2">
        <v>-3.1</v>
      </c>
      <c r="Y51" s="2">
        <v>0.8</v>
      </c>
      <c r="Z51" s="2">
        <v>-2.2999999999999998</v>
      </c>
      <c r="AA51" s="2">
        <v>0</v>
      </c>
    </row>
    <row r="52" spans="1:27" x14ac:dyDescent="0.2">
      <c r="A52" t="s">
        <v>177</v>
      </c>
      <c r="B52" s="2">
        <v>23</v>
      </c>
      <c r="C52" t="s">
        <v>117</v>
      </c>
      <c r="D52" s="2" t="s">
        <v>52</v>
      </c>
      <c r="E52" s="2">
        <v>23</v>
      </c>
      <c r="F52" s="2">
        <v>10</v>
      </c>
      <c r="G52" s="2">
        <v>633</v>
      </c>
      <c r="H52" s="2">
        <v>13.8</v>
      </c>
      <c r="I52" s="2">
        <v>0.53800000000000003</v>
      </c>
      <c r="J52" s="2">
        <v>0.39400000000000002</v>
      </c>
      <c r="K52" s="2">
        <v>0.19900000000000001</v>
      </c>
      <c r="L52" s="2">
        <v>2.6</v>
      </c>
      <c r="M52" s="2">
        <v>12.3</v>
      </c>
      <c r="N52" s="2">
        <v>7.3</v>
      </c>
      <c r="O52" s="2">
        <v>18.399999999999999</v>
      </c>
      <c r="P52" s="2">
        <v>2.6</v>
      </c>
      <c r="Q52" s="2">
        <v>0.9</v>
      </c>
      <c r="R52" s="2">
        <v>12</v>
      </c>
      <c r="S52" s="2">
        <v>19.5</v>
      </c>
      <c r="T52" s="2">
        <v>0.3</v>
      </c>
      <c r="U52" s="2">
        <v>0.3</v>
      </c>
      <c r="V52" s="2">
        <v>0.6</v>
      </c>
      <c r="W52" s="2">
        <v>4.8000000000000001E-2</v>
      </c>
      <c r="X52" s="2">
        <v>-1.6</v>
      </c>
      <c r="Y52" s="2">
        <v>-0.2</v>
      </c>
      <c r="Z52" s="2">
        <v>-1.7</v>
      </c>
      <c r="AA52" s="2">
        <v>0</v>
      </c>
    </row>
    <row r="53" spans="1:27" x14ac:dyDescent="0.2">
      <c r="A53" t="s">
        <v>251</v>
      </c>
      <c r="B53" s="2">
        <v>28</v>
      </c>
      <c r="C53" t="s">
        <v>80</v>
      </c>
      <c r="D53" s="2" t="s">
        <v>27</v>
      </c>
      <c r="E53" s="2">
        <v>24</v>
      </c>
      <c r="F53" s="2">
        <v>15</v>
      </c>
      <c r="G53" s="2">
        <v>444</v>
      </c>
      <c r="H53" s="2">
        <v>16.100000000000001</v>
      </c>
      <c r="I53" s="2">
        <v>0.622</v>
      </c>
      <c r="J53" s="2">
        <v>0.11899999999999999</v>
      </c>
      <c r="K53" s="2">
        <v>0.14199999999999999</v>
      </c>
      <c r="L53" s="2">
        <v>9.3000000000000007</v>
      </c>
      <c r="M53" s="2">
        <v>17.899999999999999</v>
      </c>
      <c r="N53" s="2">
        <v>13.8</v>
      </c>
      <c r="O53" s="2">
        <v>7.2</v>
      </c>
      <c r="P53" s="2">
        <v>2.1</v>
      </c>
      <c r="Q53" s="2">
        <v>2.1</v>
      </c>
      <c r="R53" s="2">
        <v>6.6</v>
      </c>
      <c r="S53" s="2">
        <v>13.8</v>
      </c>
      <c r="T53" s="2">
        <v>0.9</v>
      </c>
      <c r="U53" s="2">
        <v>0.8</v>
      </c>
      <c r="V53" s="2">
        <v>1.7</v>
      </c>
      <c r="W53" s="2">
        <v>0.17899999999999999</v>
      </c>
      <c r="X53" s="2">
        <v>-0.8</v>
      </c>
      <c r="Y53" s="2">
        <v>1.3</v>
      </c>
      <c r="Z53" s="2">
        <v>0.5</v>
      </c>
      <c r="AA53" s="2">
        <v>0.3</v>
      </c>
    </row>
    <row r="54" spans="1:27" x14ac:dyDescent="0.2">
      <c r="A54" t="s">
        <v>116</v>
      </c>
      <c r="B54" s="2">
        <v>27</v>
      </c>
      <c r="C54" t="s">
        <v>117</v>
      </c>
      <c r="D54" s="2" t="s">
        <v>49</v>
      </c>
      <c r="E54" s="2">
        <v>18</v>
      </c>
      <c r="F54" s="2">
        <v>18</v>
      </c>
      <c r="G54" s="2">
        <v>595</v>
      </c>
      <c r="H54" s="2">
        <v>16.8</v>
      </c>
      <c r="I54" s="2">
        <v>0.56000000000000005</v>
      </c>
      <c r="J54" s="2">
        <v>0.34499999999999997</v>
      </c>
      <c r="K54" s="2">
        <v>0.16500000000000001</v>
      </c>
      <c r="L54" s="2">
        <v>3</v>
      </c>
      <c r="M54" s="2">
        <v>15.8</v>
      </c>
      <c r="N54" s="2">
        <v>9.1</v>
      </c>
      <c r="O54" s="2">
        <v>28.2</v>
      </c>
      <c r="P54" s="2">
        <v>1.3</v>
      </c>
      <c r="Q54" s="2">
        <v>1.7</v>
      </c>
      <c r="R54" s="2">
        <v>16.2</v>
      </c>
      <c r="S54" s="2">
        <v>30.3</v>
      </c>
      <c r="T54" s="2">
        <v>0</v>
      </c>
      <c r="U54" s="2">
        <v>0.2</v>
      </c>
      <c r="V54" s="2">
        <v>0.2</v>
      </c>
      <c r="W54" s="2">
        <v>1.2999999999999999E-2</v>
      </c>
      <c r="X54" s="2">
        <v>1.6</v>
      </c>
      <c r="Y54" s="2">
        <v>-2.1</v>
      </c>
      <c r="Z54" s="2">
        <v>-0.4</v>
      </c>
      <c r="AA54" s="2">
        <v>0.2</v>
      </c>
    </row>
    <row r="55" spans="1:27" x14ac:dyDescent="0.2">
      <c r="A55" t="s">
        <v>95</v>
      </c>
      <c r="B55" s="2">
        <v>22</v>
      </c>
      <c r="C55" t="s">
        <v>59</v>
      </c>
      <c r="D55" s="2" t="s">
        <v>49</v>
      </c>
      <c r="E55" s="2">
        <v>20</v>
      </c>
      <c r="F55" s="2">
        <v>20</v>
      </c>
      <c r="G55" s="2">
        <v>688</v>
      </c>
      <c r="H55" s="2">
        <v>15.7</v>
      </c>
      <c r="I55" s="2">
        <v>0.54700000000000004</v>
      </c>
      <c r="J55" s="2">
        <v>0.58199999999999996</v>
      </c>
      <c r="K55" s="2">
        <v>0.16200000000000001</v>
      </c>
      <c r="L55" s="2">
        <v>3.2</v>
      </c>
      <c r="M55" s="2">
        <v>13.9</v>
      </c>
      <c r="N55" s="2">
        <v>8.4</v>
      </c>
      <c r="O55" s="2">
        <v>17.5</v>
      </c>
      <c r="P55" s="2">
        <v>1.7</v>
      </c>
      <c r="Q55" s="2">
        <v>2.2000000000000002</v>
      </c>
      <c r="R55" s="2">
        <v>12</v>
      </c>
      <c r="S55" s="2">
        <v>28.3</v>
      </c>
      <c r="T55" s="2">
        <v>0.4</v>
      </c>
      <c r="U55" s="2">
        <v>0.5</v>
      </c>
      <c r="V55" s="2">
        <v>1</v>
      </c>
      <c r="W55" s="2">
        <v>6.6000000000000003E-2</v>
      </c>
      <c r="X55" s="2">
        <v>1.9</v>
      </c>
      <c r="Y55" s="2">
        <v>-0.8</v>
      </c>
      <c r="Z55" s="2">
        <v>1.1000000000000001</v>
      </c>
      <c r="AA55" s="2">
        <v>0.5</v>
      </c>
    </row>
    <row r="56" spans="1:27" x14ac:dyDescent="0.2">
      <c r="A56" t="s">
        <v>514</v>
      </c>
      <c r="B56" s="2">
        <v>25</v>
      </c>
      <c r="C56" t="s">
        <v>63</v>
      </c>
      <c r="D56" s="2" t="s">
        <v>33</v>
      </c>
      <c r="E56" s="2">
        <v>5</v>
      </c>
      <c r="F56" s="2">
        <v>0</v>
      </c>
      <c r="G56" s="2">
        <v>21</v>
      </c>
      <c r="H56" s="2">
        <v>-2.2000000000000002</v>
      </c>
      <c r="I56" s="2">
        <v>0.29099999999999998</v>
      </c>
      <c r="J56" s="2">
        <v>0.222</v>
      </c>
      <c r="K56" s="2">
        <v>0.33300000000000002</v>
      </c>
      <c r="L56" s="2">
        <v>5.3</v>
      </c>
      <c r="M56" s="2">
        <v>14.8</v>
      </c>
      <c r="N56" s="2">
        <v>10.199999999999999</v>
      </c>
      <c r="O56" s="2">
        <v>11.8</v>
      </c>
      <c r="P56" s="2">
        <v>0</v>
      </c>
      <c r="Q56" s="2">
        <v>0</v>
      </c>
      <c r="R56" s="2">
        <v>16.2</v>
      </c>
      <c r="S56" s="2">
        <v>24.8</v>
      </c>
      <c r="T56" s="2">
        <v>-0.1</v>
      </c>
      <c r="U56" s="2">
        <v>0</v>
      </c>
      <c r="V56" s="2">
        <v>-0.1</v>
      </c>
      <c r="W56" s="2">
        <v>-0.215</v>
      </c>
      <c r="X56" s="2">
        <v>-11.5</v>
      </c>
      <c r="Y56" s="2">
        <v>-3.5</v>
      </c>
      <c r="Z56" s="2">
        <v>-15</v>
      </c>
      <c r="AA56" s="2">
        <v>-0.1</v>
      </c>
    </row>
    <row r="57" spans="1:27" x14ac:dyDescent="0.2">
      <c r="A57" t="s">
        <v>297</v>
      </c>
      <c r="B57" s="2">
        <v>21</v>
      </c>
      <c r="C57" t="s">
        <v>120</v>
      </c>
      <c r="D57" s="2" t="s">
        <v>49</v>
      </c>
      <c r="E57" s="2">
        <v>17</v>
      </c>
      <c r="F57" s="2">
        <v>0</v>
      </c>
      <c r="G57" s="2">
        <v>283</v>
      </c>
      <c r="H57" s="2">
        <v>12.1</v>
      </c>
      <c r="I57" s="2">
        <v>0.61799999999999999</v>
      </c>
      <c r="J57" s="2">
        <v>0.63200000000000001</v>
      </c>
      <c r="K57" s="2">
        <v>0.123</v>
      </c>
      <c r="L57" s="2">
        <v>4.4000000000000004</v>
      </c>
      <c r="M57" s="2">
        <v>10.1</v>
      </c>
      <c r="N57" s="2">
        <v>7.3</v>
      </c>
      <c r="O57" s="2">
        <v>9.5</v>
      </c>
      <c r="P57" s="2">
        <v>1.7</v>
      </c>
      <c r="Q57" s="2">
        <v>0.3</v>
      </c>
      <c r="R57" s="2">
        <v>18.3</v>
      </c>
      <c r="S57" s="2">
        <v>20.3</v>
      </c>
      <c r="T57" s="2">
        <v>0.1</v>
      </c>
      <c r="U57" s="2">
        <v>0</v>
      </c>
      <c r="V57" s="2">
        <v>0.1</v>
      </c>
      <c r="W57" s="2">
        <v>1.7000000000000001E-2</v>
      </c>
      <c r="X57" s="2">
        <v>-0.1</v>
      </c>
      <c r="Y57" s="2">
        <v>-1.7</v>
      </c>
      <c r="Z57" s="2">
        <v>-1.7</v>
      </c>
      <c r="AA57" s="2">
        <v>0</v>
      </c>
    </row>
    <row r="58" spans="1:27" x14ac:dyDescent="0.2">
      <c r="A58" t="s">
        <v>527</v>
      </c>
      <c r="B58" s="2">
        <v>20</v>
      </c>
      <c r="C58" t="s">
        <v>41</v>
      </c>
      <c r="D58" s="2" t="s">
        <v>52</v>
      </c>
      <c r="E58" s="2">
        <v>7</v>
      </c>
      <c r="F58" s="2">
        <v>0</v>
      </c>
      <c r="G58" s="2">
        <v>18</v>
      </c>
      <c r="H58" s="2">
        <v>2.5</v>
      </c>
      <c r="I58" s="2">
        <v>0.22500000000000001</v>
      </c>
      <c r="J58" s="2">
        <v>0.5</v>
      </c>
      <c r="K58" s="2">
        <v>0.25</v>
      </c>
      <c r="L58" s="2">
        <v>6.3</v>
      </c>
      <c r="M58" s="2">
        <v>0</v>
      </c>
      <c r="N58" s="2">
        <v>3.2</v>
      </c>
      <c r="O58" s="2">
        <v>14</v>
      </c>
      <c r="P58" s="2">
        <v>2.7</v>
      </c>
      <c r="Q58" s="2">
        <v>5.2</v>
      </c>
      <c r="R58" s="2">
        <v>0</v>
      </c>
      <c r="S58" s="2">
        <v>21.7</v>
      </c>
      <c r="T58" s="2">
        <v>-0.1</v>
      </c>
      <c r="U58" s="2">
        <v>0</v>
      </c>
      <c r="V58" s="2">
        <v>-0.1</v>
      </c>
      <c r="W58" s="2">
        <v>-0.16600000000000001</v>
      </c>
      <c r="X58" s="2">
        <v>-8.5</v>
      </c>
      <c r="Y58" s="2">
        <v>-1.9</v>
      </c>
      <c r="Z58" s="2">
        <v>-10.5</v>
      </c>
      <c r="AA58" s="2">
        <v>0</v>
      </c>
    </row>
    <row r="59" spans="1:27" x14ac:dyDescent="0.2">
      <c r="A59" t="s">
        <v>185</v>
      </c>
      <c r="B59" s="2">
        <v>36</v>
      </c>
      <c r="C59" t="s">
        <v>35</v>
      </c>
      <c r="D59" s="2" t="s">
        <v>42</v>
      </c>
      <c r="E59" s="2">
        <v>24</v>
      </c>
      <c r="F59" s="2">
        <v>24</v>
      </c>
      <c r="G59" s="2">
        <v>784</v>
      </c>
      <c r="H59" s="2">
        <v>12.9</v>
      </c>
      <c r="I59" s="2">
        <v>0.58099999999999996</v>
      </c>
      <c r="J59" s="2">
        <v>0.56799999999999995</v>
      </c>
      <c r="K59" s="2">
        <v>0.16</v>
      </c>
      <c r="L59" s="2">
        <v>4.4000000000000004</v>
      </c>
      <c r="M59" s="2">
        <v>12.2</v>
      </c>
      <c r="N59" s="2">
        <v>8.4</v>
      </c>
      <c r="O59" s="2">
        <v>6.7</v>
      </c>
      <c r="P59" s="2">
        <v>1.6</v>
      </c>
      <c r="Q59" s="2">
        <v>6</v>
      </c>
      <c r="R59" s="2">
        <v>10.9</v>
      </c>
      <c r="S59" s="2">
        <v>14.5</v>
      </c>
      <c r="T59" s="2">
        <v>0.5</v>
      </c>
      <c r="U59" s="2">
        <v>0.9</v>
      </c>
      <c r="V59" s="2">
        <v>1.5</v>
      </c>
      <c r="W59" s="2">
        <v>0.09</v>
      </c>
      <c r="X59" s="2">
        <v>-0.9</v>
      </c>
      <c r="Y59" s="2">
        <v>0.9</v>
      </c>
      <c r="Z59" s="2">
        <v>0.1</v>
      </c>
      <c r="AA59" s="2">
        <v>0.4</v>
      </c>
    </row>
    <row r="60" spans="1:27" x14ac:dyDescent="0.2">
      <c r="A60" t="s">
        <v>391</v>
      </c>
      <c r="B60" s="2">
        <v>26</v>
      </c>
      <c r="C60" t="s">
        <v>66</v>
      </c>
      <c r="D60" s="2" t="s">
        <v>42</v>
      </c>
      <c r="E60" s="2">
        <v>16</v>
      </c>
      <c r="F60" s="2">
        <v>2</v>
      </c>
      <c r="G60" s="2">
        <v>143</v>
      </c>
      <c r="H60" s="2">
        <v>16.399999999999999</v>
      </c>
      <c r="I60" s="2">
        <v>0.56299999999999994</v>
      </c>
      <c r="J60" s="2">
        <v>0</v>
      </c>
      <c r="K60" s="2">
        <v>0.16700000000000001</v>
      </c>
      <c r="L60" s="2">
        <v>15.8</v>
      </c>
      <c r="M60" s="2">
        <v>22.3</v>
      </c>
      <c r="N60" s="2">
        <v>19</v>
      </c>
      <c r="O60" s="2">
        <v>18.399999999999999</v>
      </c>
      <c r="P60" s="2">
        <v>1.4</v>
      </c>
      <c r="Q60" s="2">
        <v>6.1</v>
      </c>
      <c r="R60" s="2">
        <v>21.4</v>
      </c>
      <c r="S60" s="2">
        <v>19</v>
      </c>
      <c r="T60" s="2">
        <v>0.1</v>
      </c>
      <c r="U60" s="2">
        <v>0.2</v>
      </c>
      <c r="V60" s="2">
        <v>0.3</v>
      </c>
      <c r="W60" s="2">
        <v>8.5000000000000006E-2</v>
      </c>
      <c r="X60" s="2">
        <v>-2.2000000000000002</v>
      </c>
      <c r="Y60" s="2">
        <v>1.9</v>
      </c>
      <c r="Z60" s="2">
        <v>-0.2</v>
      </c>
      <c r="AA60" s="2">
        <v>0.1</v>
      </c>
    </row>
    <row r="61" spans="1:27" x14ac:dyDescent="0.2">
      <c r="A61" t="s">
        <v>549</v>
      </c>
      <c r="B61" s="2">
        <v>22</v>
      </c>
      <c r="C61" t="s">
        <v>135</v>
      </c>
      <c r="D61" s="2" t="s">
        <v>52</v>
      </c>
      <c r="E61" s="2">
        <v>1</v>
      </c>
      <c r="F61" s="2">
        <v>0</v>
      </c>
      <c r="G61" s="2">
        <v>3</v>
      </c>
      <c r="H61" s="2">
        <v>22</v>
      </c>
      <c r="I61" s="2">
        <v>0.5</v>
      </c>
      <c r="J61" s="2">
        <v>0.5</v>
      </c>
      <c r="K61" s="2">
        <v>0</v>
      </c>
      <c r="L61" s="2">
        <v>0</v>
      </c>
      <c r="M61" s="2">
        <v>0</v>
      </c>
      <c r="N61" s="2">
        <v>0</v>
      </c>
      <c r="O61" s="2">
        <v>69.7</v>
      </c>
      <c r="P61" s="2">
        <v>0</v>
      </c>
      <c r="Q61" s="2">
        <v>0</v>
      </c>
      <c r="R61" s="2">
        <v>0</v>
      </c>
      <c r="S61" s="2">
        <v>27.6</v>
      </c>
      <c r="T61" s="2">
        <v>0</v>
      </c>
      <c r="U61" s="2">
        <v>0</v>
      </c>
      <c r="V61" s="2">
        <v>0</v>
      </c>
      <c r="W61" s="2">
        <v>0.15</v>
      </c>
      <c r="X61" s="2">
        <v>8.4</v>
      </c>
      <c r="Y61" s="2">
        <v>0.6</v>
      </c>
      <c r="Z61" s="2">
        <v>9</v>
      </c>
      <c r="AA61" s="2">
        <v>0</v>
      </c>
    </row>
    <row r="62" spans="1:27" x14ac:dyDescent="0.2">
      <c r="A62" t="s">
        <v>131</v>
      </c>
      <c r="B62" s="2">
        <v>32</v>
      </c>
      <c r="C62" t="s">
        <v>100</v>
      </c>
      <c r="D62" s="2" t="s">
        <v>52</v>
      </c>
      <c r="E62" s="2">
        <v>24</v>
      </c>
      <c r="F62" s="2">
        <v>4</v>
      </c>
      <c r="G62" s="2">
        <v>574</v>
      </c>
      <c r="H62" s="2">
        <v>15.9</v>
      </c>
      <c r="I62" s="2">
        <v>0.61799999999999999</v>
      </c>
      <c r="J62" s="2">
        <v>0.67800000000000005</v>
      </c>
      <c r="K62" s="2">
        <v>9.6000000000000002E-2</v>
      </c>
      <c r="L62" s="2">
        <v>2.7</v>
      </c>
      <c r="M62" s="2">
        <v>12.7</v>
      </c>
      <c r="N62" s="2">
        <v>7.6</v>
      </c>
      <c r="O62" s="2">
        <v>9.1</v>
      </c>
      <c r="P62" s="2">
        <v>1.8</v>
      </c>
      <c r="Q62" s="2">
        <v>1.3</v>
      </c>
      <c r="R62" s="2">
        <v>9.3000000000000007</v>
      </c>
      <c r="S62" s="2">
        <v>22.5</v>
      </c>
      <c r="T62" s="2">
        <v>0.8</v>
      </c>
      <c r="U62" s="2">
        <v>0.8</v>
      </c>
      <c r="V62" s="2">
        <v>1.6</v>
      </c>
      <c r="W62" s="2">
        <v>0.13400000000000001</v>
      </c>
      <c r="X62" s="2">
        <v>2.2000000000000002</v>
      </c>
      <c r="Y62" s="2">
        <v>0.2</v>
      </c>
      <c r="Z62" s="2">
        <v>2.4</v>
      </c>
      <c r="AA62" s="2">
        <v>0.6</v>
      </c>
    </row>
    <row r="63" spans="1:27" x14ac:dyDescent="0.2">
      <c r="A63" t="s">
        <v>74</v>
      </c>
      <c r="B63" s="2">
        <v>23</v>
      </c>
      <c r="C63" t="s">
        <v>75</v>
      </c>
      <c r="D63" s="2" t="s">
        <v>33</v>
      </c>
      <c r="E63" s="2">
        <v>22</v>
      </c>
      <c r="F63" s="2">
        <v>22</v>
      </c>
      <c r="G63" s="2">
        <v>789</v>
      </c>
      <c r="H63" s="2">
        <v>18.899999999999999</v>
      </c>
      <c r="I63" s="2">
        <v>0.54600000000000004</v>
      </c>
      <c r="J63" s="2">
        <v>0.32</v>
      </c>
      <c r="K63" s="2">
        <v>0.214</v>
      </c>
      <c r="L63" s="2">
        <v>3.6</v>
      </c>
      <c r="M63" s="2">
        <v>18.8</v>
      </c>
      <c r="N63" s="2">
        <v>11.3</v>
      </c>
      <c r="O63" s="2">
        <v>44.2</v>
      </c>
      <c r="P63" s="2">
        <v>1.2</v>
      </c>
      <c r="Q63" s="2">
        <v>2</v>
      </c>
      <c r="R63" s="2">
        <v>17.5</v>
      </c>
      <c r="S63" s="2">
        <v>31.3</v>
      </c>
      <c r="T63" s="2">
        <v>0.6</v>
      </c>
      <c r="U63" s="2">
        <v>0.8</v>
      </c>
      <c r="V63" s="2">
        <v>1.4</v>
      </c>
      <c r="W63" s="2">
        <v>8.3000000000000004E-2</v>
      </c>
      <c r="X63" s="2">
        <v>2.9</v>
      </c>
      <c r="Y63" s="2">
        <v>-0.2</v>
      </c>
      <c r="Z63" s="2">
        <v>2.8</v>
      </c>
      <c r="AA63" s="2">
        <v>0.9</v>
      </c>
    </row>
    <row r="64" spans="1:27" x14ac:dyDescent="0.2">
      <c r="A64" t="s">
        <v>462</v>
      </c>
      <c r="B64" s="2">
        <v>22</v>
      </c>
      <c r="C64" t="s">
        <v>48</v>
      </c>
      <c r="D64" s="2" t="s">
        <v>49</v>
      </c>
      <c r="E64" s="2">
        <v>17</v>
      </c>
      <c r="F64" s="2">
        <v>0</v>
      </c>
      <c r="G64" s="2">
        <v>93</v>
      </c>
      <c r="H64" s="2">
        <v>3.4</v>
      </c>
      <c r="I64" s="2">
        <v>0.42199999999999999</v>
      </c>
      <c r="J64" s="2">
        <v>0.83299999999999996</v>
      </c>
      <c r="K64" s="2">
        <v>8.3000000000000004E-2</v>
      </c>
      <c r="L64" s="2">
        <v>2.4</v>
      </c>
      <c r="M64" s="2">
        <v>9.1</v>
      </c>
      <c r="N64" s="2">
        <v>5.6</v>
      </c>
      <c r="O64" s="2">
        <v>1.5</v>
      </c>
      <c r="P64" s="2">
        <v>0</v>
      </c>
      <c r="Q64" s="2">
        <v>2.1</v>
      </c>
      <c r="R64" s="2">
        <v>3.9</v>
      </c>
      <c r="S64" s="2">
        <v>12</v>
      </c>
      <c r="T64" s="2">
        <v>-0.1</v>
      </c>
      <c r="U64" s="2">
        <v>0.1</v>
      </c>
      <c r="V64" s="2">
        <v>0</v>
      </c>
      <c r="W64" s="2">
        <v>1.4999999999999999E-2</v>
      </c>
      <c r="X64" s="2">
        <v>-5.4</v>
      </c>
      <c r="Y64" s="2">
        <v>-1.4</v>
      </c>
      <c r="Z64" s="2">
        <v>-6.8</v>
      </c>
      <c r="AA64" s="2">
        <v>-0.1</v>
      </c>
    </row>
    <row r="65" spans="1:27" x14ac:dyDescent="0.2">
      <c r="A65" t="s">
        <v>257</v>
      </c>
      <c r="B65" s="2">
        <v>29</v>
      </c>
      <c r="C65" t="s">
        <v>122</v>
      </c>
      <c r="D65" s="2" t="s">
        <v>49</v>
      </c>
      <c r="E65" s="2">
        <v>20</v>
      </c>
      <c r="F65" s="2">
        <v>15</v>
      </c>
      <c r="G65" s="2">
        <v>582</v>
      </c>
      <c r="H65" s="2">
        <v>9.1999999999999993</v>
      </c>
      <c r="I65" s="2">
        <v>0.501</v>
      </c>
      <c r="J65" s="2">
        <v>0.34499999999999997</v>
      </c>
      <c r="K65" s="2">
        <v>0.39200000000000002</v>
      </c>
      <c r="L65" s="2">
        <v>5</v>
      </c>
      <c r="M65" s="2">
        <v>13.8</v>
      </c>
      <c r="N65" s="2">
        <v>9.1999999999999993</v>
      </c>
      <c r="O65" s="2">
        <v>11.5</v>
      </c>
      <c r="P65" s="2">
        <v>1.6</v>
      </c>
      <c r="Q65" s="2">
        <v>1.6</v>
      </c>
      <c r="R65" s="2">
        <v>17.2</v>
      </c>
      <c r="S65" s="2">
        <v>15.8</v>
      </c>
      <c r="T65" s="2">
        <v>-0.3</v>
      </c>
      <c r="U65" s="2">
        <v>0.5</v>
      </c>
      <c r="V65" s="2">
        <v>0.3</v>
      </c>
      <c r="W65" s="2">
        <v>2.1000000000000001E-2</v>
      </c>
      <c r="X65" s="2">
        <v>-3.1</v>
      </c>
      <c r="Y65" s="2">
        <v>-0.4</v>
      </c>
      <c r="Z65" s="2">
        <v>-3.5</v>
      </c>
      <c r="AA65" s="2">
        <v>-0.2</v>
      </c>
    </row>
    <row r="66" spans="1:27" x14ac:dyDescent="0.2">
      <c r="A66" t="s">
        <v>516</v>
      </c>
      <c r="B66" s="2">
        <v>19</v>
      </c>
      <c r="C66" t="s">
        <v>77</v>
      </c>
      <c r="D66" s="2" t="s">
        <v>52</v>
      </c>
      <c r="E66" s="2">
        <v>1</v>
      </c>
      <c r="F66" s="2">
        <v>0</v>
      </c>
      <c r="G66" s="2">
        <v>18</v>
      </c>
      <c r="H66" s="2">
        <v>6.5</v>
      </c>
      <c r="I66" s="2">
        <v>0.35699999999999998</v>
      </c>
      <c r="J66" s="2">
        <v>0.57099999999999995</v>
      </c>
      <c r="K66" s="2">
        <v>0</v>
      </c>
      <c r="L66" s="2">
        <v>6.1</v>
      </c>
      <c r="M66" s="2">
        <v>12.5</v>
      </c>
      <c r="N66" s="2">
        <v>9.3000000000000007</v>
      </c>
      <c r="O66" s="2">
        <v>0</v>
      </c>
      <c r="P66" s="2">
        <v>5.5</v>
      </c>
      <c r="Q66" s="2">
        <v>0</v>
      </c>
      <c r="R66" s="2">
        <v>12.5</v>
      </c>
      <c r="S66" s="2">
        <v>19.2</v>
      </c>
      <c r="T66" s="2">
        <v>-0.1</v>
      </c>
      <c r="U66" s="2">
        <v>0</v>
      </c>
      <c r="V66" s="2">
        <v>0</v>
      </c>
      <c r="W66" s="2">
        <v>-5.5E-2</v>
      </c>
      <c r="X66" s="2">
        <v>-3.9</v>
      </c>
      <c r="Y66" s="2">
        <v>3.6</v>
      </c>
      <c r="Z66" s="2">
        <v>-0.3</v>
      </c>
      <c r="AA66" s="2">
        <v>0</v>
      </c>
    </row>
    <row r="67" spans="1:27" x14ac:dyDescent="0.2">
      <c r="A67" t="s">
        <v>390</v>
      </c>
      <c r="B67" s="2">
        <v>25</v>
      </c>
      <c r="C67" t="s">
        <v>41</v>
      </c>
      <c r="D67" s="2" t="s">
        <v>49</v>
      </c>
      <c r="E67" s="2">
        <v>17</v>
      </c>
      <c r="F67" s="2">
        <v>8</v>
      </c>
      <c r="G67" s="2">
        <v>339</v>
      </c>
      <c r="H67" s="2">
        <v>8</v>
      </c>
      <c r="I67" s="2">
        <v>0.626</v>
      </c>
      <c r="J67" s="2">
        <v>0.56100000000000005</v>
      </c>
      <c r="K67" s="2">
        <v>0.34100000000000003</v>
      </c>
      <c r="L67" s="2">
        <v>2</v>
      </c>
      <c r="M67" s="2">
        <v>9.4</v>
      </c>
      <c r="N67" s="2">
        <v>5.7</v>
      </c>
      <c r="O67" s="2">
        <v>4.9000000000000004</v>
      </c>
      <c r="P67" s="2">
        <v>2.6</v>
      </c>
      <c r="Q67" s="2">
        <v>1.6</v>
      </c>
      <c r="R67" s="2">
        <v>12.9</v>
      </c>
      <c r="S67" s="2">
        <v>7</v>
      </c>
      <c r="T67" s="2">
        <v>0.2</v>
      </c>
      <c r="U67" s="2">
        <v>0.2</v>
      </c>
      <c r="V67" s="2">
        <v>0.4</v>
      </c>
      <c r="W67" s="2">
        <v>5.7000000000000002E-2</v>
      </c>
      <c r="X67" s="2">
        <v>-3.7</v>
      </c>
      <c r="Y67" s="2">
        <v>0.7</v>
      </c>
      <c r="Z67" s="2">
        <v>-3</v>
      </c>
      <c r="AA67" s="2">
        <v>-0.1</v>
      </c>
    </row>
    <row r="68" spans="1:27" x14ac:dyDescent="0.2">
      <c r="A68" t="s">
        <v>482</v>
      </c>
      <c r="B68" s="2">
        <v>24</v>
      </c>
      <c r="C68" t="s">
        <v>80</v>
      </c>
      <c r="D68" s="2" t="s">
        <v>52</v>
      </c>
      <c r="E68" s="2">
        <v>3</v>
      </c>
      <c r="F68" s="2">
        <v>0</v>
      </c>
      <c r="G68" s="2">
        <v>46</v>
      </c>
      <c r="H68" s="2">
        <v>13.1</v>
      </c>
      <c r="I68" s="2">
        <v>0.68</v>
      </c>
      <c r="J68" s="2">
        <v>0.5</v>
      </c>
      <c r="K68" s="2">
        <v>0.4</v>
      </c>
      <c r="L68" s="2">
        <v>2.4</v>
      </c>
      <c r="M68" s="2">
        <v>10.9</v>
      </c>
      <c r="N68" s="2">
        <v>6.8</v>
      </c>
      <c r="O68" s="2">
        <v>18.399999999999999</v>
      </c>
      <c r="P68" s="2">
        <v>1</v>
      </c>
      <c r="Q68" s="2">
        <v>2</v>
      </c>
      <c r="R68" s="2">
        <v>14.5</v>
      </c>
      <c r="S68" s="2">
        <v>12</v>
      </c>
      <c r="T68" s="2">
        <v>0.1</v>
      </c>
      <c r="U68" s="2">
        <v>0.1</v>
      </c>
      <c r="V68" s="2">
        <v>0.2</v>
      </c>
      <c r="W68" s="2">
        <v>0.17399999999999999</v>
      </c>
      <c r="X68" s="2">
        <v>-1.5</v>
      </c>
      <c r="Y68" s="2">
        <v>0.7</v>
      </c>
      <c r="Z68" s="2">
        <v>-0.8</v>
      </c>
      <c r="AA68" s="2">
        <v>0</v>
      </c>
    </row>
    <row r="69" spans="1:27" x14ac:dyDescent="0.2">
      <c r="A69" t="s">
        <v>107</v>
      </c>
      <c r="B69" s="2">
        <v>23</v>
      </c>
      <c r="C69" t="s">
        <v>103</v>
      </c>
      <c r="D69" s="2" t="s">
        <v>52</v>
      </c>
      <c r="E69" s="2">
        <v>17</v>
      </c>
      <c r="F69" s="2">
        <v>17</v>
      </c>
      <c r="G69" s="2">
        <v>568</v>
      </c>
      <c r="H69" s="2">
        <v>17.899999999999999</v>
      </c>
      <c r="I69" s="2">
        <v>0.60599999999999998</v>
      </c>
      <c r="J69" s="2">
        <v>0.42399999999999999</v>
      </c>
      <c r="K69" s="2">
        <v>0.377</v>
      </c>
      <c r="L69" s="2">
        <v>1.2</v>
      </c>
      <c r="M69" s="2">
        <v>10.7</v>
      </c>
      <c r="N69" s="2">
        <v>5.8</v>
      </c>
      <c r="O69" s="2">
        <v>17.899999999999999</v>
      </c>
      <c r="P69" s="2">
        <v>1.1000000000000001</v>
      </c>
      <c r="Q69" s="2">
        <v>0.2</v>
      </c>
      <c r="R69" s="2">
        <v>12.2</v>
      </c>
      <c r="S69" s="2">
        <v>31.1</v>
      </c>
      <c r="T69" s="2">
        <v>0.7</v>
      </c>
      <c r="U69" s="2">
        <v>0.2</v>
      </c>
      <c r="V69" s="2">
        <v>0.9</v>
      </c>
      <c r="W69" s="2">
        <v>7.3999999999999996E-2</v>
      </c>
      <c r="X69" s="2">
        <v>2.2999999999999998</v>
      </c>
      <c r="Y69" s="2">
        <v>-2.2000000000000002</v>
      </c>
      <c r="Z69" s="2">
        <v>0.1</v>
      </c>
      <c r="AA69" s="2">
        <v>0.3</v>
      </c>
    </row>
    <row r="70" spans="1:27" x14ac:dyDescent="0.2">
      <c r="A70" t="s">
        <v>409</v>
      </c>
      <c r="B70" s="2">
        <v>20</v>
      </c>
      <c r="C70" t="s">
        <v>87</v>
      </c>
      <c r="D70" s="2" t="s">
        <v>49</v>
      </c>
      <c r="E70" s="2">
        <v>8</v>
      </c>
      <c r="F70" s="2">
        <v>0</v>
      </c>
      <c r="G70" s="2">
        <v>79</v>
      </c>
      <c r="H70" s="2">
        <v>9.1</v>
      </c>
      <c r="I70" s="2">
        <v>0.42699999999999999</v>
      </c>
      <c r="J70" s="2">
        <v>0.438</v>
      </c>
      <c r="K70" s="2">
        <v>0.33300000000000002</v>
      </c>
      <c r="L70" s="2">
        <v>5.2</v>
      </c>
      <c r="M70" s="2">
        <v>9.3000000000000007</v>
      </c>
      <c r="N70" s="2">
        <v>7.3</v>
      </c>
      <c r="O70" s="2">
        <v>8.1</v>
      </c>
      <c r="P70" s="2">
        <v>0.6</v>
      </c>
      <c r="Q70" s="2">
        <v>1.1000000000000001</v>
      </c>
      <c r="R70" s="2">
        <v>5.2</v>
      </c>
      <c r="S70" s="2">
        <v>30.3</v>
      </c>
      <c r="T70" s="2">
        <v>-0.1</v>
      </c>
      <c r="U70" s="2">
        <v>0.1</v>
      </c>
      <c r="V70" s="2">
        <v>0</v>
      </c>
      <c r="W70" s="2">
        <v>-8.0000000000000002E-3</v>
      </c>
      <c r="X70" s="2">
        <v>-4.8</v>
      </c>
      <c r="Y70" s="2">
        <v>-2.1</v>
      </c>
      <c r="Z70" s="2">
        <v>-6.9</v>
      </c>
      <c r="AA70" s="2">
        <v>-0.1</v>
      </c>
    </row>
    <row r="71" spans="1:27" x14ac:dyDescent="0.2">
      <c r="A71" t="s">
        <v>102</v>
      </c>
      <c r="B71" s="2">
        <v>28</v>
      </c>
      <c r="C71" t="s">
        <v>103</v>
      </c>
      <c r="D71" s="2" t="s">
        <v>27</v>
      </c>
      <c r="E71" s="2">
        <v>23</v>
      </c>
      <c r="F71" s="2">
        <v>23</v>
      </c>
      <c r="G71" s="2">
        <v>755</v>
      </c>
      <c r="H71" s="2">
        <v>18.899999999999999</v>
      </c>
      <c r="I71" s="2">
        <v>0.65900000000000003</v>
      </c>
      <c r="J71" s="2">
        <v>0.59299999999999997</v>
      </c>
      <c r="K71" s="2">
        <v>0.254</v>
      </c>
      <c r="L71" s="2">
        <v>2.8</v>
      </c>
      <c r="M71" s="2">
        <v>13.2</v>
      </c>
      <c r="N71" s="2">
        <v>7.8</v>
      </c>
      <c r="O71" s="2">
        <v>14.3</v>
      </c>
      <c r="P71" s="2">
        <v>1.3</v>
      </c>
      <c r="Q71" s="2">
        <v>1.5</v>
      </c>
      <c r="R71" s="2">
        <v>6.6</v>
      </c>
      <c r="S71" s="2">
        <v>20.8</v>
      </c>
      <c r="T71" s="2">
        <v>2.1</v>
      </c>
      <c r="U71" s="2">
        <v>0.4</v>
      </c>
      <c r="V71" s="2">
        <v>2.5</v>
      </c>
      <c r="W71" s="2">
        <v>0.16</v>
      </c>
      <c r="X71" s="2">
        <v>4.7</v>
      </c>
      <c r="Y71" s="2">
        <v>-0.4</v>
      </c>
      <c r="Z71" s="2">
        <v>4.3</v>
      </c>
      <c r="AA71" s="2">
        <v>1.2</v>
      </c>
    </row>
    <row r="72" spans="1:27" x14ac:dyDescent="0.2">
      <c r="A72" t="s">
        <v>276</v>
      </c>
      <c r="B72" s="2">
        <v>30</v>
      </c>
      <c r="C72" t="s">
        <v>44</v>
      </c>
      <c r="D72" s="2" t="s">
        <v>33</v>
      </c>
      <c r="E72" s="2">
        <v>19</v>
      </c>
      <c r="F72" s="2">
        <v>0</v>
      </c>
      <c r="G72" s="2">
        <v>332</v>
      </c>
      <c r="H72" s="2">
        <v>16</v>
      </c>
      <c r="I72" s="2">
        <v>0.57599999999999996</v>
      </c>
      <c r="J72" s="2">
        <v>0.59399999999999997</v>
      </c>
      <c r="K72" s="2">
        <v>8.5999999999999993E-2</v>
      </c>
      <c r="L72" s="2">
        <v>2.2000000000000002</v>
      </c>
      <c r="M72" s="2">
        <v>9.6</v>
      </c>
      <c r="N72" s="2">
        <v>6.1</v>
      </c>
      <c r="O72" s="2">
        <v>24.2</v>
      </c>
      <c r="P72" s="2">
        <v>1.8</v>
      </c>
      <c r="Q72" s="2">
        <v>2</v>
      </c>
      <c r="R72" s="2">
        <v>7</v>
      </c>
      <c r="S72" s="2">
        <v>19</v>
      </c>
      <c r="T72" s="2">
        <v>0.8</v>
      </c>
      <c r="U72" s="2">
        <v>0.3</v>
      </c>
      <c r="V72" s="2">
        <v>1</v>
      </c>
      <c r="W72" s="2">
        <v>0.15</v>
      </c>
      <c r="X72" s="2">
        <v>1.2</v>
      </c>
      <c r="Y72" s="2">
        <v>0.2</v>
      </c>
      <c r="Z72" s="2">
        <v>1.5</v>
      </c>
      <c r="AA72" s="2">
        <v>0.3</v>
      </c>
    </row>
    <row r="73" spans="1:27" x14ac:dyDescent="0.2">
      <c r="A73" t="s">
        <v>211</v>
      </c>
      <c r="B73" s="2">
        <v>30</v>
      </c>
      <c r="C73" t="s">
        <v>57</v>
      </c>
      <c r="D73" s="2" t="s">
        <v>49</v>
      </c>
      <c r="E73" s="2">
        <v>19</v>
      </c>
      <c r="F73" s="2">
        <v>0</v>
      </c>
      <c r="G73" s="2">
        <v>465</v>
      </c>
      <c r="H73" s="2">
        <v>18.100000000000001</v>
      </c>
      <c r="I73" s="2">
        <v>0.66500000000000004</v>
      </c>
      <c r="J73" s="2">
        <v>0.45600000000000002</v>
      </c>
      <c r="K73" s="2">
        <v>0.309</v>
      </c>
      <c r="L73" s="2">
        <v>2.2000000000000002</v>
      </c>
      <c r="M73" s="2">
        <v>10.6</v>
      </c>
      <c r="N73" s="2">
        <v>6.5</v>
      </c>
      <c r="O73" s="2">
        <v>21.9</v>
      </c>
      <c r="P73" s="2">
        <v>1.8</v>
      </c>
      <c r="Q73" s="2">
        <v>1.6</v>
      </c>
      <c r="R73" s="2">
        <v>12.9</v>
      </c>
      <c r="S73" s="2">
        <v>18.100000000000001</v>
      </c>
      <c r="T73" s="2">
        <v>1.3</v>
      </c>
      <c r="U73" s="2">
        <v>0.5</v>
      </c>
      <c r="V73" s="2">
        <v>1.8</v>
      </c>
      <c r="W73" s="2">
        <v>0.182</v>
      </c>
      <c r="X73" s="2">
        <v>2.7</v>
      </c>
      <c r="Y73" s="2">
        <v>0.8</v>
      </c>
      <c r="Z73" s="2">
        <v>3.5</v>
      </c>
      <c r="AA73" s="2">
        <v>0.6</v>
      </c>
    </row>
    <row r="74" spans="1:27" x14ac:dyDescent="0.2">
      <c r="A74" t="s">
        <v>229</v>
      </c>
      <c r="B74" s="2">
        <v>19</v>
      </c>
      <c r="C74" t="s">
        <v>114</v>
      </c>
      <c r="D74" s="2" t="s">
        <v>33</v>
      </c>
      <c r="E74" s="2">
        <v>22</v>
      </c>
      <c r="F74" s="2">
        <v>14</v>
      </c>
      <c r="G74" s="2">
        <v>630</v>
      </c>
      <c r="H74" s="2">
        <v>8.1999999999999993</v>
      </c>
      <c r="I74" s="2">
        <v>0.5</v>
      </c>
      <c r="J74" s="2">
        <v>0.52600000000000002</v>
      </c>
      <c r="K74" s="2">
        <v>0.13</v>
      </c>
      <c r="L74" s="2">
        <v>0.8</v>
      </c>
      <c r="M74" s="2">
        <v>14.2</v>
      </c>
      <c r="N74" s="2">
        <v>7.4</v>
      </c>
      <c r="O74" s="2">
        <v>20.100000000000001</v>
      </c>
      <c r="P74" s="2">
        <v>1.6</v>
      </c>
      <c r="Q74" s="2">
        <v>0.9</v>
      </c>
      <c r="R74" s="2">
        <v>17.5</v>
      </c>
      <c r="S74" s="2">
        <v>16.100000000000001</v>
      </c>
      <c r="T74" s="2">
        <v>-0.4</v>
      </c>
      <c r="U74" s="2">
        <v>0.1</v>
      </c>
      <c r="V74" s="2">
        <v>-0.3</v>
      </c>
      <c r="W74" s="2">
        <v>-2.7E-2</v>
      </c>
      <c r="X74" s="2">
        <v>-4.4000000000000004</v>
      </c>
      <c r="Y74" s="2">
        <v>-1.2</v>
      </c>
      <c r="Z74" s="2">
        <v>-5.5</v>
      </c>
      <c r="AA74" s="2">
        <v>-0.6</v>
      </c>
    </row>
    <row r="75" spans="1:27" x14ac:dyDescent="0.2">
      <c r="A75" t="s">
        <v>263</v>
      </c>
      <c r="B75" s="2">
        <v>21</v>
      </c>
      <c r="C75" t="s">
        <v>32</v>
      </c>
      <c r="D75" s="2" t="s">
        <v>52</v>
      </c>
      <c r="E75" s="2">
        <v>24</v>
      </c>
      <c r="F75" s="2">
        <v>13</v>
      </c>
      <c r="G75" s="2">
        <v>635</v>
      </c>
      <c r="H75" s="2">
        <v>11.9</v>
      </c>
      <c r="I75" s="2">
        <v>0.503</v>
      </c>
      <c r="J75" s="2">
        <v>0.48799999999999999</v>
      </c>
      <c r="K75" s="2">
        <v>4.2999999999999997E-2</v>
      </c>
      <c r="L75" s="2">
        <v>5.3</v>
      </c>
      <c r="M75" s="2">
        <v>9.1</v>
      </c>
      <c r="N75" s="2">
        <v>7.2</v>
      </c>
      <c r="O75" s="2">
        <v>10.5</v>
      </c>
      <c r="P75" s="2">
        <v>3.3</v>
      </c>
      <c r="Q75" s="2">
        <v>2.7</v>
      </c>
      <c r="R75" s="2">
        <v>7.7</v>
      </c>
      <c r="S75" s="2">
        <v>12.1</v>
      </c>
      <c r="T75" s="2">
        <v>0.4</v>
      </c>
      <c r="U75" s="2">
        <v>1.3</v>
      </c>
      <c r="V75" s="2">
        <v>1.7</v>
      </c>
      <c r="W75" s="2">
        <v>0.13100000000000001</v>
      </c>
      <c r="X75" s="2">
        <v>-2</v>
      </c>
      <c r="Y75" s="2">
        <v>2.7</v>
      </c>
      <c r="Z75" s="2">
        <v>0.8</v>
      </c>
      <c r="AA75" s="2">
        <v>0.4</v>
      </c>
    </row>
    <row r="76" spans="1:27" x14ac:dyDescent="0.2">
      <c r="A76" t="s">
        <v>387</v>
      </c>
      <c r="B76" s="2">
        <v>24</v>
      </c>
      <c r="C76" t="s">
        <v>93</v>
      </c>
      <c r="D76" s="2" t="s">
        <v>42</v>
      </c>
      <c r="E76" s="2">
        <v>15</v>
      </c>
      <c r="F76" s="2">
        <v>0</v>
      </c>
      <c r="G76" s="2">
        <v>158</v>
      </c>
      <c r="H76" s="2">
        <v>19</v>
      </c>
      <c r="I76" s="2">
        <v>0.56000000000000005</v>
      </c>
      <c r="J76" s="2">
        <v>0</v>
      </c>
      <c r="K76" s="2">
        <v>0.44700000000000001</v>
      </c>
      <c r="L76" s="2">
        <v>15.2</v>
      </c>
      <c r="M76" s="2">
        <v>24.3</v>
      </c>
      <c r="N76" s="2">
        <v>19.8</v>
      </c>
      <c r="O76" s="2">
        <v>7.7</v>
      </c>
      <c r="P76" s="2">
        <v>1.8</v>
      </c>
      <c r="Q76" s="2">
        <v>10.7</v>
      </c>
      <c r="R76" s="2">
        <v>15.1</v>
      </c>
      <c r="S76" s="2">
        <v>17.899999999999999</v>
      </c>
      <c r="T76" s="2">
        <v>0.1</v>
      </c>
      <c r="U76" s="2">
        <v>0.3</v>
      </c>
      <c r="V76" s="2">
        <v>0.4</v>
      </c>
      <c r="W76" s="2">
        <v>0.13</v>
      </c>
      <c r="X76" s="2">
        <v>-2.7</v>
      </c>
      <c r="Y76" s="2">
        <v>1.4</v>
      </c>
      <c r="Z76" s="2">
        <v>-1.3</v>
      </c>
      <c r="AA76" s="2">
        <v>0</v>
      </c>
    </row>
    <row r="77" spans="1:27" x14ac:dyDescent="0.2">
      <c r="A77" t="s">
        <v>269</v>
      </c>
      <c r="B77" s="2">
        <v>22</v>
      </c>
      <c r="C77" t="s">
        <v>32</v>
      </c>
      <c r="D77" s="2" t="s">
        <v>42</v>
      </c>
      <c r="E77" s="2">
        <v>10</v>
      </c>
      <c r="F77" s="2">
        <v>10</v>
      </c>
      <c r="G77" s="2">
        <v>265</v>
      </c>
      <c r="H77" s="2">
        <v>22.5</v>
      </c>
      <c r="I77" s="2">
        <v>0.61899999999999999</v>
      </c>
      <c r="J77" s="2">
        <v>0.33300000000000002</v>
      </c>
      <c r="K77" s="2">
        <v>0.441</v>
      </c>
      <c r="L77" s="2">
        <v>6.3</v>
      </c>
      <c r="M77" s="2">
        <v>28.1</v>
      </c>
      <c r="N77" s="2">
        <v>17.2</v>
      </c>
      <c r="O77" s="2">
        <v>11</v>
      </c>
      <c r="P77" s="2">
        <v>1.5</v>
      </c>
      <c r="Q77" s="2">
        <v>10</v>
      </c>
      <c r="R77" s="2">
        <v>14.8</v>
      </c>
      <c r="S77" s="2">
        <v>24.9</v>
      </c>
      <c r="T77" s="2">
        <v>0.4</v>
      </c>
      <c r="U77" s="2">
        <v>0.7</v>
      </c>
      <c r="V77" s="2">
        <v>1.1000000000000001</v>
      </c>
      <c r="W77" s="2">
        <v>0.19900000000000001</v>
      </c>
      <c r="X77" s="2">
        <v>2.1</v>
      </c>
      <c r="Y77" s="2">
        <v>3.5</v>
      </c>
      <c r="Z77" s="2">
        <v>5.6</v>
      </c>
      <c r="AA77" s="2">
        <v>0.5</v>
      </c>
    </row>
    <row r="78" spans="1:27" x14ac:dyDescent="0.2">
      <c r="A78" t="s">
        <v>207</v>
      </c>
      <c r="B78" s="2">
        <v>32</v>
      </c>
      <c r="C78" t="s">
        <v>66</v>
      </c>
      <c r="D78" s="2" t="s">
        <v>27</v>
      </c>
      <c r="E78" s="2">
        <v>23</v>
      </c>
      <c r="F78" s="2">
        <v>0</v>
      </c>
      <c r="G78" s="2">
        <v>413</v>
      </c>
      <c r="H78" s="2">
        <v>16.899999999999999</v>
      </c>
      <c r="I78" s="2">
        <v>0.55700000000000005</v>
      </c>
      <c r="J78" s="2">
        <v>0.47499999999999998</v>
      </c>
      <c r="K78" s="2">
        <v>0.27900000000000003</v>
      </c>
      <c r="L78" s="2">
        <v>7.8</v>
      </c>
      <c r="M78" s="2">
        <v>19.399999999999999</v>
      </c>
      <c r="N78" s="2">
        <v>13.6</v>
      </c>
      <c r="O78" s="2">
        <v>5.0999999999999996</v>
      </c>
      <c r="P78" s="2">
        <v>1.4</v>
      </c>
      <c r="Q78" s="2">
        <v>4</v>
      </c>
      <c r="R78" s="2">
        <v>7.2</v>
      </c>
      <c r="S78" s="2">
        <v>22.3</v>
      </c>
      <c r="T78" s="2">
        <v>0.5</v>
      </c>
      <c r="U78" s="2">
        <v>0.4</v>
      </c>
      <c r="V78" s="2">
        <v>0.9</v>
      </c>
      <c r="W78" s="2">
        <v>0.10100000000000001</v>
      </c>
      <c r="X78" s="2">
        <v>1.5</v>
      </c>
      <c r="Y78" s="2">
        <v>-0.9</v>
      </c>
      <c r="Z78" s="2">
        <v>0.5</v>
      </c>
      <c r="AA78" s="2">
        <v>0.3</v>
      </c>
    </row>
    <row r="79" spans="1:27" x14ac:dyDescent="0.2">
      <c r="A79" t="s">
        <v>445</v>
      </c>
      <c r="B79" s="2">
        <v>27</v>
      </c>
      <c r="C79" t="s">
        <v>70</v>
      </c>
      <c r="D79" s="2" t="s">
        <v>52</v>
      </c>
      <c r="E79" s="2">
        <v>12</v>
      </c>
      <c r="F79" s="2">
        <v>0</v>
      </c>
      <c r="G79" s="2">
        <v>50</v>
      </c>
      <c r="H79" s="2">
        <v>19</v>
      </c>
      <c r="I79" s="2">
        <v>0.67400000000000004</v>
      </c>
      <c r="J79" s="2">
        <v>0.66700000000000004</v>
      </c>
      <c r="K79" s="2">
        <v>0.44400000000000001</v>
      </c>
      <c r="L79" s="2">
        <v>8.6</v>
      </c>
      <c r="M79" s="2">
        <v>21</v>
      </c>
      <c r="N79" s="2">
        <v>14.9</v>
      </c>
      <c r="O79" s="2">
        <v>11</v>
      </c>
      <c r="P79" s="2">
        <v>0</v>
      </c>
      <c r="Q79" s="2">
        <v>0</v>
      </c>
      <c r="R79" s="2">
        <v>4.4000000000000004</v>
      </c>
      <c r="S79" s="2">
        <v>18.8</v>
      </c>
      <c r="T79" s="2">
        <v>0.2</v>
      </c>
      <c r="U79" s="2">
        <v>0</v>
      </c>
      <c r="V79" s="2">
        <v>0.2</v>
      </c>
      <c r="W79" s="2">
        <v>0.186</v>
      </c>
      <c r="X79" s="2">
        <v>3.7</v>
      </c>
      <c r="Y79" s="2">
        <v>-1.7</v>
      </c>
      <c r="Z79" s="2">
        <v>2</v>
      </c>
      <c r="AA79" s="2">
        <v>0</v>
      </c>
    </row>
    <row r="80" spans="1:27" x14ac:dyDescent="0.2">
      <c r="A80" t="s">
        <v>548</v>
      </c>
      <c r="B80" s="2">
        <v>21</v>
      </c>
      <c r="C80" t="s">
        <v>35</v>
      </c>
      <c r="D80" s="2" t="s">
        <v>49</v>
      </c>
      <c r="E80" s="2">
        <v>3</v>
      </c>
      <c r="F80" s="2">
        <v>0</v>
      </c>
      <c r="G80" s="2">
        <v>6</v>
      </c>
      <c r="H80" s="2">
        <v>19.5</v>
      </c>
      <c r="I80" s="2">
        <v>0.5</v>
      </c>
      <c r="J80" s="2">
        <v>0</v>
      </c>
      <c r="K80" s="2">
        <v>0</v>
      </c>
      <c r="L80" s="2">
        <v>19.2</v>
      </c>
      <c r="M80" s="2">
        <v>17.7</v>
      </c>
      <c r="N80" s="2">
        <v>18.399999999999999</v>
      </c>
      <c r="O80" s="2">
        <v>24.3</v>
      </c>
      <c r="P80" s="2">
        <v>8.1</v>
      </c>
      <c r="Q80" s="2">
        <v>0</v>
      </c>
      <c r="R80" s="2">
        <v>33.299999999999997</v>
      </c>
      <c r="S80" s="2">
        <v>22.1</v>
      </c>
      <c r="T80" s="2">
        <v>0</v>
      </c>
      <c r="U80" s="2">
        <v>0</v>
      </c>
      <c r="V80" s="2">
        <v>0</v>
      </c>
      <c r="W80" s="2">
        <v>6.4000000000000001E-2</v>
      </c>
      <c r="X80" s="2">
        <v>-0.2</v>
      </c>
      <c r="Y80" s="2">
        <v>4.3</v>
      </c>
      <c r="Z80" s="2">
        <v>4.0999999999999996</v>
      </c>
      <c r="AA80" s="2">
        <v>0</v>
      </c>
    </row>
    <row r="81" spans="1:27" x14ac:dyDescent="0.2">
      <c r="A81" t="s">
        <v>196</v>
      </c>
      <c r="B81" s="2">
        <v>39</v>
      </c>
      <c r="C81" t="s">
        <v>93</v>
      </c>
      <c r="D81" s="2" t="s">
        <v>33</v>
      </c>
      <c r="E81" s="2">
        <v>24</v>
      </c>
      <c r="F81" s="2">
        <v>24</v>
      </c>
      <c r="G81" s="2">
        <v>693</v>
      </c>
      <c r="H81" s="2">
        <v>17.100000000000001</v>
      </c>
      <c r="I81" s="2">
        <v>0.58499999999999996</v>
      </c>
      <c r="J81" s="2">
        <v>0.64400000000000002</v>
      </c>
      <c r="K81" s="2">
        <v>0.18</v>
      </c>
      <c r="L81" s="2">
        <v>2.2000000000000002</v>
      </c>
      <c r="M81" s="2">
        <v>12.8</v>
      </c>
      <c r="N81" s="2">
        <v>7.5</v>
      </c>
      <c r="O81" s="2">
        <v>41.9</v>
      </c>
      <c r="P81" s="2">
        <v>2.4</v>
      </c>
      <c r="Q81" s="2">
        <v>0.6</v>
      </c>
      <c r="R81" s="2">
        <v>17</v>
      </c>
      <c r="S81" s="2">
        <v>15.6</v>
      </c>
      <c r="T81" s="2">
        <v>1.7</v>
      </c>
      <c r="U81" s="2">
        <v>0.6</v>
      </c>
      <c r="V81" s="2">
        <v>2.2999999999999998</v>
      </c>
      <c r="W81" s="2">
        <v>0.158</v>
      </c>
      <c r="X81" s="2">
        <v>1.4</v>
      </c>
      <c r="Y81" s="2">
        <v>0.4</v>
      </c>
      <c r="Z81" s="2">
        <v>1.8</v>
      </c>
      <c r="AA81" s="2">
        <v>0.7</v>
      </c>
    </row>
    <row r="82" spans="1:27" x14ac:dyDescent="0.2">
      <c r="A82" t="s">
        <v>138</v>
      </c>
      <c r="B82" s="2">
        <v>23</v>
      </c>
      <c r="C82" t="s">
        <v>46</v>
      </c>
      <c r="D82" s="2" t="s">
        <v>52</v>
      </c>
      <c r="E82" s="2">
        <v>22</v>
      </c>
      <c r="F82" s="2">
        <v>22</v>
      </c>
      <c r="G82" s="2">
        <v>774</v>
      </c>
      <c r="H82" s="2">
        <v>14.5</v>
      </c>
      <c r="I82" s="2">
        <v>0.65900000000000003</v>
      </c>
      <c r="J82" s="2">
        <v>0.26</v>
      </c>
      <c r="K82" s="2">
        <v>0.34100000000000003</v>
      </c>
      <c r="L82" s="2">
        <v>3.8</v>
      </c>
      <c r="M82" s="2">
        <v>11.6</v>
      </c>
      <c r="N82" s="2">
        <v>7.8</v>
      </c>
      <c r="O82" s="2">
        <v>7.1</v>
      </c>
      <c r="P82" s="2">
        <v>1.7</v>
      </c>
      <c r="Q82" s="2">
        <v>1.8</v>
      </c>
      <c r="R82" s="2">
        <v>11.1</v>
      </c>
      <c r="S82" s="2">
        <v>15.7</v>
      </c>
      <c r="T82" s="2">
        <v>1.3</v>
      </c>
      <c r="U82" s="2">
        <v>0.6</v>
      </c>
      <c r="V82" s="2">
        <v>1.9</v>
      </c>
      <c r="W82" s="2">
        <v>0.115</v>
      </c>
      <c r="X82" s="2">
        <v>-0.1</v>
      </c>
      <c r="Y82" s="2">
        <v>-0.4</v>
      </c>
      <c r="Z82" s="2">
        <v>-0.6</v>
      </c>
      <c r="AA82" s="2">
        <v>0.3</v>
      </c>
    </row>
    <row r="83" spans="1:27" x14ac:dyDescent="0.2">
      <c r="A83" t="s">
        <v>440</v>
      </c>
      <c r="B83" s="2">
        <v>24</v>
      </c>
      <c r="C83" t="s">
        <v>41</v>
      </c>
      <c r="D83" s="2" t="s">
        <v>42</v>
      </c>
      <c r="E83" s="2">
        <v>14</v>
      </c>
      <c r="F83" s="2">
        <v>0</v>
      </c>
      <c r="G83" s="2">
        <v>138</v>
      </c>
      <c r="H83" s="2">
        <v>10.7</v>
      </c>
      <c r="I83" s="2">
        <v>0.65600000000000003</v>
      </c>
      <c r="J83" s="2">
        <v>9.0999999999999998E-2</v>
      </c>
      <c r="K83" s="2">
        <v>9.0999999999999998E-2</v>
      </c>
      <c r="L83" s="2">
        <v>10.7</v>
      </c>
      <c r="M83" s="2">
        <v>14.9</v>
      </c>
      <c r="N83" s="2">
        <v>12.8</v>
      </c>
      <c r="O83" s="2">
        <v>3.9</v>
      </c>
      <c r="P83" s="2">
        <v>1.4</v>
      </c>
      <c r="Q83" s="2">
        <v>2.7</v>
      </c>
      <c r="R83" s="2">
        <v>17.899999999999999</v>
      </c>
      <c r="S83" s="2">
        <v>8.9</v>
      </c>
      <c r="T83" s="2">
        <v>0.2</v>
      </c>
      <c r="U83" s="2">
        <v>0.1</v>
      </c>
      <c r="V83" s="2">
        <v>0.2</v>
      </c>
      <c r="W83" s="2">
        <v>8.4000000000000005E-2</v>
      </c>
      <c r="X83" s="2">
        <v>-3.8</v>
      </c>
      <c r="Y83" s="2">
        <v>-1.2</v>
      </c>
      <c r="Z83" s="2">
        <v>-5</v>
      </c>
      <c r="AA83" s="2">
        <v>-0.1</v>
      </c>
    </row>
    <row r="84" spans="1:27" x14ac:dyDescent="0.2">
      <c r="A84" t="s">
        <v>172</v>
      </c>
      <c r="B84" s="2">
        <v>33</v>
      </c>
      <c r="C84" t="s">
        <v>117</v>
      </c>
      <c r="D84" s="2" t="s">
        <v>33</v>
      </c>
      <c r="E84" s="2">
        <v>13</v>
      </c>
      <c r="F84" s="2">
        <v>13</v>
      </c>
      <c r="G84" s="2">
        <v>439</v>
      </c>
      <c r="H84" s="2">
        <v>16.7</v>
      </c>
      <c r="I84" s="2">
        <v>0.53900000000000003</v>
      </c>
      <c r="J84" s="2">
        <v>0.46100000000000002</v>
      </c>
      <c r="K84" s="2">
        <v>0.13900000000000001</v>
      </c>
      <c r="L84" s="2">
        <v>2.1</v>
      </c>
      <c r="M84" s="2">
        <v>10.3</v>
      </c>
      <c r="N84" s="2">
        <v>6</v>
      </c>
      <c r="O84" s="2">
        <v>20.2</v>
      </c>
      <c r="P84" s="2">
        <v>1.8</v>
      </c>
      <c r="Q84" s="2">
        <v>1.3</v>
      </c>
      <c r="R84" s="2">
        <v>7.1</v>
      </c>
      <c r="S84" s="2">
        <v>27</v>
      </c>
      <c r="T84" s="2">
        <v>0.4</v>
      </c>
      <c r="U84" s="2">
        <v>0.1</v>
      </c>
      <c r="V84" s="2">
        <v>0.4</v>
      </c>
      <c r="W84" s="2">
        <v>4.9000000000000002E-2</v>
      </c>
      <c r="X84" s="2">
        <v>1.4</v>
      </c>
      <c r="Y84" s="2">
        <v>-1.9</v>
      </c>
      <c r="Z84" s="2">
        <v>-0.4</v>
      </c>
      <c r="AA84" s="2">
        <v>0.2</v>
      </c>
    </row>
    <row r="85" spans="1:27" x14ac:dyDescent="0.2">
      <c r="A85" t="s">
        <v>183</v>
      </c>
      <c r="B85" s="2">
        <v>30</v>
      </c>
      <c r="C85" t="s">
        <v>72</v>
      </c>
      <c r="D85" s="2" t="s">
        <v>42</v>
      </c>
      <c r="E85" s="2">
        <v>26</v>
      </c>
      <c r="F85" s="2">
        <v>26</v>
      </c>
      <c r="G85" s="2">
        <v>593</v>
      </c>
      <c r="H85" s="2">
        <v>19.899999999999999</v>
      </c>
      <c r="I85" s="2">
        <v>0.58899999999999997</v>
      </c>
      <c r="J85" s="2">
        <v>0</v>
      </c>
      <c r="K85" s="2">
        <v>0.25700000000000001</v>
      </c>
      <c r="L85" s="4">
        <v>17</v>
      </c>
      <c r="M85" s="2">
        <v>27.2</v>
      </c>
      <c r="N85" s="2">
        <v>22</v>
      </c>
      <c r="O85" s="2">
        <v>8.5</v>
      </c>
      <c r="P85" s="2">
        <v>1.3</v>
      </c>
      <c r="Q85" s="2">
        <v>3.9</v>
      </c>
      <c r="R85" s="2">
        <v>7.8</v>
      </c>
      <c r="S85" s="2">
        <v>16.600000000000001</v>
      </c>
      <c r="T85" s="2">
        <v>1.3</v>
      </c>
      <c r="U85" s="2">
        <v>0.7</v>
      </c>
      <c r="V85" s="2">
        <v>2.1</v>
      </c>
      <c r="W85" s="2">
        <v>0.16600000000000001</v>
      </c>
      <c r="X85" s="2">
        <v>0.8</v>
      </c>
      <c r="Y85" s="2">
        <v>-0.7</v>
      </c>
      <c r="Z85" s="2">
        <v>0.1</v>
      </c>
      <c r="AA85" s="2">
        <v>0.3</v>
      </c>
    </row>
    <row r="86" spans="1:27" x14ac:dyDescent="0.2">
      <c r="A86" t="s">
        <v>110</v>
      </c>
      <c r="B86" s="2">
        <v>24</v>
      </c>
      <c r="C86" t="s">
        <v>70</v>
      </c>
      <c r="D86" s="2" t="s">
        <v>52</v>
      </c>
      <c r="E86" s="2">
        <v>23</v>
      </c>
      <c r="F86" s="2">
        <v>23</v>
      </c>
      <c r="G86" s="2">
        <v>751</v>
      </c>
      <c r="H86" s="2">
        <v>14</v>
      </c>
      <c r="I86" s="2">
        <v>0.57899999999999996</v>
      </c>
      <c r="J86" s="2">
        <v>0.625</v>
      </c>
      <c r="K86" s="2">
        <v>0.216</v>
      </c>
      <c r="L86" s="2">
        <v>1.1000000000000001</v>
      </c>
      <c r="M86" s="2">
        <v>10.9</v>
      </c>
      <c r="N86" s="2">
        <v>6.1</v>
      </c>
      <c r="O86" s="2">
        <v>20.2</v>
      </c>
      <c r="P86" s="2">
        <v>1.5</v>
      </c>
      <c r="Q86" s="2">
        <v>0.6</v>
      </c>
      <c r="R86" s="2">
        <v>13.1</v>
      </c>
      <c r="S86" s="2">
        <v>23</v>
      </c>
      <c r="T86" s="2">
        <v>0.6</v>
      </c>
      <c r="U86" s="2">
        <v>0.3</v>
      </c>
      <c r="V86" s="2">
        <v>0.9</v>
      </c>
      <c r="W86" s="2">
        <v>5.5E-2</v>
      </c>
      <c r="X86" s="2">
        <v>-0.1</v>
      </c>
      <c r="Y86" s="2">
        <v>-1.7</v>
      </c>
      <c r="Z86" s="2">
        <v>-1.9</v>
      </c>
      <c r="AA86" s="2">
        <v>0</v>
      </c>
    </row>
    <row r="87" spans="1:27" x14ac:dyDescent="0.2">
      <c r="A87" t="s">
        <v>225</v>
      </c>
      <c r="B87" s="2">
        <v>29</v>
      </c>
      <c r="C87" t="s">
        <v>59</v>
      </c>
      <c r="D87" s="2" t="s">
        <v>49</v>
      </c>
      <c r="E87" s="2">
        <v>24</v>
      </c>
      <c r="F87" s="2">
        <v>5</v>
      </c>
      <c r="G87" s="2">
        <v>629</v>
      </c>
      <c r="H87" s="2">
        <v>12.6</v>
      </c>
      <c r="I87" s="2">
        <v>0.53900000000000003</v>
      </c>
      <c r="J87" s="2">
        <v>0.48599999999999999</v>
      </c>
      <c r="K87" s="2">
        <v>0.18099999999999999</v>
      </c>
      <c r="L87" s="2">
        <v>4.4000000000000004</v>
      </c>
      <c r="M87" s="2">
        <v>16.600000000000001</v>
      </c>
      <c r="N87" s="2">
        <v>10.3</v>
      </c>
      <c r="O87" s="2">
        <v>13.5</v>
      </c>
      <c r="P87" s="2">
        <v>2</v>
      </c>
      <c r="Q87" s="2">
        <v>2.9</v>
      </c>
      <c r="R87" s="2">
        <v>11.6</v>
      </c>
      <c r="S87" s="2">
        <v>14.6</v>
      </c>
      <c r="T87" s="2">
        <v>0.5</v>
      </c>
      <c r="U87" s="2">
        <v>0.6</v>
      </c>
      <c r="V87" s="2">
        <v>1.1000000000000001</v>
      </c>
      <c r="W87" s="2">
        <v>8.6999999999999994E-2</v>
      </c>
      <c r="X87" s="2">
        <v>-1.4</v>
      </c>
      <c r="Y87" s="2">
        <v>1</v>
      </c>
      <c r="Z87" s="2">
        <v>-0.4</v>
      </c>
      <c r="AA87" s="2">
        <v>0.2</v>
      </c>
    </row>
    <row r="88" spans="1:27" x14ac:dyDescent="0.2">
      <c r="A88" t="s">
        <v>406</v>
      </c>
      <c r="B88" s="2">
        <v>20</v>
      </c>
      <c r="C88" t="s">
        <v>120</v>
      </c>
      <c r="D88" s="2" t="s">
        <v>52</v>
      </c>
      <c r="E88" s="2">
        <v>16</v>
      </c>
      <c r="F88" s="2">
        <v>7</v>
      </c>
      <c r="G88" s="2">
        <v>299</v>
      </c>
      <c r="H88" s="2">
        <v>2.9</v>
      </c>
      <c r="I88" s="2">
        <v>0.34300000000000003</v>
      </c>
      <c r="J88" s="2">
        <v>0.55200000000000005</v>
      </c>
      <c r="K88" s="2">
        <v>0.14899999999999999</v>
      </c>
      <c r="L88" s="2">
        <v>3</v>
      </c>
      <c r="M88" s="2">
        <v>10.6</v>
      </c>
      <c r="N88" s="2">
        <v>6.9</v>
      </c>
      <c r="O88" s="2">
        <v>8.5</v>
      </c>
      <c r="P88" s="2">
        <v>1.1000000000000001</v>
      </c>
      <c r="Q88" s="2">
        <v>1.6</v>
      </c>
      <c r="R88" s="2">
        <v>13.3</v>
      </c>
      <c r="S88" s="2">
        <v>11.6</v>
      </c>
      <c r="T88" s="2">
        <v>-0.5</v>
      </c>
      <c r="U88" s="2">
        <v>0</v>
      </c>
      <c r="V88" s="2">
        <v>-0.4</v>
      </c>
      <c r="W88" s="2">
        <v>-7.0999999999999994E-2</v>
      </c>
      <c r="X88" s="2">
        <v>-6.1</v>
      </c>
      <c r="Y88" s="2">
        <v>-1.1000000000000001</v>
      </c>
      <c r="Z88" s="2">
        <v>-7.2</v>
      </c>
      <c r="AA88" s="2">
        <v>-0.4</v>
      </c>
    </row>
    <row r="89" spans="1:27" x14ac:dyDescent="0.2">
      <c r="A89" t="s">
        <v>466</v>
      </c>
      <c r="B89" s="2">
        <v>22</v>
      </c>
      <c r="C89" t="s">
        <v>37</v>
      </c>
      <c r="D89" s="2" t="s">
        <v>52</v>
      </c>
      <c r="E89" s="2">
        <v>16</v>
      </c>
      <c r="F89" s="2">
        <v>0</v>
      </c>
      <c r="G89" s="2">
        <v>82</v>
      </c>
      <c r="H89" s="2">
        <v>8.3000000000000007</v>
      </c>
      <c r="I89" s="2">
        <v>0.52600000000000002</v>
      </c>
      <c r="J89" s="2">
        <v>0.36799999999999999</v>
      </c>
      <c r="K89" s="2">
        <v>0</v>
      </c>
      <c r="L89" s="2">
        <v>5.6</v>
      </c>
      <c r="M89" s="2">
        <v>13.7</v>
      </c>
      <c r="N89" s="2">
        <v>9.6999999999999993</v>
      </c>
      <c r="O89" s="2">
        <v>6.2</v>
      </c>
      <c r="P89" s="2">
        <v>2.4</v>
      </c>
      <c r="Q89" s="2">
        <v>5</v>
      </c>
      <c r="R89" s="2">
        <v>24</v>
      </c>
      <c r="S89" s="2">
        <v>13.2</v>
      </c>
      <c r="T89" s="2">
        <v>-0.1</v>
      </c>
      <c r="U89" s="2">
        <v>0.1</v>
      </c>
      <c r="V89" s="2">
        <v>0</v>
      </c>
      <c r="W89" s="2">
        <v>2.1000000000000001E-2</v>
      </c>
      <c r="X89" s="2">
        <v>-4.0999999999999996</v>
      </c>
      <c r="Y89" s="2">
        <v>0.5</v>
      </c>
      <c r="Z89" s="2">
        <v>-3.6</v>
      </c>
      <c r="AA89" s="2">
        <v>0</v>
      </c>
    </row>
    <row r="90" spans="1:27" x14ac:dyDescent="0.2">
      <c r="A90" t="s">
        <v>308</v>
      </c>
      <c r="B90" s="2">
        <v>24</v>
      </c>
      <c r="C90" t="s">
        <v>48</v>
      </c>
      <c r="D90" s="2" t="s">
        <v>33</v>
      </c>
      <c r="E90" s="2">
        <v>24</v>
      </c>
      <c r="F90" s="2">
        <v>0</v>
      </c>
      <c r="G90" s="2">
        <v>265</v>
      </c>
      <c r="H90" s="2">
        <v>10.7</v>
      </c>
      <c r="I90" s="2">
        <v>0.48799999999999999</v>
      </c>
      <c r="J90" s="2">
        <v>0.439</v>
      </c>
      <c r="K90" s="2">
        <v>0.28100000000000003</v>
      </c>
      <c r="L90" s="2">
        <v>3.4</v>
      </c>
      <c r="M90" s="2">
        <v>17.7</v>
      </c>
      <c r="N90" s="2">
        <v>10.3</v>
      </c>
      <c r="O90" s="2">
        <v>25.9</v>
      </c>
      <c r="P90" s="2">
        <v>1.9</v>
      </c>
      <c r="Q90" s="2">
        <v>1.1000000000000001</v>
      </c>
      <c r="R90" s="2">
        <v>17.899999999999999</v>
      </c>
      <c r="S90" s="2">
        <v>25.5</v>
      </c>
      <c r="T90" s="2">
        <v>-0.3</v>
      </c>
      <c r="U90" s="2">
        <v>0.4</v>
      </c>
      <c r="V90" s="2">
        <v>0.1</v>
      </c>
      <c r="W90" s="2">
        <v>2.4E-2</v>
      </c>
      <c r="X90" s="2">
        <v>-3.7</v>
      </c>
      <c r="Y90" s="2">
        <v>0.6</v>
      </c>
      <c r="Z90" s="2">
        <v>-3.1</v>
      </c>
      <c r="AA90" s="2">
        <v>-0.1</v>
      </c>
    </row>
    <row r="91" spans="1:27" x14ac:dyDescent="0.2">
      <c r="A91" t="s">
        <v>566</v>
      </c>
      <c r="B91" s="2">
        <v>25</v>
      </c>
      <c r="C91" t="s">
        <v>75</v>
      </c>
      <c r="D91" s="2" t="s">
        <v>49</v>
      </c>
      <c r="E91" s="2">
        <v>2</v>
      </c>
      <c r="F91" s="2">
        <v>0</v>
      </c>
      <c r="G91" s="2">
        <v>13</v>
      </c>
      <c r="H91" s="2">
        <v>-11.4</v>
      </c>
      <c r="I91" s="2">
        <v>0</v>
      </c>
      <c r="J91" s="2">
        <v>1</v>
      </c>
      <c r="K91" s="2">
        <v>0</v>
      </c>
      <c r="L91" s="2">
        <v>0</v>
      </c>
      <c r="M91" s="2">
        <v>16.8</v>
      </c>
      <c r="N91" s="2">
        <v>8.5</v>
      </c>
      <c r="O91" s="2">
        <v>9.1999999999999993</v>
      </c>
      <c r="P91" s="2">
        <v>0</v>
      </c>
      <c r="Q91" s="2">
        <v>0</v>
      </c>
      <c r="R91" s="2">
        <v>0</v>
      </c>
      <c r="S91" s="2">
        <v>16.5</v>
      </c>
      <c r="T91" s="2">
        <v>-0.1</v>
      </c>
      <c r="U91" s="2">
        <v>0</v>
      </c>
      <c r="V91" s="2">
        <v>-0.1</v>
      </c>
      <c r="W91" s="2">
        <v>-0.33300000000000002</v>
      </c>
      <c r="X91" s="2">
        <v>-14.8</v>
      </c>
      <c r="Y91" s="2">
        <v>-6.3</v>
      </c>
      <c r="Z91" s="2">
        <v>-21.1</v>
      </c>
      <c r="AA91" s="2">
        <v>-0.1</v>
      </c>
    </row>
    <row r="92" spans="1:27" x14ac:dyDescent="0.2">
      <c r="A92" t="s">
        <v>496</v>
      </c>
      <c r="B92" s="2">
        <v>24</v>
      </c>
      <c r="C92" t="s">
        <v>80</v>
      </c>
      <c r="D92" s="2" t="s">
        <v>42</v>
      </c>
      <c r="E92" s="2">
        <v>7</v>
      </c>
      <c r="F92" s="2">
        <v>0</v>
      </c>
      <c r="G92" s="2">
        <v>21</v>
      </c>
      <c r="H92" s="2">
        <v>18.2</v>
      </c>
      <c r="I92" s="2">
        <v>0.66500000000000004</v>
      </c>
      <c r="J92" s="2">
        <v>0.5</v>
      </c>
      <c r="K92" s="2">
        <v>2</v>
      </c>
      <c r="L92" s="2">
        <v>10.4</v>
      </c>
      <c r="M92" s="2">
        <v>23.9</v>
      </c>
      <c r="N92" s="2">
        <v>17.399999999999999</v>
      </c>
      <c r="O92" s="2">
        <v>0</v>
      </c>
      <c r="P92" s="2">
        <v>0</v>
      </c>
      <c r="Q92" s="2">
        <v>4.4000000000000004</v>
      </c>
      <c r="R92" s="2">
        <v>0</v>
      </c>
      <c r="S92" s="2">
        <v>14.4</v>
      </c>
      <c r="T92" s="2">
        <v>0.1</v>
      </c>
      <c r="U92" s="2">
        <v>0</v>
      </c>
      <c r="V92" s="2">
        <v>0.1</v>
      </c>
      <c r="W92" s="2">
        <v>0.29699999999999999</v>
      </c>
      <c r="X92" s="2">
        <v>-1.6</v>
      </c>
      <c r="Y92" s="2">
        <v>-0.6</v>
      </c>
      <c r="Z92" s="2">
        <v>-2.2999999999999998</v>
      </c>
      <c r="AA92" s="2">
        <v>0</v>
      </c>
    </row>
    <row r="93" spans="1:27" x14ac:dyDescent="0.2">
      <c r="A93" t="s">
        <v>536</v>
      </c>
      <c r="B93" s="2">
        <v>25</v>
      </c>
      <c r="C93" t="s">
        <v>54</v>
      </c>
      <c r="D93" s="2" t="s">
        <v>33</v>
      </c>
      <c r="E93" s="2">
        <v>1</v>
      </c>
      <c r="F93" s="2">
        <v>0</v>
      </c>
      <c r="G93" s="2">
        <v>3</v>
      </c>
      <c r="H93" s="2">
        <v>26.8</v>
      </c>
      <c r="I93" s="2">
        <v>0.75</v>
      </c>
      <c r="J93" s="2">
        <v>0.5</v>
      </c>
      <c r="K93" s="2">
        <v>0</v>
      </c>
      <c r="L93" s="2">
        <v>0</v>
      </c>
      <c r="M93" s="2">
        <v>0</v>
      </c>
      <c r="N93" s="2">
        <v>0</v>
      </c>
      <c r="O93" s="2">
        <v>0</v>
      </c>
      <c r="P93" s="2">
        <v>0</v>
      </c>
      <c r="Q93" s="2">
        <v>0</v>
      </c>
      <c r="R93" s="2">
        <v>0</v>
      </c>
      <c r="S93" s="2">
        <v>29.4</v>
      </c>
      <c r="T93" s="2">
        <v>0</v>
      </c>
      <c r="U93" s="2">
        <v>0</v>
      </c>
      <c r="V93" s="2">
        <v>0</v>
      </c>
      <c r="W93" s="2">
        <v>0.14199999999999999</v>
      </c>
      <c r="X93" s="2">
        <v>11.4</v>
      </c>
      <c r="Y93" s="2">
        <v>0.1</v>
      </c>
      <c r="Z93" s="2">
        <v>11.5</v>
      </c>
      <c r="AA93" s="2">
        <v>0</v>
      </c>
    </row>
    <row r="94" spans="1:27" x14ac:dyDescent="0.2">
      <c r="A94" t="s">
        <v>123</v>
      </c>
      <c r="B94" s="2">
        <v>26</v>
      </c>
      <c r="C94" t="s">
        <v>120</v>
      </c>
      <c r="D94" s="2" t="s">
        <v>52</v>
      </c>
      <c r="E94" s="2">
        <v>23</v>
      </c>
      <c r="F94" s="2">
        <v>21</v>
      </c>
      <c r="G94" s="2">
        <v>641</v>
      </c>
      <c r="H94" s="2">
        <v>15.3</v>
      </c>
      <c r="I94" s="2">
        <v>0.61099999999999999</v>
      </c>
      <c r="J94" s="2">
        <v>0.34300000000000003</v>
      </c>
      <c r="K94" s="2">
        <v>0.318</v>
      </c>
      <c r="L94" s="2">
        <v>3</v>
      </c>
      <c r="M94" s="2">
        <v>7</v>
      </c>
      <c r="N94" s="2">
        <v>5</v>
      </c>
      <c r="O94" s="2">
        <v>19.2</v>
      </c>
      <c r="P94" s="2">
        <v>1.1000000000000001</v>
      </c>
      <c r="Q94" s="2">
        <v>0.4</v>
      </c>
      <c r="R94" s="2">
        <v>14.8</v>
      </c>
      <c r="S94" s="2">
        <v>24.3</v>
      </c>
      <c r="T94" s="2">
        <v>1</v>
      </c>
      <c r="U94" s="2">
        <v>-0.1</v>
      </c>
      <c r="V94" s="2">
        <v>0.9</v>
      </c>
      <c r="W94" s="2">
        <v>6.6000000000000003E-2</v>
      </c>
      <c r="X94" s="2">
        <v>0.6</v>
      </c>
      <c r="Y94" s="2">
        <v>-2.2999999999999998</v>
      </c>
      <c r="Z94" s="2">
        <v>-1.8</v>
      </c>
      <c r="AA94" s="2">
        <v>0</v>
      </c>
    </row>
    <row r="95" spans="1:27" x14ac:dyDescent="0.2">
      <c r="A95" t="s">
        <v>224</v>
      </c>
      <c r="B95" s="2">
        <v>25</v>
      </c>
      <c r="C95" t="s">
        <v>114</v>
      </c>
      <c r="D95" s="2" t="s">
        <v>49</v>
      </c>
      <c r="E95" s="2">
        <v>19</v>
      </c>
      <c r="F95" s="2">
        <v>0</v>
      </c>
      <c r="G95" s="2">
        <v>525</v>
      </c>
      <c r="H95" s="2">
        <v>8.8000000000000007</v>
      </c>
      <c r="I95" s="2">
        <v>0.53200000000000003</v>
      </c>
      <c r="J95" s="2">
        <v>0.60899999999999999</v>
      </c>
      <c r="K95" s="2">
        <v>0.13</v>
      </c>
      <c r="L95" s="2">
        <v>1.4</v>
      </c>
      <c r="M95" s="2">
        <v>11.9</v>
      </c>
      <c r="N95" s="2">
        <v>6.5</v>
      </c>
      <c r="O95" s="2">
        <v>7.8</v>
      </c>
      <c r="P95" s="2">
        <v>1.1000000000000001</v>
      </c>
      <c r="Q95" s="2">
        <v>0.5</v>
      </c>
      <c r="R95" s="2">
        <v>9.6999999999999993</v>
      </c>
      <c r="S95" s="2">
        <v>17</v>
      </c>
      <c r="T95" s="2">
        <v>-0.1</v>
      </c>
      <c r="U95" s="2">
        <v>-0.1</v>
      </c>
      <c r="V95" s="2">
        <v>-0.2</v>
      </c>
      <c r="W95" s="2">
        <v>-1.6E-2</v>
      </c>
      <c r="X95" s="2">
        <v>-3</v>
      </c>
      <c r="Y95" s="2">
        <v>-2.6</v>
      </c>
      <c r="Z95" s="2">
        <v>-5.6</v>
      </c>
      <c r="AA95" s="2">
        <v>-0.5</v>
      </c>
    </row>
    <row r="96" spans="1:27" x14ac:dyDescent="0.2">
      <c r="A96" t="s">
        <v>485</v>
      </c>
      <c r="B96" s="2">
        <v>33</v>
      </c>
      <c r="C96" t="s">
        <v>48</v>
      </c>
      <c r="D96" s="2" t="s">
        <v>33</v>
      </c>
      <c r="E96" s="2">
        <v>13</v>
      </c>
      <c r="F96" s="2">
        <v>0</v>
      </c>
      <c r="G96" s="2">
        <v>46</v>
      </c>
      <c r="H96" s="2">
        <v>15.5</v>
      </c>
      <c r="I96" s="2">
        <v>0.5</v>
      </c>
      <c r="J96" s="2">
        <v>0.8</v>
      </c>
      <c r="K96" s="2">
        <v>0</v>
      </c>
      <c r="L96" s="2">
        <v>7.3</v>
      </c>
      <c r="M96" s="2">
        <v>15.7</v>
      </c>
      <c r="N96" s="2">
        <v>11.3</v>
      </c>
      <c r="O96" s="2">
        <v>28.1</v>
      </c>
      <c r="P96" s="2">
        <v>2.1</v>
      </c>
      <c r="Q96" s="2">
        <v>4.2</v>
      </c>
      <c r="R96" s="2">
        <v>11.8</v>
      </c>
      <c r="S96" s="2">
        <v>16</v>
      </c>
      <c r="T96" s="2">
        <v>0.1</v>
      </c>
      <c r="U96" s="2">
        <v>0.1</v>
      </c>
      <c r="V96" s="2">
        <v>0.2</v>
      </c>
      <c r="W96" s="2">
        <v>0.159</v>
      </c>
      <c r="X96" s="2">
        <v>2</v>
      </c>
      <c r="Y96" s="2">
        <v>3.1</v>
      </c>
      <c r="Z96" s="2">
        <v>5.0999999999999996</v>
      </c>
      <c r="AA96" s="2">
        <v>0.1</v>
      </c>
    </row>
    <row r="97" spans="1:27" x14ac:dyDescent="0.2">
      <c r="A97" t="s">
        <v>415</v>
      </c>
      <c r="B97" s="2">
        <v>24</v>
      </c>
      <c r="C97" t="s">
        <v>57</v>
      </c>
      <c r="D97" s="2" t="s">
        <v>33</v>
      </c>
      <c r="E97" s="2">
        <v>16</v>
      </c>
      <c r="F97" s="2">
        <v>0</v>
      </c>
      <c r="G97" s="2">
        <v>151</v>
      </c>
      <c r="H97" s="2">
        <v>12.5</v>
      </c>
      <c r="I97" s="2">
        <v>0.66300000000000003</v>
      </c>
      <c r="J97" s="2">
        <v>0.35499999999999998</v>
      </c>
      <c r="K97" s="2">
        <v>0.161</v>
      </c>
      <c r="L97" s="2">
        <v>0.8</v>
      </c>
      <c r="M97" s="2">
        <v>9.1999999999999993</v>
      </c>
      <c r="N97" s="2">
        <v>5.0999999999999996</v>
      </c>
      <c r="O97" s="2">
        <v>17.8</v>
      </c>
      <c r="P97" s="2">
        <v>1.6</v>
      </c>
      <c r="Q97" s="2">
        <v>3.6</v>
      </c>
      <c r="R97" s="2">
        <v>21.3</v>
      </c>
      <c r="S97" s="2">
        <v>12.1</v>
      </c>
      <c r="T97" s="2">
        <v>0.2</v>
      </c>
      <c r="U97" s="2">
        <v>0.2</v>
      </c>
      <c r="V97" s="2">
        <v>0.3</v>
      </c>
      <c r="W97" s="2">
        <v>0.111</v>
      </c>
      <c r="X97" s="2">
        <v>-0.6</v>
      </c>
      <c r="Y97" s="2">
        <v>1.2</v>
      </c>
      <c r="Z97" s="2">
        <v>0.6</v>
      </c>
      <c r="AA97" s="2">
        <v>0.1</v>
      </c>
    </row>
    <row r="98" spans="1:27" x14ac:dyDescent="0.2">
      <c r="A98" t="s">
        <v>534</v>
      </c>
      <c r="B98" s="2">
        <v>21</v>
      </c>
      <c r="C98" t="s">
        <v>103</v>
      </c>
      <c r="D98" s="2" t="s">
        <v>52</v>
      </c>
      <c r="E98" s="2">
        <v>5</v>
      </c>
      <c r="F98" s="2">
        <v>0</v>
      </c>
      <c r="G98" s="2">
        <v>10</v>
      </c>
      <c r="H98" s="2">
        <v>-10.9</v>
      </c>
      <c r="I98" s="2">
        <v>0.19</v>
      </c>
      <c r="J98" s="2">
        <v>0.42899999999999999</v>
      </c>
      <c r="K98" s="2">
        <v>0.28599999999999998</v>
      </c>
      <c r="L98" s="2">
        <v>0</v>
      </c>
      <c r="M98" s="2">
        <v>24.8</v>
      </c>
      <c r="N98" s="2">
        <v>12</v>
      </c>
      <c r="O98" s="2">
        <v>0</v>
      </c>
      <c r="P98" s="2">
        <v>0</v>
      </c>
      <c r="Q98" s="2">
        <v>0</v>
      </c>
      <c r="R98" s="2">
        <v>0</v>
      </c>
      <c r="S98" s="2">
        <v>35.299999999999997</v>
      </c>
      <c r="T98" s="2">
        <v>-0.1</v>
      </c>
      <c r="U98" s="2">
        <v>0</v>
      </c>
      <c r="V98" s="2">
        <v>-0.1</v>
      </c>
      <c r="W98" s="2">
        <v>-0.51600000000000001</v>
      </c>
      <c r="X98" s="2">
        <v>-16.7</v>
      </c>
      <c r="Y98" s="2">
        <v>-8.5</v>
      </c>
      <c r="Z98" s="2">
        <v>-25.2</v>
      </c>
      <c r="AA98" s="2">
        <v>-0.1</v>
      </c>
    </row>
    <row r="99" spans="1:27" x14ac:dyDescent="0.2">
      <c r="A99" t="s">
        <v>533</v>
      </c>
      <c r="B99" s="2">
        <v>24</v>
      </c>
      <c r="C99" t="s">
        <v>66</v>
      </c>
      <c r="D99" s="2" t="s">
        <v>52</v>
      </c>
      <c r="E99" s="2">
        <v>4</v>
      </c>
      <c r="F99" s="2">
        <v>0</v>
      </c>
      <c r="G99" s="2">
        <v>33</v>
      </c>
      <c r="H99" s="2">
        <v>-2.6</v>
      </c>
      <c r="I99" s="2">
        <v>0.20200000000000001</v>
      </c>
      <c r="J99" s="2">
        <v>0.42899999999999999</v>
      </c>
      <c r="K99" s="2">
        <v>0.14299999999999999</v>
      </c>
      <c r="L99" s="2">
        <v>0</v>
      </c>
      <c r="M99" s="2">
        <v>13.3</v>
      </c>
      <c r="N99" s="2">
        <v>6.6</v>
      </c>
      <c r="O99" s="2">
        <v>10.9</v>
      </c>
      <c r="P99" s="2">
        <v>2.9</v>
      </c>
      <c r="Q99" s="2">
        <v>0</v>
      </c>
      <c r="R99" s="2">
        <v>35</v>
      </c>
      <c r="S99" s="2">
        <v>14.4</v>
      </c>
      <c r="T99" s="2">
        <v>-0.2</v>
      </c>
      <c r="U99" s="2">
        <v>0</v>
      </c>
      <c r="V99" s="2">
        <v>-0.1</v>
      </c>
      <c r="W99" s="2">
        <v>-0.20899999999999999</v>
      </c>
      <c r="X99" s="2">
        <v>-9.8000000000000007</v>
      </c>
      <c r="Y99" s="2">
        <v>-1.3</v>
      </c>
      <c r="Z99" s="2">
        <v>-11.1</v>
      </c>
      <c r="AA99" s="2">
        <v>-0.1</v>
      </c>
    </row>
    <row r="100" spans="1:27" x14ac:dyDescent="0.2">
      <c r="A100" t="s">
        <v>157</v>
      </c>
      <c r="B100" s="2">
        <v>28</v>
      </c>
      <c r="C100" t="s">
        <v>41</v>
      </c>
      <c r="D100" s="2" t="s">
        <v>33</v>
      </c>
      <c r="E100" s="2">
        <v>23</v>
      </c>
      <c r="F100" s="2">
        <v>10</v>
      </c>
      <c r="G100" s="2">
        <v>629</v>
      </c>
      <c r="H100" s="2">
        <v>13.9</v>
      </c>
      <c r="I100" s="2">
        <v>0.54800000000000004</v>
      </c>
      <c r="J100" s="2">
        <v>0.53400000000000003</v>
      </c>
      <c r="K100" s="2">
        <v>0.17899999999999999</v>
      </c>
      <c r="L100" s="2">
        <v>1.3</v>
      </c>
      <c r="M100" s="2">
        <v>9.8000000000000007</v>
      </c>
      <c r="N100" s="2">
        <v>5.5</v>
      </c>
      <c r="O100" s="2">
        <v>27.6</v>
      </c>
      <c r="P100" s="2">
        <v>1.6</v>
      </c>
      <c r="Q100" s="2">
        <v>0.4</v>
      </c>
      <c r="R100" s="2">
        <v>13.1</v>
      </c>
      <c r="S100" s="2">
        <v>21.8</v>
      </c>
      <c r="T100" s="2">
        <v>0.5</v>
      </c>
      <c r="U100" s="2">
        <v>0.2</v>
      </c>
      <c r="V100" s="2">
        <v>0.7</v>
      </c>
      <c r="W100" s="2">
        <v>0.05</v>
      </c>
      <c r="X100" s="2">
        <v>-0.2</v>
      </c>
      <c r="Y100" s="2">
        <v>-1.8</v>
      </c>
      <c r="Z100" s="2">
        <v>-2.1</v>
      </c>
      <c r="AA100" s="2">
        <v>0</v>
      </c>
    </row>
    <row r="101" spans="1:27" x14ac:dyDescent="0.2">
      <c r="A101" t="s">
        <v>554</v>
      </c>
      <c r="B101" s="2">
        <v>22</v>
      </c>
      <c r="C101" t="s">
        <v>51</v>
      </c>
      <c r="D101" s="2" t="s">
        <v>33</v>
      </c>
      <c r="E101" s="2">
        <v>3</v>
      </c>
      <c r="F101" s="2">
        <v>0</v>
      </c>
      <c r="G101" s="2">
        <v>13</v>
      </c>
      <c r="H101" s="2">
        <v>-7</v>
      </c>
      <c r="I101" s="2">
        <v>0.26600000000000001</v>
      </c>
      <c r="J101" s="2">
        <v>1</v>
      </c>
      <c r="K101" s="2">
        <v>2</v>
      </c>
      <c r="L101" s="2">
        <v>0</v>
      </c>
      <c r="M101" s="2">
        <v>34.4</v>
      </c>
      <c r="N101" s="2">
        <v>17.600000000000001</v>
      </c>
      <c r="O101" s="2">
        <v>28.4</v>
      </c>
      <c r="P101" s="2">
        <v>0</v>
      </c>
      <c r="Q101" s="2">
        <v>0</v>
      </c>
      <c r="R101" s="2">
        <v>68</v>
      </c>
      <c r="S101" s="2">
        <v>19.899999999999999</v>
      </c>
      <c r="T101" s="2">
        <v>-0.1</v>
      </c>
      <c r="U101" s="2">
        <v>0</v>
      </c>
      <c r="V101" s="2">
        <v>-0.1</v>
      </c>
      <c r="W101" s="2">
        <v>-0.318</v>
      </c>
      <c r="X101" s="2">
        <v>-15.5</v>
      </c>
      <c r="Y101" s="2">
        <v>-1.2</v>
      </c>
      <c r="Z101" s="2">
        <v>-16.7</v>
      </c>
      <c r="AA101" s="2">
        <v>0</v>
      </c>
    </row>
    <row r="102" spans="1:27" x14ac:dyDescent="0.2">
      <c r="A102" t="s">
        <v>209</v>
      </c>
      <c r="B102" s="2">
        <v>25</v>
      </c>
      <c r="C102" t="s">
        <v>135</v>
      </c>
      <c r="D102" s="2" t="s">
        <v>33</v>
      </c>
      <c r="E102" s="2">
        <v>22</v>
      </c>
      <c r="F102" s="2">
        <v>0</v>
      </c>
      <c r="G102" s="2">
        <v>378</v>
      </c>
      <c r="H102" s="2">
        <v>16.5</v>
      </c>
      <c r="I102" s="2">
        <v>0.54100000000000004</v>
      </c>
      <c r="J102" s="2">
        <v>0.41699999999999998</v>
      </c>
      <c r="K102" s="2">
        <v>0.27800000000000002</v>
      </c>
      <c r="L102" s="2">
        <v>1.9</v>
      </c>
      <c r="M102" s="2">
        <v>13.3</v>
      </c>
      <c r="N102" s="2">
        <v>7.3</v>
      </c>
      <c r="O102" s="2">
        <v>25.7</v>
      </c>
      <c r="P102" s="2">
        <v>2.7</v>
      </c>
      <c r="Q102" s="2">
        <v>3.3</v>
      </c>
      <c r="R102" s="2">
        <v>15.3</v>
      </c>
      <c r="S102" s="2">
        <v>27.1</v>
      </c>
      <c r="T102" s="2">
        <v>0</v>
      </c>
      <c r="U102" s="2">
        <v>0.3</v>
      </c>
      <c r="V102" s="2">
        <v>0.4</v>
      </c>
      <c r="W102" s="2">
        <v>4.4999999999999998E-2</v>
      </c>
      <c r="X102" s="2">
        <v>1.9</v>
      </c>
      <c r="Y102" s="2">
        <v>0.2</v>
      </c>
      <c r="Z102" s="2">
        <v>2.1</v>
      </c>
      <c r="AA102" s="2">
        <v>0.4</v>
      </c>
    </row>
    <row r="103" spans="1:27" x14ac:dyDescent="0.2">
      <c r="A103" t="s">
        <v>330</v>
      </c>
      <c r="B103" s="2">
        <v>22</v>
      </c>
      <c r="C103" t="s">
        <v>70</v>
      </c>
      <c r="D103" s="2" t="s">
        <v>52</v>
      </c>
      <c r="E103" s="2">
        <v>25</v>
      </c>
      <c r="F103" s="2">
        <v>0</v>
      </c>
      <c r="G103" s="2">
        <v>337</v>
      </c>
      <c r="H103" s="2">
        <v>9.6999999999999993</v>
      </c>
      <c r="I103" s="2">
        <v>0.61399999999999999</v>
      </c>
      <c r="J103" s="2">
        <v>0.36499999999999999</v>
      </c>
      <c r="K103" s="2">
        <v>0.378</v>
      </c>
      <c r="L103" s="2">
        <v>5.0999999999999996</v>
      </c>
      <c r="M103" s="2">
        <v>5.9</v>
      </c>
      <c r="N103" s="2">
        <v>5.5</v>
      </c>
      <c r="O103" s="2">
        <v>8.6</v>
      </c>
      <c r="P103" s="2">
        <v>2</v>
      </c>
      <c r="Q103" s="2">
        <v>1.8</v>
      </c>
      <c r="R103" s="2">
        <v>19.600000000000001</v>
      </c>
      <c r="S103" s="2">
        <v>13.3</v>
      </c>
      <c r="T103" s="2">
        <v>0.2</v>
      </c>
      <c r="U103" s="2">
        <v>0.1</v>
      </c>
      <c r="V103" s="2">
        <v>0.3</v>
      </c>
      <c r="W103" s="2">
        <v>4.7E-2</v>
      </c>
      <c r="X103" s="2">
        <v>-3.3</v>
      </c>
      <c r="Y103" s="2">
        <v>-0.4</v>
      </c>
      <c r="Z103" s="2">
        <v>-3.7</v>
      </c>
      <c r="AA103" s="2">
        <v>-0.1</v>
      </c>
    </row>
    <row r="104" spans="1:27" x14ac:dyDescent="0.2">
      <c r="A104" t="s">
        <v>184</v>
      </c>
      <c r="B104" s="2">
        <v>23</v>
      </c>
      <c r="C104" t="s">
        <v>41</v>
      </c>
      <c r="D104" s="2" t="s">
        <v>49</v>
      </c>
      <c r="E104" s="2">
        <v>24</v>
      </c>
      <c r="F104" s="2">
        <v>12</v>
      </c>
      <c r="G104" s="2">
        <v>583</v>
      </c>
      <c r="H104" s="2">
        <v>13</v>
      </c>
      <c r="I104" s="2">
        <v>0.6</v>
      </c>
      <c r="J104" s="2">
        <v>0.60699999999999998</v>
      </c>
      <c r="K104" s="2">
        <v>0.104</v>
      </c>
      <c r="L104" s="2">
        <v>2.9</v>
      </c>
      <c r="M104" s="2">
        <v>13.7</v>
      </c>
      <c r="N104" s="2">
        <v>8.3000000000000007</v>
      </c>
      <c r="O104" s="2">
        <v>7.1</v>
      </c>
      <c r="P104" s="2">
        <v>1.1000000000000001</v>
      </c>
      <c r="Q104" s="2">
        <v>0.2</v>
      </c>
      <c r="R104" s="2">
        <v>5.6</v>
      </c>
      <c r="S104" s="2">
        <v>17.600000000000001</v>
      </c>
      <c r="T104" s="2">
        <v>0.7</v>
      </c>
      <c r="U104" s="2">
        <v>0.1</v>
      </c>
      <c r="V104" s="2">
        <v>0.8</v>
      </c>
      <c r="W104" s="2">
        <v>6.9000000000000006E-2</v>
      </c>
      <c r="X104" s="2">
        <v>0</v>
      </c>
      <c r="Y104" s="2">
        <v>-2.2999999999999998</v>
      </c>
      <c r="Z104" s="2">
        <v>-2.2999999999999998</v>
      </c>
      <c r="AA104" s="2">
        <v>0</v>
      </c>
    </row>
    <row r="105" spans="1:27" x14ac:dyDescent="0.2">
      <c r="A105" t="s">
        <v>64</v>
      </c>
      <c r="B105" s="2">
        <v>34</v>
      </c>
      <c r="C105" t="s">
        <v>35</v>
      </c>
      <c r="D105" s="2" t="s">
        <v>33</v>
      </c>
      <c r="E105" s="2">
        <v>21</v>
      </c>
      <c r="F105" s="2">
        <v>21</v>
      </c>
      <c r="G105" s="2">
        <v>763</v>
      </c>
      <c r="H105" s="2">
        <v>22.4</v>
      </c>
      <c r="I105" s="2">
        <v>0.626</v>
      </c>
      <c r="J105" s="2">
        <v>0.52200000000000002</v>
      </c>
      <c r="K105" s="2">
        <v>0.41</v>
      </c>
      <c r="L105" s="2">
        <v>1.8</v>
      </c>
      <c r="M105" s="2">
        <v>11.3</v>
      </c>
      <c r="N105" s="2">
        <v>6.7</v>
      </c>
      <c r="O105" s="2">
        <v>32.9</v>
      </c>
      <c r="P105" s="2">
        <v>1.3</v>
      </c>
      <c r="Q105" s="2">
        <v>0.5</v>
      </c>
      <c r="R105" s="2">
        <v>12.9</v>
      </c>
      <c r="S105" s="2">
        <v>28.8</v>
      </c>
      <c r="T105" s="2">
        <v>2.5</v>
      </c>
      <c r="U105" s="2">
        <v>0.5</v>
      </c>
      <c r="V105" s="2">
        <v>3</v>
      </c>
      <c r="W105" s="2">
        <v>0.186</v>
      </c>
      <c r="X105" s="2">
        <v>5.0999999999999996</v>
      </c>
      <c r="Y105" s="2">
        <v>-1.3</v>
      </c>
      <c r="Z105" s="2">
        <v>3.8</v>
      </c>
      <c r="AA105" s="2">
        <v>1.1000000000000001</v>
      </c>
    </row>
    <row r="106" spans="1:27" x14ac:dyDescent="0.2">
      <c r="A106" t="s">
        <v>486</v>
      </c>
      <c r="B106" s="2">
        <v>32</v>
      </c>
      <c r="C106" t="s">
        <v>54</v>
      </c>
      <c r="D106" s="2" t="s">
        <v>52</v>
      </c>
      <c r="E106" s="2">
        <v>4</v>
      </c>
      <c r="F106" s="2">
        <v>0</v>
      </c>
      <c r="G106" s="2">
        <v>37</v>
      </c>
      <c r="H106" s="2">
        <v>9.4</v>
      </c>
      <c r="I106" s="2">
        <v>0.45100000000000001</v>
      </c>
      <c r="J106" s="2">
        <v>0.64300000000000002</v>
      </c>
      <c r="K106" s="2">
        <v>0.42899999999999999</v>
      </c>
      <c r="L106" s="2">
        <v>0</v>
      </c>
      <c r="M106" s="2">
        <v>14.7</v>
      </c>
      <c r="N106" s="2">
        <v>7.5</v>
      </c>
      <c r="O106" s="2">
        <v>18.899999999999999</v>
      </c>
      <c r="P106" s="2">
        <v>2.7</v>
      </c>
      <c r="Q106" s="2">
        <v>0</v>
      </c>
      <c r="R106" s="2">
        <v>15.3</v>
      </c>
      <c r="S106" s="2">
        <v>23.4</v>
      </c>
      <c r="T106" s="2">
        <v>-0.1</v>
      </c>
      <c r="U106" s="2">
        <v>0</v>
      </c>
      <c r="V106" s="2">
        <v>0</v>
      </c>
      <c r="W106" s="2">
        <v>-3.2000000000000001E-2</v>
      </c>
      <c r="X106" s="2">
        <v>-4.8</v>
      </c>
      <c r="Y106" s="2">
        <v>0.6</v>
      </c>
      <c r="Z106" s="2">
        <v>-4.0999999999999996</v>
      </c>
      <c r="AA106" s="2">
        <v>0</v>
      </c>
    </row>
    <row r="107" spans="1:27" x14ac:dyDescent="0.2">
      <c r="A107" t="s">
        <v>155</v>
      </c>
      <c r="B107" s="2">
        <v>26</v>
      </c>
      <c r="C107" t="s">
        <v>63</v>
      </c>
      <c r="D107" s="2" t="s">
        <v>42</v>
      </c>
      <c r="E107" s="2">
        <v>24</v>
      </c>
      <c r="F107" s="2">
        <v>12</v>
      </c>
      <c r="G107" s="2">
        <v>500</v>
      </c>
      <c r="H107" s="2">
        <v>26.4</v>
      </c>
      <c r="I107" s="4">
        <v>0.74299999999999999</v>
      </c>
      <c r="J107" s="2">
        <v>0</v>
      </c>
      <c r="K107" s="2">
        <v>0.39500000000000002</v>
      </c>
      <c r="L107" s="2">
        <v>14.5</v>
      </c>
      <c r="M107" s="2">
        <v>18.399999999999999</v>
      </c>
      <c r="N107" s="2">
        <v>16.5</v>
      </c>
      <c r="O107" s="2">
        <v>9.3000000000000007</v>
      </c>
      <c r="P107" s="2">
        <v>1.3</v>
      </c>
      <c r="Q107" s="2">
        <v>5.4</v>
      </c>
      <c r="R107" s="2">
        <v>9.8000000000000007</v>
      </c>
      <c r="S107" s="2">
        <v>18.899999999999999</v>
      </c>
      <c r="T107" s="2">
        <v>2.2000000000000002</v>
      </c>
      <c r="U107" s="2">
        <v>0.7</v>
      </c>
      <c r="V107" s="2">
        <v>2.9</v>
      </c>
      <c r="W107" s="2">
        <v>0.28100000000000003</v>
      </c>
      <c r="X107" s="2">
        <v>4.0999999999999996</v>
      </c>
      <c r="Y107" s="2">
        <v>0.8</v>
      </c>
      <c r="Z107" s="2">
        <v>5</v>
      </c>
      <c r="AA107" s="2">
        <v>0.9</v>
      </c>
    </row>
    <row r="108" spans="1:27" x14ac:dyDescent="0.2">
      <c r="A108" t="s">
        <v>380</v>
      </c>
      <c r="B108" s="2">
        <v>32</v>
      </c>
      <c r="C108" t="s">
        <v>117</v>
      </c>
      <c r="D108" s="2" t="s">
        <v>42</v>
      </c>
      <c r="E108" s="2">
        <v>18</v>
      </c>
      <c r="F108" s="2">
        <v>7</v>
      </c>
      <c r="G108" s="2">
        <v>257</v>
      </c>
      <c r="H108" s="2">
        <v>10.4</v>
      </c>
      <c r="I108" s="2">
        <v>0.52100000000000002</v>
      </c>
      <c r="J108" s="2">
        <v>0.32200000000000001</v>
      </c>
      <c r="K108" s="2">
        <v>0.20300000000000001</v>
      </c>
      <c r="L108" s="2">
        <v>5.2</v>
      </c>
      <c r="M108" s="2">
        <v>20.7</v>
      </c>
      <c r="N108" s="2">
        <v>12.6</v>
      </c>
      <c r="O108" s="2">
        <v>12.6</v>
      </c>
      <c r="P108" s="2">
        <v>1.1000000000000001</v>
      </c>
      <c r="Q108" s="2">
        <v>4</v>
      </c>
      <c r="R108" s="2">
        <v>15.7</v>
      </c>
      <c r="S108" s="2">
        <v>12.6</v>
      </c>
      <c r="T108" s="2">
        <v>0.1</v>
      </c>
      <c r="U108" s="2">
        <v>0.1</v>
      </c>
      <c r="V108" s="2">
        <v>0.2</v>
      </c>
      <c r="W108" s="2">
        <v>3.9E-2</v>
      </c>
      <c r="X108" s="2">
        <v>-4.3</v>
      </c>
      <c r="Y108" s="2">
        <v>-0.1</v>
      </c>
      <c r="Z108" s="2">
        <v>-4.3</v>
      </c>
      <c r="AA108" s="2">
        <v>-0.2</v>
      </c>
    </row>
    <row r="109" spans="1:27" x14ac:dyDescent="0.2">
      <c r="A109" t="s">
        <v>560</v>
      </c>
      <c r="B109" s="2">
        <v>23</v>
      </c>
      <c r="C109" t="s">
        <v>75</v>
      </c>
      <c r="D109" s="2" t="s">
        <v>33</v>
      </c>
      <c r="E109" s="2">
        <v>2</v>
      </c>
      <c r="F109" s="2">
        <v>0</v>
      </c>
      <c r="G109" s="2">
        <v>5</v>
      </c>
      <c r="H109" s="2">
        <v>-18</v>
      </c>
      <c r="I109" s="2">
        <v>0</v>
      </c>
      <c r="J109" s="2">
        <v>1</v>
      </c>
      <c r="K109" s="2">
        <v>0</v>
      </c>
      <c r="L109" s="2">
        <v>0</v>
      </c>
      <c r="M109" s="2">
        <v>0</v>
      </c>
      <c r="N109" s="2">
        <v>0</v>
      </c>
      <c r="O109" s="2">
        <v>0</v>
      </c>
      <c r="P109" s="2">
        <v>0</v>
      </c>
      <c r="Q109" s="2">
        <v>0</v>
      </c>
      <c r="R109" s="2">
        <v>0</v>
      </c>
      <c r="S109" s="2">
        <v>17.100000000000001</v>
      </c>
      <c r="T109" s="2">
        <v>0</v>
      </c>
      <c r="U109" s="2">
        <v>0</v>
      </c>
      <c r="V109" s="2">
        <v>0</v>
      </c>
      <c r="W109" s="2">
        <v>-0.40400000000000003</v>
      </c>
      <c r="X109" s="2">
        <v>-21.3</v>
      </c>
      <c r="Y109" s="2">
        <v>-7.5</v>
      </c>
      <c r="Z109" s="2">
        <v>-28.8</v>
      </c>
      <c r="AA109" s="2">
        <v>0</v>
      </c>
    </row>
    <row r="110" spans="1:27" x14ac:dyDescent="0.2">
      <c r="A110" t="s">
        <v>431</v>
      </c>
      <c r="B110" s="2">
        <v>27</v>
      </c>
      <c r="C110" t="s">
        <v>59</v>
      </c>
      <c r="D110" s="2" t="s">
        <v>52</v>
      </c>
      <c r="E110" s="2">
        <v>3</v>
      </c>
      <c r="F110" s="2">
        <v>0</v>
      </c>
      <c r="G110" s="2">
        <v>61</v>
      </c>
      <c r="H110" s="2">
        <v>20.2</v>
      </c>
      <c r="I110" s="2">
        <v>0.79</v>
      </c>
      <c r="J110" s="2">
        <v>0.5</v>
      </c>
      <c r="K110" s="2">
        <v>0.1</v>
      </c>
      <c r="L110" s="2">
        <v>5.2</v>
      </c>
      <c r="M110" s="2">
        <v>15.1</v>
      </c>
      <c r="N110" s="2">
        <v>10</v>
      </c>
      <c r="O110" s="2">
        <v>8.5</v>
      </c>
      <c r="P110" s="2">
        <v>0.8</v>
      </c>
      <c r="Q110" s="2">
        <v>1.7</v>
      </c>
      <c r="R110" s="2">
        <v>8.6999999999999993</v>
      </c>
      <c r="S110" s="2">
        <v>15.9</v>
      </c>
      <c r="T110" s="2">
        <v>0.2</v>
      </c>
      <c r="U110" s="2">
        <v>0</v>
      </c>
      <c r="V110" s="2">
        <v>0.2</v>
      </c>
      <c r="W110" s="2">
        <v>0.184</v>
      </c>
      <c r="X110" s="2">
        <v>4.7</v>
      </c>
      <c r="Y110" s="2">
        <v>-0.2</v>
      </c>
      <c r="Z110" s="2">
        <v>4.5</v>
      </c>
      <c r="AA110" s="2">
        <v>0.1</v>
      </c>
    </row>
    <row r="111" spans="1:27" x14ac:dyDescent="0.2">
      <c r="A111" t="s">
        <v>429</v>
      </c>
      <c r="B111" s="2">
        <v>30</v>
      </c>
      <c r="C111" t="s">
        <v>46</v>
      </c>
      <c r="D111" s="2" t="s">
        <v>42</v>
      </c>
      <c r="E111" s="2">
        <v>10</v>
      </c>
      <c r="F111" s="2">
        <v>3</v>
      </c>
      <c r="G111" s="2">
        <v>136</v>
      </c>
      <c r="H111" s="2">
        <v>5.3</v>
      </c>
      <c r="I111" s="2">
        <v>0.39900000000000002</v>
      </c>
      <c r="J111" s="2">
        <v>0.47499999999999998</v>
      </c>
      <c r="K111" s="2">
        <v>0.15</v>
      </c>
      <c r="L111" s="2">
        <v>7.4</v>
      </c>
      <c r="M111" s="2">
        <v>20.3</v>
      </c>
      <c r="N111" s="2">
        <v>14</v>
      </c>
      <c r="O111" s="2">
        <v>9.9</v>
      </c>
      <c r="P111" s="2">
        <v>2.1</v>
      </c>
      <c r="Q111" s="2">
        <v>0</v>
      </c>
      <c r="R111" s="2">
        <v>20.5</v>
      </c>
      <c r="S111" s="2">
        <v>16.600000000000001</v>
      </c>
      <c r="T111" s="2">
        <v>-0.3</v>
      </c>
      <c r="U111" s="2">
        <v>0.1</v>
      </c>
      <c r="V111" s="2">
        <v>-0.1</v>
      </c>
      <c r="W111" s="2">
        <v>-4.4999999999999998E-2</v>
      </c>
      <c r="X111" s="2">
        <v>-6.4</v>
      </c>
      <c r="Y111" s="2">
        <v>-0.9</v>
      </c>
      <c r="Z111" s="2">
        <v>-7.3</v>
      </c>
      <c r="AA111" s="2">
        <v>-0.2</v>
      </c>
    </row>
    <row r="112" spans="1:27" x14ac:dyDescent="0.2">
      <c r="A112" t="s">
        <v>476</v>
      </c>
      <c r="B112" s="2">
        <v>20</v>
      </c>
      <c r="C112" t="s">
        <v>103</v>
      </c>
      <c r="D112" s="2" t="s">
        <v>49</v>
      </c>
      <c r="E112" s="2">
        <v>3</v>
      </c>
      <c r="F112" s="2">
        <v>0</v>
      </c>
      <c r="G112" s="2">
        <v>26</v>
      </c>
      <c r="H112" s="2">
        <v>21.8</v>
      </c>
      <c r="I112" s="2">
        <v>0.81799999999999995</v>
      </c>
      <c r="J112" s="2">
        <v>0.90900000000000003</v>
      </c>
      <c r="K112" s="2">
        <v>0</v>
      </c>
      <c r="L112" s="2">
        <v>0</v>
      </c>
      <c r="M112" s="2">
        <v>14.3</v>
      </c>
      <c r="N112" s="2">
        <v>6.9</v>
      </c>
      <c r="O112" s="2">
        <v>6.7</v>
      </c>
      <c r="P112" s="2">
        <v>3.8</v>
      </c>
      <c r="Q112" s="2">
        <v>3.9</v>
      </c>
      <c r="R112" s="2">
        <v>21.4</v>
      </c>
      <c r="S112" s="2">
        <v>24.1</v>
      </c>
      <c r="T112" s="2">
        <v>0</v>
      </c>
      <c r="U112" s="2">
        <v>0</v>
      </c>
      <c r="V112" s="2">
        <v>0</v>
      </c>
      <c r="W112" s="2">
        <v>7.9000000000000001E-2</v>
      </c>
      <c r="X112" s="2">
        <v>5.8</v>
      </c>
      <c r="Y112" s="2">
        <v>1.8</v>
      </c>
      <c r="Z112" s="2">
        <v>7.5</v>
      </c>
      <c r="AA112" s="2">
        <v>0.1</v>
      </c>
    </row>
    <row r="113" spans="1:27" x14ac:dyDescent="0.2">
      <c r="A113" t="s">
        <v>83</v>
      </c>
      <c r="B113" s="2">
        <v>25</v>
      </c>
      <c r="C113" t="s">
        <v>57</v>
      </c>
      <c r="D113" s="2" t="s">
        <v>33</v>
      </c>
      <c r="E113" s="2">
        <v>24</v>
      </c>
      <c r="F113" s="2">
        <v>24</v>
      </c>
      <c r="G113" s="2">
        <v>728</v>
      </c>
      <c r="H113" s="2">
        <v>20.6</v>
      </c>
      <c r="I113" s="2">
        <v>0.621</v>
      </c>
      <c r="J113" s="2">
        <v>0.44700000000000001</v>
      </c>
      <c r="K113" s="2">
        <v>0.19500000000000001</v>
      </c>
      <c r="L113" s="2">
        <v>1.9</v>
      </c>
      <c r="M113" s="2">
        <v>6.8</v>
      </c>
      <c r="N113" s="2">
        <v>4.4000000000000004</v>
      </c>
      <c r="O113" s="2">
        <v>30.8</v>
      </c>
      <c r="P113" s="2">
        <v>1.5</v>
      </c>
      <c r="Q113" s="2">
        <v>0.8</v>
      </c>
      <c r="R113" s="2">
        <v>12</v>
      </c>
      <c r="S113" s="2">
        <v>26.8</v>
      </c>
      <c r="T113" s="2">
        <v>2.2000000000000002</v>
      </c>
      <c r="U113" s="2">
        <v>0.6</v>
      </c>
      <c r="V113" s="2">
        <v>2.8</v>
      </c>
      <c r="W113" s="2">
        <v>0.183</v>
      </c>
      <c r="X113" s="2">
        <v>3.8</v>
      </c>
      <c r="Y113" s="2">
        <v>-1.2</v>
      </c>
      <c r="Z113" s="2">
        <v>2.7</v>
      </c>
      <c r="AA113" s="2">
        <v>0.9</v>
      </c>
    </row>
    <row r="114" spans="1:27" x14ac:dyDescent="0.2">
      <c r="A114" t="s">
        <v>535</v>
      </c>
      <c r="B114" s="2">
        <v>25</v>
      </c>
      <c r="C114" t="s">
        <v>93</v>
      </c>
      <c r="D114" s="2" t="s">
        <v>52</v>
      </c>
      <c r="E114" s="2">
        <v>1</v>
      </c>
      <c r="F114" s="2">
        <v>0</v>
      </c>
      <c r="G114" s="2">
        <v>8</v>
      </c>
      <c r="H114" s="2">
        <v>3.1</v>
      </c>
      <c r="I114" s="2">
        <v>0.307</v>
      </c>
      <c r="J114" s="2">
        <v>0.25</v>
      </c>
      <c r="K114" s="2">
        <v>0.5</v>
      </c>
      <c r="L114" s="2">
        <v>0</v>
      </c>
      <c r="M114" s="2">
        <v>0</v>
      </c>
      <c r="N114" s="2">
        <v>0</v>
      </c>
      <c r="O114" s="2">
        <v>35.700000000000003</v>
      </c>
      <c r="P114" s="2">
        <v>0</v>
      </c>
      <c r="Q114" s="2">
        <v>0</v>
      </c>
      <c r="R114" s="2">
        <v>0</v>
      </c>
      <c r="S114" s="2">
        <v>26.1</v>
      </c>
      <c r="T114" s="2">
        <v>0</v>
      </c>
      <c r="U114" s="2">
        <v>0</v>
      </c>
      <c r="V114" s="2">
        <v>0</v>
      </c>
      <c r="W114" s="2">
        <v>-0.11700000000000001</v>
      </c>
      <c r="X114" s="2">
        <v>-6.6</v>
      </c>
      <c r="Y114" s="2">
        <v>-5</v>
      </c>
      <c r="Z114" s="2">
        <v>-11.6</v>
      </c>
      <c r="AA114" s="2">
        <v>0</v>
      </c>
    </row>
    <row r="115" spans="1:27" x14ac:dyDescent="0.2">
      <c r="A115" t="s">
        <v>370</v>
      </c>
      <c r="B115" s="2">
        <v>23</v>
      </c>
      <c r="C115" t="s">
        <v>72</v>
      </c>
      <c r="D115" s="2" t="s">
        <v>27</v>
      </c>
      <c r="E115" s="2">
        <v>14</v>
      </c>
      <c r="F115" s="2">
        <v>1</v>
      </c>
      <c r="G115" s="2">
        <v>204</v>
      </c>
      <c r="H115" s="2">
        <v>12.8</v>
      </c>
      <c r="I115" s="2">
        <v>0.69799999999999995</v>
      </c>
      <c r="J115" s="2">
        <v>0.5</v>
      </c>
      <c r="K115" s="2">
        <v>0.27100000000000002</v>
      </c>
      <c r="L115" s="2">
        <v>2</v>
      </c>
      <c r="M115" s="2">
        <v>19.100000000000001</v>
      </c>
      <c r="N115" s="2">
        <v>10.4</v>
      </c>
      <c r="O115" s="2">
        <v>12.3</v>
      </c>
      <c r="P115" s="2">
        <v>1.4</v>
      </c>
      <c r="Q115" s="2">
        <v>1.4</v>
      </c>
      <c r="R115" s="2">
        <v>19.5</v>
      </c>
      <c r="S115" s="2">
        <v>13.2</v>
      </c>
      <c r="T115" s="2">
        <v>0.2</v>
      </c>
      <c r="U115" s="2">
        <v>0.2</v>
      </c>
      <c r="V115" s="2">
        <v>0.4</v>
      </c>
      <c r="W115" s="2">
        <v>9.2999999999999999E-2</v>
      </c>
      <c r="X115" s="2">
        <v>-0.8</v>
      </c>
      <c r="Y115" s="2">
        <v>0.1</v>
      </c>
      <c r="Z115" s="2">
        <v>-0.7</v>
      </c>
      <c r="AA115" s="2">
        <v>0.1</v>
      </c>
    </row>
    <row r="116" spans="1:27" x14ac:dyDescent="0.2">
      <c r="A116" t="s">
        <v>249</v>
      </c>
      <c r="B116" s="2">
        <v>26</v>
      </c>
      <c r="C116" t="s">
        <v>66</v>
      </c>
      <c r="D116" s="2" t="s">
        <v>33</v>
      </c>
      <c r="E116" s="2">
        <v>26</v>
      </c>
      <c r="F116" s="2">
        <v>13</v>
      </c>
      <c r="G116" s="2">
        <v>707</v>
      </c>
      <c r="H116" s="2">
        <v>7.5</v>
      </c>
      <c r="I116" s="2">
        <v>0.48699999999999999</v>
      </c>
      <c r="J116" s="2">
        <v>0.47899999999999998</v>
      </c>
      <c r="K116" s="2">
        <v>0.183</v>
      </c>
      <c r="L116" s="2">
        <v>2.1</v>
      </c>
      <c r="M116" s="2">
        <v>7.2</v>
      </c>
      <c r="N116" s="2">
        <v>4.5999999999999996</v>
      </c>
      <c r="O116" s="2">
        <v>24.2</v>
      </c>
      <c r="P116" s="2">
        <v>1.5</v>
      </c>
      <c r="Q116" s="2">
        <v>0.8</v>
      </c>
      <c r="R116" s="2">
        <v>21.5</v>
      </c>
      <c r="S116" s="2">
        <v>13.7</v>
      </c>
      <c r="T116" s="2">
        <v>-0.1</v>
      </c>
      <c r="U116" s="2">
        <v>0.2</v>
      </c>
      <c r="V116" s="2">
        <v>0.1</v>
      </c>
      <c r="W116" s="2">
        <v>8.0000000000000002E-3</v>
      </c>
      <c r="X116" s="2">
        <v>-4.2</v>
      </c>
      <c r="Y116" s="2">
        <v>-0.6</v>
      </c>
      <c r="Z116" s="2">
        <v>-4.8</v>
      </c>
      <c r="AA116" s="2">
        <v>-0.5</v>
      </c>
    </row>
    <row r="117" spans="1:27" x14ac:dyDescent="0.2">
      <c r="A117" t="s">
        <v>488</v>
      </c>
      <c r="B117" s="2">
        <v>23</v>
      </c>
      <c r="C117" t="s">
        <v>103</v>
      </c>
      <c r="D117" s="2" t="s">
        <v>42</v>
      </c>
      <c r="E117" s="2">
        <v>3</v>
      </c>
      <c r="F117" s="2">
        <v>0</v>
      </c>
      <c r="G117" s="2">
        <v>44</v>
      </c>
      <c r="H117" s="2">
        <v>17.100000000000001</v>
      </c>
      <c r="I117" s="2">
        <v>0.55000000000000004</v>
      </c>
      <c r="J117" s="2">
        <v>0.182</v>
      </c>
      <c r="K117" s="2">
        <v>0.54500000000000004</v>
      </c>
      <c r="L117" s="2">
        <v>10.6</v>
      </c>
      <c r="M117" s="2">
        <v>14.1</v>
      </c>
      <c r="N117" s="2">
        <v>12.3</v>
      </c>
      <c r="O117" s="2">
        <v>9.6</v>
      </c>
      <c r="P117" s="2">
        <v>4.5</v>
      </c>
      <c r="Q117" s="2">
        <v>2.2999999999999998</v>
      </c>
      <c r="R117" s="2">
        <v>6.8</v>
      </c>
      <c r="S117" s="2">
        <v>14.9</v>
      </c>
      <c r="T117" s="2">
        <v>0.1</v>
      </c>
      <c r="U117" s="2">
        <v>0.1</v>
      </c>
      <c r="V117" s="2">
        <v>0.2</v>
      </c>
      <c r="W117" s="2">
        <v>0.16900000000000001</v>
      </c>
      <c r="X117" s="2">
        <v>-1.2</v>
      </c>
      <c r="Y117" s="2">
        <v>1.9</v>
      </c>
      <c r="Z117" s="2">
        <v>0.7</v>
      </c>
      <c r="AA117" s="2">
        <v>0</v>
      </c>
    </row>
    <row r="118" spans="1:27" x14ac:dyDescent="0.2">
      <c r="A118" t="s">
        <v>36</v>
      </c>
      <c r="B118" s="2">
        <v>27</v>
      </c>
      <c r="C118" t="s">
        <v>37</v>
      </c>
      <c r="D118" s="2" t="s">
        <v>33</v>
      </c>
      <c r="E118" s="2">
        <v>26</v>
      </c>
      <c r="F118" s="2">
        <v>26</v>
      </c>
      <c r="G118" s="4">
        <v>968</v>
      </c>
      <c r="H118" s="2">
        <v>19.899999999999999</v>
      </c>
      <c r="I118" s="2">
        <v>0.57699999999999996</v>
      </c>
      <c r="J118" s="2">
        <v>0.313</v>
      </c>
      <c r="K118" s="2">
        <v>0.29199999999999998</v>
      </c>
      <c r="L118" s="2">
        <v>3.7</v>
      </c>
      <c r="M118" s="2">
        <v>11.7</v>
      </c>
      <c r="N118" s="2">
        <v>7.8</v>
      </c>
      <c r="O118" s="2">
        <v>26.4</v>
      </c>
      <c r="P118" s="2">
        <v>2.2000000000000002</v>
      </c>
      <c r="Q118" s="2">
        <v>0.7</v>
      </c>
      <c r="R118" s="2">
        <v>13.4</v>
      </c>
      <c r="S118" s="2">
        <v>30.3</v>
      </c>
      <c r="T118" s="2">
        <v>1.4</v>
      </c>
      <c r="U118" s="2">
        <v>0.9</v>
      </c>
      <c r="V118" s="2">
        <v>2.2999999999999998</v>
      </c>
      <c r="W118" s="2">
        <v>0.11600000000000001</v>
      </c>
      <c r="X118" s="2">
        <v>2.4</v>
      </c>
      <c r="Y118" s="2">
        <v>-1.1000000000000001</v>
      </c>
      <c r="Z118" s="2">
        <v>1.3</v>
      </c>
      <c r="AA118" s="2">
        <v>0.8</v>
      </c>
    </row>
    <row r="119" spans="1:27" x14ac:dyDescent="0.2">
      <c r="A119" t="s">
        <v>160</v>
      </c>
      <c r="B119" s="2">
        <v>27</v>
      </c>
      <c r="C119" t="s">
        <v>72</v>
      </c>
      <c r="D119" s="2" t="s">
        <v>49</v>
      </c>
      <c r="E119" s="2">
        <v>15</v>
      </c>
      <c r="F119" s="2">
        <v>2</v>
      </c>
      <c r="G119" s="2">
        <v>417</v>
      </c>
      <c r="H119" s="2">
        <v>17.7</v>
      </c>
      <c r="I119" s="2">
        <v>0.63800000000000001</v>
      </c>
      <c r="J119" s="2">
        <v>0.45800000000000002</v>
      </c>
      <c r="K119" s="2">
        <v>0.33300000000000002</v>
      </c>
      <c r="L119" s="2">
        <v>2.2000000000000002</v>
      </c>
      <c r="M119" s="2">
        <v>12.5</v>
      </c>
      <c r="N119" s="2">
        <v>7.2</v>
      </c>
      <c r="O119" s="2">
        <v>6.5</v>
      </c>
      <c r="P119" s="2">
        <v>1.3</v>
      </c>
      <c r="Q119" s="2">
        <v>0.5</v>
      </c>
      <c r="R119" s="2">
        <v>6.9</v>
      </c>
      <c r="S119" s="2">
        <v>23.9</v>
      </c>
      <c r="T119" s="2">
        <v>1</v>
      </c>
      <c r="U119" s="2">
        <v>0.2</v>
      </c>
      <c r="V119" s="2">
        <v>1.2</v>
      </c>
      <c r="W119" s="2">
        <v>0.13800000000000001</v>
      </c>
      <c r="X119" s="2">
        <v>2.1</v>
      </c>
      <c r="Y119" s="2">
        <v>-1.2</v>
      </c>
      <c r="Z119" s="2">
        <v>1</v>
      </c>
      <c r="AA119" s="2">
        <v>0.3</v>
      </c>
    </row>
    <row r="120" spans="1:27" x14ac:dyDescent="0.2">
      <c r="A120" t="s">
        <v>389</v>
      </c>
      <c r="B120" s="2">
        <v>26</v>
      </c>
      <c r="C120" t="s">
        <v>100</v>
      </c>
      <c r="D120" s="2" t="s">
        <v>52</v>
      </c>
      <c r="E120" s="2">
        <v>6</v>
      </c>
      <c r="F120" s="2">
        <v>2</v>
      </c>
      <c r="G120" s="2">
        <v>121</v>
      </c>
      <c r="H120" s="2">
        <v>13.5</v>
      </c>
      <c r="I120" s="2">
        <v>0.53900000000000003</v>
      </c>
      <c r="J120" s="2">
        <v>0.64800000000000002</v>
      </c>
      <c r="K120" s="2">
        <v>0.14799999999999999</v>
      </c>
      <c r="L120" s="2">
        <v>5</v>
      </c>
      <c r="M120" s="2">
        <v>12.1</v>
      </c>
      <c r="N120" s="2">
        <v>8.5</v>
      </c>
      <c r="O120" s="2">
        <v>20.6</v>
      </c>
      <c r="P120" s="2">
        <v>2.8</v>
      </c>
      <c r="Q120" s="2">
        <v>1.6</v>
      </c>
      <c r="R120" s="2">
        <v>14.8</v>
      </c>
      <c r="S120" s="2">
        <v>23.2</v>
      </c>
      <c r="T120" s="2">
        <v>0</v>
      </c>
      <c r="U120" s="2">
        <v>0.2</v>
      </c>
      <c r="V120" s="2">
        <v>0.2</v>
      </c>
      <c r="W120" s="2">
        <v>9.5000000000000001E-2</v>
      </c>
      <c r="X120" s="2">
        <v>-1.4</v>
      </c>
      <c r="Y120" s="2">
        <v>0.7</v>
      </c>
      <c r="Z120" s="2">
        <v>-0.8</v>
      </c>
      <c r="AA120" s="2">
        <v>0</v>
      </c>
    </row>
    <row r="121" spans="1:27" x14ac:dyDescent="0.2">
      <c r="A121" t="s">
        <v>348</v>
      </c>
      <c r="B121" s="2">
        <v>28</v>
      </c>
      <c r="C121" t="s">
        <v>57</v>
      </c>
      <c r="D121" s="2" t="s">
        <v>27</v>
      </c>
      <c r="E121" s="2">
        <v>17</v>
      </c>
      <c r="F121" s="2">
        <v>9</v>
      </c>
      <c r="G121" s="2">
        <v>376</v>
      </c>
      <c r="H121" s="2">
        <v>10.199999999999999</v>
      </c>
      <c r="I121" s="2">
        <v>0.498</v>
      </c>
      <c r="J121" s="2">
        <v>0.84899999999999998</v>
      </c>
      <c r="K121" s="2">
        <v>0.221</v>
      </c>
      <c r="L121" s="2">
        <v>3.4</v>
      </c>
      <c r="M121" s="2">
        <v>19.100000000000001</v>
      </c>
      <c r="N121" s="2">
        <v>11.5</v>
      </c>
      <c r="O121" s="2">
        <v>7.8</v>
      </c>
      <c r="P121" s="2">
        <v>2.2999999999999998</v>
      </c>
      <c r="Q121" s="2">
        <v>1.5</v>
      </c>
      <c r="R121" s="2">
        <v>5</v>
      </c>
      <c r="S121" s="2">
        <v>11.4</v>
      </c>
      <c r="T121" s="2">
        <v>0.2</v>
      </c>
      <c r="U121" s="2">
        <v>0.6</v>
      </c>
      <c r="V121" s="2">
        <v>0.8</v>
      </c>
      <c r="W121" s="2">
        <v>9.6000000000000002E-2</v>
      </c>
      <c r="X121" s="2">
        <v>-1.1000000000000001</v>
      </c>
      <c r="Y121" s="2">
        <v>1.4</v>
      </c>
      <c r="Z121" s="2">
        <v>0.3</v>
      </c>
      <c r="AA121" s="2">
        <v>0.2</v>
      </c>
    </row>
    <row r="122" spans="1:27" x14ac:dyDescent="0.2">
      <c r="A122" t="s">
        <v>199</v>
      </c>
      <c r="B122" s="2">
        <v>26</v>
      </c>
      <c r="C122" t="s">
        <v>135</v>
      </c>
      <c r="D122" s="2" t="s">
        <v>42</v>
      </c>
      <c r="E122" s="2">
        <v>17</v>
      </c>
      <c r="F122" s="2">
        <v>17</v>
      </c>
      <c r="G122" s="2">
        <v>513</v>
      </c>
      <c r="H122" s="2">
        <v>16.5</v>
      </c>
      <c r="I122" s="2">
        <v>0.57299999999999995</v>
      </c>
      <c r="J122" s="2">
        <v>9.4E-2</v>
      </c>
      <c r="K122" s="2">
        <v>0.104</v>
      </c>
      <c r="L122" s="2">
        <v>9.6999999999999993</v>
      </c>
      <c r="M122" s="2">
        <v>27.1</v>
      </c>
      <c r="N122" s="2">
        <v>18</v>
      </c>
      <c r="O122" s="2">
        <v>6.9</v>
      </c>
      <c r="P122" s="2">
        <v>1.4</v>
      </c>
      <c r="Q122" s="2">
        <v>2.4</v>
      </c>
      <c r="R122" s="2">
        <v>12.8</v>
      </c>
      <c r="S122" s="2">
        <v>19.5</v>
      </c>
      <c r="T122" s="2">
        <v>0.3</v>
      </c>
      <c r="U122" s="2">
        <v>0.5</v>
      </c>
      <c r="V122" s="2">
        <v>0.8</v>
      </c>
      <c r="W122" s="2">
        <v>7.9000000000000001E-2</v>
      </c>
      <c r="X122" s="2">
        <v>-1</v>
      </c>
      <c r="Y122" s="2">
        <v>-1.4</v>
      </c>
      <c r="Z122" s="2">
        <v>-2.5</v>
      </c>
      <c r="AA122" s="2">
        <v>-0.1</v>
      </c>
    </row>
    <row r="123" spans="1:27" x14ac:dyDescent="0.2">
      <c r="A123" t="s">
        <v>449</v>
      </c>
      <c r="B123" s="2">
        <v>36</v>
      </c>
      <c r="C123" t="s">
        <v>46</v>
      </c>
      <c r="D123" s="2" t="s">
        <v>42</v>
      </c>
      <c r="E123" s="2">
        <v>10</v>
      </c>
      <c r="F123" s="2">
        <v>0</v>
      </c>
      <c r="G123" s="2">
        <v>98</v>
      </c>
      <c r="H123" s="2">
        <v>9.1</v>
      </c>
      <c r="I123" s="2">
        <v>0.53</v>
      </c>
      <c r="J123" s="2">
        <v>0</v>
      </c>
      <c r="K123" s="2">
        <v>0.38100000000000001</v>
      </c>
      <c r="L123" s="2">
        <v>12.6</v>
      </c>
      <c r="M123" s="2">
        <v>23.8</v>
      </c>
      <c r="N123" s="2">
        <v>18.3</v>
      </c>
      <c r="O123" s="2">
        <v>10.4</v>
      </c>
      <c r="P123" s="2">
        <v>1</v>
      </c>
      <c r="Q123" s="2">
        <v>1.8</v>
      </c>
      <c r="R123" s="2">
        <v>29</v>
      </c>
      <c r="S123" s="2">
        <v>14.8</v>
      </c>
      <c r="T123" s="2">
        <v>-0.1</v>
      </c>
      <c r="U123" s="2">
        <v>0.1</v>
      </c>
      <c r="V123" s="2">
        <v>0</v>
      </c>
      <c r="W123" s="2">
        <v>5.0000000000000001E-3</v>
      </c>
      <c r="X123" s="2">
        <v>-5.2</v>
      </c>
      <c r="Y123" s="2">
        <v>-1.1000000000000001</v>
      </c>
      <c r="Z123" s="2">
        <v>-6.3</v>
      </c>
      <c r="AA123" s="2">
        <v>-0.1</v>
      </c>
    </row>
    <row r="124" spans="1:27" x14ac:dyDescent="0.2">
      <c r="A124" t="s">
        <v>285</v>
      </c>
      <c r="B124" s="2">
        <v>28</v>
      </c>
      <c r="C124" t="s">
        <v>117</v>
      </c>
      <c r="D124" s="2" t="s">
        <v>33</v>
      </c>
      <c r="E124" s="2">
        <v>9</v>
      </c>
      <c r="F124" s="2">
        <v>9</v>
      </c>
      <c r="G124" s="2">
        <v>295</v>
      </c>
      <c r="H124" s="2">
        <v>12.5</v>
      </c>
      <c r="I124" s="2">
        <v>0.45100000000000001</v>
      </c>
      <c r="J124" s="2">
        <v>0.36699999999999999</v>
      </c>
      <c r="K124" s="2">
        <v>0.245</v>
      </c>
      <c r="L124" s="2">
        <v>1.1000000000000001</v>
      </c>
      <c r="M124" s="2">
        <v>21.1</v>
      </c>
      <c r="N124" s="2">
        <v>10.6</v>
      </c>
      <c r="O124" s="2">
        <v>32.200000000000003</v>
      </c>
      <c r="P124" s="2">
        <v>3.1</v>
      </c>
      <c r="Q124" s="2">
        <v>1.9</v>
      </c>
      <c r="R124" s="2">
        <v>17.3</v>
      </c>
      <c r="S124" s="2">
        <v>28.3</v>
      </c>
      <c r="T124" s="2">
        <v>-0.6</v>
      </c>
      <c r="U124" s="2">
        <v>0.3</v>
      </c>
      <c r="V124" s="2">
        <v>-0.3</v>
      </c>
      <c r="W124" s="2">
        <v>-4.7E-2</v>
      </c>
      <c r="X124" s="2">
        <v>-3.1</v>
      </c>
      <c r="Y124" s="2">
        <v>-0.1</v>
      </c>
      <c r="Z124" s="2">
        <v>-3.2</v>
      </c>
      <c r="AA124" s="2">
        <v>-0.1</v>
      </c>
    </row>
    <row r="125" spans="1:27" x14ac:dyDescent="0.2">
      <c r="A125" t="s">
        <v>407</v>
      </c>
      <c r="B125" s="2">
        <v>32</v>
      </c>
      <c r="C125" t="s">
        <v>35</v>
      </c>
      <c r="D125" s="2" t="s">
        <v>33</v>
      </c>
      <c r="E125" s="2">
        <v>18</v>
      </c>
      <c r="F125" s="2">
        <v>2</v>
      </c>
      <c r="G125" s="2">
        <v>287</v>
      </c>
      <c r="H125" s="2">
        <v>8</v>
      </c>
      <c r="I125" s="2">
        <v>0.41799999999999998</v>
      </c>
      <c r="J125" s="2">
        <v>0.60399999999999998</v>
      </c>
      <c r="K125" s="2">
        <v>0.189</v>
      </c>
      <c r="L125" s="2">
        <v>4.4000000000000004</v>
      </c>
      <c r="M125" s="2">
        <v>8.1</v>
      </c>
      <c r="N125" s="2">
        <v>6.3</v>
      </c>
      <c r="O125" s="2">
        <v>12.8</v>
      </c>
      <c r="P125" s="2">
        <v>2.2000000000000002</v>
      </c>
      <c r="Q125" s="2">
        <v>1.9</v>
      </c>
      <c r="R125" s="2">
        <v>12.2</v>
      </c>
      <c r="S125" s="2">
        <v>10.1</v>
      </c>
      <c r="T125" s="2">
        <v>0</v>
      </c>
      <c r="U125" s="2">
        <v>0.3</v>
      </c>
      <c r="V125" s="2">
        <v>0.2</v>
      </c>
      <c r="W125" s="2">
        <v>3.7999999999999999E-2</v>
      </c>
      <c r="X125" s="2">
        <v>-3.4</v>
      </c>
      <c r="Y125" s="2">
        <v>0.7</v>
      </c>
      <c r="Z125" s="2">
        <v>-2.6</v>
      </c>
      <c r="AA125" s="2">
        <v>0</v>
      </c>
    </row>
    <row r="126" spans="1:27" x14ac:dyDescent="0.2">
      <c r="A126" t="s">
        <v>88</v>
      </c>
      <c r="B126" s="2">
        <v>35</v>
      </c>
      <c r="C126" t="s">
        <v>37</v>
      </c>
      <c r="D126" s="2" t="s">
        <v>49</v>
      </c>
      <c r="E126" s="2">
        <v>21</v>
      </c>
      <c r="F126" s="2">
        <v>21</v>
      </c>
      <c r="G126" s="2">
        <v>747</v>
      </c>
      <c r="H126" s="2">
        <v>19.8</v>
      </c>
      <c r="I126" s="2">
        <v>0.58599999999999997</v>
      </c>
      <c r="J126" s="2">
        <v>0.13200000000000001</v>
      </c>
      <c r="K126" s="2">
        <v>0.39</v>
      </c>
      <c r="L126" s="2">
        <v>1.5</v>
      </c>
      <c r="M126" s="2">
        <v>10.8</v>
      </c>
      <c r="N126" s="2">
        <v>6.3</v>
      </c>
      <c r="O126" s="2">
        <v>17.3</v>
      </c>
      <c r="P126" s="2">
        <v>2.2000000000000002</v>
      </c>
      <c r="Q126" s="2">
        <v>1.5</v>
      </c>
      <c r="R126" s="2">
        <v>7.9</v>
      </c>
      <c r="S126" s="2">
        <v>25.7</v>
      </c>
      <c r="T126" s="2">
        <v>1.6</v>
      </c>
      <c r="U126" s="2">
        <v>0.7</v>
      </c>
      <c r="V126" s="2">
        <v>2.2999999999999998</v>
      </c>
      <c r="W126" s="2">
        <v>0.14899999999999999</v>
      </c>
      <c r="X126" s="2">
        <v>1.7</v>
      </c>
      <c r="Y126" s="2">
        <v>-0.1</v>
      </c>
      <c r="Z126" s="2">
        <v>1.7</v>
      </c>
      <c r="AA126" s="2">
        <v>0.7</v>
      </c>
    </row>
    <row r="127" spans="1:27" x14ac:dyDescent="0.2">
      <c r="A127" t="s">
        <v>169</v>
      </c>
      <c r="B127" s="2">
        <v>24</v>
      </c>
      <c r="C127" t="s">
        <v>135</v>
      </c>
      <c r="D127" s="2" t="s">
        <v>49</v>
      </c>
      <c r="E127" s="2">
        <v>24</v>
      </c>
      <c r="F127" s="2">
        <v>12</v>
      </c>
      <c r="G127" s="2">
        <v>638</v>
      </c>
      <c r="H127" s="2">
        <v>14.3</v>
      </c>
      <c r="I127" s="2">
        <v>0.54500000000000004</v>
      </c>
      <c r="J127" s="2">
        <v>0.41399999999999998</v>
      </c>
      <c r="K127" s="2">
        <v>0.38300000000000001</v>
      </c>
      <c r="L127" s="2">
        <v>4.9000000000000004</v>
      </c>
      <c r="M127" s="2">
        <v>19.600000000000001</v>
      </c>
      <c r="N127" s="2">
        <v>11.9</v>
      </c>
      <c r="O127" s="2">
        <v>17.399999999999999</v>
      </c>
      <c r="P127" s="2">
        <v>1.8</v>
      </c>
      <c r="Q127" s="2">
        <v>2.8</v>
      </c>
      <c r="R127" s="2">
        <v>15.6</v>
      </c>
      <c r="S127" s="2">
        <v>19.899999999999999</v>
      </c>
      <c r="T127" s="2">
        <v>0.3</v>
      </c>
      <c r="U127" s="2">
        <v>0.6</v>
      </c>
      <c r="V127" s="2">
        <v>0.9</v>
      </c>
      <c r="W127" s="2">
        <v>6.8000000000000005E-2</v>
      </c>
      <c r="X127" s="2">
        <v>-0.4</v>
      </c>
      <c r="Y127" s="2">
        <v>0.2</v>
      </c>
      <c r="Z127" s="2">
        <v>-0.2</v>
      </c>
      <c r="AA127" s="2">
        <v>0.3</v>
      </c>
    </row>
    <row r="128" spans="1:27" x14ac:dyDescent="0.2">
      <c r="A128" t="s">
        <v>112</v>
      </c>
      <c r="B128" s="2">
        <v>31</v>
      </c>
      <c r="C128" t="s">
        <v>103</v>
      </c>
      <c r="D128" s="2" t="s">
        <v>33</v>
      </c>
      <c r="E128" s="2">
        <v>22</v>
      </c>
      <c r="F128" s="2">
        <v>22</v>
      </c>
      <c r="G128" s="2">
        <v>746</v>
      </c>
      <c r="H128" s="2">
        <v>16.399999999999999</v>
      </c>
      <c r="I128" s="2">
        <v>0.58299999999999996</v>
      </c>
      <c r="J128" s="2">
        <v>0.45400000000000001</v>
      </c>
      <c r="K128" s="2">
        <v>0.25700000000000001</v>
      </c>
      <c r="L128" s="2">
        <v>0.6</v>
      </c>
      <c r="M128" s="2">
        <v>10.199999999999999</v>
      </c>
      <c r="N128" s="2">
        <v>5.2</v>
      </c>
      <c r="O128" s="2">
        <v>31.5</v>
      </c>
      <c r="P128" s="2">
        <v>1.7</v>
      </c>
      <c r="Q128" s="2">
        <v>0.5</v>
      </c>
      <c r="R128" s="2">
        <v>13.1</v>
      </c>
      <c r="S128" s="2">
        <v>24.2</v>
      </c>
      <c r="T128" s="2">
        <v>1.2</v>
      </c>
      <c r="U128" s="2">
        <v>0.3</v>
      </c>
      <c r="V128" s="2">
        <v>1.5</v>
      </c>
      <c r="W128" s="2">
        <v>9.9000000000000005E-2</v>
      </c>
      <c r="X128" s="2">
        <v>1.3</v>
      </c>
      <c r="Y128" s="2">
        <v>-1.1000000000000001</v>
      </c>
      <c r="Z128" s="2">
        <v>0.1</v>
      </c>
      <c r="AA128" s="2">
        <v>0.4</v>
      </c>
    </row>
    <row r="129" spans="1:27" x14ac:dyDescent="0.2">
      <c r="A129" t="s">
        <v>256</v>
      </c>
      <c r="B129" s="2">
        <v>20</v>
      </c>
      <c r="C129" t="s">
        <v>63</v>
      </c>
      <c r="D129" s="2" t="s">
        <v>42</v>
      </c>
      <c r="E129" s="2">
        <v>20</v>
      </c>
      <c r="F129" s="2">
        <v>13</v>
      </c>
      <c r="G129" s="2">
        <v>470</v>
      </c>
      <c r="H129" s="2">
        <v>20.100000000000001</v>
      </c>
      <c r="I129" s="2">
        <v>0.68200000000000005</v>
      </c>
      <c r="J129" s="2">
        <v>0</v>
      </c>
      <c r="K129" s="2">
        <v>0.505</v>
      </c>
      <c r="L129" s="2">
        <v>14.7</v>
      </c>
      <c r="M129" s="2">
        <v>20.5</v>
      </c>
      <c r="N129" s="2">
        <v>17.7</v>
      </c>
      <c r="O129" s="2">
        <v>13.6</v>
      </c>
      <c r="P129" s="2">
        <v>1.1000000000000001</v>
      </c>
      <c r="Q129" s="2">
        <v>6.1</v>
      </c>
      <c r="R129" s="2">
        <v>15.8</v>
      </c>
      <c r="S129" s="2">
        <v>13.7</v>
      </c>
      <c r="T129" s="2">
        <v>1.4</v>
      </c>
      <c r="U129" s="2">
        <v>0.7</v>
      </c>
      <c r="V129" s="2">
        <v>2.1</v>
      </c>
      <c r="W129" s="2">
        <v>0.217</v>
      </c>
      <c r="X129" s="2">
        <v>1.6</v>
      </c>
      <c r="Y129" s="2">
        <v>2.2000000000000002</v>
      </c>
      <c r="Z129" s="2">
        <v>3.9</v>
      </c>
      <c r="AA129" s="2">
        <v>0.7</v>
      </c>
    </row>
    <row r="130" spans="1:27" x14ac:dyDescent="0.2">
      <c r="A130" t="s">
        <v>188</v>
      </c>
      <c r="B130" s="2">
        <v>27</v>
      </c>
      <c r="C130" t="s">
        <v>77</v>
      </c>
      <c r="D130" s="2" t="s">
        <v>49</v>
      </c>
      <c r="E130" s="2">
        <v>25</v>
      </c>
      <c r="F130" s="2">
        <v>25</v>
      </c>
      <c r="G130" s="2">
        <v>625</v>
      </c>
      <c r="H130" s="2">
        <v>13</v>
      </c>
      <c r="I130" s="2">
        <v>0.60399999999999998</v>
      </c>
      <c r="J130" s="2">
        <v>0.371</v>
      </c>
      <c r="K130" s="2">
        <v>0.16</v>
      </c>
      <c r="L130" s="2">
        <v>5.3</v>
      </c>
      <c r="M130" s="2">
        <v>9.8000000000000007</v>
      </c>
      <c r="N130" s="2">
        <v>7.5</v>
      </c>
      <c r="O130" s="2">
        <v>5.5</v>
      </c>
      <c r="P130" s="2">
        <v>2.5</v>
      </c>
      <c r="Q130" s="2">
        <v>1</v>
      </c>
      <c r="R130" s="2">
        <v>11.5</v>
      </c>
      <c r="S130" s="2">
        <v>16.2</v>
      </c>
      <c r="T130" s="2">
        <v>0.6</v>
      </c>
      <c r="U130" s="2">
        <v>0.8</v>
      </c>
      <c r="V130" s="2">
        <v>1.5</v>
      </c>
      <c r="W130" s="2">
        <v>0.112</v>
      </c>
      <c r="X130" s="2">
        <v>-1.2</v>
      </c>
      <c r="Y130" s="2">
        <v>0.8</v>
      </c>
      <c r="Z130" s="2">
        <v>-0.3</v>
      </c>
      <c r="AA130" s="2">
        <v>0.3</v>
      </c>
    </row>
    <row r="131" spans="1:27" x14ac:dyDescent="0.2">
      <c r="A131" t="s">
        <v>108</v>
      </c>
      <c r="B131" s="2">
        <v>30</v>
      </c>
      <c r="C131" t="s">
        <v>39</v>
      </c>
      <c r="D131" s="2" t="s">
        <v>52</v>
      </c>
      <c r="E131" s="2">
        <v>24</v>
      </c>
      <c r="F131" s="2">
        <v>24</v>
      </c>
      <c r="G131" s="2">
        <v>827</v>
      </c>
      <c r="H131" s="2">
        <v>18.100000000000001</v>
      </c>
      <c r="I131" s="2">
        <v>0.622</v>
      </c>
      <c r="J131" s="2">
        <v>0.70499999999999996</v>
      </c>
      <c r="K131" s="2">
        <v>0.16500000000000001</v>
      </c>
      <c r="L131" s="2">
        <v>3.8</v>
      </c>
      <c r="M131" s="2">
        <v>11.4</v>
      </c>
      <c r="N131" s="2">
        <v>7.6</v>
      </c>
      <c r="O131" s="2">
        <v>20.6</v>
      </c>
      <c r="P131" s="2">
        <v>1.5</v>
      </c>
      <c r="Q131" s="2">
        <v>2.7</v>
      </c>
      <c r="R131" s="2">
        <v>9.6</v>
      </c>
      <c r="S131" s="2">
        <v>19.5</v>
      </c>
      <c r="T131" s="2">
        <v>2.2000000000000002</v>
      </c>
      <c r="U131" s="2">
        <v>1</v>
      </c>
      <c r="V131" s="2">
        <v>3.2</v>
      </c>
      <c r="W131" s="2">
        <v>0.186</v>
      </c>
      <c r="X131" s="2">
        <v>3.7</v>
      </c>
      <c r="Y131" s="2">
        <v>0.7</v>
      </c>
      <c r="Z131" s="2">
        <v>4.3</v>
      </c>
      <c r="AA131" s="2">
        <v>1.3</v>
      </c>
    </row>
    <row r="132" spans="1:27" x14ac:dyDescent="0.2">
      <c r="A132" t="s">
        <v>194</v>
      </c>
      <c r="B132" s="2">
        <v>26</v>
      </c>
      <c r="C132" t="s">
        <v>80</v>
      </c>
      <c r="D132" s="2" t="s">
        <v>52</v>
      </c>
      <c r="E132" s="2">
        <v>17</v>
      </c>
      <c r="F132" s="2">
        <v>16</v>
      </c>
      <c r="G132" s="2">
        <v>481</v>
      </c>
      <c r="H132" s="2">
        <v>13.2</v>
      </c>
      <c r="I132" s="2">
        <v>0.53800000000000003</v>
      </c>
      <c r="J132" s="2">
        <v>0.45300000000000001</v>
      </c>
      <c r="K132" s="2">
        <v>0.17899999999999999</v>
      </c>
      <c r="L132" s="2">
        <v>3.2</v>
      </c>
      <c r="M132" s="2">
        <v>18.399999999999999</v>
      </c>
      <c r="N132" s="2">
        <v>11.1</v>
      </c>
      <c r="O132" s="2">
        <v>19.3</v>
      </c>
      <c r="P132" s="2">
        <v>1.6</v>
      </c>
      <c r="Q132" s="2">
        <v>1.5</v>
      </c>
      <c r="R132" s="2">
        <v>14.9</v>
      </c>
      <c r="S132" s="2">
        <v>22.4</v>
      </c>
      <c r="T132" s="2">
        <v>0.1</v>
      </c>
      <c r="U132" s="2">
        <v>0.8</v>
      </c>
      <c r="V132" s="2">
        <v>0.9</v>
      </c>
      <c r="W132" s="2">
        <v>8.6999999999999994E-2</v>
      </c>
      <c r="X132" s="2">
        <v>-1.2</v>
      </c>
      <c r="Y132" s="2">
        <v>0.5</v>
      </c>
      <c r="Z132" s="2">
        <v>-0.7</v>
      </c>
      <c r="AA132" s="2">
        <v>0.2</v>
      </c>
    </row>
    <row r="133" spans="1:27" x14ac:dyDescent="0.2">
      <c r="A133" t="s">
        <v>53</v>
      </c>
      <c r="B133" s="2">
        <v>28</v>
      </c>
      <c r="C133" t="s">
        <v>54</v>
      </c>
      <c r="D133" s="2" t="s">
        <v>52</v>
      </c>
      <c r="E133" s="2">
        <v>23</v>
      </c>
      <c r="F133" s="2">
        <v>23</v>
      </c>
      <c r="G133" s="2">
        <v>851</v>
      </c>
      <c r="H133" s="2">
        <v>19.8</v>
      </c>
      <c r="I133" s="2">
        <v>0.57999999999999996</v>
      </c>
      <c r="J133" s="2">
        <v>0.41799999999999998</v>
      </c>
      <c r="K133" s="2">
        <v>0.39400000000000002</v>
      </c>
      <c r="L133" s="2">
        <v>3.5</v>
      </c>
      <c r="M133" s="2">
        <v>7.9</v>
      </c>
      <c r="N133" s="2">
        <v>5.7</v>
      </c>
      <c r="O133" s="2">
        <v>28.4</v>
      </c>
      <c r="P133" s="2">
        <v>1.5</v>
      </c>
      <c r="Q133" s="2">
        <v>1</v>
      </c>
      <c r="R133" s="2">
        <v>10.199999999999999</v>
      </c>
      <c r="S133" s="2">
        <v>28.5</v>
      </c>
      <c r="T133" s="2">
        <v>2.1</v>
      </c>
      <c r="U133" s="2">
        <v>0.4</v>
      </c>
      <c r="V133" s="2">
        <v>2.5</v>
      </c>
      <c r="W133" s="2">
        <v>0.14099999999999999</v>
      </c>
      <c r="X133" s="2">
        <v>3</v>
      </c>
      <c r="Y133" s="2">
        <v>-1.6</v>
      </c>
      <c r="Z133" s="2">
        <v>1.4</v>
      </c>
      <c r="AA133" s="2">
        <v>0.7</v>
      </c>
    </row>
    <row r="134" spans="1:27" x14ac:dyDescent="0.2">
      <c r="A134" t="s">
        <v>282</v>
      </c>
      <c r="B134" s="2">
        <v>24</v>
      </c>
      <c r="C134" t="s">
        <v>93</v>
      </c>
      <c r="D134" s="2" t="s">
        <v>52</v>
      </c>
      <c r="E134" s="2">
        <v>9</v>
      </c>
      <c r="F134" s="2">
        <v>0</v>
      </c>
      <c r="G134" s="2">
        <v>216</v>
      </c>
      <c r="H134" s="2">
        <v>18.600000000000001</v>
      </c>
      <c r="I134" s="2">
        <v>0.62</v>
      </c>
      <c r="J134" s="2">
        <v>0.46800000000000003</v>
      </c>
      <c r="K134" s="2">
        <v>0.189</v>
      </c>
      <c r="L134" s="2">
        <v>1.5</v>
      </c>
      <c r="M134" s="2">
        <v>6.9</v>
      </c>
      <c r="N134" s="2">
        <v>4.2</v>
      </c>
      <c r="O134" s="2">
        <v>20.100000000000001</v>
      </c>
      <c r="P134" s="2">
        <v>2.2999999999999998</v>
      </c>
      <c r="Q134" s="2">
        <v>1.7</v>
      </c>
      <c r="R134" s="2">
        <v>11.1</v>
      </c>
      <c r="S134" s="2">
        <v>26.8</v>
      </c>
      <c r="T134" s="2">
        <v>0.3</v>
      </c>
      <c r="U134" s="2">
        <v>0.2</v>
      </c>
      <c r="V134" s="2">
        <v>0.5</v>
      </c>
      <c r="W134" s="2">
        <v>0.112</v>
      </c>
      <c r="X134" s="2">
        <v>1.9</v>
      </c>
      <c r="Y134" s="2">
        <v>-0.6</v>
      </c>
      <c r="Z134" s="2">
        <v>1.2</v>
      </c>
      <c r="AA134" s="2">
        <v>0.2</v>
      </c>
    </row>
    <row r="135" spans="1:27" x14ac:dyDescent="0.2">
      <c r="A135" t="s">
        <v>150</v>
      </c>
      <c r="B135" s="2">
        <v>29</v>
      </c>
      <c r="C135" t="s">
        <v>87</v>
      </c>
      <c r="D135" s="2" t="s">
        <v>49</v>
      </c>
      <c r="E135" s="2">
        <v>25</v>
      </c>
      <c r="F135" s="2">
        <v>25</v>
      </c>
      <c r="G135" s="2">
        <v>782</v>
      </c>
      <c r="H135" s="2">
        <v>10</v>
      </c>
      <c r="I135" s="2">
        <v>0.54</v>
      </c>
      <c r="J135" s="2">
        <v>0.48599999999999999</v>
      </c>
      <c r="K135" s="2">
        <v>0.13</v>
      </c>
      <c r="L135" s="2">
        <v>4.0999999999999996</v>
      </c>
      <c r="M135" s="2">
        <v>8.3000000000000007</v>
      </c>
      <c r="N135" s="2">
        <v>6.2</v>
      </c>
      <c r="O135" s="2">
        <v>7.1</v>
      </c>
      <c r="P135" s="2">
        <v>1</v>
      </c>
      <c r="Q135" s="2">
        <v>0.9</v>
      </c>
      <c r="R135" s="2">
        <v>7.9</v>
      </c>
      <c r="S135" s="2">
        <v>16.7</v>
      </c>
      <c r="T135" s="2">
        <v>0.6</v>
      </c>
      <c r="U135" s="2">
        <v>1.1000000000000001</v>
      </c>
      <c r="V135" s="2">
        <v>1.8</v>
      </c>
      <c r="W135" s="2">
        <v>0.107</v>
      </c>
      <c r="X135" s="2">
        <v>-2</v>
      </c>
      <c r="Y135" s="2">
        <v>0.2</v>
      </c>
      <c r="Z135" s="2">
        <v>-1.8</v>
      </c>
      <c r="AA135" s="2">
        <v>0.1</v>
      </c>
    </row>
    <row r="136" spans="1:27" x14ac:dyDescent="0.2">
      <c r="A136" t="s">
        <v>404</v>
      </c>
      <c r="B136" s="2">
        <v>23</v>
      </c>
      <c r="C136" t="s">
        <v>32</v>
      </c>
      <c r="D136" s="2" t="s">
        <v>49</v>
      </c>
      <c r="E136" s="2">
        <v>21</v>
      </c>
      <c r="F136" s="2">
        <v>0</v>
      </c>
      <c r="G136" s="2">
        <v>177</v>
      </c>
      <c r="H136" s="2">
        <v>8</v>
      </c>
      <c r="I136" s="2">
        <v>0.42699999999999999</v>
      </c>
      <c r="J136" s="2">
        <v>0.6</v>
      </c>
      <c r="K136" s="2">
        <v>0.14499999999999999</v>
      </c>
      <c r="L136" s="2">
        <v>9.4</v>
      </c>
      <c r="M136" s="2">
        <v>15.4</v>
      </c>
      <c r="N136" s="2">
        <v>12.4</v>
      </c>
      <c r="O136" s="2">
        <v>10.7</v>
      </c>
      <c r="P136" s="2">
        <v>1.1000000000000001</v>
      </c>
      <c r="Q136" s="2">
        <v>0.6</v>
      </c>
      <c r="R136" s="2">
        <v>12</v>
      </c>
      <c r="S136" s="2">
        <v>15.9</v>
      </c>
      <c r="T136" s="2">
        <v>-0.1</v>
      </c>
      <c r="U136" s="2">
        <v>0.3</v>
      </c>
      <c r="V136" s="2">
        <v>0.2</v>
      </c>
      <c r="W136" s="2">
        <v>5.7000000000000002E-2</v>
      </c>
      <c r="X136" s="2">
        <v>-4</v>
      </c>
      <c r="Y136" s="2">
        <v>-1.3</v>
      </c>
      <c r="Z136" s="2">
        <v>-5.4</v>
      </c>
      <c r="AA136" s="2">
        <v>-0.2</v>
      </c>
    </row>
    <row r="137" spans="1:27" x14ac:dyDescent="0.2">
      <c r="A137" t="s">
        <v>78</v>
      </c>
      <c r="B137" s="2">
        <v>28</v>
      </c>
      <c r="C137" t="s">
        <v>37</v>
      </c>
      <c r="D137" s="2" t="s">
        <v>42</v>
      </c>
      <c r="E137" s="2">
        <v>24</v>
      </c>
      <c r="F137" s="2">
        <v>24</v>
      </c>
      <c r="G137" s="2">
        <v>859</v>
      </c>
      <c r="H137" s="2">
        <v>24.6</v>
      </c>
      <c r="I137" s="2">
        <v>0.70699999999999996</v>
      </c>
      <c r="J137" s="2">
        <v>0.184</v>
      </c>
      <c r="K137" s="2">
        <v>0.379</v>
      </c>
      <c r="L137" s="2">
        <v>10.9</v>
      </c>
      <c r="M137" s="2">
        <v>30.3</v>
      </c>
      <c r="N137" s="2">
        <v>20.8</v>
      </c>
      <c r="O137" s="2">
        <v>25.7</v>
      </c>
      <c r="P137" s="2">
        <v>1</v>
      </c>
      <c r="Q137" s="2">
        <v>1.2</v>
      </c>
      <c r="R137" s="2">
        <v>17.399999999999999</v>
      </c>
      <c r="S137" s="2">
        <v>21.9</v>
      </c>
      <c r="T137" s="2">
        <v>3.2</v>
      </c>
      <c r="U137" s="2">
        <v>1.1000000000000001</v>
      </c>
      <c r="V137" s="2">
        <v>4.3</v>
      </c>
      <c r="W137" s="2">
        <v>0.24099999999999999</v>
      </c>
      <c r="X137" s="2">
        <v>5.3</v>
      </c>
      <c r="Y137" s="2">
        <v>1</v>
      </c>
      <c r="Z137" s="2">
        <v>6.3</v>
      </c>
      <c r="AA137" s="2">
        <v>1.8</v>
      </c>
    </row>
    <row r="138" spans="1:27" x14ac:dyDescent="0.2">
      <c r="A138" t="s">
        <v>552</v>
      </c>
      <c r="B138" s="2">
        <v>21</v>
      </c>
      <c r="C138" t="s">
        <v>72</v>
      </c>
      <c r="D138" s="2" t="s">
        <v>49</v>
      </c>
      <c r="E138" s="2">
        <v>2</v>
      </c>
      <c r="F138" s="2">
        <v>0</v>
      </c>
      <c r="G138" s="2">
        <v>11</v>
      </c>
      <c r="H138" s="2">
        <v>-2.7</v>
      </c>
      <c r="I138" s="2">
        <v>0.26600000000000001</v>
      </c>
      <c r="J138" s="2">
        <v>0</v>
      </c>
      <c r="K138" s="2">
        <v>2</v>
      </c>
      <c r="L138" s="2">
        <v>0</v>
      </c>
      <c r="M138" s="2">
        <v>0</v>
      </c>
      <c r="N138" s="2">
        <v>0</v>
      </c>
      <c r="O138" s="2">
        <v>0</v>
      </c>
      <c r="P138" s="2">
        <v>0</v>
      </c>
      <c r="Q138" s="2">
        <v>0</v>
      </c>
      <c r="R138" s="2">
        <v>0</v>
      </c>
      <c r="S138" s="2">
        <v>6.9</v>
      </c>
      <c r="T138" s="2">
        <v>0</v>
      </c>
      <c r="U138" s="2">
        <v>0</v>
      </c>
      <c r="V138" s="2">
        <v>0</v>
      </c>
      <c r="W138" s="2">
        <v>-8.1000000000000003E-2</v>
      </c>
      <c r="X138" s="2">
        <v>-8.6999999999999993</v>
      </c>
      <c r="Y138" s="2">
        <v>-3.3</v>
      </c>
      <c r="Z138" s="2">
        <v>-12.1</v>
      </c>
      <c r="AA138" s="2">
        <v>0</v>
      </c>
    </row>
    <row r="139" spans="1:27" x14ac:dyDescent="0.2">
      <c r="A139" t="s">
        <v>339</v>
      </c>
      <c r="B139" s="2">
        <v>20</v>
      </c>
      <c r="C139" t="s">
        <v>135</v>
      </c>
      <c r="D139" s="2" t="s">
        <v>42</v>
      </c>
      <c r="E139" s="2">
        <v>17</v>
      </c>
      <c r="F139" s="2">
        <v>6</v>
      </c>
      <c r="G139" s="2">
        <v>289</v>
      </c>
      <c r="H139" s="2">
        <v>18.600000000000001</v>
      </c>
      <c r="I139" s="2">
        <v>0.57799999999999996</v>
      </c>
      <c r="J139" s="2">
        <v>0.11799999999999999</v>
      </c>
      <c r="K139" s="2">
        <v>0.28899999999999998</v>
      </c>
      <c r="L139" s="2">
        <v>19.3</v>
      </c>
      <c r="M139" s="2">
        <v>23.7</v>
      </c>
      <c r="N139" s="2">
        <v>21.4</v>
      </c>
      <c r="O139" s="2">
        <v>2.6</v>
      </c>
      <c r="P139" s="2">
        <v>1.5</v>
      </c>
      <c r="Q139" s="2">
        <v>12.2</v>
      </c>
      <c r="R139" s="2">
        <v>16.600000000000001</v>
      </c>
      <c r="S139" s="2">
        <v>14.7</v>
      </c>
      <c r="T139" s="2">
        <v>0.3</v>
      </c>
      <c r="U139" s="2">
        <v>0.4</v>
      </c>
      <c r="V139" s="2">
        <v>0.8</v>
      </c>
      <c r="W139" s="2">
        <v>0.13200000000000001</v>
      </c>
      <c r="X139" s="2">
        <v>-2</v>
      </c>
      <c r="Y139" s="2">
        <v>1.5</v>
      </c>
      <c r="Z139" s="2">
        <v>-0.5</v>
      </c>
      <c r="AA139" s="2">
        <v>0.1</v>
      </c>
    </row>
    <row r="140" spans="1:27" x14ac:dyDescent="0.2">
      <c r="A140" t="s">
        <v>56</v>
      </c>
      <c r="B140" s="2">
        <v>28</v>
      </c>
      <c r="C140" t="s">
        <v>57</v>
      </c>
      <c r="D140" s="2" t="s">
        <v>52</v>
      </c>
      <c r="E140" s="2">
        <v>24</v>
      </c>
      <c r="F140" s="2">
        <v>24</v>
      </c>
      <c r="G140" s="2">
        <v>765</v>
      </c>
      <c r="H140" s="2">
        <v>20.399999999999999</v>
      </c>
      <c r="I140" s="2">
        <v>0.57999999999999996</v>
      </c>
      <c r="J140" s="2">
        <v>0.48499999999999999</v>
      </c>
      <c r="K140" s="2">
        <v>0.19500000000000001</v>
      </c>
      <c r="L140" s="2">
        <v>2.1</v>
      </c>
      <c r="M140" s="2">
        <v>14</v>
      </c>
      <c r="N140" s="2">
        <v>8.1999999999999993</v>
      </c>
      <c r="O140" s="2">
        <v>20.5</v>
      </c>
      <c r="P140" s="2">
        <v>2.2999999999999998</v>
      </c>
      <c r="Q140" s="2">
        <v>1</v>
      </c>
      <c r="R140" s="2">
        <v>9.6999999999999993</v>
      </c>
      <c r="S140" s="2">
        <v>30.8</v>
      </c>
      <c r="T140" s="2">
        <v>1.2</v>
      </c>
      <c r="U140" s="2">
        <v>1</v>
      </c>
      <c r="V140" s="2">
        <v>2.2000000000000002</v>
      </c>
      <c r="W140" s="2">
        <v>0.13700000000000001</v>
      </c>
      <c r="X140" s="2">
        <v>2.9</v>
      </c>
      <c r="Y140" s="2">
        <v>-0.3</v>
      </c>
      <c r="Z140" s="2">
        <v>2.6</v>
      </c>
      <c r="AA140" s="2">
        <v>0.9</v>
      </c>
    </row>
    <row r="141" spans="1:27" x14ac:dyDescent="0.2">
      <c r="A141" t="s">
        <v>234</v>
      </c>
      <c r="B141" s="2">
        <v>28</v>
      </c>
      <c r="C141" t="s">
        <v>51</v>
      </c>
      <c r="D141" s="2" t="s">
        <v>52</v>
      </c>
      <c r="E141" s="2">
        <v>23</v>
      </c>
      <c r="F141" s="2">
        <v>2</v>
      </c>
      <c r="G141" s="2">
        <v>579</v>
      </c>
      <c r="H141" s="2">
        <v>9.6999999999999993</v>
      </c>
      <c r="I141" s="2">
        <v>0.49199999999999999</v>
      </c>
      <c r="J141" s="2">
        <v>0.78800000000000003</v>
      </c>
      <c r="K141" s="2">
        <v>8.3000000000000004E-2</v>
      </c>
      <c r="L141" s="2">
        <v>1.6</v>
      </c>
      <c r="M141" s="2">
        <v>11.8</v>
      </c>
      <c r="N141" s="2">
        <v>6.8</v>
      </c>
      <c r="O141" s="2">
        <v>20.399999999999999</v>
      </c>
      <c r="P141" s="2">
        <v>2.5</v>
      </c>
      <c r="Q141" s="2">
        <v>1</v>
      </c>
      <c r="R141" s="2">
        <v>16.3</v>
      </c>
      <c r="S141" s="2">
        <v>18.2</v>
      </c>
      <c r="T141" s="2">
        <v>-0.3</v>
      </c>
      <c r="U141" s="2">
        <v>0.9</v>
      </c>
      <c r="V141" s="2">
        <v>0.6</v>
      </c>
      <c r="W141" s="2">
        <v>4.9000000000000002E-2</v>
      </c>
      <c r="X141" s="2">
        <v>-2.5</v>
      </c>
      <c r="Y141" s="2">
        <v>1.4</v>
      </c>
      <c r="Z141" s="2">
        <v>-1.2</v>
      </c>
      <c r="AA141" s="2">
        <v>0.1</v>
      </c>
    </row>
    <row r="142" spans="1:27" x14ac:dyDescent="0.2">
      <c r="A142" t="s">
        <v>261</v>
      </c>
      <c r="B142" s="2">
        <v>31</v>
      </c>
      <c r="C142" t="s">
        <v>103</v>
      </c>
      <c r="D142" s="2" t="s">
        <v>27</v>
      </c>
      <c r="E142" s="2">
        <v>16</v>
      </c>
      <c r="F142" s="2">
        <v>16</v>
      </c>
      <c r="G142" s="2">
        <v>466</v>
      </c>
      <c r="H142" s="2">
        <v>12.3</v>
      </c>
      <c r="I142" s="2">
        <v>0.61699999999999999</v>
      </c>
      <c r="J142" s="2">
        <v>0.68200000000000005</v>
      </c>
      <c r="K142" s="2">
        <v>0.14000000000000001</v>
      </c>
      <c r="L142" s="2">
        <v>6.8</v>
      </c>
      <c r="M142" s="2">
        <v>10.9</v>
      </c>
      <c r="N142" s="2">
        <v>8.8000000000000007</v>
      </c>
      <c r="O142" s="2">
        <v>8.9</v>
      </c>
      <c r="P142" s="2">
        <v>1.6</v>
      </c>
      <c r="Q142" s="2">
        <v>1.7</v>
      </c>
      <c r="R142" s="2">
        <v>10.5</v>
      </c>
      <c r="S142" s="2">
        <v>14.7</v>
      </c>
      <c r="T142" s="2">
        <v>0.6</v>
      </c>
      <c r="U142" s="2">
        <v>0.3</v>
      </c>
      <c r="V142" s="2">
        <v>0.9</v>
      </c>
      <c r="W142" s="2">
        <v>0.09</v>
      </c>
      <c r="X142" s="2">
        <v>0.1</v>
      </c>
      <c r="Y142" s="2">
        <v>-0.4</v>
      </c>
      <c r="Z142" s="2">
        <v>-0.2</v>
      </c>
      <c r="AA142" s="2">
        <v>0.2</v>
      </c>
    </row>
    <row r="143" spans="1:27" x14ac:dyDescent="0.2">
      <c r="A143" t="s">
        <v>382</v>
      </c>
      <c r="B143" s="2">
        <v>33</v>
      </c>
      <c r="C143" t="s">
        <v>37</v>
      </c>
      <c r="D143" s="2" t="s">
        <v>49</v>
      </c>
      <c r="E143" s="2">
        <v>19</v>
      </c>
      <c r="F143" s="2">
        <v>2</v>
      </c>
      <c r="G143" s="2">
        <v>155</v>
      </c>
      <c r="H143" s="2">
        <v>9.1</v>
      </c>
      <c r="I143" s="2">
        <v>0.57699999999999996</v>
      </c>
      <c r="J143" s="2">
        <v>0.85499999999999998</v>
      </c>
      <c r="K143" s="2">
        <v>9.0999999999999998E-2</v>
      </c>
      <c r="L143" s="2">
        <v>0.7</v>
      </c>
      <c r="M143" s="2">
        <v>9.4</v>
      </c>
      <c r="N143" s="2">
        <v>5.0999999999999996</v>
      </c>
      <c r="O143" s="2">
        <v>2.6</v>
      </c>
      <c r="P143" s="2">
        <v>0.6</v>
      </c>
      <c r="Q143" s="2">
        <v>0.7</v>
      </c>
      <c r="R143" s="2">
        <v>3.4</v>
      </c>
      <c r="S143" s="2">
        <v>16.5</v>
      </c>
      <c r="T143" s="2">
        <v>0.1</v>
      </c>
      <c r="U143" s="2">
        <v>0.1</v>
      </c>
      <c r="V143" s="2">
        <v>0.2</v>
      </c>
      <c r="W143" s="2">
        <v>6.2E-2</v>
      </c>
      <c r="X143" s="2">
        <v>-1.3</v>
      </c>
      <c r="Y143" s="2">
        <v>-2.8</v>
      </c>
      <c r="Z143" s="2">
        <v>-4.2</v>
      </c>
      <c r="AA143" s="2">
        <v>-0.1</v>
      </c>
    </row>
    <row r="144" spans="1:27" x14ac:dyDescent="0.2">
      <c r="A144" t="s">
        <v>240</v>
      </c>
      <c r="B144" s="2">
        <v>34</v>
      </c>
      <c r="C144" t="s">
        <v>100</v>
      </c>
      <c r="D144" s="2" t="s">
        <v>27</v>
      </c>
      <c r="E144" s="2">
        <v>22</v>
      </c>
      <c r="F144" s="2">
        <v>21</v>
      </c>
      <c r="G144" s="2">
        <v>629</v>
      </c>
      <c r="H144" s="2">
        <v>12.6</v>
      </c>
      <c r="I144" s="2">
        <v>0.56299999999999994</v>
      </c>
      <c r="J144" s="2">
        <v>0.53</v>
      </c>
      <c r="K144" s="2">
        <v>0.32900000000000001</v>
      </c>
      <c r="L144" s="2">
        <v>3.1</v>
      </c>
      <c r="M144" s="2">
        <v>19.399999999999999</v>
      </c>
      <c r="N144" s="2">
        <v>11.1</v>
      </c>
      <c r="O144" s="2">
        <v>27.5</v>
      </c>
      <c r="P144" s="2">
        <v>1.8</v>
      </c>
      <c r="Q144" s="2">
        <v>3.3</v>
      </c>
      <c r="R144" s="2">
        <v>23.7</v>
      </c>
      <c r="S144" s="2">
        <v>14.8</v>
      </c>
      <c r="T144" s="2">
        <v>0.4</v>
      </c>
      <c r="U144" s="2">
        <v>1.2</v>
      </c>
      <c r="V144" s="2">
        <v>1.5</v>
      </c>
      <c r="W144" s="2">
        <v>0.11799999999999999</v>
      </c>
      <c r="X144" s="2">
        <v>-1.5</v>
      </c>
      <c r="Y144" s="2">
        <v>2.9</v>
      </c>
      <c r="Z144" s="2">
        <v>1.4</v>
      </c>
      <c r="AA144" s="2">
        <v>0.5</v>
      </c>
    </row>
    <row r="145" spans="1:27" x14ac:dyDescent="0.2">
      <c r="A145" t="s">
        <v>353</v>
      </c>
      <c r="B145" s="2">
        <v>27</v>
      </c>
      <c r="C145" t="s">
        <v>120</v>
      </c>
      <c r="D145" s="2" t="s">
        <v>42</v>
      </c>
      <c r="E145" s="2">
        <v>20</v>
      </c>
      <c r="F145" s="2">
        <v>0</v>
      </c>
      <c r="G145" s="2">
        <v>271</v>
      </c>
      <c r="H145" s="2">
        <v>15.1</v>
      </c>
      <c r="I145" s="2">
        <v>0.60899999999999999</v>
      </c>
      <c r="J145" s="2">
        <v>4.8000000000000001E-2</v>
      </c>
      <c r="K145" s="2">
        <v>0.435</v>
      </c>
      <c r="L145" s="2">
        <v>10</v>
      </c>
      <c r="M145" s="2">
        <v>22.6</v>
      </c>
      <c r="N145" s="2">
        <v>16.399999999999999</v>
      </c>
      <c r="O145" s="2">
        <v>13.1</v>
      </c>
      <c r="P145" s="2">
        <v>0.9</v>
      </c>
      <c r="Q145" s="2">
        <v>4.8</v>
      </c>
      <c r="R145" s="2">
        <v>17.8</v>
      </c>
      <c r="S145" s="2">
        <v>13.9</v>
      </c>
      <c r="T145" s="2">
        <v>0.3</v>
      </c>
      <c r="U145" s="2">
        <v>0.2</v>
      </c>
      <c r="V145" s="2">
        <v>0.5</v>
      </c>
      <c r="W145" s="2">
        <v>8.8999999999999996E-2</v>
      </c>
      <c r="X145" s="2">
        <v>-1.3</v>
      </c>
      <c r="Y145" s="2">
        <v>0.4</v>
      </c>
      <c r="Z145" s="2">
        <v>-0.8</v>
      </c>
      <c r="AA145" s="2">
        <v>0.1</v>
      </c>
    </row>
    <row r="146" spans="1:27" x14ac:dyDescent="0.2">
      <c r="A146" t="s">
        <v>467</v>
      </c>
      <c r="B146" s="2">
        <v>25</v>
      </c>
      <c r="C146" t="s">
        <v>39</v>
      </c>
      <c r="D146" s="2" t="s">
        <v>27</v>
      </c>
      <c r="E146" s="2">
        <v>7</v>
      </c>
      <c r="F146" s="2">
        <v>0</v>
      </c>
      <c r="G146" s="2">
        <v>81</v>
      </c>
      <c r="H146" s="2">
        <v>9.1</v>
      </c>
      <c r="I146" s="2">
        <v>0.55300000000000005</v>
      </c>
      <c r="J146" s="2">
        <v>0.86699999999999999</v>
      </c>
      <c r="K146" s="2">
        <v>0.46700000000000003</v>
      </c>
      <c r="L146" s="2">
        <v>5.4</v>
      </c>
      <c r="M146" s="2">
        <v>16.399999999999999</v>
      </c>
      <c r="N146" s="2">
        <v>10.9</v>
      </c>
      <c r="O146" s="2">
        <v>6.2</v>
      </c>
      <c r="P146" s="2">
        <v>1.2</v>
      </c>
      <c r="Q146" s="2">
        <v>2.2000000000000002</v>
      </c>
      <c r="R146" s="2">
        <v>14.2</v>
      </c>
      <c r="S146" s="2">
        <v>11.2</v>
      </c>
      <c r="T146" s="2">
        <v>0.1</v>
      </c>
      <c r="U146" s="2">
        <v>0.1</v>
      </c>
      <c r="V146" s="2">
        <v>0.2</v>
      </c>
      <c r="W146" s="2">
        <v>9.6000000000000002E-2</v>
      </c>
      <c r="X146" s="2">
        <v>-2.8</v>
      </c>
      <c r="Y146" s="2">
        <v>1.1000000000000001</v>
      </c>
      <c r="Z146" s="2">
        <v>-1.7</v>
      </c>
      <c r="AA146" s="2">
        <v>0</v>
      </c>
    </row>
    <row r="147" spans="1:27" x14ac:dyDescent="0.2">
      <c r="A147" t="s">
        <v>400</v>
      </c>
      <c r="B147" s="2">
        <v>27</v>
      </c>
      <c r="C147" t="s">
        <v>61</v>
      </c>
      <c r="D147" s="2" t="s">
        <v>52</v>
      </c>
      <c r="E147" s="2">
        <v>10</v>
      </c>
      <c r="F147" s="2">
        <v>0</v>
      </c>
      <c r="G147" s="2">
        <v>174</v>
      </c>
      <c r="H147" s="2">
        <v>13</v>
      </c>
      <c r="I147" s="2">
        <v>0.60499999999999998</v>
      </c>
      <c r="J147" s="2">
        <v>0.47599999999999998</v>
      </c>
      <c r="K147" s="2">
        <v>0.14299999999999999</v>
      </c>
      <c r="L147" s="2">
        <v>6.3</v>
      </c>
      <c r="M147" s="2">
        <v>13.1</v>
      </c>
      <c r="N147" s="2">
        <v>9.6999999999999993</v>
      </c>
      <c r="O147" s="2">
        <v>13</v>
      </c>
      <c r="P147" s="2">
        <v>2.6</v>
      </c>
      <c r="Q147" s="2">
        <v>2.8</v>
      </c>
      <c r="R147" s="2">
        <v>18.3</v>
      </c>
      <c r="S147" s="2">
        <v>13.7</v>
      </c>
      <c r="T147" s="2">
        <v>0.1</v>
      </c>
      <c r="U147" s="2">
        <v>0.3</v>
      </c>
      <c r="V147" s="2">
        <v>0.4</v>
      </c>
      <c r="W147" s="2">
        <v>0.108</v>
      </c>
      <c r="X147" s="2">
        <v>-1</v>
      </c>
      <c r="Y147" s="2">
        <v>2.2999999999999998</v>
      </c>
      <c r="Z147" s="2">
        <v>1.3</v>
      </c>
      <c r="AA147" s="2">
        <v>0.1</v>
      </c>
    </row>
    <row r="148" spans="1:27" x14ac:dyDescent="0.2">
      <c r="A148" t="s">
        <v>198</v>
      </c>
      <c r="B148" s="2">
        <v>30</v>
      </c>
      <c r="C148" t="s">
        <v>61</v>
      </c>
      <c r="D148" s="2" t="s">
        <v>49</v>
      </c>
      <c r="E148" s="2">
        <v>22</v>
      </c>
      <c r="F148" s="2">
        <v>11</v>
      </c>
      <c r="G148" s="2">
        <v>496</v>
      </c>
      <c r="H148" s="2">
        <v>12.4</v>
      </c>
      <c r="I148" s="2">
        <v>0.56299999999999994</v>
      </c>
      <c r="J148" s="2">
        <v>0.67800000000000005</v>
      </c>
      <c r="K148" s="2">
        <v>8.6999999999999994E-2</v>
      </c>
      <c r="L148" s="2">
        <v>1.8</v>
      </c>
      <c r="M148" s="2">
        <v>9.4</v>
      </c>
      <c r="N148" s="2">
        <v>5.6</v>
      </c>
      <c r="O148" s="2">
        <v>15.6</v>
      </c>
      <c r="P148" s="2">
        <v>1.1000000000000001</v>
      </c>
      <c r="Q148" s="2">
        <v>0.6</v>
      </c>
      <c r="R148" s="2">
        <v>8.5</v>
      </c>
      <c r="S148" s="2">
        <v>20.8</v>
      </c>
      <c r="T148" s="2">
        <v>0.4</v>
      </c>
      <c r="U148" s="2">
        <v>0.4</v>
      </c>
      <c r="V148" s="2">
        <v>0.8</v>
      </c>
      <c r="W148" s="2">
        <v>7.8E-2</v>
      </c>
      <c r="X148" s="2">
        <v>-0.5</v>
      </c>
      <c r="Y148" s="2">
        <v>-1.2</v>
      </c>
      <c r="Z148" s="2">
        <v>-1.8</v>
      </c>
      <c r="AA148" s="2">
        <v>0</v>
      </c>
    </row>
    <row r="149" spans="1:27" x14ac:dyDescent="0.2">
      <c r="A149" t="s">
        <v>447</v>
      </c>
      <c r="B149" s="2">
        <v>28</v>
      </c>
      <c r="C149" t="s">
        <v>135</v>
      </c>
      <c r="D149" s="2" t="s">
        <v>42</v>
      </c>
      <c r="E149" s="2">
        <v>13</v>
      </c>
      <c r="F149" s="2">
        <v>0</v>
      </c>
      <c r="G149" s="2">
        <v>83</v>
      </c>
      <c r="H149" s="2">
        <v>8.6999999999999993</v>
      </c>
      <c r="I149" s="2">
        <v>0.51900000000000002</v>
      </c>
      <c r="J149" s="2">
        <v>0.73099999999999998</v>
      </c>
      <c r="K149" s="2">
        <v>0</v>
      </c>
      <c r="L149" s="2">
        <v>7.5</v>
      </c>
      <c r="M149" s="2">
        <v>9.6</v>
      </c>
      <c r="N149" s="2">
        <v>8.5</v>
      </c>
      <c r="O149" s="2">
        <v>5.2</v>
      </c>
      <c r="P149" s="2">
        <v>0</v>
      </c>
      <c r="Q149" s="2">
        <v>2.2999999999999998</v>
      </c>
      <c r="R149" s="2">
        <v>3.7</v>
      </c>
      <c r="S149" s="2">
        <v>13.5</v>
      </c>
      <c r="T149" s="2">
        <v>0.1</v>
      </c>
      <c r="U149" s="2">
        <v>0</v>
      </c>
      <c r="V149" s="2">
        <v>0.1</v>
      </c>
      <c r="W149" s="2">
        <v>4.9000000000000002E-2</v>
      </c>
      <c r="X149" s="2">
        <v>-1.5</v>
      </c>
      <c r="Y149" s="2">
        <v>-2.7</v>
      </c>
      <c r="Z149" s="2">
        <v>-4.2</v>
      </c>
      <c r="AA149" s="2">
        <v>0</v>
      </c>
    </row>
    <row r="150" spans="1:27" x14ac:dyDescent="0.2">
      <c r="A150" t="s">
        <v>434</v>
      </c>
      <c r="B150" s="2">
        <v>33</v>
      </c>
      <c r="C150" t="s">
        <v>63</v>
      </c>
      <c r="D150" s="2" t="s">
        <v>42</v>
      </c>
      <c r="E150" s="2">
        <v>19</v>
      </c>
      <c r="F150" s="2">
        <v>0</v>
      </c>
      <c r="G150" s="2">
        <v>154</v>
      </c>
      <c r="H150" s="2">
        <v>14.1</v>
      </c>
      <c r="I150" s="2">
        <v>0.80300000000000005</v>
      </c>
      <c r="J150" s="2">
        <v>0</v>
      </c>
      <c r="K150" s="2">
        <v>2.4</v>
      </c>
      <c r="L150" s="2">
        <v>8.6999999999999993</v>
      </c>
      <c r="M150" s="2">
        <v>14.8</v>
      </c>
      <c r="N150" s="2">
        <v>11.9</v>
      </c>
      <c r="O150" s="2">
        <v>9.9</v>
      </c>
      <c r="P150" s="2">
        <v>2.2000000000000002</v>
      </c>
      <c r="Q150" s="2">
        <v>4.7</v>
      </c>
      <c r="R150" s="2">
        <v>19.600000000000001</v>
      </c>
      <c r="S150" s="2">
        <v>7</v>
      </c>
      <c r="T150" s="2">
        <v>0.4</v>
      </c>
      <c r="U150" s="2">
        <v>0.2</v>
      </c>
      <c r="V150" s="2">
        <v>0.6</v>
      </c>
      <c r="W150" s="2">
        <v>0.19700000000000001</v>
      </c>
      <c r="X150" s="2">
        <v>-1.1000000000000001</v>
      </c>
      <c r="Y150" s="2">
        <v>3</v>
      </c>
      <c r="Z150" s="2">
        <v>1.9</v>
      </c>
      <c r="AA150" s="2">
        <v>0.2</v>
      </c>
    </row>
    <row r="151" spans="1:27" x14ac:dyDescent="0.2">
      <c r="A151" t="s">
        <v>146</v>
      </c>
      <c r="B151" s="2">
        <v>21</v>
      </c>
      <c r="C151" t="s">
        <v>72</v>
      </c>
      <c r="D151" s="2" t="s">
        <v>52</v>
      </c>
      <c r="E151" s="2">
        <v>24</v>
      </c>
      <c r="F151" s="2">
        <v>24</v>
      </c>
      <c r="G151" s="2">
        <v>811</v>
      </c>
      <c r="H151" s="2">
        <v>13.6</v>
      </c>
      <c r="I151" s="2">
        <v>0.50700000000000001</v>
      </c>
      <c r="J151" s="2">
        <v>0.308</v>
      </c>
      <c r="K151" s="2">
        <v>0.123</v>
      </c>
      <c r="L151" s="2">
        <v>5.4</v>
      </c>
      <c r="M151" s="2">
        <v>10.4</v>
      </c>
      <c r="N151" s="2">
        <v>7.8</v>
      </c>
      <c r="O151" s="2">
        <v>13.6</v>
      </c>
      <c r="P151" s="2">
        <v>4.2</v>
      </c>
      <c r="Q151" s="2">
        <v>2.6</v>
      </c>
      <c r="R151" s="2">
        <v>11.9</v>
      </c>
      <c r="S151" s="2">
        <v>17.899999999999999</v>
      </c>
      <c r="T151" s="2">
        <v>0</v>
      </c>
      <c r="U151" s="2">
        <v>1.1000000000000001</v>
      </c>
      <c r="V151" s="2">
        <v>1.1000000000000001</v>
      </c>
      <c r="W151" s="2">
        <v>6.7000000000000004E-2</v>
      </c>
      <c r="X151" s="2">
        <v>-2.6</v>
      </c>
      <c r="Y151" s="2">
        <v>2.4</v>
      </c>
      <c r="Z151" s="2">
        <v>-0.2</v>
      </c>
      <c r="AA151" s="2">
        <v>0.4</v>
      </c>
    </row>
    <row r="152" spans="1:27" x14ac:dyDescent="0.2">
      <c r="A152" t="s">
        <v>487</v>
      </c>
      <c r="B152" s="2">
        <v>24</v>
      </c>
      <c r="C152" t="s">
        <v>70</v>
      </c>
      <c r="D152" s="2" t="s">
        <v>27</v>
      </c>
      <c r="E152" s="2">
        <v>6</v>
      </c>
      <c r="F152" s="2">
        <v>0</v>
      </c>
      <c r="G152" s="2">
        <v>31</v>
      </c>
      <c r="H152" s="2">
        <v>15.4</v>
      </c>
      <c r="I152" s="2">
        <v>0.84499999999999997</v>
      </c>
      <c r="J152" s="2">
        <v>0.75</v>
      </c>
      <c r="K152" s="2">
        <v>0.25</v>
      </c>
      <c r="L152" s="2">
        <v>3.5</v>
      </c>
      <c r="M152" s="2">
        <v>13.6</v>
      </c>
      <c r="N152" s="2">
        <v>8.6</v>
      </c>
      <c r="O152" s="2">
        <v>13</v>
      </c>
      <c r="P152" s="2">
        <v>1.5</v>
      </c>
      <c r="Q152" s="2">
        <v>2.7</v>
      </c>
      <c r="R152" s="2">
        <v>18.399999999999999</v>
      </c>
      <c r="S152" s="2">
        <v>14.7</v>
      </c>
      <c r="T152" s="2">
        <v>0.1</v>
      </c>
      <c r="U152" s="2">
        <v>0</v>
      </c>
      <c r="V152" s="2">
        <v>0.1</v>
      </c>
      <c r="W152" s="2">
        <v>0.16500000000000001</v>
      </c>
      <c r="X152" s="2">
        <v>0.1</v>
      </c>
      <c r="Y152" s="2">
        <v>0.4</v>
      </c>
      <c r="Z152" s="2">
        <v>0.5</v>
      </c>
      <c r="AA152" s="2">
        <v>0</v>
      </c>
    </row>
    <row r="153" spans="1:27" x14ac:dyDescent="0.2">
      <c r="A153" t="s">
        <v>408</v>
      </c>
      <c r="B153" s="2">
        <v>30</v>
      </c>
      <c r="C153" t="s">
        <v>117</v>
      </c>
      <c r="D153" s="2" t="s">
        <v>33</v>
      </c>
      <c r="E153" s="2">
        <v>7</v>
      </c>
      <c r="F153" s="2">
        <v>3</v>
      </c>
      <c r="G153" s="2">
        <v>144</v>
      </c>
      <c r="H153" s="2">
        <v>15.1</v>
      </c>
      <c r="I153" s="2">
        <v>0.501</v>
      </c>
      <c r="J153" s="2">
        <v>2.1999999999999999E-2</v>
      </c>
      <c r="K153" s="2">
        <v>4.2999999999999997E-2</v>
      </c>
      <c r="L153" s="2">
        <v>3.6</v>
      </c>
      <c r="M153" s="2">
        <v>14.9</v>
      </c>
      <c r="N153" s="2">
        <v>9</v>
      </c>
      <c r="O153" s="2">
        <v>50.9</v>
      </c>
      <c r="P153" s="2">
        <v>3.4</v>
      </c>
      <c r="Q153" s="2">
        <v>1.9</v>
      </c>
      <c r="R153" s="2">
        <v>29.9</v>
      </c>
      <c r="S153" s="2">
        <v>19.7</v>
      </c>
      <c r="T153" s="2">
        <v>-0.1</v>
      </c>
      <c r="U153" s="2">
        <v>0.1</v>
      </c>
      <c r="V153" s="2">
        <v>0</v>
      </c>
      <c r="W153" s="2">
        <v>8.0000000000000002E-3</v>
      </c>
      <c r="X153" s="2">
        <v>-2.2999999999999998</v>
      </c>
      <c r="Y153" s="2">
        <v>-0.1</v>
      </c>
      <c r="Z153" s="2">
        <v>-2.4</v>
      </c>
      <c r="AA153" s="2">
        <v>0</v>
      </c>
    </row>
    <row r="154" spans="1:27" x14ac:dyDescent="0.2">
      <c r="A154" t="s">
        <v>458</v>
      </c>
      <c r="B154" s="2">
        <v>24</v>
      </c>
      <c r="C154" t="s">
        <v>82</v>
      </c>
      <c r="D154" s="2" t="s">
        <v>27</v>
      </c>
      <c r="E154" s="2">
        <v>15</v>
      </c>
      <c r="F154" s="2">
        <v>1</v>
      </c>
      <c r="G154" s="2">
        <v>111</v>
      </c>
      <c r="H154" s="2">
        <v>4.7</v>
      </c>
      <c r="I154" s="2">
        <v>0.501</v>
      </c>
      <c r="J154" s="2">
        <v>0.27800000000000002</v>
      </c>
      <c r="K154" s="2">
        <v>0.5</v>
      </c>
      <c r="L154" s="2">
        <v>3.2</v>
      </c>
      <c r="M154" s="2">
        <v>9.4</v>
      </c>
      <c r="N154" s="2">
        <v>6.3</v>
      </c>
      <c r="O154" s="2">
        <v>6.7</v>
      </c>
      <c r="P154" s="2">
        <v>0.9</v>
      </c>
      <c r="Q154" s="2">
        <v>1.7</v>
      </c>
      <c r="R154" s="2">
        <v>15.4</v>
      </c>
      <c r="S154" s="2">
        <v>10.1</v>
      </c>
      <c r="T154" s="2">
        <v>0</v>
      </c>
      <c r="U154" s="2">
        <v>0</v>
      </c>
      <c r="V154" s="2">
        <v>0</v>
      </c>
      <c r="W154" s="2">
        <v>-2E-3</v>
      </c>
      <c r="X154" s="2">
        <v>-5.8</v>
      </c>
      <c r="Y154" s="2">
        <v>-1.7</v>
      </c>
      <c r="Z154" s="2">
        <v>-7.5</v>
      </c>
      <c r="AA154" s="2">
        <v>-0.2</v>
      </c>
    </row>
    <row r="155" spans="1:27" x14ac:dyDescent="0.2">
      <c r="A155" t="s">
        <v>367</v>
      </c>
      <c r="B155" s="2">
        <v>36</v>
      </c>
      <c r="C155" t="s">
        <v>122</v>
      </c>
      <c r="D155" s="2" t="s">
        <v>52</v>
      </c>
      <c r="E155" s="2">
        <v>16</v>
      </c>
      <c r="F155" s="2">
        <v>1</v>
      </c>
      <c r="G155" s="2">
        <v>264</v>
      </c>
      <c r="H155" s="2">
        <v>6.6</v>
      </c>
      <c r="I155" s="2">
        <v>0.44400000000000001</v>
      </c>
      <c r="J155" s="2">
        <v>0.54500000000000004</v>
      </c>
      <c r="K155" s="2">
        <v>0.28599999999999998</v>
      </c>
      <c r="L155" s="2">
        <v>1.2</v>
      </c>
      <c r="M155" s="2">
        <v>5.6</v>
      </c>
      <c r="N155" s="2">
        <v>3.3</v>
      </c>
      <c r="O155" s="2">
        <v>11.6</v>
      </c>
      <c r="P155" s="2">
        <v>1.9</v>
      </c>
      <c r="Q155" s="2">
        <v>2</v>
      </c>
      <c r="R155" s="2">
        <v>13</v>
      </c>
      <c r="S155" s="2">
        <v>16.600000000000001</v>
      </c>
      <c r="T155" s="2">
        <v>-0.3</v>
      </c>
      <c r="U155" s="2">
        <v>0.2</v>
      </c>
      <c r="V155" s="2">
        <v>-0.1</v>
      </c>
      <c r="W155" s="2">
        <v>-1.9E-2</v>
      </c>
      <c r="X155" s="2">
        <v>-4.4000000000000004</v>
      </c>
      <c r="Y155" s="2">
        <v>-0.4</v>
      </c>
      <c r="Z155" s="2">
        <v>-4.8</v>
      </c>
      <c r="AA155" s="2">
        <v>-0.2</v>
      </c>
    </row>
    <row r="156" spans="1:27" x14ac:dyDescent="0.2">
      <c r="A156" t="s">
        <v>96</v>
      </c>
      <c r="B156" s="2">
        <v>23</v>
      </c>
      <c r="C156" t="s">
        <v>57</v>
      </c>
      <c r="D156" s="2" t="s">
        <v>27</v>
      </c>
      <c r="E156" s="2">
        <v>24</v>
      </c>
      <c r="F156" s="2">
        <v>24</v>
      </c>
      <c r="G156" s="2">
        <v>736</v>
      </c>
      <c r="H156" s="2">
        <v>22</v>
      </c>
      <c r="I156" s="2">
        <v>0.63300000000000001</v>
      </c>
      <c r="J156" s="2">
        <v>0.182</v>
      </c>
      <c r="K156" s="2">
        <v>0.32300000000000001</v>
      </c>
      <c r="L156" s="2">
        <v>8.4</v>
      </c>
      <c r="M156" s="2">
        <v>23.8</v>
      </c>
      <c r="N156" s="2">
        <v>16.399999999999999</v>
      </c>
      <c r="O156" s="2">
        <v>12.3</v>
      </c>
      <c r="P156" s="2">
        <v>1.7</v>
      </c>
      <c r="Q156" s="2">
        <v>4.5999999999999996</v>
      </c>
      <c r="R156" s="2">
        <v>13.1</v>
      </c>
      <c r="S156" s="2">
        <v>23.4</v>
      </c>
      <c r="T156" s="2">
        <v>1.6</v>
      </c>
      <c r="U156" s="2">
        <v>1.3</v>
      </c>
      <c r="V156" s="2">
        <v>2.9</v>
      </c>
      <c r="W156" s="2">
        <v>0.189</v>
      </c>
      <c r="X156" s="2">
        <v>1.9</v>
      </c>
      <c r="Y156" s="2">
        <v>1.1000000000000001</v>
      </c>
      <c r="Z156" s="2">
        <v>3.1</v>
      </c>
      <c r="AA156" s="2">
        <v>0.9</v>
      </c>
    </row>
    <row r="157" spans="1:27" x14ac:dyDescent="0.2">
      <c r="A157" t="s">
        <v>47</v>
      </c>
      <c r="B157" s="2">
        <v>23</v>
      </c>
      <c r="C157" t="s">
        <v>48</v>
      </c>
      <c r="D157" s="2" t="s">
        <v>49</v>
      </c>
      <c r="E157" s="2">
        <v>25</v>
      </c>
      <c r="F157" s="2">
        <v>25</v>
      </c>
      <c r="G157" s="2">
        <v>829</v>
      </c>
      <c r="H157" s="2">
        <v>22.8</v>
      </c>
      <c r="I157" s="2">
        <v>0.57299999999999995</v>
      </c>
      <c r="J157" s="2">
        <v>0.33600000000000002</v>
      </c>
      <c r="K157" s="2">
        <v>0.28499999999999998</v>
      </c>
      <c r="L157" s="2">
        <v>3.1</v>
      </c>
      <c r="M157" s="2">
        <v>17</v>
      </c>
      <c r="N157" s="2">
        <v>9.8000000000000007</v>
      </c>
      <c r="O157" s="2">
        <v>31.8</v>
      </c>
      <c r="P157" s="2">
        <v>2.6</v>
      </c>
      <c r="Q157" s="2">
        <v>1.4</v>
      </c>
      <c r="R157" s="2">
        <v>10.3</v>
      </c>
      <c r="S157" s="2">
        <v>31</v>
      </c>
      <c r="T157" s="2">
        <v>1.8</v>
      </c>
      <c r="U157" s="2">
        <v>1.5</v>
      </c>
      <c r="V157" s="2">
        <v>3.3</v>
      </c>
      <c r="W157" s="2">
        <v>0.191</v>
      </c>
      <c r="X157" s="2">
        <v>4.2</v>
      </c>
      <c r="Y157" s="2">
        <v>1.7</v>
      </c>
      <c r="Z157" s="2">
        <v>6</v>
      </c>
      <c r="AA157" s="2">
        <v>1.7</v>
      </c>
    </row>
    <row r="158" spans="1:27" x14ac:dyDescent="0.2">
      <c r="A158" t="s">
        <v>127</v>
      </c>
      <c r="B158" s="2">
        <v>30</v>
      </c>
      <c r="C158" t="s">
        <v>87</v>
      </c>
      <c r="D158" s="2" t="s">
        <v>33</v>
      </c>
      <c r="E158" s="2">
        <v>23</v>
      </c>
      <c r="F158" s="2">
        <v>23</v>
      </c>
      <c r="G158" s="2">
        <v>808</v>
      </c>
      <c r="H158" s="2">
        <v>14.1</v>
      </c>
      <c r="I158" s="2">
        <v>0.504</v>
      </c>
      <c r="J158" s="2">
        <v>0.53600000000000003</v>
      </c>
      <c r="K158" s="2">
        <v>0.17899999999999999</v>
      </c>
      <c r="L158" s="2">
        <v>1.7</v>
      </c>
      <c r="M158" s="2">
        <v>10.5</v>
      </c>
      <c r="N158" s="2">
        <v>6.1</v>
      </c>
      <c r="O158" s="2">
        <v>24.3</v>
      </c>
      <c r="P158" s="2">
        <v>2</v>
      </c>
      <c r="Q158" s="2">
        <v>1.1000000000000001</v>
      </c>
      <c r="R158" s="2">
        <v>8</v>
      </c>
      <c r="S158" s="2">
        <v>19.8</v>
      </c>
      <c r="T158" s="2">
        <v>1</v>
      </c>
      <c r="U158" s="2">
        <v>1.4</v>
      </c>
      <c r="V158" s="2">
        <v>2.4</v>
      </c>
      <c r="W158" s="2">
        <v>0.14099999999999999</v>
      </c>
      <c r="X158" s="2">
        <v>0</v>
      </c>
      <c r="Y158" s="2">
        <v>1.6</v>
      </c>
      <c r="Z158" s="2">
        <v>1.6</v>
      </c>
      <c r="AA158" s="2">
        <v>0.7</v>
      </c>
    </row>
    <row r="159" spans="1:27" x14ac:dyDescent="0.2">
      <c r="A159" t="s">
        <v>351</v>
      </c>
      <c r="B159" s="2">
        <v>28</v>
      </c>
      <c r="C159" t="s">
        <v>41</v>
      </c>
      <c r="D159" s="2" t="s">
        <v>33</v>
      </c>
      <c r="E159" s="2">
        <v>24</v>
      </c>
      <c r="F159" s="2">
        <v>3</v>
      </c>
      <c r="G159" s="2">
        <v>454</v>
      </c>
      <c r="H159" s="2">
        <v>4.2</v>
      </c>
      <c r="I159" s="2">
        <v>0.432</v>
      </c>
      <c r="J159" s="2">
        <v>0.59199999999999997</v>
      </c>
      <c r="K159" s="2">
        <v>7.8E-2</v>
      </c>
      <c r="L159" s="2">
        <v>1.8</v>
      </c>
      <c r="M159" s="2">
        <v>4.8</v>
      </c>
      <c r="N159" s="2">
        <v>3.3</v>
      </c>
      <c r="O159" s="2">
        <v>5.7</v>
      </c>
      <c r="P159" s="2">
        <v>2.2999999999999998</v>
      </c>
      <c r="Q159" s="2">
        <v>0.4</v>
      </c>
      <c r="R159" s="2">
        <v>9.4</v>
      </c>
      <c r="S159" s="2">
        <v>11.4</v>
      </c>
      <c r="T159" s="2">
        <v>-0.4</v>
      </c>
      <c r="U159" s="2">
        <v>0.1</v>
      </c>
      <c r="V159" s="2">
        <v>-0.3</v>
      </c>
      <c r="W159" s="2">
        <v>-3.1E-2</v>
      </c>
      <c r="X159" s="2">
        <v>-6.8</v>
      </c>
      <c r="Y159" s="2">
        <v>-0.7</v>
      </c>
      <c r="Z159" s="2">
        <v>-7.5</v>
      </c>
      <c r="AA159" s="2">
        <v>-0.6</v>
      </c>
    </row>
    <row r="160" spans="1:27" x14ac:dyDescent="0.2">
      <c r="A160" t="s">
        <v>521</v>
      </c>
      <c r="B160" s="2">
        <v>38</v>
      </c>
      <c r="C160" t="s">
        <v>66</v>
      </c>
      <c r="D160" s="2" t="s">
        <v>52</v>
      </c>
      <c r="E160" s="2">
        <v>8</v>
      </c>
      <c r="F160" s="2">
        <v>0</v>
      </c>
      <c r="G160" s="2">
        <v>31</v>
      </c>
      <c r="H160" s="2">
        <v>11.4</v>
      </c>
      <c r="I160" s="2">
        <v>0.41699999999999998</v>
      </c>
      <c r="J160" s="2">
        <v>0.33300000000000002</v>
      </c>
      <c r="K160" s="2">
        <v>0</v>
      </c>
      <c r="L160" s="2">
        <v>3.5</v>
      </c>
      <c r="M160" s="2">
        <v>10.6</v>
      </c>
      <c r="N160" s="2">
        <v>7</v>
      </c>
      <c r="O160" s="2">
        <v>20.100000000000001</v>
      </c>
      <c r="P160" s="2">
        <v>6.2</v>
      </c>
      <c r="Q160" s="2">
        <v>3.1</v>
      </c>
      <c r="R160" s="2">
        <v>14.3</v>
      </c>
      <c r="S160" s="2">
        <v>9.4</v>
      </c>
      <c r="T160" s="2">
        <v>0</v>
      </c>
      <c r="U160" s="2">
        <v>0.1</v>
      </c>
      <c r="V160" s="2">
        <v>0.1</v>
      </c>
      <c r="W160" s="2">
        <v>0.10199999999999999</v>
      </c>
      <c r="X160" s="2">
        <v>-4.4000000000000004</v>
      </c>
      <c r="Y160" s="2">
        <v>6.4</v>
      </c>
      <c r="Z160" s="2">
        <v>2.1</v>
      </c>
      <c r="AA160" s="2">
        <v>0</v>
      </c>
    </row>
    <row r="161" spans="1:27" x14ac:dyDescent="0.2">
      <c r="A161" t="s">
        <v>280</v>
      </c>
      <c r="B161" s="2">
        <v>28</v>
      </c>
      <c r="C161" t="s">
        <v>72</v>
      </c>
      <c r="D161" s="2" t="s">
        <v>52</v>
      </c>
      <c r="E161" s="2">
        <v>19</v>
      </c>
      <c r="F161" s="2">
        <v>1</v>
      </c>
      <c r="G161" s="2">
        <v>343</v>
      </c>
      <c r="H161" s="2">
        <v>12.4</v>
      </c>
      <c r="I161" s="2">
        <v>0.66100000000000003</v>
      </c>
      <c r="J161" s="2">
        <v>0.83799999999999997</v>
      </c>
      <c r="K161" s="2">
        <v>0.313</v>
      </c>
      <c r="L161" s="2">
        <v>0.9</v>
      </c>
      <c r="M161" s="2">
        <v>5.7</v>
      </c>
      <c r="N161" s="2">
        <v>3.2</v>
      </c>
      <c r="O161" s="2">
        <v>10.3</v>
      </c>
      <c r="P161" s="2">
        <v>1.8</v>
      </c>
      <c r="Q161" s="2">
        <v>0.8</v>
      </c>
      <c r="R161" s="2">
        <v>8.1999999999999993</v>
      </c>
      <c r="S161" s="2">
        <v>14.4</v>
      </c>
      <c r="T161" s="2">
        <v>0.7</v>
      </c>
      <c r="U161" s="2">
        <v>0.2</v>
      </c>
      <c r="V161" s="2">
        <v>0.8</v>
      </c>
      <c r="W161" s="2">
        <v>0.11799999999999999</v>
      </c>
      <c r="X161" s="2">
        <v>-0.6</v>
      </c>
      <c r="Y161" s="2">
        <v>-0.5</v>
      </c>
      <c r="Z161" s="2">
        <v>-1.1000000000000001</v>
      </c>
      <c r="AA161" s="2">
        <v>0.1</v>
      </c>
    </row>
    <row r="162" spans="1:27" x14ac:dyDescent="0.2">
      <c r="A162" t="s">
        <v>378</v>
      </c>
      <c r="B162" s="2">
        <v>30</v>
      </c>
      <c r="C162" t="s">
        <v>48</v>
      </c>
      <c r="D162" s="2" t="s">
        <v>52</v>
      </c>
      <c r="E162" s="2">
        <v>17</v>
      </c>
      <c r="F162" s="2">
        <v>2</v>
      </c>
      <c r="G162" s="2">
        <v>282</v>
      </c>
      <c r="H162" s="2">
        <v>7.6</v>
      </c>
      <c r="I162" s="2">
        <v>0.55100000000000005</v>
      </c>
      <c r="J162" s="2">
        <v>0.76700000000000002</v>
      </c>
      <c r="K162" s="2">
        <v>0.1</v>
      </c>
      <c r="L162" s="2">
        <v>3.6</v>
      </c>
      <c r="M162" s="2">
        <v>6</v>
      </c>
      <c r="N162" s="2">
        <v>4.7</v>
      </c>
      <c r="O162" s="2">
        <v>3.5</v>
      </c>
      <c r="P162" s="2">
        <v>1.6</v>
      </c>
      <c r="Q162" s="2">
        <v>1.7</v>
      </c>
      <c r="R162" s="2">
        <v>10.1</v>
      </c>
      <c r="S162" s="2">
        <v>10.7</v>
      </c>
      <c r="T162" s="2">
        <v>0.1</v>
      </c>
      <c r="U162" s="2">
        <v>0.4</v>
      </c>
      <c r="V162" s="2">
        <v>0.4</v>
      </c>
      <c r="W162" s="2">
        <v>7.6999999999999999E-2</v>
      </c>
      <c r="X162" s="2">
        <v>-2.9</v>
      </c>
      <c r="Y162" s="2">
        <v>0.6</v>
      </c>
      <c r="Z162" s="2">
        <v>-2.2999999999999998</v>
      </c>
      <c r="AA162" s="2">
        <v>0</v>
      </c>
    </row>
    <row r="163" spans="1:27" x14ac:dyDescent="0.2">
      <c r="A163" t="s">
        <v>321</v>
      </c>
      <c r="B163" s="2">
        <v>32</v>
      </c>
      <c r="C163" t="s">
        <v>100</v>
      </c>
      <c r="D163" s="2" t="s">
        <v>52</v>
      </c>
      <c r="E163" s="2">
        <v>24</v>
      </c>
      <c r="F163" s="2">
        <v>4</v>
      </c>
      <c r="G163" s="2">
        <v>325</v>
      </c>
      <c r="H163" s="2">
        <v>14.7</v>
      </c>
      <c r="I163" s="2">
        <v>0.57199999999999995</v>
      </c>
      <c r="J163" s="2">
        <v>0.28999999999999998</v>
      </c>
      <c r="K163" s="2">
        <v>0.11799999999999999</v>
      </c>
      <c r="L163" s="2">
        <v>8.8000000000000007</v>
      </c>
      <c r="M163" s="2">
        <v>12.5</v>
      </c>
      <c r="N163" s="2">
        <v>10.6</v>
      </c>
      <c r="O163" s="2">
        <v>12.6</v>
      </c>
      <c r="P163" s="2">
        <v>2.8</v>
      </c>
      <c r="Q163" s="2">
        <v>2.6</v>
      </c>
      <c r="R163" s="2">
        <v>12.5</v>
      </c>
      <c r="S163" s="2">
        <v>14.3</v>
      </c>
      <c r="T163" s="2">
        <v>0.4</v>
      </c>
      <c r="U163" s="2">
        <v>0.6</v>
      </c>
      <c r="V163" s="2">
        <v>1</v>
      </c>
      <c r="W163" s="2">
        <v>0.14499999999999999</v>
      </c>
      <c r="X163" s="2">
        <v>-1.4</v>
      </c>
      <c r="Y163" s="2">
        <v>2.2999999999999998</v>
      </c>
      <c r="Z163" s="2">
        <v>0.9</v>
      </c>
      <c r="AA163" s="2">
        <v>0.2</v>
      </c>
    </row>
    <row r="164" spans="1:27" x14ac:dyDescent="0.2">
      <c r="A164" t="s">
        <v>228</v>
      </c>
      <c r="B164" s="2">
        <v>26</v>
      </c>
      <c r="C164" t="s">
        <v>35</v>
      </c>
      <c r="D164" s="2" t="s">
        <v>52</v>
      </c>
      <c r="E164" s="2">
        <v>22</v>
      </c>
      <c r="F164" s="2">
        <v>7</v>
      </c>
      <c r="G164" s="2">
        <v>571</v>
      </c>
      <c r="H164" s="2">
        <v>9.3000000000000007</v>
      </c>
      <c r="I164" s="2">
        <v>0.57899999999999996</v>
      </c>
      <c r="J164" s="2">
        <v>0.67500000000000004</v>
      </c>
      <c r="K164" s="2">
        <v>0.13900000000000001</v>
      </c>
      <c r="L164" s="2">
        <v>0.6</v>
      </c>
      <c r="M164" s="2">
        <v>7.6</v>
      </c>
      <c r="N164" s="2">
        <v>4.3</v>
      </c>
      <c r="O164" s="2">
        <v>5.3</v>
      </c>
      <c r="P164" s="2">
        <v>1.7</v>
      </c>
      <c r="Q164" s="2">
        <v>0</v>
      </c>
      <c r="R164" s="2">
        <v>6.4</v>
      </c>
      <c r="S164" s="2">
        <v>14.6</v>
      </c>
      <c r="T164" s="2">
        <v>0.4</v>
      </c>
      <c r="U164" s="2">
        <v>0.3</v>
      </c>
      <c r="V164" s="2">
        <v>0.7</v>
      </c>
      <c r="W164" s="2">
        <v>6.0999999999999999E-2</v>
      </c>
      <c r="X164" s="2">
        <v>-3</v>
      </c>
      <c r="Y164" s="2">
        <v>-0.6</v>
      </c>
      <c r="Z164" s="2">
        <v>-3.6</v>
      </c>
      <c r="AA164" s="2">
        <v>-0.2</v>
      </c>
    </row>
    <row r="165" spans="1:27" x14ac:dyDescent="0.2">
      <c r="A165" t="s">
        <v>221</v>
      </c>
      <c r="B165" s="2">
        <v>31</v>
      </c>
      <c r="C165" t="s">
        <v>57</v>
      </c>
      <c r="D165" s="2" t="s">
        <v>27</v>
      </c>
      <c r="E165" s="2">
        <v>25</v>
      </c>
      <c r="F165" s="2">
        <v>1</v>
      </c>
      <c r="G165" s="2">
        <v>514</v>
      </c>
      <c r="H165" s="2">
        <v>10.7</v>
      </c>
      <c r="I165" s="2">
        <v>0.59</v>
      </c>
      <c r="J165" s="2">
        <v>0.65900000000000003</v>
      </c>
      <c r="K165" s="2">
        <v>7.4999999999999997E-2</v>
      </c>
      <c r="L165" s="2">
        <v>3.3</v>
      </c>
      <c r="M165" s="2">
        <v>16.899999999999999</v>
      </c>
      <c r="N165" s="2">
        <v>10.3</v>
      </c>
      <c r="O165" s="2">
        <v>7.7</v>
      </c>
      <c r="P165" s="2">
        <v>0.8</v>
      </c>
      <c r="Q165" s="2">
        <v>0.9</v>
      </c>
      <c r="R165" s="2">
        <v>12.3</v>
      </c>
      <c r="S165" s="2">
        <v>17.2</v>
      </c>
      <c r="T165" s="2">
        <v>0.3</v>
      </c>
      <c r="U165" s="2">
        <v>0.5</v>
      </c>
      <c r="V165" s="2">
        <v>0.8</v>
      </c>
      <c r="W165" s="2">
        <v>7.4999999999999997E-2</v>
      </c>
      <c r="X165" s="2">
        <v>-1.8</v>
      </c>
      <c r="Y165" s="2">
        <v>-0.9</v>
      </c>
      <c r="Z165" s="2">
        <v>-2.6</v>
      </c>
      <c r="AA165" s="2">
        <v>-0.1</v>
      </c>
    </row>
    <row r="166" spans="1:27" x14ac:dyDescent="0.2">
      <c r="A166" t="s">
        <v>34</v>
      </c>
      <c r="B166" s="2">
        <v>30</v>
      </c>
      <c r="C166" t="s">
        <v>35</v>
      </c>
      <c r="D166" s="2" t="s">
        <v>27</v>
      </c>
      <c r="E166" s="2">
        <v>22</v>
      </c>
      <c r="F166" s="2">
        <v>22</v>
      </c>
      <c r="G166" s="2">
        <v>772</v>
      </c>
      <c r="H166" s="2">
        <v>31.5</v>
      </c>
      <c r="I166" s="2">
        <v>0.63</v>
      </c>
      <c r="J166" s="2">
        <v>3.6999999999999998E-2</v>
      </c>
      <c r="K166" s="2">
        <v>0.52600000000000002</v>
      </c>
      <c r="L166" s="2">
        <v>6.7</v>
      </c>
      <c r="M166" s="2">
        <v>28.2</v>
      </c>
      <c r="N166" s="2">
        <v>17.899999999999999</v>
      </c>
      <c r="O166" s="2">
        <v>35.4</v>
      </c>
      <c r="P166" s="2">
        <v>0.8</v>
      </c>
      <c r="Q166" s="2">
        <v>3.8</v>
      </c>
      <c r="R166" s="2">
        <v>11.7</v>
      </c>
      <c r="S166" s="2">
        <v>37.1</v>
      </c>
      <c r="T166" s="2">
        <v>2.8</v>
      </c>
      <c r="U166" s="2">
        <v>1</v>
      </c>
      <c r="V166" s="2">
        <v>3.8</v>
      </c>
      <c r="W166" s="2">
        <v>0.23699999999999999</v>
      </c>
      <c r="X166" s="2">
        <v>6.6</v>
      </c>
      <c r="Y166" s="2">
        <v>2</v>
      </c>
      <c r="Z166" s="2">
        <v>8.6</v>
      </c>
      <c r="AA166" s="2">
        <v>2</v>
      </c>
    </row>
    <row r="167" spans="1:27" x14ac:dyDescent="0.2">
      <c r="A167" t="s">
        <v>235</v>
      </c>
      <c r="B167" s="2">
        <v>25</v>
      </c>
      <c r="C167" t="s">
        <v>48</v>
      </c>
      <c r="D167" s="2" t="s">
        <v>42</v>
      </c>
      <c r="E167" s="2">
        <v>22</v>
      </c>
      <c r="F167" s="2">
        <v>19</v>
      </c>
      <c r="G167" s="2">
        <v>516</v>
      </c>
      <c r="H167" s="2">
        <v>19.8</v>
      </c>
      <c r="I167" s="2">
        <v>0.66600000000000004</v>
      </c>
      <c r="J167" s="2">
        <v>8.5000000000000006E-2</v>
      </c>
      <c r="K167" s="2">
        <v>0.318</v>
      </c>
      <c r="L167" s="2">
        <v>13.6</v>
      </c>
      <c r="M167" s="2">
        <v>24.3</v>
      </c>
      <c r="N167" s="2">
        <v>18.7</v>
      </c>
      <c r="O167" s="2">
        <v>12.9</v>
      </c>
      <c r="P167" s="2">
        <v>1.6</v>
      </c>
      <c r="Q167" s="2">
        <v>6.4</v>
      </c>
      <c r="R167" s="2">
        <v>16.5</v>
      </c>
      <c r="S167" s="2">
        <v>14.8</v>
      </c>
      <c r="T167" s="2">
        <v>1.2</v>
      </c>
      <c r="U167" s="2">
        <v>1.1000000000000001</v>
      </c>
      <c r="V167" s="2">
        <v>2.2999999999999998</v>
      </c>
      <c r="W167" s="2">
        <v>0.215</v>
      </c>
      <c r="X167" s="2">
        <v>-0.1</v>
      </c>
      <c r="Y167" s="2">
        <v>2.5</v>
      </c>
      <c r="Z167" s="2">
        <v>2.4</v>
      </c>
      <c r="AA167" s="2">
        <v>0.6</v>
      </c>
    </row>
    <row r="168" spans="1:27" x14ac:dyDescent="0.2">
      <c r="A168" t="s">
        <v>124</v>
      </c>
      <c r="B168" s="2">
        <v>21</v>
      </c>
      <c r="C168" t="s">
        <v>66</v>
      </c>
      <c r="D168" s="2" t="s">
        <v>52</v>
      </c>
      <c r="E168" s="2">
        <v>21</v>
      </c>
      <c r="F168" s="2">
        <v>21</v>
      </c>
      <c r="G168" s="2">
        <v>680</v>
      </c>
      <c r="H168" s="2">
        <v>12.5</v>
      </c>
      <c r="I168" s="2">
        <v>0.55400000000000005</v>
      </c>
      <c r="J168" s="2">
        <v>0.505</v>
      </c>
      <c r="K168" s="2">
        <v>0.26100000000000001</v>
      </c>
      <c r="L168" s="2">
        <v>2.1</v>
      </c>
      <c r="M168" s="2">
        <v>8.6999999999999993</v>
      </c>
      <c r="N168" s="2">
        <v>5.4</v>
      </c>
      <c r="O168" s="2">
        <v>8.9</v>
      </c>
      <c r="P168" s="2">
        <v>1.3</v>
      </c>
      <c r="Q168" s="2">
        <v>0.7</v>
      </c>
      <c r="R168" s="2">
        <v>8.8000000000000007</v>
      </c>
      <c r="S168" s="2">
        <v>22.9</v>
      </c>
      <c r="T168" s="2">
        <v>0.6</v>
      </c>
      <c r="U168" s="2">
        <v>0.2</v>
      </c>
      <c r="V168" s="2">
        <v>0.8</v>
      </c>
      <c r="W168" s="2">
        <v>5.3999999999999999E-2</v>
      </c>
      <c r="X168" s="2">
        <v>-0.4</v>
      </c>
      <c r="Y168" s="2">
        <v>-1.7</v>
      </c>
      <c r="Z168" s="2">
        <v>-2.1</v>
      </c>
      <c r="AA168" s="2">
        <v>0</v>
      </c>
    </row>
    <row r="169" spans="1:27" x14ac:dyDescent="0.2">
      <c r="A169" t="s">
        <v>265</v>
      </c>
      <c r="B169" s="2">
        <v>26</v>
      </c>
      <c r="C169" t="s">
        <v>59</v>
      </c>
      <c r="D169" s="2" t="s">
        <v>27</v>
      </c>
      <c r="E169" s="2">
        <v>16</v>
      </c>
      <c r="F169" s="2">
        <v>7</v>
      </c>
      <c r="G169" s="2">
        <v>479</v>
      </c>
      <c r="H169" s="2">
        <v>11.9</v>
      </c>
      <c r="I169" s="2">
        <v>0.59599999999999997</v>
      </c>
      <c r="J169" s="2">
        <v>0.60199999999999998</v>
      </c>
      <c r="K169" s="2">
        <v>0.30099999999999999</v>
      </c>
      <c r="L169" s="2">
        <v>4</v>
      </c>
      <c r="M169" s="2">
        <v>15.4</v>
      </c>
      <c r="N169" s="2">
        <v>9.5</v>
      </c>
      <c r="O169" s="2">
        <v>11.3</v>
      </c>
      <c r="P169" s="2">
        <v>1.9</v>
      </c>
      <c r="Q169" s="2">
        <v>2.7</v>
      </c>
      <c r="R169" s="2">
        <v>16.7</v>
      </c>
      <c r="S169" s="2">
        <v>14.8</v>
      </c>
      <c r="T169" s="2">
        <v>0.4</v>
      </c>
      <c r="U169" s="2">
        <v>0.4</v>
      </c>
      <c r="V169" s="2">
        <v>0.8</v>
      </c>
      <c r="W169" s="2">
        <v>8.4000000000000005E-2</v>
      </c>
      <c r="X169" s="2">
        <v>-2</v>
      </c>
      <c r="Y169" s="2">
        <v>0.5</v>
      </c>
      <c r="Z169" s="2">
        <v>-1.5</v>
      </c>
      <c r="AA169" s="2">
        <v>0.1</v>
      </c>
    </row>
    <row r="170" spans="1:27" x14ac:dyDescent="0.2">
      <c r="A170" t="s">
        <v>223</v>
      </c>
      <c r="B170" s="2">
        <v>29</v>
      </c>
      <c r="C170" t="s">
        <v>54</v>
      </c>
      <c r="D170" s="2" t="s">
        <v>52</v>
      </c>
      <c r="E170" s="2">
        <v>19</v>
      </c>
      <c r="F170" s="2">
        <v>1</v>
      </c>
      <c r="G170" s="2">
        <v>453</v>
      </c>
      <c r="H170" s="2">
        <v>13.6</v>
      </c>
      <c r="I170" s="2">
        <v>0.61</v>
      </c>
      <c r="J170" s="2">
        <v>0.75700000000000001</v>
      </c>
      <c r="K170" s="2">
        <v>0.30299999999999999</v>
      </c>
      <c r="L170" s="2">
        <v>2.5</v>
      </c>
      <c r="M170" s="2">
        <v>10.8</v>
      </c>
      <c r="N170" s="2">
        <v>6.7</v>
      </c>
      <c r="O170" s="2">
        <v>12</v>
      </c>
      <c r="P170" s="2">
        <v>1.5</v>
      </c>
      <c r="Q170" s="2">
        <v>1.2</v>
      </c>
      <c r="R170" s="2">
        <v>11.8</v>
      </c>
      <c r="S170" s="2">
        <v>19</v>
      </c>
      <c r="T170" s="2">
        <v>0.5</v>
      </c>
      <c r="U170" s="2">
        <v>0.2</v>
      </c>
      <c r="V170" s="2">
        <v>0.8</v>
      </c>
      <c r="W170" s="2">
        <v>8.3000000000000004E-2</v>
      </c>
      <c r="X170" s="2">
        <v>0.6</v>
      </c>
      <c r="Y170" s="2">
        <v>-1.2</v>
      </c>
      <c r="Z170" s="2">
        <v>-0.6</v>
      </c>
      <c r="AA170" s="2">
        <v>0.2</v>
      </c>
    </row>
    <row r="171" spans="1:27" x14ac:dyDescent="0.2">
      <c r="A171" t="s">
        <v>216</v>
      </c>
      <c r="B171" s="2">
        <v>29</v>
      </c>
      <c r="C171" t="s">
        <v>122</v>
      </c>
      <c r="D171" s="2" t="s">
        <v>27</v>
      </c>
      <c r="E171" s="2">
        <v>22</v>
      </c>
      <c r="F171" s="2">
        <v>9</v>
      </c>
      <c r="G171" s="2">
        <v>538</v>
      </c>
      <c r="H171" s="2">
        <v>14.4</v>
      </c>
      <c r="I171" s="2">
        <v>0.60099999999999998</v>
      </c>
      <c r="J171" s="2">
        <v>0.52800000000000002</v>
      </c>
      <c r="K171" s="2">
        <v>0.245</v>
      </c>
      <c r="L171" s="2">
        <v>8.1</v>
      </c>
      <c r="M171" s="2">
        <v>19.3</v>
      </c>
      <c r="N171" s="2">
        <v>13.4</v>
      </c>
      <c r="O171" s="2">
        <v>12.7</v>
      </c>
      <c r="P171" s="2">
        <v>1.4</v>
      </c>
      <c r="Q171" s="2">
        <v>1.9</v>
      </c>
      <c r="R171" s="2">
        <v>13.8</v>
      </c>
      <c r="S171" s="2">
        <v>17.100000000000001</v>
      </c>
      <c r="T171" s="2">
        <v>0.7</v>
      </c>
      <c r="U171" s="2">
        <v>0.6</v>
      </c>
      <c r="V171" s="2">
        <v>1.2</v>
      </c>
      <c r="W171" s="2">
        <v>0.11</v>
      </c>
      <c r="X171" s="2">
        <v>0</v>
      </c>
      <c r="Y171" s="2">
        <v>-0.1</v>
      </c>
      <c r="Z171" s="2">
        <v>-0.1</v>
      </c>
      <c r="AA171" s="2">
        <v>0.3</v>
      </c>
    </row>
    <row r="172" spans="1:27" x14ac:dyDescent="0.2">
      <c r="A172" t="s">
        <v>512</v>
      </c>
      <c r="B172" s="2">
        <v>22</v>
      </c>
      <c r="C172" t="s">
        <v>100</v>
      </c>
      <c r="D172" s="2" t="s">
        <v>27</v>
      </c>
      <c r="E172" s="2">
        <v>6</v>
      </c>
      <c r="F172" s="2">
        <v>0</v>
      </c>
      <c r="G172" s="2">
        <v>22</v>
      </c>
      <c r="H172" s="2">
        <v>4.9000000000000004</v>
      </c>
      <c r="I172" s="2">
        <v>0.51</v>
      </c>
      <c r="J172" s="2">
        <v>0.6</v>
      </c>
      <c r="K172" s="2">
        <v>0.4</v>
      </c>
      <c r="L172" s="2">
        <v>4.5999999999999996</v>
      </c>
      <c r="M172" s="2">
        <v>23.7</v>
      </c>
      <c r="N172" s="2">
        <v>14</v>
      </c>
      <c r="O172" s="2">
        <v>11.8</v>
      </c>
      <c r="P172" s="2">
        <v>0</v>
      </c>
      <c r="Q172" s="2">
        <v>0</v>
      </c>
      <c r="R172" s="2">
        <v>25.4</v>
      </c>
      <c r="S172" s="2">
        <v>14.9</v>
      </c>
      <c r="T172" s="2">
        <v>0</v>
      </c>
      <c r="U172" s="2">
        <v>0</v>
      </c>
      <c r="V172" s="2">
        <v>0</v>
      </c>
      <c r="W172" s="2">
        <v>0.01</v>
      </c>
      <c r="X172" s="2">
        <v>-7.2</v>
      </c>
      <c r="Y172" s="2">
        <v>-1.1000000000000001</v>
      </c>
      <c r="Z172" s="2">
        <v>-8.4</v>
      </c>
      <c r="AA172" s="2">
        <v>0</v>
      </c>
    </row>
    <row r="173" spans="1:27" x14ac:dyDescent="0.2">
      <c r="A173" t="s">
        <v>186</v>
      </c>
      <c r="B173" s="2">
        <v>32</v>
      </c>
      <c r="C173" t="s">
        <v>93</v>
      </c>
      <c r="D173" s="2" t="s">
        <v>27</v>
      </c>
      <c r="E173" s="2">
        <v>24</v>
      </c>
      <c r="F173" s="2">
        <v>24</v>
      </c>
      <c r="G173" s="2">
        <v>688</v>
      </c>
      <c r="H173" s="2">
        <v>13.2</v>
      </c>
      <c r="I173" s="2">
        <v>0.63400000000000001</v>
      </c>
      <c r="J173" s="2">
        <v>0.44600000000000001</v>
      </c>
      <c r="K173" s="2">
        <v>0.40100000000000002</v>
      </c>
      <c r="L173" s="2">
        <v>6.2</v>
      </c>
      <c r="M173" s="2">
        <v>10.1</v>
      </c>
      <c r="N173" s="2">
        <v>8.1</v>
      </c>
      <c r="O173" s="2">
        <v>8.3000000000000007</v>
      </c>
      <c r="P173" s="2">
        <v>0.5</v>
      </c>
      <c r="Q173" s="2">
        <v>0.6</v>
      </c>
      <c r="R173" s="2">
        <v>8</v>
      </c>
      <c r="S173" s="2">
        <v>14.1</v>
      </c>
      <c r="T173" s="2">
        <v>1.4</v>
      </c>
      <c r="U173" s="2">
        <v>0.2</v>
      </c>
      <c r="V173" s="2">
        <v>1.6</v>
      </c>
      <c r="W173" s="2">
        <v>0.113</v>
      </c>
      <c r="X173" s="2">
        <v>0.5</v>
      </c>
      <c r="Y173" s="2">
        <v>-1.8</v>
      </c>
      <c r="Z173" s="2">
        <v>-1.3</v>
      </c>
      <c r="AA173" s="2">
        <v>0.1</v>
      </c>
    </row>
    <row r="174" spans="1:27" x14ac:dyDescent="0.2">
      <c r="A174" t="s">
        <v>559</v>
      </c>
      <c r="B174" s="2">
        <v>22</v>
      </c>
      <c r="C174" t="s">
        <v>93</v>
      </c>
      <c r="D174" s="2" t="s">
        <v>49</v>
      </c>
      <c r="E174" s="2">
        <v>1</v>
      </c>
      <c r="F174" s="2">
        <v>0</v>
      </c>
      <c r="G174" s="2">
        <v>7</v>
      </c>
      <c r="H174" s="2">
        <v>-5.7</v>
      </c>
      <c r="I174" s="2">
        <v>0</v>
      </c>
      <c r="J174" s="2">
        <v>0</v>
      </c>
      <c r="K174" s="2">
        <v>0</v>
      </c>
      <c r="L174" s="2">
        <v>0</v>
      </c>
      <c r="M174" s="2">
        <v>15.2</v>
      </c>
      <c r="N174" s="2">
        <v>7.7</v>
      </c>
      <c r="O174" s="2">
        <v>0</v>
      </c>
      <c r="P174" s="2">
        <v>0</v>
      </c>
      <c r="Q174" s="2">
        <v>0</v>
      </c>
      <c r="R174" s="2">
        <v>0</v>
      </c>
      <c r="S174" s="2">
        <v>6.1</v>
      </c>
      <c r="T174" s="2">
        <v>0</v>
      </c>
      <c r="U174" s="2">
        <v>0</v>
      </c>
      <c r="V174" s="2">
        <v>0</v>
      </c>
      <c r="W174" s="2">
        <v>-0.129</v>
      </c>
      <c r="X174" s="2">
        <v>-11.4</v>
      </c>
      <c r="Y174" s="2">
        <v>-4.0999999999999996</v>
      </c>
      <c r="Z174" s="2">
        <v>-15.6</v>
      </c>
      <c r="AA174" s="2">
        <v>0</v>
      </c>
    </row>
    <row r="175" spans="1:27" x14ac:dyDescent="0.2">
      <c r="A175" t="s">
        <v>275</v>
      </c>
      <c r="B175" s="2">
        <v>28</v>
      </c>
      <c r="C175" t="s">
        <v>61</v>
      </c>
      <c r="D175" s="2" t="s">
        <v>49</v>
      </c>
      <c r="E175" s="2">
        <v>21</v>
      </c>
      <c r="F175" s="2">
        <v>15</v>
      </c>
      <c r="G175" s="2">
        <v>527</v>
      </c>
      <c r="H175" s="2">
        <v>11.1</v>
      </c>
      <c r="I175" s="2">
        <v>0.60499999999999998</v>
      </c>
      <c r="J175" s="2">
        <v>0.55900000000000005</v>
      </c>
      <c r="K175" s="2">
        <v>0.161</v>
      </c>
      <c r="L175" s="2">
        <v>3.5</v>
      </c>
      <c r="M175" s="2">
        <v>9.6</v>
      </c>
      <c r="N175" s="2">
        <v>6.6</v>
      </c>
      <c r="O175" s="2">
        <v>6.1</v>
      </c>
      <c r="P175" s="2">
        <v>2.2999999999999998</v>
      </c>
      <c r="Q175" s="2">
        <v>2.9</v>
      </c>
      <c r="R175" s="2">
        <v>10</v>
      </c>
      <c r="S175" s="2">
        <v>11.6</v>
      </c>
      <c r="T175" s="2">
        <v>0.5</v>
      </c>
      <c r="U175" s="2">
        <v>0.7</v>
      </c>
      <c r="V175" s="2">
        <v>1.1000000000000001</v>
      </c>
      <c r="W175" s="2">
        <v>0.10199999999999999</v>
      </c>
      <c r="X175" s="2">
        <v>-2.2000000000000002</v>
      </c>
      <c r="Y175" s="2">
        <v>1.1000000000000001</v>
      </c>
      <c r="Z175" s="2">
        <v>-1.1000000000000001</v>
      </c>
      <c r="AA175" s="2">
        <v>0.1</v>
      </c>
    </row>
    <row r="176" spans="1:27" x14ac:dyDescent="0.2">
      <c r="A176" t="s">
        <v>363</v>
      </c>
      <c r="B176" s="2">
        <v>26</v>
      </c>
      <c r="C176" t="s">
        <v>117</v>
      </c>
      <c r="D176" s="2" t="s">
        <v>49</v>
      </c>
      <c r="E176" s="2">
        <v>8</v>
      </c>
      <c r="F176" s="2">
        <v>8</v>
      </c>
      <c r="G176" s="2">
        <v>255</v>
      </c>
      <c r="H176" s="2">
        <v>10.4</v>
      </c>
      <c r="I176" s="2">
        <v>0.56499999999999995</v>
      </c>
      <c r="J176" s="2">
        <v>0.42399999999999999</v>
      </c>
      <c r="K176" s="2">
        <v>0.22700000000000001</v>
      </c>
      <c r="L176" s="2">
        <v>2.8</v>
      </c>
      <c r="M176" s="2">
        <v>10.6</v>
      </c>
      <c r="N176" s="2">
        <v>6.6</v>
      </c>
      <c r="O176" s="2">
        <v>10.3</v>
      </c>
      <c r="P176" s="2">
        <v>2.7</v>
      </c>
      <c r="Q176" s="2">
        <v>1.5</v>
      </c>
      <c r="R176" s="2">
        <v>16.2</v>
      </c>
      <c r="S176" s="2">
        <v>14.4</v>
      </c>
      <c r="T176" s="2">
        <v>0</v>
      </c>
      <c r="U176" s="2">
        <v>0.1</v>
      </c>
      <c r="V176" s="2">
        <v>0.1</v>
      </c>
      <c r="W176" s="2">
        <v>2.5999999999999999E-2</v>
      </c>
      <c r="X176" s="2">
        <v>-3.8</v>
      </c>
      <c r="Y176" s="2">
        <v>-0.4</v>
      </c>
      <c r="Z176" s="2">
        <v>-4.2</v>
      </c>
      <c r="AA176" s="2">
        <v>-0.1</v>
      </c>
    </row>
    <row r="177" spans="1:27" x14ac:dyDescent="0.2">
      <c r="A177" t="s">
        <v>424</v>
      </c>
      <c r="B177" s="2">
        <v>24</v>
      </c>
      <c r="C177" t="s">
        <v>46</v>
      </c>
      <c r="D177" s="2" t="s">
        <v>27</v>
      </c>
      <c r="E177" s="2">
        <v>14</v>
      </c>
      <c r="F177" s="2">
        <v>0</v>
      </c>
      <c r="G177" s="2">
        <v>129</v>
      </c>
      <c r="H177" s="2">
        <v>8.9</v>
      </c>
      <c r="I177" s="2">
        <v>0.58099999999999996</v>
      </c>
      <c r="J177" s="2">
        <v>0.59299999999999997</v>
      </c>
      <c r="K177" s="2">
        <v>0.33300000000000002</v>
      </c>
      <c r="L177" s="2">
        <v>5.2</v>
      </c>
      <c r="M177" s="2">
        <v>15.6</v>
      </c>
      <c r="N177" s="2">
        <v>10.6</v>
      </c>
      <c r="O177" s="2">
        <v>6.7</v>
      </c>
      <c r="P177" s="2">
        <v>0.7</v>
      </c>
      <c r="Q177" s="2">
        <v>2.1</v>
      </c>
      <c r="R177" s="2">
        <v>13.9</v>
      </c>
      <c r="S177" s="2">
        <v>11.7</v>
      </c>
      <c r="T177" s="2">
        <v>0.1</v>
      </c>
      <c r="U177" s="2">
        <v>0.1</v>
      </c>
      <c r="V177" s="2">
        <v>0.2</v>
      </c>
      <c r="W177" s="2">
        <v>7.0000000000000007E-2</v>
      </c>
      <c r="X177" s="2">
        <v>-3.5</v>
      </c>
      <c r="Y177" s="2">
        <v>-1.2</v>
      </c>
      <c r="Z177" s="2">
        <v>-4.7</v>
      </c>
      <c r="AA177" s="2">
        <v>-0.1</v>
      </c>
    </row>
    <row r="178" spans="1:27" x14ac:dyDescent="0.2">
      <c r="A178" t="s">
        <v>413</v>
      </c>
      <c r="B178" s="2">
        <v>25</v>
      </c>
      <c r="C178" t="s">
        <v>66</v>
      </c>
      <c r="D178" s="2" t="s">
        <v>33</v>
      </c>
      <c r="E178" s="2">
        <v>3</v>
      </c>
      <c r="F178" s="2">
        <v>3</v>
      </c>
      <c r="G178" s="2">
        <v>68</v>
      </c>
      <c r="H178" s="2">
        <v>14.5</v>
      </c>
      <c r="I178" s="2">
        <v>0.5</v>
      </c>
      <c r="J178" s="2">
        <v>0.38100000000000001</v>
      </c>
      <c r="K178" s="2">
        <v>0.214</v>
      </c>
      <c r="L178" s="2">
        <v>1.6</v>
      </c>
      <c r="M178" s="2">
        <v>8.1</v>
      </c>
      <c r="N178" s="2">
        <v>4.8</v>
      </c>
      <c r="O178" s="2">
        <v>27.9</v>
      </c>
      <c r="P178" s="2">
        <v>1.4</v>
      </c>
      <c r="Q178" s="2">
        <v>0</v>
      </c>
      <c r="R178" s="2">
        <v>8</v>
      </c>
      <c r="S178" s="2">
        <v>30.5</v>
      </c>
      <c r="T178" s="2">
        <v>0.1</v>
      </c>
      <c r="U178" s="2">
        <v>0</v>
      </c>
      <c r="V178" s="2">
        <v>0.1</v>
      </c>
      <c r="W178" s="2">
        <v>0.05</v>
      </c>
      <c r="X178" s="2">
        <v>0.9</v>
      </c>
      <c r="Y178" s="2">
        <v>-2.2000000000000002</v>
      </c>
      <c r="Z178" s="2">
        <v>-1.3</v>
      </c>
      <c r="AA178" s="2">
        <v>0</v>
      </c>
    </row>
    <row r="179" spans="1:27" x14ac:dyDescent="0.2">
      <c r="A179" t="s">
        <v>385</v>
      </c>
      <c r="B179" s="2">
        <v>24</v>
      </c>
      <c r="C179" t="s">
        <v>37</v>
      </c>
      <c r="D179" s="2" t="s">
        <v>27</v>
      </c>
      <c r="E179" s="2">
        <v>15</v>
      </c>
      <c r="F179" s="2">
        <v>0</v>
      </c>
      <c r="G179" s="2">
        <v>142</v>
      </c>
      <c r="H179" s="2">
        <v>12.2</v>
      </c>
      <c r="I179" s="2">
        <v>0.64500000000000002</v>
      </c>
      <c r="J179" s="2">
        <v>9.2999999999999999E-2</v>
      </c>
      <c r="K179" s="2">
        <v>0.34899999999999998</v>
      </c>
      <c r="L179" s="2">
        <v>6.5</v>
      </c>
      <c r="M179" s="2">
        <v>11.9</v>
      </c>
      <c r="N179" s="2">
        <v>9.1999999999999993</v>
      </c>
      <c r="O179" s="2">
        <v>2.1</v>
      </c>
      <c r="P179" s="2">
        <v>0.3</v>
      </c>
      <c r="Q179" s="2">
        <v>4.3</v>
      </c>
      <c r="R179" s="2">
        <v>15.4</v>
      </c>
      <c r="S179" s="2">
        <v>17.8</v>
      </c>
      <c r="T179" s="2">
        <v>0.1</v>
      </c>
      <c r="U179" s="2">
        <v>0.1</v>
      </c>
      <c r="V179" s="2">
        <v>0.2</v>
      </c>
      <c r="W179" s="2">
        <v>6.4000000000000001E-2</v>
      </c>
      <c r="X179" s="2">
        <v>-3.4</v>
      </c>
      <c r="Y179" s="2">
        <v>-1.5</v>
      </c>
      <c r="Z179" s="2">
        <v>-4.9000000000000004</v>
      </c>
      <c r="AA179" s="2">
        <v>-0.1</v>
      </c>
    </row>
    <row r="180" spans="1:27" x14ac:dyDescent="0.2">
      <c r="A180" t="s">
        <v>307</v>
      </c>
      <c r="B180" s="2">
        <v>24</v>
      </c>
      <c r="C180" t="s">
        <v>57</v>
      </c>
      <c r="D180" s="2" t="s">
        <v>52</v>
      </c>
      <c r="E180" s="2">
        <v>21</v>
      </c>
      <c r="F180" s="2">
        <v>14</v>
      </c>
      <c r="G180" s="2">
        <v>439</v>
      </c>
      <c r="H180" s="2">
        <v>11.7</v>
      </c>
      <c r="I180" s="2">
        <v>0.621</v>
      </c>
      <c r="J180" s="2">
        <v>0.57399999999999995</v>
      </c>
      <c r="K180" s="2">
        <v>0.18099999999999999</v>
      </c>
      <c r="L180" s="2">
        <v>5</v>
      </c>
      <c r="M180" s="2">
        <v>7.3</v>
      </c>
      <c r="N180" s="2">
        <v>6.2</v>
      </c>
      <c r="O180" s="2">
        <v>10.4</v>
      </c>
      <c r="P180" s="2">
        <v>1.6</v>
      </c>
      <c r="Q180" s="2">
        <v>1.9</v>
      </c>
      <c r="R180" s="2">
        <v>6.5</v>
      </c>
      <c r="S180" s="2">
        <v>10.7</v>
      </c>
      <c r="T180" s="2">
        <v>0.9</v>
      </c>
      <c r="U180" s="2">
        <v>0.4</v>
      </c>
      <c r="V180" s="2">
        <v>1.3</v>
      </c>
      <c r="W180" s="2">
        <v>0.14000000000000001</v>
      </c>
      <c r="X180" s="2">
        <v>-0.3</v>
      </c>
      <c r="Y180" s="2">
        <v>0.8</v>
      </c>
      <c r="Z180" s="2">
        <v>0.5</v>
      </c>
      <c r="AA180" s="2">
        <v>0.3</v>
      </c>
    </row>
    <row r="181" spans="1:27" x14ac:dyDescent="0.2">
      <c r="A181" t="s">
        <v>394</v>
      </c>
      <c r="B181" s="2">
        <v>20</v>
      </c>
      <c r="C181" t="s">
        <v>120</v>
      </c>
      <c r="D181" s="2" t="s">
        <v>33</v>
      </c>
      <c r="E181" s="2">
        <v>16</v>
      </c>
      <c r="F181" s="2">
        <v>1</v>
      </c>
      <c r="G181" s="2">
        <v>278</v>
      </c>
      <c r="H181" s="2">
        <v>1.9</v>
      </c>
      <c r="I181" s="2">
        <v>0.35499999999999998</v>
      </c>
      <c r="J181" s="2">
        <v>0.38</v>
      </c>
      <c r="K181" s="2">
        <v>0.254</v>
      </c>
      <c r="L181" s="2">
        <v>0.4</v>
      </c>
      <c r="M181" s="2">
        <v>10.199999999999999</v>
      </c>
      <c r="N181" s="2">
        <v>5.4</v>
      </c>
      <c r="O181" s="2">
        <v>26.2</v>
      </c>
      <c r="P181" s="2">
        <v>2.6</v>
      </c>
      <c r="Q181" s="2">
        <v>0.7</v>
      </c>
      <c r="R181" s="2">
        <v>32.5</v>
      </c>
      <c r="S181" s="2">
        <v>17.7</v>
      </c>
      <c r="T181" s="2">
        <v>-1</v>
      </c>
      <c r="U181" s="2">
        <v>0.1</v>
      </c>
      <c r="V181" s="2">
        <v>-0.9</v>
      </c>
      <c r="W181" s="2">
        <v>-0.156</v>
      </c>
      <c r="X181" s="2">
        <v>-9.1</v>
      </c>
      <c r="Y181" s="2">
        <v>-1.6</v>
      </c>
      <c r="Z181" s="2">
        <v>-10.7</v>
      </c>
      <c r="AA181" s="2">
        <v>-0.6</v>
      </c>
    </row>
    <row r="182" spans="1:27" x14ac:dyDescent="0.2">
      <c r="A182" t="s">
        <v>555</v>
      </c>
      <c r="B182" s="2">
        <v>23</v>
      </c>
      <c r="C182" t="s">
        <v>37</v>
      </c>
      <c r="D182" s="2" t="s">
        <v>49</v>
      </c>
      <c r="E182" s="2">
        <v>1</v>
      </c>
      <c r="F182" s="2">
        <v>0</v>
      </c>
      <c r="G182" s="2">
        <v>5</v>
      </c>
      <c r="H182" s="2">
        <v>-0.5</v>
      </c>
      <c r="I182" s="2"/>
      <c r="J182" s="2"/>
      <c r="K182" s="2"/>
      <c r="L182" s="2">
        <v>0</v>
      </c>
      <c r="M182" s="2">
        <v>22.5</v>
      </c>
      <c r="N182" s="2">
        <v>11.4</v>
      </c>
      <c r="O182" s="2">
        <v>0</v>
      </c>
      <c r="P182" s="2">
        <v>0</v>
      </c>
      <c r="Q182" s="2">
        <v>0</v>
      </c>
      <c r="R182" s="2"/>
      <c r="S182" s="2">
        <v>0</v>
      </c>
      <c r="T182" s="2">
        <v>0</v>
      </c>
      <c r="U182" s="2">
        <v>0</v>
      </c>
      <c r="V182" s="2">
        <v>0</v>
      </c>
      <c r="W182" s="2">
        <v>3.2000000000000001E-2</v>
      </c>
      <c r="X182" s="2">
        <v>-9.9</v>
      </c>
      <c r="Y182" s="2">
        <v>-0.8</v>
      </c>
      <c r="Z182" s="2">
        <v>-10.8</v>
      </c>
      <c r="AA182" s="2">
        <v>0</v>
      </c>
    </row>
    <row r="183" spans="1:27" x14ac:dyDescent="0.2">
      <c r="A183" t="s">
        <v>332</v>
      </c>
      <c r="B183" s="2">
        <v>26</v>
      </c>
      <c r="C183" t="s">
        <v>32</v>
      </c>
      <c r="D183" s="2" t="s">
        <v>42</v>
      </c>
      <c r="E183" s="2">
        <v>9</v>
      </c>
      <c r="F183" s="2">
        <v>8</v>
      </c>
      <c r="G183" s="2">
        <v>267</v>
      </c>
      <c r="H183" s="2">
        <v>18.600000000000001</v>
      </c>
      <c r="I183" s="2">
        <v>0.56399999999999995</v>
      </c>
      <c r="J183" s="2">
        <v>4.8000000000000001E-2</v>
      </c>
      <c r="K183" s="2">
        <v>0.253</v>
      </c>
      <c r="L183" s="2">
        <v>11.7</v>
      </c>
      <c r="M183" s="2">
        <v>33.4</v>
      </c>
      <c r="N183" s="2">
        <v>22.6</v>
      </c>
      <c r="O183" s="2">
        <v>20.100000000000001</v>
      </c>
      <c r="P183" s="2">
        <v>1.3</v>
      </c>
      <c r="Q183" s="2">
        <v>4.2</v>
      </c>
      <c r="R183" s="2">
        <v>17.100000000000001</v>
      </c>
      <c r="S183" s="2">
        <v>17.7</v>
      </c>
      <c r="T183" s="2">
        <v>0.4</v>
      </c>
      <c r="U183" s="2">
        <v>0.7</v>
      </c>
      <c r="V183" s="2">
        <v>1.1000000000000001</v>
      </c>
      <c r="W183" s="2">
        <v>0.19400000000000001</v>
      </c>
      <c r="X183" s="2">
        <v>-0.6</v>
      </c>
      <c r="Y183" s="2">
        <v>2.7</v>
      </c>
      <c r="Z183" s="2">
        <v>2.1</v>
      </c>
      <c r="AA183" s="2">
        <v>0.3</v>
      </c>
    </row>
    <row r="184" spans="1:27" x14ac:dyDescent="0.2">
      <c r="A184" t="s">
        <v>425</v>
      </c>
      <c r="B184" s="2">
        <v>23</v>
      </c>
      <c r="C184" t="s">
        <v>82</v>
      </c>
      <c r="D184" s="2" t="s">
        <v>42</v>
      </c>
      <c r="E184" s="2">
        <v>5</v>
      </c>
      <c r="F184" s="2">
        <v>1</v>
      </c>
      <c r="G184" s="2">
        <v>84</v>
      </c>
      <c r="H184" s="2">
        <v>18.7</v>
      </c>
      <c r="I184" s="2">
        <v>0.6</v>
      </c>
      <c r="J184" s="2">
        <v>0</v>
      </c>
      <c r="K184" s="2">
        <v>0.60899999999999999</v>
      </c>
      <c r="L184" s="2">
        <v>15.3</v>
      </c>
      <c r="M184" s="2">
        <v>23.5</v>
      </c>
      <c r="N184" s="2">
        <v>19.399999999999999</v>
      </c>
      <c r="O184" s="2">
        <v>8.4</v>
      </c>
      <c r="P184" s="2">
        <v>1.7</v>
      </c>
      <c r="Q184" s="2">
        <v>9</v>
      </c>
      <c r="R184" s="2">
        <v>14.6</v>
      </c>
      <c r="S184" s="2">
        <v>17.600000000000001</v>
      </c>
      <c r="T184" s="2">
        <v>0.1</v>
      </c>
      <c r="U184" s="2">
        <v>0.1</v>
      </c>
      <c r="V184" s="2">
        <v>0.2</v>
      </c>
      <c r="W184" s="2">
        <v>0.13800000000000001</v>
      </c>
      <c r="X184" s="2">
        <v>-1.2</v>
      </c>
      <c r="Y184" s="2">
        <v>1.2</v>
      </c>
      <c r="Z184" s="2">
        <v>0.1</v>
      </c>
      <c r="AA184" s="2">
        <v>0</v>
      </c>
    </row>
    <row r="185" spans="1:27" x14ac:dyDescent="0.2">
      <c r="A185" t="s">
        <v>232</v>
      </c>
      <c r="B185" s="2">
        <v>25</v>
      </c>
      <c r="C185" t="s">
        <v>32</v>
      </c>
      <c r="D185" s="2" t="s">
        <v>52</v>
      </c>
      <c r="E185" s="2">
        <v>22</v>
      </c>
      <c r="F185" s="2">
        <v>9</v>
      </c>
      <c r="G185" s="2">
        <v>473</v>
      </c>
      <c r="H185" s="2">
        <v>12.6</v>
      </c>
      <c r="I185" s="2">
        <v>0.57099999999999995</v>
      </c>
      <c r="J185" s="2">
        <v>0.8</v>
      </c>
      <c r="K185" s="2">
        <v>5.8999999999999997E-2</v>
      </c>
      <c r="L185" s="2">
        <v>2.6</v>
      </c>
      <c r="M185" s="2">
        <v>10.9</v>
      </c>
      <c r="N185" s="2">
        <v>6.8</v>
      </c>
      <c r="O185" s="2">
        <v>10.7</v>
      </c>
      <c r="P185" s="2">
        <v>1.5</v>
      </c>
      <c r="Q185" s="2">
        <v>1.1000000000000001</v>
      </c>
      <c r="R185" s="4">
        <v>5.4</v>
      </c>
      <c r="S185" s="2">
        <v>16.5</v>
      </c>
      <c r="T185" s="2">
        <v>0.6</v>
      </c>
      <c r="U185" s="2">
        <v>0.8</v>
      </c>
      <c r="V185" s="2">
        <v>1.4</v>
      </c>
      <c r="W185" s="2">
        <v>0.13800000000000001</v>
      </c>
      <c r="X185" s="2">
        <v>0.2</v>
      </c>
      <c r="Y185" s="2">
        <v>0.1</v>
      </c>
      <c r="Z185" s="2">
        <v>0.3</v>
      </c>
      <c r="AA185" s="2">
        <v>0.3</v>
      </c>
    </row>
    <row r="186" spans="1:27" x14ac:dyDescent="0.2">
      <c r="A186" t="s">
        <v>272</v>
      </c>
      <c r="B186" s="2">
        <v>23</v>
      </c>
      <c r="C186" t="s">
        <v>75</v>
      </c>
      <c r="D186" s="2" t="s">
        <v>42</v>
      </c>
      <c r="E186" s="2">
        <v>26</v>
      </c>
      <c r="F186" s="2">
        <v>3</v>
      </c>
      <c r="G186" s="2">
        <v>572</v>
      </c>
      <c r="H186" s="2">
        <v>14.5</v>
      </c>
      <c r="I186" s="2">
        <v>0.624</v>
      </c>
      <c r="J186" s="2">
        <v>0.17899999999999999</v>
      </c>
      <c r="K186" s="2">
        <v>0.29499999999999998</v>
      </c>
      <c r="L186" s="2">
        <v>11.8</v>
      </c>
      <c r="M186" s="2">
        <v>18.7</v>
      </c>
      <c r="N186" s="2">
        <v>15.3</v>
      </c>
      <c r="O186" s="2">
        <v>11.3</v>
      </c>
      <c r="P186" s="2">
        <v>1.1000000000000001</v>
      </c>
      <c r="Q186" s="2">
        <v>5.6</v>
      </c>
      <c r="R186" s="2">
        <v>18.100000000000001</v>
      </c>
      <c r="S186" s="2">
        <v>11.6</v>
      </c>
      <c r="T186" s="2">
        <v>0.9</v>
      </c>
      <c r="U186" s="2">
        <v>0.7</v>
      </c>
      <c r="V186" s="2">
        <v>1.7</v>
      </c>
      <c r="W186" s="2">
        <v>0.13900000000000001</v>
      </c>
      <c r="X186" s="2">
        <v>-1.8</v>
      </c>
      <c r="Y186" s="2">
        <v>1.7</v>
      </c>
      <c r="Z186" s="2">
        <v>-0.1</v>
      </c>
      <c r="AA186" s="2">
        <v>0.3</v>
      </c>
    </row>
    <row r="187" spans="1:27" x14ac:dyDescent="0.2">
      <c r="A187" t="s">
        <v>478</v>
      </c>
      <c r="B187" s="2">
        <v>24</v>
      </c>
      <c r="C187" t="s">
        <v>59</v>
      </c>
      <c r="D187" s="2" t="s">
        <v>52</v>
      </c>
      <c r="E187" s="2">
        <v>2</v>
      </c>
      <c r="F187" s="2">
        <v>0</v>
      </c>
      <c r="G187" s="2">
        <v>29</v>
      </c>
      <c r="H187" s="2">
        <v>20.5</v>
      </c>
      <c r="I187" s="2">
        <v>0.62</v>
      </c>
      <c r="J187" s="2">
        <v>0.182</v>
      </c>
      <c r="K187" s="2">
        <v>0.72699999999999998</v>
      </c>
      <c r="L187" s="2">
        <v>11</v>
      </c>
      <c r="M187" s="2">
        <v>7.9</v>
      </c>
      <c r="N187" s="2">
        <v>9.5</v>
      </c>
      <c r="O187" s="2">
        <v>22.2</v>
      </c>
      <c r="P187" s="2">
        <v>3.4</v>
      </c>
      <c r="Q187" s="2">
        <v>0</v>
      </c>
      <c r="R187" s="2">
        <v>17.100000000000001</v>
      </c>
      <c r="S187" s="2">
        <v>25.7</v>
      </c>
      <c r="T187" s="2">
        <v>0.1</v>
      </c>
      <c r="U187" s="2">
        <v>0</v>
      </c>
      <c r="V187" s="2">
        <v>0.1</v>
      </c>
      <c r="W187" s="2">
        <v>0.18</v>
      </c>
      <c r="X187" s="2">
        <v>0.2</v>
      </c>
      <c r="Y187" s="2">
        <v>1.4</v>
      </c>
      <c r="Z187" s="2">
        <v>1.6</v>
      </c>
      <c r="AA187" s="2">
        <v>0</v>
      </c>
    </row>
    <row r="188" spans="1:27" x14ac:dyDescent="0.2">
      <c r="A188" t="s">
        <v>126</v>
      </c>
      <c r="B188" s="2">
        <v>27</v>
      </c>
      <c r="C188" t="s">
        <v>77</v>
      </c>
      <c r="D188" s="2" t="s">
        <v>42</v>
      </c>
      <c r="E188" s="2">
        <v>25</v>
      </c>
      <c r="F188" s="2">
        <v>25</v>
      </c>
      <c r="G188" s="2">
        <v>811</v>
      </c>
      <c r="H188" s="2">
        <v>19.100000000000001</v>
      </c>
      <c r="I188" s="2">
        <v>0.60299999999999998</v>
      </c>
      <c r="J188" s="2">
        <v>0</v>
      </c>
      <c r="K188" s="2">
        <v>0.26600000000000001</v>
      </c>
      <c r="L188" s="2">
        <v>13.5</v>
      </c>
      <c r="M188" s="2">
        <v>28.5</v>
      </c>
      <c r="N188" s="2">
        <v>21</v>
      </c>
      <c r="O188" s="2">
        <v>11.5</v>
      </c>
      <c r="P188" s="2">
        <v>0.8</v>
      </c>
      <c r="Q188" s="2">
        <v>3.3</v>
      </c>
      <c r="R188" s="2">
        <v>14</v>
      </c>
      <c r="S188" s="2">
        <v>18.899999999999999</v>
      </c>
      <c r="T188" s="2">
        <v>1.3</v>
      </c>
      <c r="U188" s="2">
        <v>1.3</v>
      </c>
      <c r="V188" s="2">
        <v>2.6</v>
      </c>
      <c r="W188" s="2">
        <v>0.153</v>
      </c>
      <c r="X188" s="2">
        <v>0.7</v>
      </c>
      <c r="Y188" s="2">
        <v>-0.1</v>
      </c>
      <c r="Z188" s="2">
        <v>0.6</v>
      </c>
      <c r="AA188" s="2">
        <v>0.5</v>
      </c>
    </row>
    <row r="189" spans="1:27" x14ac:dyDescent="0.2">
      <c r="A189" t="s">
        <v>151</v>
      </c>
      <c r="B189" s="2">
        <v>25</v>
      </c>
      <c r="C189" t="s">
        <v>80</v>
      </c>
      <c r="D189" s="2" t="s">
        <v>33</v>
      </c>
      <c r="E189" s="2">
        <v>14</v>
      </c>
      <c r="F189" s="2">
        <v>14</v>
      </c>
      <c r="G189" s="2">
        <v>394</v>
      </c>
      <c r="H189" s="2">
        <v>21.7</v>
      </c>
      <c r="I189" s="2">
        <v>0.57399999999999995</v>
      </c>
      <c r="J189" s="2">
        <v>0.28299999999999997</v>
      </c>
      <c r="K189" s="2">
        <v>0.42599999999999999</v>
      </c>
      <c r="L189" s="2">
        <v>2.2000000000000002</v>
      </c>
      <c r="M189" s="2">
        <v>13.5</v>
      </c>
      <c r="N189" s="2">
        <v>8.1</v>
      </c>
      <c r="O189" s="2">
        <v>44.6</v>
      </c>
      <c r="P189" s="2">
        <v>1.6</v>
      </c>
      <c r="Q189" s="2">
        <v>1.2</v>
      </c>
      <c r="R189" s="2">
        <v>16.399999999999999</v>
      </c>
      <c r="S189" s="2">
        <v>32.299999999999997</v>
      </c>
      <c r="T189" s="2">
        <v>0.8</v>
      </c>
      <c r="U189" s="2">
        <v>0.5</v>
      </c>
      <c r="V189" s="2">
        <v>1.4</v>
      </c>
      <c r="W189" s="2">
        <v>0.16800000000000001</v>
      </c>
      <c r="X189" s="2">
        <v>4.3</v>
      </c>
      <c r="Y189" s="2">
        <v>-0.2</v>
      </c>
      <c r="Z189" s="2">
        <v>4.0999999999999996</v>
      </c>
      <c r="AA189" s="2">
        <v>0.6</v>
      </c>
    </row>
    <row r="190" spans="1:27" x14ac:dyDescent="0.2">
      <c r="A190" t="s">
        <v>359</v>
      </c>
      <c r="B190" s="2">
        <v>20</v>
      </c>
      <c r="C190" t="s">
        <v>66</v>
      </c>
      <c r="D190" s="2" t="s">
        <v>52</v>
      </c>
      <c r="E190" s="2">
        <v>12</v>
      </c>
      <c r="F190" s="2">
        <v>4</v>
      </c>
      <c r="G190" s="2">
        <v>227</v>
      </c>
      <c r="H190" s="2">
        <v>7.6</v>
      </c>
      <c r="I190" s="2">
        <v>0.438</v>
      </c>
      <c r="J190" s="2">
        <v>0.48899999999999999</v>
      </c>
      <c r="K190" s="2">
        <v>0.152</v>
      </c>
      <c r="L190" s="2">
        <v>5.2</v>
      </c>
      <c r="M190" s="2">
        <v>13.1</v>
      </c>
      <c r="N190" s="2">
        <v>9.1</v>
      </c>
      <c r="O190" s="2">
        <v>11</v>
      </c>
      <c r="P190" s="2">
        <v>1.5</v>
      </c>
      <c r="Q190" s="2">
        <v>1.3</v>
      </c>
      <c r="R190" s="2">
        <v>10.9</v>
      </c>
      <c r="S190" s="2">
        <v>20.100000000000001</v>
      </c>
      <c r="T190" s="2">
        <v>-0.2</v>
      </c>
      <c r="U190" s="2">
        <v>0.1</v>
      </c>
      <c r="V190" s="2">
        <v>-0.1</v>
      </c>
      <c r="W190" s="2">
        <v>-2.7E-2</v>
      </c>
      <c r="X190" s="2">
        <v>-5</v>
      </c>
      <c r="Y190" s="2">
        <v>-1.6</v>
      </c>
      <c r="Z190" s="2">
        <v>-6.6</v>
      </c>
      <c r="AA190" s="2">
        <v>-0.3</v>
      </c>
    </row>
    <row r="191" spans="1:27" x14ac:dyDescent="0.2">
      <c r="A191" t="s">
        <v>166</v>
      </c>
      <c r="B191" s="2">
        <v>21</v>
      </c>
      <c r="C191" t="s">
        <v>87</v>
      </c>
      <c r="D191" s="2" t="s">
        <v>27</v>
      </c>
      <c r="E191" s="2">
        <v>25</v>
      </c>
      <c r="F191" s="2">
        <v>25</v>
      </c>
      <c r="G191" s="2">
        <v>758</v>
      </c>
      <c r="H191" s="2">
        <v>12.6</v>
      </c>
      <c r="I191" s="2">
        <v>0.56499999999999995</v>
      </c>
      <c r="J191" s="2">
        <v>0.51700000000000002</v>
      </c>
      <c r="K191" s="2">
        <v>0.20799999999999999</v>
      </c>
      <c r="L191" s="2">
        <v>5.9</v>
      </c>
      <c r="M191" s="2">
        <v>17.600000000000001</v>
      </c>
      <c r="N191" s="2">
        <v>11.7</v>
      </c>
      <c r="O191" s="2">
        <v>4.0999999999999996</v>
      </c>
      <c r="P191" s="2">
        <v>0.4</v>
      </c>
      <c r="Q191" s="2">
        <v>2.8</v>
      </c>
      <c r="R191" s="2">
        <v>5.8</v>
      </c>
      <c r="S191" s="2">
        <v>14.9</v>
      </c>
      <c r="T191" s="2">
        <v>1.1000000000000001</v>
      </c>
      <c r="U191" s="2">
        <v>1.3</v>
      </c>
      <c r="V191" s="2">
        <v>2.4</v>
      </c>
      <c r="W191" s="2">
        <v>0.15</v>
      </c>
      <c r="X191" s="2">
        <v>-0.6</v>
      </c>
      <c r="Y191" s="2">
        <v>0.6</v>
      </c>
      <c r="Z191" s="2">
        <v>-0.1</v>
      </c>
      <c r="AA191" s="2">
        <v>0.4</v>
      </c>
    </row>
    <row r="192" spans="1:27" x14ac:dyDescent="0.2">
      <c r="A192" t="s">
        <v>393</v>
      </c>
      <c r="B192" s="2">
        <v>22</v>
      </c>
      <c r="C192" t="s">
        <v>135</v>
      </c>
      <c r="D192" s="2" t="s">
        <v>49</v>
      </c>
      <c r="E192" s="2">
        <v>19</v>
      </c>
      <c r="F192" s="2">
        <v>0</v>
      </c>
      <c r="G192" s="2">
        <v>204</v>
      </c>
      <c r="H192" s="2">
        <v>8.4</v>
      </c>
      <c r="I192" s="2">
        <v>0.44</v>
      </c>
      <c r="J192" s="2">
        <v>0.28799999999999998</v>
      </c>
      <c r="K192" s="2">
        <v>0.22</v>
      </c>
      <c r="L192" s="2">
        <v>9.1</v>
      </c>
      <c r="M192" s="2">
        <v>22.3</v>
      </c>
      <c r="N192" s="2">
        <v>15.4</v>
      </c>
      <c r="O192" s="2">
        <v>9.1</v>
      </c>
      <c r="P192" s="2">
        <v>1.4</v>
      </c>
      <c r="Q192" s="2">
        <v>1.4</v>
      </c>
      <c r="R192" s="2">
        <v>16.7</v>
      </c>
      <c r="S192" s="2">
        <v>15.8</v>
      </c>
      <c r="T192" s="2">
        <v>-0.2</v>
      </c>
      <c r="U192" s="2">
        <v>0.2</v>
      </c>
      <c r="V192" s="2">
        <v>0</v>
      </c>
      <c r="W192" s="2">
        <v>-6.0000000000000001E-3</v>
      </c>
      <c r="X192" s="2">
        <v>-5.0999999999999996</v>
      </c>
      <c r="Y192" s="2">
        <v>-1.3</v>
      </c>
      <c r="Z192" s="2">
        <v>-6.4</v>
      </c>
      <c r="AA192" s="2">
        <v>-0.2</v>
      </c>
    </row>
    <row r="193" spans="1:27" x14ac:dyDescent="0.2">
      <c r="A193" t="s">
        <v>503</v>
      </c>
      <c r="B193" s="2">
        <v>28</v>
      </c>
      <c r="C193" t="s">
        <v>87</v>
      </c>
      <c r="D193" s="2" t="s">
        <v>27</v>
      </c>
      <c r="E193" s="2">
        <v>6</v>
      </c>
      <c r="F193" s="2">
        <v>0</v>
      </c>
      <c r="G193" s="2">
        <v>21</v>
      </c>
      <c r="H193" s="2">
        <v>4.4000000000000004</v>
      </c>
      <c r="I193" s="2">
        <v>0.36399999999999999</v>
      </c>
      <c r="J193" s="2">
        <v>0.72699999999999998</v>
      </c>
      <c r="K193" s="2">
        <v>0</v>
      </c>
      <c r="L193" s="2">
        <v>4.9000000000000004</v>
      </c>
      <c r="M193" s="2">
        <v>15</v>
      </c>
      <c r="N193" s="2">
        <v>9.9</v>
      </c>
      <c r="O193" s="2">
        <v>6.7</v>
      </c>
      <c r="P193" s="2">
        <v>0</v>
      </c>
      <c r="Q193" s="2">
        <v>4.3</v>
      </c>
      <c r="R193" s="2">
        <v>8.3000000000000007</v>
      </c>
      <c r="S193" s="2">
        <v>23.6</v>
      </c>
      <c r="T193" s="2">
        <v>-0.1</v>
      </c>
      <c r="U193" s="2">
        <v>0</v>
      </c>
      <c r="V193" s="2">
        <v>0</v>
      </c>
      <c r="W193" s="2">
        <v>-5.6000000000000001E-2</v>
      </c>
      <c r="X193" s="2">
        <v>-5.3</v>
      </c>
      <c r="Y193" s="2">
        <v>-2.5</v>
      </c>
      <c r="Z193" s="2">
        <v>-7.7</v>
      </c>
      <c r="AA193" s="2">
        <v>0</v>
      </c>
    </row>
    <row r="194" spans="1:27" x14ac:dyDescent="0.2">
      <c r="A194" t="s">
        <v>551</v>
      </c>
      <c r="B194" s="2">
        <v>24</v>
      </c>
      <c r="C194" t="s">
        <v>44</v>
      </c>
      <c r="D194" s="2" t="s">
        <v>49</v>
      </c>
      <c r="E194" s="2">
        <v>7</v>
      </c>
      <c r="F194" s="2">
        <v>0</v>
      </c>
      <c r="G194" s="2">
        <v>21</v>
      </c>
      <c r="H194" s="2">
        <v>2.2000000000000002</v>
      </c>
      <c r="I194" s="2">
        <v>0.33300000000000002</v>
      </c>
      <c r="J194" s="2">
        <v>0.66700000000000004</v>
      </c>
      <c r="K194" s="2">
        <v>0</v>
      </c>
      <c r="L194" s="2">
        <v>0</v>
      </c>
      <c r="M194" s="2">
        <v>15.7</v>
      </c>
      <c r="N194" s="2">
        <v>8.1999999999999993</v>
      </c>
      <c r="O194" s="2">
        <v>11.1</v>
      </c>
      <c r="P194" s="2">
        <v>0</v>
      </c>
      <c r="Q194" s="2">
        <v>0</v>
      </c>
      <c r="R194" s="2">
        <v>25</v>
      </c>
      <c r="S194" s="2">
        <v>8.4</v>
      </c>
      <c r="T194" s="2">
        <v>0</v>
      </c>
      <c r="U194" s="2">
        <v>0</v>
      </c>
      <c r="V194" s="2">
        <v>0</v>
      </c>
      <c r="W194" s="2">
        <v>-5.5E-2</v>
      </c>
      <c r="X194" s="2">
        <v>-5.7</v>
      </c>
      <c r="Y194" s="2">
        <v>-1.7</v>
      </c>
      <c r="Z194" s="2">
        <v>-7.4</v>
      </c>
      <c r="AA194" s="2">
        <v>0</v>
      </c>
    </row>
    <row r="195" spans="1:27" x14ac:dyDescent="0.2">
      <c r="A195" t="s">
        <v>288</v>
      </c>
      <c r="B195" s="2">
        <v>22</v>
      </c>
      <c r="C195" t="s">
        <v>63</v>
      </c>
      <c r="D195" s="2" t="s">
        <v>52</v>
      </c>
      <c r="E195" s="2">
        <v>22</v>
      </c>
      <c r="F195" s="2">
        <v>2</v>
      </c>
      <c r="G195" s="2">
        <v>320</v>
      </c>
      <c r="H195" s="2">
        <v>7.7</v>
      </c>
      <c r="I195" s="2">
        <v>0.5</v>
      </c>
      <c r="J195" s="2">
        <v>0.44400000000000001</v>
      </c>
      <c r="K195" s="2">
        <v>0.188</v>
      </c>
      <c r="L195" s="2">
        <v>1.4</v>
      </c>
      <c r="M195" s="2">
        <v>8.4</v>
      </c>
      <c r="N195" s="2">
        <v>5</v>
      </c>
      <c r="O195" s="2">
        <v>11.4</v>
      </c>
      <c r="P195" s="2">
        <v>2.1</v>
      </c>
      <c r="Q195" s="2">
        <v>0.3</v>
      </c>
      <c r="R195" s="2">
        <v>17.7</v>
      </c>
      <c r="S195" s="2">
        <v>23.1</v>
      </c>
      <c r="T195" s="2">
        <v>-0.5</v>
      </c>
      <c r="U195" s="2">
        <v>0.3</v>
      </c>
      <c r="V195" s="2">
        <v>-0.2</v>
      </c>
      <c r="W195" s="2">
        <v>-2.5000000000000001E-2</v>
      </c>
      <c r="X195" s="2">
        <v>-5.5</v>
      </c>
      <c r="Y195" s="2">
        <v>-1.3</v>
      </c>
      <c r="Z195" s="2">
        <v>-6.9</v>
      </c>
      <c r="AA195" s="2">
        <v>-0.4</v>
      </c>
    </row>
    <row r="196" spans="1:27" x14ac:dyDescent="0.2">
      <c r="A196" t="s">
        <v>101</v>
      </c>
      <c r="B196" s="2">
        <v>22</v>
      </c>
      <c r="C196" t="s">
        <v>75</v>
      </c>
      <c r="D196" s="2" t="s">
        <v>52</v>
      </c>
      <c r="E196" s="2">
        <v>25</v>
      </c>
      <c r="F196" s="2">
        <v>25</v>
      </c>
      <c r="G196" s="2">
        <v>759</v>
      </c>
      <c r="H196" s="2">
        <v>14.1</v>
      </c>
      <c r="I196" s="2">
        <v>0.54200000000000004</v>
      </c>
      <c r="J196" s="2">
        <v>0.36499999999999999</v>
      </c>
      <c r="K196" s="2">
        <v>0.308</v>
      </c>
      <c r="L196" s="2">
        <v>4.8</v>
      </c>
      <c r="M196" s="2">
        <v>10.199999999999999</v>
      </c>
      <c r="N196" s="2">
        <v>7.5</v>
      </c>
      <c r="O196" s="2">
        <v>21.6</v>
      </c>
      <c r="P196" s="2">
        <v>1.5</v>
      </c>
      <c r="Q196" s="2">
        <v>1.2</v>
      </c>
      <c r="R196" s="2">
        <v>15.8</v>
      </c>
      <c r="S196" s="2">
        <v>26.7</v>
      </c>
      <c r="T196" s="2">
        <v>0.1</v>
      </c>
      <c r="U196" s="2">
        <v>0.6</v>
      </c>
      <c r="V196" s="2">
        <v>0.7</v>
      </c>
      <c r="W196" s="2">
        <v>4.2000000000000003E-2</v>
      </c>
      <c r="X196" s="2">
        <v>-0.5</v>
      </c>
      <c r="Y196" s="2">
        <v>-1.1000000000000001</v>
      </c>
      <c r="Z196" s="2">
        <v>-1.6</v>
      </c>
      <c r="AA196" s="2">
        <v>0.1</v>
      </c>
    </row>
    <row r="197" spans="1:27" x14ac:dyDescent="0.2">
      <c r="A197" t="s">
        <v>210</v>
      </c>
      <c r="B197" s="2">
        <v>24</v>
      </c>
      <c r="C197" t="s">
        <v>51</v>
      </c>
      <c r="D197" s="2" t="s">
        <v>27</v>
      </c>
      <c r="E197" s="2">
        <v>23</v>
      </c>
      <c r="F197" s="2">
        <v>23</v>
      </c>
      <c r="G197" s="2">
        <v>691</v>
      </c>
      <c r="H197" s="2">
        <v>9.8000000000000007</v>
      </c>
      <c r="I197" s="2">
        <v>0.52</v>
      </c>
      <c r="J197" s="2">
        <v>0.42499999999999999</v>
      </c>
      <c r="K197" s="2">
        <v>0.126</v>
      </c>
      <c r="L197" s="2">
        <v>4.5999999999999996</v>
      </c>
      <c r="M197" s="2">
        <v>9.4</v>
      </c>
      <c r="N197" s="2">
        <v>7</v>
      </c>
      <c r="O197" s="2">
        <v>8.9</v>
      </c>
      <c r="P197" s="2">
        <v>1.9</v>
      </c>
      <c r="Q197" s="2">
        <v>2.2999999999999998</v>
      </c>
      <c r="R197" s="2">
        <v>9.9</v>
      </c>
      <c r="S197" s="2">
        <v>15.4</v>
      </c>
      <c r="T197" s="2">
        <v>0.1</v>
      </c>
      <c r="U197" s="2">
        <v>1</v>
      </c>
      <c r="V197" s="2">
        <v>1.1000000000000001</v>
      </c>
      <c r="W197" s="2">
        <v>7.8E-2</v>
      </c>
      <c r="X197" s="2">
        <v>-3</v>
      </c>
      <c r="Y197" s="2">
        <v>1.1000000000000001</v>
      </c>
      <c r="Z197" s="2">
        <v>-2</v>
      </c>
      <c r="AA197" s="2">
        <v>0</v>
      </c>
    </row>
    <row r="198" spans="1:27" x14ac:dyDescent="0.2">
      <c r="A198" t="s">
        <v>513</v>
      </c>
      <c r="B198" s="2">
        <v>22</v>
      </c>
      <c r="C198" t="s">
        <v>39</v>
      </c>
      <c r="D198" s="2" t="s">
        <v>52</v>
      </c>
      <c r="E198" s="2">
        <v>7</v>
      </c>
      <c r="F198" s="2">
        <v>0</v>
      </c>
      <c r="G198" s="2">
        <v>24</v>
      </c>
      <c r="H198" s="2">
        <v>12.4</v>
      </c>
      <c r="I198" s="2">
        <v>0.34200000000000003</v>
      </c>
      <c r="J198" s="2">
        <v>0.28599999999999998</v>
      </c>
      <c r="K198" s="2">
        <v>0.57099999999999995</v>
      </c>
      <c r="L198" s="2">
        <v>13.7</v>
      </c>
      <c r="M198" s="2">
        <v>13.8</v>
      </c>
      <c r="N198" s="2">
        <v>13.8</v>
      </c>
      <c r="O198" s="2">
        <v>16.100000000000001</v>
      </c>
      <c r="P198" s="2">
        <v>6.1</v>
      </c>
      <c r="Q198" s="2">
        <v>0</v>
      </c>
      <c r="R198" s="2">
        <v>10.199999999999999</v>
      </c>
      <c r="S198" s="2">
        <v>17.600000000000001</v>
      </c>
      <c r="T198" s="2">
        <v>0</v>
      </c>
      <c r="U198" s="2">
        <v>0.1</v>
      </c>
      <c r="V198" s="2">
        <v>0</v>
      </c>
      <c r="W198" s="2">
        <v>7.6999999999999999E-2</v>
      </c>
      <c r="X198" s="2">
        <v>-5.8</v>
      </c>
      <c r="Y198" s="2">
        <v>4.2</v>
      </c>
      <c r="Z198" s="2">
        <v>-1.5</v>
      </c>
      <c r="AA198" s="2">
        <v>0</v>
      </c>
    </row>
    <row r="199" spans="1:27" x14ac:dyDescent="0.2">
      <c r="A199" t="s">
        <v>465</v>
      </c>
      <c r="B199" s="2">
        <v>34</v>
      </c>
      <c r="C199" t="s">
        <v>37</v>
      </c>
      <c r="D199" s="2" t="s">
        <v>49</v>
      </c>
      <c r="E199" s="2">
        <v>5</v>
      </c>
      <c r="F199" s="2">
        <v>2</v>
      </c>
      <c r="G199" s="2">
        <v>84</v>
      </c>
      <c r="H199" s="2">
        <v>7.7</v>
      </c>
      <c r="I199" s="2">
        <v>0.50900000000000001</v>
      </c>
      <c r="J199" s="2">
        <v>0.70599999999999996</v>
      </c>
      <c r="K199" s="2">
        <v>0.35299999999999998</v>
      </c>
      <c r="L199" s="2">
        <v>6.9</v>
      </c>
      <c r="M199" s="2">
        <v>13.4</v>
      </c>
      <c r="N199" s="2">
        <v>10.199999999999999</v>
      </c>
      <c r="O199" s="2">
        <v>5.9</v>
      </c>
      <c r="P199" s="2">
        <v>1.7</v>
      </c>
      <c r="Q199" s="2">
        <v>0</v>
      </c>
      <c r="R199" s="2">
        <v>13.3</v>
      </c>
      <c r="S199" s="2">
        <v>11.6</v>
      </c>
      <c r="T199" s="2">
        <v>0</v>
      </c>
      <c r="U199" s="2">
        <v>0.1</v>
      </c>
      <c r="V199" s="2">
        <v>0.1</v>
      </c>
      <c r="W199" s="2">
        <v>5.7000000000000002E-2</v>
      </c>
      <c r="X199" s="2">
        <v>-3.2</v>
      </c>
      <c r="Y199" s="2">
        <v>-0.5</v>
      </c>
      <c r="Z199" s="2">
        <v>-3.7</v>
      </c>
      <c r="AA199" s="2">
        <v>0</v>
      </c>
    </row>
    <row r="200" spans="1:27" x14ac:dyDescent="0.2">
      <c r="A200" t="s">
        <v>454</v>
      </c>
      <c r="B200" s="2">
        <v>29</v>
      </c>
      <c r="C200" t="s">
        <v>87</v>
      </c>
      <c r="D200" s="2" t="s">
        <v>49</v>
      </c>
      <c r="E200" s="2">
        <v>10</v>
      </c>
      <c r="F200" s="2">
        <v>0</v>
      </c>
      <c r="G200" s="2">
        <v>59</v>
      </c>
      <c r="H200" s="2">
        <v>16</v>
      </c>
      <c r="I200" s="2">
        <v>0.60099999999999998</v>
      </c>
      <c r="J200" s="2">
        <v>0.125</v>
      </c>
      <c r="K200" s="2">
        <v>0.56299999999999994</v>
      </c>
      <c r="L200" s="2">
        <v>7</v>
      </c>
      <c r="M200" s="2">
        <v>32.1</v>
      </c>
      <c r="N200" s="2">
        <v>19.399999999999999</v>
      </c>
      <c r="O200" s="2">
        <v>14.6</v>
      </c>
      <c r="P200" s="2">
        <v>4.0999999999999996</v>
      </c>
      <c r="Q200" s="2">
        <v>0</v>
      </c>
      <c r="R200" s="2">
        <v>23.1</v>
      </c>
      <c r="S200" s="2">
        <v>18.2</v>
      </c>
      <c r="T200" s="2">
        <v>0</v>
      </c>
      <c r="U200" s="2">
        <v>0.2</v>
      </c>
      <c r="V200" s="2">
        <v>0.2</v>
      </c>
      <c r="W200" s="2">
        <v>0.156</v>
      </c>
      <c r="X200" s="2">
        <v>-3.9</v>
      </c>
      <c r="Y200" s="2">
        <v>4.5</v>
      </c>
      <c r="Z200" s="2">
        <v>0.6</v>
      </c>
      <c r="AA200" s="2">
        <v>0</v>
      </c>
    </row>
    <row r="201" spans="1:27" x14ac:dyDescent="0.2">
      <c r="A201" t="s">
        <v>270</v>
      </c>
      <c r="B201" s="2">
        <v>23</v>
      </c>
      <c r="C201" t="s">
        <v>61</v>
      </c>
      <c r="D201" s="2" t="s">
        <v>49</v>
      </c>
      <c r="E201" s="2">
        <v>19</v>
      </c>
      <c r="F201" s="2">
        <v>1</v>
      </c>
      <c r="G201" s="2">
        <v>402</v>
      </c>
      <c r="H201" s="2">
        <v>12.7</v>
      </c>
      <c r="I201" s="2">
        <v>0.496</v>
      </c>
      <c r="J201" s="2">
        <v>0.255</v>
      </c>
      <c r="K201" s="2">
        <v>0.30299999999999999</v>
      </c>
      <c r="L201" s="2">
        <v>7.3</v>
      </c>
      <c r="M201" s="2">
        <v>18.3</v>
      </c>
      <c r="N201" s="2">
        <v>12.8</v>
      </c>
      <c r="O201" s="2">
        <v>15.6</v>
      </c>
      <c r="P201" s="2">
        <v>2.2999999999999998</v>
      </c>
      <c r="Q201" s="2">
        <v>0.5</v>
      </c>
      <c r="R201" s="2">
        <v>14.6</v>
      </c>
      <c r="S201" s="2">
        <v>20.9</v>
      </c>
      <c r="T201" s="2">
        <v>-0.1</v>
      </c>
      <c r="U201" s="2">
        <v>0.6</v>
      </c>
      <c r="V201" s="2">
        <v>0.4</v>
      </c>
      <c r="W201" s="2">
        <v>5.3999999999999999E-2</v>
      </c>
      <c r="X201" s="2">
        <v>-3</v>
      </c>
      <c r="Y201" s="2">
        <v>0.3</v>
      </c>
      <c r="Z201" s="2">
        <v>-2.7</v>
      </c>
      <c r="AA201" s="2">
        <v>-0.1</v>
      </c>
    </row>
    <row r="202" spans="1:27" x14ac:dyDescent="0.2">
      <c r="A202" t="s">
        <v>218</v>
      </c>
      <c r="B202" s="2">
        <v>23</v>
      </c>
      <c r="C202" t="s">
        <v>80</v>
      </c>
      <c r="D202" s="2" t="s">
        <v>27</v>
      </c>
      <c r="E202" s="2">
        <v>25</v>
      </c>
      <c r="F202" s="2">
        <v>0</v>
      </c>
      <c r="G202" s="2">
        <v>584</v>
      </c>
      <c r="H202" s="2">
        <v>14.5</v>
      </c>
      <c r="I202" s="2">
        <v>0.60699999999999998</v>
      </c>
      <c r="J202" s="2">
        <v>0.371</v>
      </c>
      <c r="K202" s="2">
        <v>0.39100000000000001</v>
      </c>
      <c r="L202" s="2">
        <v>6.7</v>
      </c>
      <c r="M202" s="2">
        <v>13.9</v>
      </c>
      <c r="N202" s="2">
        <v>10.5</v>
      </c>
      <c r="O202" s="2">
        <v>18.7</v>
      </c>
      <c r="P202" s="2">
        <v>1.7</v>
      </c>
      <c r="Q202" s="2">
        <v>2.7</v>
      </c>
      <c r="R202" s="2">
        <v>16.5</v>
      </c>
      <c r="S202" s="2">
        <v>14.6</v>
      </c>
      <c r="T202" s="2">
        <v>1</v>
      </c>
      <c r="U202" s="2">
        <v>0.9</v>
      </c>
      <c r="V202" s="2">
        <v>1.9</v>
      </c>
      <c r="W202" s="2">
        <v>0.155</v>
      </c>
      <c r="X202" s="2">
        <v>0.3</v>
      </c>
      <c r="Y202" s="2">
        <v>1.8</v>
      </c>
      <c r="Z202" s="2">
        <v>2.1</v>
      </c>
      <c r="AA202" s="2">
        <v>0.6</v>
      </c>
    </row>
    <row r="203" spans="1:27" x14ac:dyDescent="0.2">
      <c r="A203" t="s">
        <v>118</v>
      </c>
      <c r="B203" s="2">
        <v>29</v>
      </c>
      <c r="C203" t="s">
        <v>66</v>
      </c>
      <c r="D203" s="2" t="s">
        <v>42</v>
      </c>
      <c r="E203" s="2">
        <v>25</v>
      </c>
      <c r="F203" s="2">
        <v>24</v>
      </c>
      <c r="G203" s="2">
        <v>813</v>
      </c>
      <c r="H203" s="2">
        <v>19.600000000000001</v>
      </c>
      <c r="I203" s="2">
        <v>0.61499999999999999</v>
      </c>
      <c r="J203" s="2">
        <v>7.0000000000000001E-3</v>
      </c>
      <c r="K203" s="2">
        <v>0.309</v>
      </c>
      <c r="L203" s="2">
        <v>13.4</v>
      </c>
      <c r="M203" s="2">
        <v>24.5</v>
      </c>
      <c r="N203" s="2">
        <v>18.899999999999999</v>
      </c>
      <c r="O203" s="2">
        <v>12.7</v>
      </c>
      <c r="P203" s="2">
        <v>1.7</v>
      </c>
      <c r="Q203" s="2">
        <v>3.8</v>
      </c>
      <c r="R203" s="2">
        <v>14.5</v>
      </c>
      <c r="S203" s="2">
        <v>19.3</v>
      </c>
      <c r="T203" s="2">
        <v>1.5</v>
      </c>
      <c r="U203" s="2">
        <v>0.9</v>
      </c>
      <c r="V203" s="2">
        <v>2.4</v>
      </c>
      <c r="W203" s="2">
        <v>0.14000000000000001</v>
      </c>
      <c r="X203" s="2">
        <v>0.4</v>
      </c>
      <c r="Y203" s="2">
        <v>0.3</v>
      </c>
      <c r="Z203" s="2">
        <v>0.8</v>
      </c>
      <c r="AA203" s="2">
        <v>0.6</v>
      </c>
    </row>
    <row r="204" spans="1:27" x14ac:dyDescent="0.2">
      <c r="A204" t="s">
        <v>553</v>
      </c>
      <c r="B204" s="2">
        <v>23</v>
      </c>
      <c r="C204" t="s">
        <v>54</v>
      </c>
      <c r="D204" s="2" t="s">
        <v>49</v>
      </c>
      <c r="E204" s="2">
        <v>2</v>
      </c>
      <c r="F204" s="2">
        <v>0</v>
      </c>
      <c r="G204" s="2">
        <v>11</v>
      </c>
      <c r="H204" s="2">
        <v>-13</v>
      </c>
      <c r="I204" s="2">
        <v>0.17399999999999999</v>
      </c>
      <c r="J204" s="2">
        <v>1</v>
      </c>
      <c r="K204" s="2">
        <v>1</v>
      </c>
      <c r="L204" s="2">
        <v>0</v>
      </c>
      <c r="M204" s="2">
        <v>9.9</v>
      </c>
      <c r="N204" s="2">
        <v>5</v>
      </c>
      <c r="O204" s="2">
        <v>0</v>
      </c>
      <c r="P204" s="2">
        <v>0</v>
      </c>
      <c r="Q204" s="2">
        <v>0</v>
      </c>
      <c r="R204" s="2">
        <v>41</v>
      </c>
      <c r="S204" s="2">
        <v>19.600000000000001</v>
      </c>
      <c r="T204" s="2">
        <v>-0.1</v>
      </c>
      <c r="U204" s="2">
        <v>0</v>
      </c>
      <c r="V204" s="2">
        <v>-0.1</v>
      </c>
      <c r="W204" s="2">
        <v>-0.434</v>
      </c>
      <c r="X204" s="2">
        <v>-16.7</v>
      </c>
      <c r="Y204" s="2">
        <v>-6.7</v>
      </c>
      <c r="Z204" s="2">
        <v>-23.3</v>
      </c>
      <c r="AA204" s="2">
        <v>-0.1</v>
      </c>
    </row>
    <row r="205" spans="1:27" x14ac:dyDescent="0.2">
      <c r="A205" t="s">
        <v>43</v>
      </c>
      <c r="B205" s="2">
        <v>28</v>
      </c>
      <c r="C205" t="s">
        <v>44</v>
      </c>
      <c r="D205" s="2" t="s">
        <v>33</v>
      </c>
      <c r="E205" s="2">
        <v>25</v>
      </c>
      <c r="F205" s="2">
        <v>25</v>
      </c>
      <c r="G205" s="2">
        <v>857</v>
      </c>
      <c r="H205" s="2">
        <v>22.4</v>
      </c>
      <c r="I205" s="2">
        <v>0.61899999999999999</v>
      </c>
      <c r="J205" s="2">
        <v>0.35799999999999998</v>
      </c>
      <c r="K205" s="2">
        <v>0.36699999999999999</v>
      </c>
      <c r="L205" s="2">
        <v>1.6</v>
      </c>
      <c r="M205" s="2">
        <v>8.1</v>
      </c>
      <c r="N205" s="2">
        <v>5</v>
      </c>
      <c r="O205" s="2">
        <v>34.6</v>
      </c>
      <c r="P205" s="2">
        <v>0.9</v>
      </c>
      <c r="Q205" s="2">
        <v>0.2</v>
      </c>
      <c r="R205" s="2">
        <v>10.6</v>
      </c>
      <c r="S205" s="2">
        <v>28.8</v>
      </c>
      <c r="T205" s="2">
        <v>3.2</v>
      </c>
      <c r="U205" s="2">
        <v>0.3</v>
      </c>
      <c r="V205" s="2">
        <v>3.5</v>
      </c>
      <c r="W205" s="2">
        <v>0.19700000000000001</v>
      </c>
      <c r="X205" s="2">
        <v>5.2</v>
      </c>
      <c r="Y205" s="2">
        <v>-2.2000000000000002</v>
      </c>
      <c r="Z205" s="2">
        <v>3</v>
      </c>
      <c r="AA205" s="2">
        <v>1.1000000000000001</v>
      </c>
    </row>
    <row r="206" spans="1:27" x14ac:dyDescent="0.2">
      <c r="A206" t="s">
        <v>226</v>
      </c>
      <c r="B206" s="2">
        <v>21</v>
      </c>
      <c r="C206" t="s">
        <v>75</v>
      </c>
      <c r="D206" s="2" t="s">
        <v>42</v>
      </c>
      <c r="E206" s="2">
        <v>23</v>
      </c>
      <c r="F206" s="2">
        <v>23</v>
      </c>
      <c r="G206" s="2">
        <v>550</v>
      </c>
      <c r="H206" s="2">
        <v>17.7</v>
      </c>
      <c r="I206" s="2">
        <v>0.67500000000000004</v>
      </c>
      <c r="J206" s="2">
        <v>0</v>
      </c>
      <c r="K206" s="2">
        <v>0.54100000000000004</v>
      </c>
      <c r="L206" s="2">
        <v>14.3</v>
      </c>
      <c r="M206" s="2">
        <v>26.8</v>
      </c>
      <c r="N206" s="2">
        <v>20.7</v>
      </c>
      <c r="O206" s="2">
        <v>14.3</v>
      </c>
      <c r="P206" s="2">
        <v>0.8</v>
      </c>
      <c r="Q206" s="2">
        <v>5</v>
      </c>
      <c r="R206" s="2">
        <v>23</v>
      </c>
      <c r="S206" s="2">
        <v>15.3</v>
      </c>
      <c r="T206" s="2">
        <v>0.9</v>
      </c>
      <c r="U206" s="2">
        <v>0.8</v>
      </c>
      <c r="V206" s="2">
        <v>1.7</v>
      </c>
      <c r="W206" s="2">
        <v>0.14899999999999999</v>
      </c>
      <c r="X206" s="2">
        <v>-1.1000000000000001</v>
      </c>
      <c r="Y206" s="2">
        <v>1.3</v>
      </c>
      <c r="Z206" s="2">
        <v>0.2</v>
      </c>
      <c r="AA206" s="2">
        <v>0.3</v>
      </c>
    </row>
    <row r="207" spans="1:27" x14ac:dyDescent="0.2">
      <c r="A207" t="s">
        <v>86</v>
      </c>
      <c r="B207" s="2">
        <v>22</v>
      </c>
      <c r="C207" t="s">
        <v>87</v>
      </c>
      <c r="D207" s="2" t="s">
        <v>52</v>
      </c>
      <c r="E207" s="2">
        <v>25</v>
      </c>
      <c r="F207" s="2">
        <v>25</v>
      </c>
      <c r="G207" s="2">
        <v>813</v>
      </c>
      <c r="H207" s="2">
        <v>13.2</v>
      </c>
      <c r="I207" s="2">
        <v>0.52900000000000003</v>
      </c>
      <c r="J207" s="2">
        <v>0.47499999999999998</v>
      </c>
      <c r="K207" s="2">
        <v>0.27300000000000002</v>
      </c>
      <c r="L207" s="2">
        <v>1.6</v>
      </c>
      <c r="M207" s="2">
        <v>13.5</v>
      </c>
      <c r="N207" s="2">
        <v>7.5</v>
      </c>
      <c r="O207" s="2">
        <v>12.4</v>
      </c>
      <c r="P207" s="2">
        <v>1.7</v>
      </c>
      <c r="Q207" s="2">
        <v>0.8</v>
      </c>
      <c r="R207" s="2">
        <v>13</v>
      </c>
      <c r="S207" s="2">
        <v>26.5</v>
      </c>
      <c r="T207" s="2">
        <v>-0.1</v>
      </c>
      <c r="U207" s="2">
        <v>1.4</v>
      </c>
      <c r="V207" s="2">
        <v>1.3</v>
      </c>
      <c r="W207" s="2">
        <v>7.9000000000000001E-2</v>
      </c>
      <c r="X207" s="2">
        <v>-0.6</v>
      </c>
      <c r="Y207" s="2">
        <v>0.3</v>
      </c>
      <c r="Z207" s="2">
        <v>-0.3</v>
      </c>
      <c r="AA207" s="2">
        <v>0.3</v>
      </c>
    </row>
    <row r="208" spans="1:27" x14ac:dyDescent="0.2">
      <c r="A208" t="s">
        <v>526</v>
      </c>
      <c r="B208" s="2">
        <v>21</v>
      </c>
      <c r="C208" t="s">
        <v>41</v>
      </c>
      <c r="D208" s="2" t="s">
        <v>52</v>
      </c>
      <c r="E208" s="2">
        <v>2</v>
      </c>
      <c r="F208" s="2">
        <v>0</v>
      </c>
      <c r="G208" s="2">
        <v>14</v>
      </c>
      <c r="H208" s="2">
        <v>11.7</v>
      </c>
      <c r="I208" s="2">
        <v>1.0640000000000001</v>
      </c>
      <c r="J208" s="2">
        <v>0</v>
      </c>
      <c r="K208" s="2">
        <v>2</v>
      </c>
      <c r="L208" s="2">
        <v>8.1999999999999993</v>
      </c>
      <c r="M208" s="2">
        <v>0</v>
      </c>
      <c r="N208" s="2">
        <v>4.0999999999999996</v>
      </c>
      <c r="O208" s="2">
        <v>9.1999999999999993</v>
      </c>
      <c r="P208" s="2">
        <v>0</v>
      </c>
      <c r="Q208" s="2">
        <v>6.7</v>
      </c>
      <c r="R208" s="2">
        <v>34.700000000000003</v>
      </c>
      <c r="S208" s="2">
        <v>9.1</v>
      </c>
      <c r="T208" s="2">
        <v>0</v>
      </c>
      <c r="U208" s="2">
        <v>0</v>
      </c>
      <c r="V208" s="2">
        <v>0</v>
      </c>
      <c r="W208" s="2">
        <v>0.13600000000000001</v>
      </c>
      <c r="X208" s="2">
        <v>-3.8</v>
      </c>
      <c r="Y208" s="2">
        <v>0.8</v>
      </c>
      <c r="Z208" s="2">
        <v>-3</v>
      </c>
      <c r="AA208" s="2">
        <v>0</v>
      </c>
    </row>
    <row r="209" spans="1:27" x14ac:dyDescent="0.2">
      <c r="A209" t="s">
        <v>89</v>
      </c>
      <c r="B209" s="2">
        <v>23</v>
      </c>
      <c r="C209" t="s">
        <v>72</v>
      </c>
      <c r="D209" s="2" t="s">
        <v>49</v>
      </c>
      <c r="E209" s="2">
        <v>24</v>
      </c>
      <c r="F209" s="2">
        <v>24</v>
      </c>
      <c r="G209" s="2">
        <v>877</v>
      </c>
      <c r="H209" s="2">
        <v>17.5</v>
      </c>
      <c r="I209" s="2">
        <v>0.57899999999999996</v>
      </c>
      <c r="J209" s="2">
        <v>0.28999999999999998</v>
      </c>
      <c r="K209" s="2">
        <v>0.21299999999999999</v>
      </c>
      <c r="L209" s="2">
        <v>5</v>
      </c>
      <c r="M209" s="2">
        <v>24.8</v>
      </c>
      <c r="N209" s="2">
        <v>14.7</v>
      </c>
      <c r="O209" s="2">
        <v>22.6</v>
      </c>
      <c r="P209" s="2">
        <v>1.7</v>
      </c>
      <c r="Q209" s="2">
        <v>3</v>
      </c>
      <c r="R209" s="2">
        <v>16.3</v>
      </c>
      <c r="S209" s="2">
        <v>22.5</v>
      </c>
      <c r="T209" s="2">
        <v>0.7</v>
      </c>
      <c r="U209" s="2">
        <v>1</v>
      </c>
      <c r="V209" s="2">
        <v>1.7</v>
      </c>
      <c r="W209" s="2">
        <v>9.2999999999999999E-2</v>
      </c>
      <c r="X209" s="2">
        <v>0.7</v>
      </c>
      <c r="Y209" s="2">
        <v>1.1000000000000001</v>
      </c>
      <c r="Z209" s="2">
        <v>1.8</v>
      </c>
      <c r="AA209" s="2">
        <v>0.9</v>
      </c>
    </row>
    <row r="210" spans="1:27" x14ac:dyDescent="0.2">
      <c r="A210" t="s">
        <v>519</v>
      </c>
      <c r="B210" s="2">
        <v>25</v>
      </c>
      <c r="C210" t="s">
        <v>46</v>
      </c>
      <c r="D210" s="2" t="s">
        <v>52</v>
      </c>
      <c r="E210" s="2">
        <v>4</v>
      </c>
      <c r="F210" s="2">
        <v>0</v>
      </c>
      <c r="G210" s="2">
        <v>37</v>
      </c>
      <c r="H210" s="2">
        <v>7.1</v>
      </c>
      <c r="I210" s="2">
        <v>0.625</v>
      </c>
      <c r="J210" s="2">
        <v>0.75</v>
      </c>
      <c r="K210" s="2">
        <v>0</v>
      </c>
      <c r="L210" s="2">
        <v>3</v>
      </c>
      <c r="M210" s="2">
        <v>11.5</v>
      </c>
      <c r="N210" s="2">
        <v>7.4</v>
      </c>
      <c r="O210" s="2">
        <v>22.1</v>
      </c>
      <c r="P210" s="2">
        <v>1.3</v>
      </c>
      <c r="Q210" s="2">
        <v>0</v>
      </c>
      <c r="R210" s="2">
        <v>33.299999999999997</v>
      </c>
      <c r="S210" s="2">
        <v>6.8</v>
      </c>
      <c r="T210" s="2">
        <v>0</v>
      </c>
      <c r="U210" s="2">
        <v>0</v>
      </c>
      <c r="V210" s="2">
        <v>0.1</v>
      </c>
      <c r="W210" s="2">
        <v>7.0999999999999994E-2</v>
      </c>
      <c r="X210" s="2">
        <v>-4.3</v>
      </c>
      <c r="Y210" s="2">
        <v>-0.1</v>
      </c>
      <c r="Z210" s="2">
        <v>-4.4000000000000004</v>
      </c>
      <c r="AA210" s="2">
        <v>0</v>
      </c>
    </row>
    <row r="211" spans="1:27" x14ac:dyDescent="0.2">
      <c r="A211" t="s">
        <v>254</v>
      </c>
      <c r="B211" s="2">
        <v>24</v>
      </c>
      <c r="C211" t="s">
        <v>70</v>
      </c>
      <c r="D211" s="2" t="s">
        <v>42</v>
      </c>
      <c r="E211" s="2">
        <v>22</v>
      </c>
      <c r="F211" s="2">
        <v>0</v>
      </c>
      <c r="G211" s="2">
        <v>325</v>
      </c>
      <c r="H211" s="2">
        <v>18.100000000000001</v>
      </c>
      <c r="I211" s="2">
        <v>0.59899999999999998</v>
      </c>
      <c r="J211" s="2">
        <v>0.56799999999999995</v>
      </c>
      <c r="K211" s="2">
        <v>0.25800000000000001</v>
      </c>
      <c r="L211" s="2">
        <v>9.9</v>
      </c>
      <c r="M211" s="2">
        <v>26.5</v>
      </c>
      <c r="N211" s="2">
        <v>18.3</v>
      </c>
      <c r="O211" s="2">
        <v>6.4</v>
      </c>
      <c r="P211" s="2">
        <v>1.1000000000000001</v>
      </c>
      <c r="Q211" s="2">
        <v>3.9</v>
      </c>
      <c r="R211" s="2">
        <v>8.6999999999999993</v>
      </c>
      <c r="S211" s="2">
        <v>20.7</v>
      </c>
      <c r="T211" s="2">
        <v>0.5</v>
      </c>
      <c r="U211" s="2">
        <v>0.3</v>
      </c>
      <c r="V211" s="2">
        <v>0.8</v>
      </c>
      <c r="W211" s="2">
        <v>0.124</v>
      </c>
      <c r="X211" s="2">
        <v>0.7</v>
      </c>
      <c r="Y211" s="2">
        <v>-1.4</v>
      </c>
      <c r="Z211" s="2">
        <v>-0.7</v>
      </c>
      <c r="AA211" s="2">
        <v>0.1</v>
      </c>
    </row>
    <row r="212" spans="1:27" x14ac:dyDescent="0.2">
      <c r="A212" t="s">
        <v>104</v>
      </c>
      <c r="B212" s="2">
        <v>23</v>
      </c>
      <c r="C212" t="s">
        <v>48</v>
      </c>
      <c r="D212" s="2" t="s">
        <v>33</v>
      </c>
      <c r="E212" s="2">
        <v>26</v>
      </c>
      <c r="F212" s="2">
        <v>26</v>
      </c>
      <c r="G212" s="2">
        <v>789</v>
      </c>
      <c r="H212" s="2">
        <v>14.8</v>
      </c>
      <c r="I212" s="2">
        <v>0.55000000000000004</v>
      </c>
      <c r="J212" s="2">
        <v>0.53100000000000003</v>
      </c>
      <c r="K212" s="2">
        <v>0.23</v>
      </c>
      <c r="L212" s="2">
        <v>2.4</v>
      </c>
      <c r="M212" s="2">
        <v>13.7</v>
      </c>
      <c r="N212" s="2">
        <v>7.9</v>
      </c>
      <c r="O212" s="2">
        <v>20.100000000000001</v>
      </c>
      <c r="P212" s="2">
        <v>2.6</v>
      </c>
      <c r="Q212" s="2">
        <v>3</v>
      </c>
      <c r="R212" s="2">
        <v>15.9</v>
      </c>
      <c r="S212" s="2">
        <v>25.5</v>
      </c>
      <c r="T212" s="2">
        <v>0</v>
      </c>
      <c r="U212" s="2">
        <v>1.5</v>
      </c>
      <c r="V212" s="2">
        <v>1.4</v>
      </c>
      <c r="W212" s="2">
        <v>8.7999999999999995E-2</v>
      </c>
      <c r="X212" s="2">
        <v>-0.6</v>
      </c>
      <c r="Y212" s="2">
        <v>1.2</v>
      </c>
      <c r="Z212" s="2">
        <v>0.6</v>
      </c>
      <c r="AA212" s="2">
        <v>0.5</v>
      </c>
    </row>
    <row r="213" spans="1:27" x14ac:dyDescent="0.2">
      <c r="A213" t="s">
        <v>73</v>
      </c>
      <c r="B213" s="2">
        <v>23</v>
      </c>
      <c r="C213" t="s">
        <v>32</v>
      </c>
      <c r="D213" s="2" t="s">
        <v>52</v>
      </c>
      <c r="E213" s="2">
        <v>24</v>
      </c>
      <c r="F213" s="2">
        <v>24</v>
      </c>
      <c r="G213" s="2">
        <v>764</v>
      </c>
      <c r="H213" s="2">
        <v>22.8</v>
      </c>
      <c r="I213" s="2">
        <v>0.59399999999999997</v>
      </c>
      <c r="J213" s="2">
        <v>0.309</v>
      </c>
      <c r="K213" s="2">
        <v>0.20499999999999999</v>
      </c>
      <c r="L213" s="2">
        <v>3</v>
      </c>
      <c r="M213" s="2">
        <v>17.2</v>
      </c>
      <c r="N213" s="2">
        <v>10.1</v>
      </c>
      <c r="O213" s="2">
        <v>24.8</v>
      </c>
      <c r="P213" s="2">
        <v>3.1</v>
      </c>
      <c r="Q213" s="2">
        <v>2.7</v>
      </c>
      <c r="R213" s="2">
        <v>10.7</v>
      </c>
      <c r="S213" s="2">
        <v>27.4</v>
      </c>
      <c r="T213" s="2">
        <v>1.5</v>
      </c>
      <c r="U213" s="2">
        <v>1.8</v>
      </c>
      <c r="V213" s="2">
        <v>3.3</v>
      </c>
      <c r="W213" s="2">
        <v>0.21</v>
      </c>
      <c r="X213" s="2">
        <v>3.9</v>
      </c>
      <c r="Y213" s="2">
        <v>2.7</v>
      </c>
      <c r="Z213" s="2">
        <v>6.6</v>
      </c>
      <c r="AA213" s="2">
        <v>1.7</v>
      </c>
    </row>
    <row r="214" spans="1:27" x14ac:dyDescent="0.2">
      <c r="A214" t="s">
        <v>230</v>
      </c>
      <c r="B214" s="2">
        <v>24</v>
      </c>
      <c r="C214" t="s">
        <v>103</v>
      </c>
      <c r="D214" s="2" t="s">
        <v>27</v>
      </c>
      <c r="E214" s="2">
        <v>23</v>
      </c>
      <c r="F214" s="2">
        <v>6</v>
      </c>
      <c r="G214" s="2">
        <v>575</v>
      </c>
      <c r="H214" s="2">
        <v>10</v>
      </c>
      <c r="I214" s="2">
        <v>0.57199999999999995</v>
      </c>
      <c r="J214" s="2">
        <v>0.55100000000000005</v>
      </c>
      <c r="K214" s="2">
        <v>0.253</v>
      </c>
      <c r="L214" s="2">
        <v>4.9000000000000004</v>
      </c>
      <c r="M214" s="2">
        <v>12.5</v>
      </c>
      <c r="N214" s="2">
        <v>8.6</v>
      </c>
      <c r="O214" s="2">
        <v>9.9</v>
      </c>
      <c r="P214" s="2">
        <v>0.7</v>
      </c>
      <c r="Q214" s="2">
        <v>0.2</v>
      </c>
      <c r="R214" s="2">
        <v>10.199999999999999</v>
      </c>
      <c r="S214" s="2">
        <v>15.2</v>
      </c>
      <c r="T214" s="2">
        <v>0.6</v>
      </c>
      <c r="U214" s="2">
        <v>0.1</v>
      </c>
      <c r="V214" s="2">
        <v>0.7</v>
      </c>
      <c r="W214" s="2">
        <v>5.8999999999999997E-2</v>
      </c>
      <c r="X214" s="2">
        <v>-1.8</v>
      </c>
      <c r="Y214" s="2">
        <v>-1.6</v>
      </c>
      <c r="Z214" s="2">
        <v>-3.4</v>
      </c>
      <c r="AA214" s="2">
        <v>-0.2</v>
      </c>
    </row>
    <row r="215" spans="1:27" x14ac:dyDescent="0.2">
      <c r="A215" t="s">
        <v>376</v>
      </c>
      <c r="B215" s="2">
        <v>25</v>
      </c>
      <c r="C215" t="s">
        <v>117</v>
      </c>
      <c r="D215" s="2" t="s">
        <v>49</v>
      </c>
      <c r="E215" s="2">
        <v>15</v>
      </c>
      <c r="F215" s="2">
        <v>0</v>
      </c>
      <c r="G215" s="2">
        <v>217</v>
      </c>
      <c r="H215" s="2">
        <v>12.1</v>
      </c>
      <c r="I215" s="2">
        <v>0.57499999999999996</v>
      </c>
      <c r="J215" s="2">
        <v>0.50900000000000001</v>
      </c>
      <c r="K215" s="2">
        <v>0.30199999999999999</v>
      </c>
      <c r="L215" s="2">
        <v>6.2</v>
      </c>
      <c r="M215" s="2">
        <v>14.6</v>
      </c>
      <c r="N215" s="2">
        <v>10.199999999999999</v>
      </c>
      <c r="O215" s="2">
        <v>6.6</v>
      </c>
      <c r="P215" s="2">
        <v>1.8</v>
      </c>
      <c r="Q215" s="2">
        <v>3</v>
      </c>
      <c r="R215" s="2">
        <v>10.4</v>
      </c>
      <c r="S215" s="2">
        <v>13.1</v>
      </c>
      <c r="T215" s="2">
        <v>0.2</v>
      </c>
      <c r="U215" s="2">
        <v>0.1</v>
      </c>
      <c r="V215" s="2">
        <v>0.3</v>
      </c>
      <c r="W215" s="2">
        <v>6.6000000000000003E-2</v>
      </c>
      <c r="X215" s="2">
        <v>-2.1</v>
      </c>
      <c r="Y215" s="2">
        <v>-0.1</v>
      </c>
      <c r="Z215" s="2">
        <v>-2.2000000000000002</v>
      </c>
      <c r="AA215" s="2">
        <v>0</v>
      </c>
    </row>
    <row r="216" spans="1:27" x14ac:dyDescent="0.2">
      <c r="A216" t="s">
        <v>154</v>
      </c>
      <c r="B216" s="2">
        <v>27</v>
      </c>
      <c r="C216" t="s">
        <v>46</v>
      </c>
      <c r="D216" s="2" t="s">
        <v>33</v>
      </c>
      <c r="E216" s="2">
        <v>17</v>
      </c>
      <c r="F216" s="2">
        <v>17</v>
      </c>
      <c r="G216" s="2">
        <v>613</v>
      </c>
      <c r="H216" s="2">
        <v>14.6</v>
      </c>
      <c r="I216" s="2">
        <v>0.52800000000000002</v>
      </c>
      <c r="J216" s="2">
        <v>0.38500000000000001</v>
      </c>
      <c r="K216" s="2">
        <v>0.25700000000000001</v>
      </c>
      <c r="L216" s="2">
        <v>1.6</v>
      </c>
      <c r="M216" s="2">
        <v>10.199999999999999</v>
      </c>
      <c r="N216" s="2">
        <v>6</v>
      </c>
      <c r="O216" s="2">
        <v>23.6</v>
      </c>
      <c r="P216" s="2">
        <v>1.8</v>
      </c>
      <c r="Q216" s="2">
        <v>1.5</v>
      </c>
      <c r="R216" s="2">
        <v>10.1</v>
      </c>
      <c r="S216" s="2">
        <v>21.8</v>
      </c>
      <c r="T216" s="2">
        <v>0.6</v>
      </c>
      <c r="U216" s="2">
        <v>0.4</v>
      </c>
      <c r="V216" s="2">
        <v>1</v>
      </c>
      <c r="W216" s="2">
        <v>0.08</v>
      </c>
      <c r="X216" s="2">
        <v>-0.2</v>
      </c>
      <c r="Y216" s="2">
        <v>-0.8</v>
      </c>
      <c r="Z216" s="2">
        <v>-1</v>
      </c>
      <c r="AA216" s="2">
        <v>0.2</v>
      </c>
    </row>
    <row r="217" spans="1:27" x14ac:dyDescent="0.2">
      <c r="A217" t="s">
        <v>327</v>
      </c>
      <c r="B217" s="2">
        <v>22</v>
      </c>
      <c r="C217" t="s">
        <v>66</v>
      </c>
      <c r="D217" s="2" t="s">
        <v>33</v>
      </c>
      <c r="E217" s="2">
        <v>24</v>
      </c>
      <c r="F217" s="2">
        <v>0</v>
      </c>
      <c r="G217" s="2">
        <v>338</v>
      </c>
      <c r="H217" s="2">
        <v>6.2</v>
      </c>
      <c r="I217" s="2">
        <v>0.46100000000000002</v>
      </c>
      <c r="J217" s="2">
        <v>0.39800000000000002</v>
      </c>
      <c r="K217" s="2">
        <v>0.106</v>
      </c>
      <c r="L217" s="2">
        <v>0.6</v>
      </c>
      <c r="M217" s="2">
        <v>6.2</v>
      </c>
      <c r="N217" s="2">
        <v>3.4</v>
      </c>
      <c r="O217" s="2">
        <v>26.4</v>
      </c>
      <c r="P217" s="2">
        <v>1.6</v>
      </c>
      <c r="Q217" s="2">
        <v>0.6</v>
      </c>
      <c r="R217" s="2">
        <v>20.8</v>
      </c>
      <c r="S217" s="2">
        <v>18.3</v>
      </c>
      <c r="T217" s="2">
        <v>-0.4</v>
      </c>
      <c r="U217" s="2">
        <v>0.1</v>
      </c>
      <c r="V217" s="2">
        <v>-0.3</v>
      </c>
      <c r="W217" s="2">
        <v>-0.04</v>
      </c>
      <c r="X217" s="2">
        <v>-5.5</v>
      </c>
      <c r="Y217" s="2">
        <v>-1.8</v>
      </c>
      <c r="Z217" s="2">
        <v>-7.3</v>
      </c>
      <c r="AA217" s="2">
        <v>-0.4</v>
      </c>
    </row>
    <row r="218" spans="1:27" x14ac:dyDescent="0.2">
      <c r="A218" t="s">
        <v>76</v>
      </c>
      <c r="B218" s="2">
        <v>35</v>
      </c>
      <c r="C218" t="s">
        <v>77</v>
      </c>
      <c r="D218" s="2" t="s">
        <v>33</v>
      </c>
      <c r="E218" s="2">
        <v>24</v>
      </c>
      <c r="F218" s="2">
        <v>24</v>
      </c>
      <c r="G218" s="2">
        <v>814</v>
      </c>
      <c r="H218" s="2">
        <v>19.7</v>
      </c>
      <c r="I218" s="2">
        <v>0.55600000000000005</v>
      </c>
      <c r="J218" s="2">
        <v>0.51400000000000001</v>
      </c>
      <c r="K218" s="2">
        <v>0.442</v>
      </c>
      <c r="L218" s="2">
        <v>1.9</v>
      </c>
      <c r="M218" s="2">
        <v>20.5</v>
      </c>
      <c r="N218" s="2">
        <v>11.1</v>
      </c>
      <c r="O218" s="2">
        <v>39.1</v>
      </c>
      <c r="P218" s="2">
        <v>2.2999999999999998</v>
      </c>
      <c r="Q218" s="2">
        <v>2</v>
      </c>
      <c r="R218" s="2">
        <v>18.399999999999999</v>
      </c>
      <c r="S218" s="2">
        <v>30.3</v>
      </c>
      <c r="T218" s="2">
        <v>0.9</v>
      </c>
      <c r="U218" s="2">
        <v>1.4</v>
      </c>
      <c r="V218" s="2">
        <v>2.2000000000000002</v>
      </c>
      <c r="W218" s="2">
        <v>0.13</v>
      </c>
      <c r="X218" s="2">
        <v>3.3</v>
      </c>
      <c r="Y218" s="2">
        <v>1.3</v>
      </c>
      <c r="Z218" s="2">
        <v>4.5</v>
      </c>
      <c r="AA218" s="2">
        <v>1.4</v>
      </c>
    </row>
    <row r="219" spans="1:27" x14ac:dyDescent="0.2">
      <c r="A219" t="s">
        <v>528</v>
      </c>
      <c r="B219" s="2">
        <v>37</v>
      </c>
      <c r="C219" t="s">
        <v>82</v>
      </c>
      <c r="D219" s="2" t="s">
        <v>27</v>
      </c>
      <c r="E219" s="2">
        <v>3</v>
      </c>
      <c r="F219" s="2">
        <v>0</v>
      </c>
      <c r="G219" s="2">
        <v>10</v>
      </c>
      <c r="H219" s="2">
        <v>4.3</v>
      </c>
      <c r="I219" s="2">
        <v>0.5</v>
      </c>
      <c r="J219" s="2">
        <v>0.25</v>
      </c>
      <c r="K219" s="2">
        <v>0</v>
      </c>
      <c r="L219" s="2">
        <v>0</v>
      </c>
      <c r="M219" s="2">
        <v>23.2</v>
      </c>
      <c r="N219" s="2">
        <v>11.6</v>
      </c>
      <c r="O219" s="2">
        <v>29.5</v>
      </c>
      <c r="P219" s="2">
        <v>0</v>
      </c>
      <c r="Q219" s="2">
        <v>9.4</v>
      </c>
      <c r="R219" s="2">
        <v>42.9</v>
      </c>
      <c r="S219" s="2">
        <v>30.4</v>
      </c>
      <c r="T219" s="2">
        <v>-0.1</v>
      </c>
      <c r="U219" s="2">
        <v>0</v>
      </c>
      <c r="V219" s="2">
        <v>-0.1</v>
      </c>
      <c r="W219" s="2">
        <v>-0.29199999999999998</v>
      </c>
      <c r="X219" s="2">
        <v>-6.9</v>
      </c>
      <c r="Y219" s="2">
        <v>1</v>
      </c>
      <c r="Z219" s="2">
        <v>-6</v>
      </c>
      <c r="AA219" s="2">
        <v>0</v>
      </c>
    </row>
    <row r="220" spans="1:27" x14ac:dyDescent="0.2">
      <c r="A220" t="s">
        <v>515</v>
      </c>
      <c r="B220" s="2">
        <v>23</v>
      </c>
      <c r="C220" t="s">
        <v>82</v>
      </c>
      <c r="D220" s="2" t="s">
        <v>42</v>
      </c>
      <c r="E220" s="2">
        <v>1</v>
      </c>
      <c r="F220" s="2">
        <v>0</v>
      </c>
      <c r="G220" s="2">
        <v>5</v>
      </c>
      <c r="H220" s="2">
        <v>32.200000000000003</v>
      </c>
      <c r="I220" s="2">
        <v>0.61499999999999999</v>
      </c>
      <c r="J220" s="2">
        <v>0.25</v>
      </c>
      <c r="K220" s="2">
        <v>0.5</v>
      </c>
      <c r="L220" s="2">
        <v>0</v>
      </c>
      <c r="M220" s="2">
        <v>23.2</v>
      </c>
      <c r="N220" s="2">
        <v>11.6</v>
      </c>
      <c r="O220" s="2">
        <v>0</v>
      </c>
      <c r="P220" s="2">
        <v>0</v>
      </c>
      <c r="Q220" s="2">
        <v>0</v>
      </c>
      <c r="R220" s="2">
        <v>0</v>
      </c>
      <c r="S220" s="2">
        <v>42.3</v>
      </c>
      <c r="T220" s="2">
        <v>0</v>
      </c>
      <c r="U220" s="2">
        <v>0</v>
      </c>
      <c r="V220" s="2">
        <v>0</v>
      </c>
      <c r="W220" s="2">
        <v>0.22600000000000001</v>
      </c>
      <c r="X220" s="2">
        <v>5.8</v>
      </c>
      <c r="Y220" s="2">
        <v>-5.4</v>
      </c>
      <c r="Z220" s="2">
        <v>0.4</v>
      </c>
      <c r="AA220" s="2">
        <v>0</v>
      </c>
    </row>
    <row r="221" spans="1:27" x14ac:dyDescent="0.2">
      <c r="A221" t="s">
        <v>295</v>
      </c>
      <c r="B221" s="2">
        <v>23</v>
      </c>
      <c r="C221" t="s">
        <v>66</v>
      </c>
      <c r="D221" s="2" t="s">
        <v>49</v>
      </c>
      <c r="E221" s="2">
        <v>24</v>
      </c>
      <c r="F221" s="2">
        <v>0</v>
      </c>
      <c r="G221" s="2">
        <v>326</v>
      </c>
      <c r="H221" s="2">
        <v>13.5</v>
      </c>
      <c r="I221" s="2">
        <v>0.66100000000000003</v>
      </c>
      <c r="J221" s="2">
        <v>0.74299999999999999</v>
      </c>
      <c r="K221" s="2">
        <v>0.109</v>
      </c>
      <c r="L221" s="2">
        <v>4.5999999999999996</v>
      </c>
      <c r="M221" s="2">
        <v>11.5</v>
      </c>
      <c r="N221" s="2">
        <v>8</v>
      </c>
      <c r="O221" s="2">
        <v>9.4</v>
      </c>
      <c r="P221" s="2">
        <v>0.4</v>
      </c>
      <c r="Q221" s="2">
        <v>1.2</v>
      </c>
      <c r="R221" s="2">
        <v>7</v>
      </c>
      <c r="S221" s="2">
        <v>14.5</v>
      </c>
      <c r="T221" s="2">
        <v>0.7</v>
      </c>
      <c r="U221" s="2">
        <v>0.1</v>
      </c>
      <c r="V221" s="2">
        <v>0.8</v>
      </c>
      <c r="W221" s="2">
        <v>0.115</v>
      </c>
      <c r="X221" s="2">
        <v>1.8</v>
      </c>
      <c r="Y221" s="2">
        <v>-1.3</v>
      </c>
      <c r="Z221" s="2">
        <v>0.5</v>
      </c>
      <c r="AA221" s="2">
        <v>0.2</v>
      </c>
    </row>
    <row r="222" spans="1:27" x14ac:dyDescent="0.2">
      <c r="A222" t="s">
        <v>294</v>
      </c>
      <c r="B222" s="2">
        <v>21</v>
      </c>
      <c r="C222" t="s">
        <v>82</v>
      </c>
      <c r="D222" s="2" t="s">
        <v>27</v>
      </c>
      <c r="E222" s="2">
        <v>25</v>
      </c>
      <c r="F222" s="2">
        <v>1</v>
      </c>
      <c r="G222" s="2">
        <v>456</v>
      </c>
      <c r="H222" s="2">
        <v>10.3</v>
      </c>
      <c r="I222" s="2">
        <v>0.55700000000000005</v>
      </c>
      <c r="J222" s="2">
        <v>0.54</v>
      </c>
      <c r="K222" s="2">
        <v>0.27400000000000002</v>
      </c>
      <c r="L222" s="2">
        <v>3.1</v>
      </c>
      <c r="M222" s="2">
        <v>19.3</v>
      </c>
      <c r="N222" s="2">
        <v>11.2</v>
      </c>
      <c r="O222" s="2">
        <v>11.1</v>
      </c>
      <c r="P222" s="2">
        <v>3.2</v>
      </c>
      <c r="Q222" s="2">
        <v>1.9</v>
      </c>
      <c r="R222" s="2">
        <v>22.1</v>
      </c>
      <c r="S222" s="2">
        <v>15.5</v>
      </c>
      <c r="T222" s="2">
        <v>-0.3</v>
      </c>
      <c r="U222" s="2">
        <v>0.5</v>
      </c>
      <c r="V222" s="2">
        <v>0.2</v>
      </c>
      <c r="W222" s="2">
        <v>0.02</v>
      </c>
      <c r="X222" s="2">
        <v>-2.8</v>
      </c>
      <c r="Y222" s="2">
        <v>0.8</v>
      </c>
      <c r="Z222" s="2">
        <v>-2.1</v>
      </c>
      <c r="AA222" s="2">
        <v>0</v>
      </c>
    </row>
    <row r="223" spans="1:27" x14ac:dyDescent="0.2">
      <c r="A223" t="s">
        <v>343</v>
      </c>
      <c r="B223" s="2">
        <v>24</v>
      </c>
      <c r="C223" t="s">
        <v>114</v>
      </c>
      <c r="D223" s="2" t="s">
        <v>52</v>
      </c>
      <c r="E223" s="2">
        <v>17</v>
      </c>
      <c r="F223" s="2">
        <v>0</v>
      </c>
      <c r="G223" s="2">
        <v>180</v>
      </c>
      <c r="H223" s="2">
        <v>15.6</v>
      </c>
      <c r="I223" s="2">
        <v>0.51200000000000001</v>
      </c>
      <c r="J223" s="2">
        <v>0.25900000000000001</v>
      </c>
      <c r="K223" s="2">
        <v>0.25900000000000001</v>
      </c>
      <c r="L223" s="2">
        <v>2.2999999999999998</v>
      </c>
      <c r="M223" s="2">
        <v>6.6</v>
      </c>
      <c r="N223" s="2">
        <v>4.4000000000000004</v>
      </c>
      <c r="O223" s="2">
        <v>41.3</v>
      </c>
      <c r="P223" s="2">
        <v>1.6</v>
      </c>
      <c r="Q223" s="2">
        <v>1</v>
      </c>
      <c r="R223" s="2">
        <v>11.2</v>
      </c>
      <c r="S223" s="2">
        <v>24.5</v>
      </c>
      <c r="T223" s="2">
        <v>0.2</v>
      </c>
      <c r="U223" s="2">
        <v>0</v>
      </c>
      <c r="V223" s="2">
        <v>0.1</v>
      </c>
      <c r="W223" s="2">
        <v>3.6999999999999998E-2</v>
      </c>
      <c r="X223" s="2">
        <v>0.6</v>
      </c>
      <c r="Y223" s="2">
        <v>-1.9</v>
      </c>
      <c r="Z223" s="2">
        <v>-1.2</v>
      </c>
      <c r="AA223" s="2">
        <v>0</v>
      </c>
    </row>
    <row r="224" spans="1:27" x14ac:dyDescent="0.2">
      <c r="A224" t="s">
        <v>133</v>
      </c>
      <c r="B224" s="2">
        <v>20</v>
      </c>
      <c r="C224" t="s">
        <v>122</v>
      </c>
      <c r="D224" s="2" t="s">
        <v>52</v>
      </c>
      <c r="E224" s="2">
        <v>22</v>
      </c>
      <c r="F224" s="2">
        <v>8</v>
      </c>
      <c r="G224" s="2">
        <v>563</v>
      </c>
      <c r="H224" s="2">
        <v>16.7</v>
      </c>
      <c r="I224" s="2">
        <v>0.59299999999999997</v>
      </c>
      <c r="J224" s="2">
        <v>0.48899999999999999</v>
      </c>
      <c r="K224" s="2">
        <v>0.20899999999999999</v>
      </c>
      <c r="L224" s="2">
        <v>2.5</v>
      </c>
      <c r="M224" s="2">
        <v>9.1999999999999993</v>
      </c>
      <c r="N224" s="2">
        <v>5.7</v>
      </c>
      <c r="O224" s="2">
        <v>18.2</v>
      </c>
      <c r="P224" s="2">
        <v>1.3</v>
      </c>
      <c r="Q224" s="2">
        <v>0</v>
      </c>
      <c r="R224" s="2">
        <v>10.7</v>
      </c>
      <c r="S224" s="2">
        <v>25.6</v>
      </c>
      <c r="T224" s="2">
        <v>0.8</v>
      </c>
      <c r="U224" s="2">
        <v>0.4</v>
      </c>
      <c r="V224" s="2">
        <v>1.1000000000000001</v>
      </c>
      <c r="W224" s="2">
        <v>9.8000000000000004E-2</v>
      </c>
      <c r="X224" s="2">
        <v>2.6</v>
      </c>
      <c r="Y224" s="2">
        <v>-1.4</v>
      </c>
      <c r="Z224" s="2">
        <v>1.3</v>
      </c>
      <c r="AA224" s="2">
        <v>0.5</v>
      </c>
    </row>
    <row r="225" spans="1:27" x14ac:dyDescent="0.2">
      <c r="A225" t="s">
        <v>531</v>
      </c>
      <c r="B225" s="2">
        <v>25</v>
      </c>
      <c r="C225" t="s">
        <v>59</v>
      </c>
      <c r="D225" s="2" t="s">
        <v>52</v>
      </c>
      <c r="E225" s="2">
        <v>4</v>
      </c>
      <c r="F225" s="2">
        <v>0</v>
      </c>
      <c r="G225" s="2">
        <v>12</v>
      </c>
      <c r="H225" s="2">
        <v>5.7</v>
      </c>
      <c r="I225" s="2">
        <v>0.25</v>
      </c>
      <c r="J225" s="2">
        <v>0.25</v>
      </c>
      <c r="K225" s="2">
        <v>0</v>
      </c>
      <c r="L225" s="2">
        <v>17.7</v>
      </c>
      <c r="M225" s="2">
        <v>19.2</v>
      </c>
      <c r="N225" s="2">
        <v>18.399999999999999</v>
      </c>
      <c r="O225" s="2">
        <v>26.6</v>
      </c>
      <c r="P225" s="2">
        <v>4.0999999999999996</v>
      </c>
      <c r="Q225" s="2">
        <v>0</v>
      </c>
      <c r="R225" s="2">
        <v>11.1</v>
      </c>
      <c r="S225" s="2">
        <v>31.9</v>
      </c>
      <c r="T225" s="2">
        <v>-0.1</v>
      </c>
      <c r="U225" s="2">
        <v>0</v>
      </c>
      <c r="V225" s="2">
        <v>-0.1</v>
      </c>
      <c r="W225" s="2">
        <v>-0.20399999999999999</v>
      </c>
      <c r="X225" s="2">
        <v>-6.9</v>
      </c>
      <c r="Y225" s="2">
        <v>-1.7</v>
      </c>
      <c r="Z225" s="2">
        <v>-8.6</v>
      </c>
      <c r="AA225" s="2">
        <v>0</v>
      </c>
    </row>
    <row r="226" spans="1:27" x14ac:dyDescent="0.2">
      <c r="A226" t="s">
        <v>79</v>
      </c>
      <c r="B226" s="2">
        <v>25</v>
      </c>
      <c r="C226" t="s">
        <v>80</v>
      </c>
      <c r="D226" s="2" t="s">
        <v>42</v>
      </c>
      <c r="E226" s="2">
        <v>23</v>
      </c>
      <c r="F226" s="2">
        <v>23</v>
      </c>
      <c r="G226" s="2">
        <v>645</v>
      </c>
      <c r="H226" s="2">
        <v>22</v>
      </c>
      <c r="I226" s="2">
        <v>0.624</v>
      </c>
      <c r="J226" s="2">
        <v>0.34300000000000003</v>
      </c>
      <c r="K226" s="2">
        <v>0.35099999999999998</v>
      </c>
      <c r="L226" s="2">
        <v>5.0999999999999996</v>
      </c>
      <c r="M226" s="2">
        <v>16.2</v>
      </c>
      <c r="N226" s="2">
        <v>10.9</v>
      </c>
      <c r="O226" s="2">
        <v>6.9</v>
      </c>
      <c r="P226" s="2">
        <v>2.2999999999999998</v>
      </c>
      <c r="Q226" s="2">
        <v>6.3</v>
      </c>
      <c r="R226" s="2">
        <v>10.8</v>
      </c>
      <c r="S226" s="2">
        <v>28.2</v>
      </c>
      <c r="T226" s="2">
        <v>1.2</v>
      </c>
      <c r="U226" s="2">
        <v>1.3</v>
      </c>
      <c r="V226" s="2">
        <v>2.4</v>
      </c>
      <c r="W226" s="2">
        <v>0.182</v>
      </c>
      <c r="X226" s="2">
        <v>1.8</v>
      </c>
      <c r="Y226" s="2">
        <v>1.5</v>
      </c>
      <c r="Z226" s="2">
        <v>3.2</v>
      </c>
      <c r="AA226" s="2">
        <v>0.9</v>
      </c>
    </row>
    <row r="227" spans="1:27" x14ac:dyDescent="0.2">
      <c r="A227" t="s">
        <v>143</v>
      </c>
      <c r="B227" s="2">
        <v>26</v>
      </c>
      <c r="C227" t="s">
        <v>57</v>
      </c>
      <c r="D227" s="2" t="s">
        <v>42</v>
      </c>
      <c r="E227" s="2">
        <v>25</v>
      </c>
      <c r="F227" s="2">
        <v>25</v>
      </c>
      <c r="G227" s="2">
        <v>745</v>
      </c>
      <c r="H227" s="2">
        <v>21</v>
      </c>
      <c r="I227" s="2">
        <v>0.70799999999999996</v>
      </c>
      <c r="J227" s="2">
        <v>5.0000000000000001E-3</v>
      </c>
      <c r="K227" s="2">
        <v>0.42199999999999999</v>
      </c>
      <c r="L227" s="2">
        <v>8.8000000000000007</v>
      </c>
      <c r="M227" s="2">
        <v>29</v>
      </c>
      <c r="N227" s="2">
        <v>19.2</v>
      </c>
      <c r="O227" s="2">
        <v>8</v>
      </c>
      <c r="P227" s="2">
        <v>1.5</v>
      </c>
      <c r="Q227" s="2">
        <v>2.7</v>
      </c>
      <c r="R227" s="2">
        <v>9.9</v>
      </c>
      <c r="S227" s="2">
        <v>15.2</v>
      </c>
      <c r="T227" s="2">
        <v>2.2999999999999998</v>
      </c>
      <c r="U227" s="2">
        <v>1.3</v>
      </c>
      <c r="V227" s="2">
        <v>3.6</v>
      </c>
      <c r="W227" s="2">
        <v>0.23</v>
      </c>
      <c r="X227" s="2">
        <v>2.2000000000000002</v>
      </c>
      <c r="Y227" s="2">
        <v>0.6</v>
      </c>
      <c r="Z227" s="2">
        <v>2.9</v>
      </c>
      <c r="AA227" s="2">
        <v>0.9</v>
      </c>
    </row>
    <row r="228" spans="1:27" x14ac:dyDescent="0.2">
      <c r="A228" t="s">
        <v>279</v>
      </c>
      <c r="B228" s="2">
        <v>31</v>
      </c>
      <c r="C228" t="s">
        <v>117</v>
      </c>
      <c r="D228" s="2" t="s">
        <v>52</v>
      </c>
      <c r="E228" s="2">
        <v>24</v>
      </c>
      <c r="F228" s="2">
        <v>12</v>
      </c>
      <c r="G228" s="2">
        <v>560</v>
      </c>
      <c r="H228" s="2">
        <v>10.7</v>
      </c>
      <c r="I228" s="2">
        <v>0.54300000000000004</v>
      </c>
      <c r="J228" s="2">
        <v>0.443</v>
      </c>
      <c r="K228" s="2">
        <v>0.32</v>
      </c>
      <c r="L228" s="2">
        <v>4.4000000000000004</v>
      </c>
      <c r="M228" s="2">
        <v>11.1</v>
      </c>
      <c r="N228" s="2">
        <v>7.6</v>
      </c>
      <c r="O228" s="2">
        <v>5</v>
      </c>
      <c r="P228" s="2">
        <v>2.4</v>
      </c>
      <c r="Q228" s="2">
        <v>2.8</v>
      </c>
      <c r="R228" s="2">
        <v>9.1</v>
      </c>
      <c r="S228" s="2">
        <v>11.6</v>
      </c>
      <c r="T228" s="2">
        <v>0.3</v>
      </c>
      <c r="U228" s="2">
        <v>0.3</v>
      </c>
      <c r="V228" s="2">
        <v>0.6</v>
      </c>
      <c r="W228" s="2">
        <v>0.05</v>
      </c>
      <c r="X228" s="2">
        <v>-2.7</v>
      </c>
      <c r="Y228" s="2">
        <v>0</v>
      </c>
      <c r="Z228" s="2">
        <v>-2.7</v>
      </c>
      <c r="AA228" s="2">
        <v>-0.1</v>
      </c>
    </row>
    <row r="229" spans="1:27" x14ac:dyDescent="0.2">
      <c r="A229" t="s">
        <v>375</v>
      </c>
      <c r="B229" s="2">
        <v>24</v>
      </c>
      <c r="C229" t="s">
        <v>41</v>
      </c>
      <c r="D229" s="2" t="s">
        <v>42</v>
      </c>
      <c r="E229" s="2">
        <v>11</v>
      </c>
      <c r="F229" s="2">
        <v>1</v>
      </c>
      <c r="G229" s="2">
        <v>192</v>
      </c>
      <c r="H229" s="2">
        <v>17.100000000000001</v>
      </c>
      <c r="I229" s="2">
        <v>0.75900000000000001</v>
      </c>
      <c r="J229" s="2">
        <v>0</v>
      </c>
      <c r="K229" s="2">
        <v>0.63900000000000001</v>
      </c>
      <c r="L229" s="2">
        <v>12.5</v>
      </c>
      <c r="M229" s="2">
        <v>17.2</v>
      </c>
      <c r="N229" s="2">
        <v>14.8</v>
      </c>
      <c r="O229" s="2">
        <v>6.6</v>
      </c>
      <c r="P229" s="2">
        <v>1</v>
      </c>
      <c r="Q229" s="2">
        <v>4.4000000000000004</v>
      </c>
      <c r="R229" s="2">
        <v>14.8</v>
      </c>
      <c r="S229" s="2">
        <v>12.4</v>
      </c>
      <c r="T229" s="2">
        <v>0.6</v>
      </c>
      <c r="U229" s="2">
        <v>0.1</v>
      </c>
      <c r="V229" s="2">
        <v>0.7</v>
      </c>
      <c r="W229" s="2">
        <v>0.17399999999999999</v>
      </c>
      <c r="X229" s="2">
        <v>-1.1000000000000001</v>
      </c>
      <c r="Y229" s="2">
        <v>-0.4</v>
      </c>
      <c r="Z229" s="2">
        <v>-1.5</v>
      </c>
      <c r="AA229" s="2">
        <v>0</v>
      </c>
    </row>
    <row r="230" spans="1:27" x14ac:dyDescent="0.2">
      <c r="A230" t="s">
        <v>203</v>
      </c>
      <c r="B230" s="2">
        <v>26</v>
      </c>
      <c r="C230" t="s">
        <v>80</v>
      </c>
      <c r="D230" s="2" t="s">
        <v>42</v>
      </c>
      <c r="E230" s="2">
        <v>25</v>
      </c>
      <c r="F230" s="2">
        <v>1</v>
      </c>
      <c r="G230" s="2">
        <v>392</v>
      </c>
      <c r="H230" s="2">
        <v>19.100000000000001</v>
      </c>
      <c r="I230" s="2">
        <v>0.67600000000000005</v>
      </c>
      <c r="J230" s="2">
        <v>0.65800000000000003</v>
      </c>
      <c r="K230" s="2">
        <v>0.25900000000000001</v>
      </c>
      <c r="L230" s="2">
        <v>3.9</v>
      </c>
      <c r="M230" s="2">
        <v>13.8</v>
      </c>
      <c r="N230" s="2">
        <v>9.1</v>
      </c>
      <c r="O230" s="2">
        <v>7.4</v>
      </c>
      <c r="P230" s="2">
        <v>0.8</v>
      </c>
      <c r="Q230" s="2">
        <v>7.5</v>
      </c>
      <c r="R230" s="2">
        <v>8.3000000000000007</v>
      </c>
      <c r="S230" s="2">
        <v>19.7</v>
      </c>
      <c r="T230" s="2">
        <v>1</v>
      </c>
      <c r="U230" s="2">
        <v>0.6</v>
      </c>
      <c r="V230" s="2">
        <v>1.6</v>
      </c>
      <c r="W230" s="2">
        <v>0.19400000000000001</v>
      </c>
      <c r="X230" s="2">
        <v>2.9</v>
      </c>
      <c r="Y230" s="2">
        <v>1.2</v>
      </c>
      <c r="Z230" s="2">
        <v>4.2</v>
      </c>
      <c r="AA230" s="2">
        <v>0.6</v>
      </c>
    </row>
    <row r="231" spans="1:27" x14ac:dyDescent="0.2">
      <c r="A231" t="s">
        <v>84</v>
      </c>
      <c r="B231" s="2">
        <v>28</v>
      </c>
      <c r="C231" t="s">
        <v>39</v>
      </c>
      <c r="D231" s="2" t="s">
        <v>49</v>
      </c>
      <c r="E231" s="2">
        <v>20</v>
      </c>
      <c r="F231" s="2">
        <v>20</v>
      </c>
      <c r="G231" s="2">
        <v>716</v>
      </c>
      <c r="H231" s="2">
        <v>18.399999999999999</v>
      </c>
      <c r="I231" s="2">
        <v>0.55700000000000005</v>
      </c>
      <c r="J231" s="2">
        <v>0.38100000000000001</v>
      </c>
      <c r="K231" s="2">
        <v>0.33200000000000002</v>
      </c>
      <c r="L231" s="2">
        <v>4.4000000000000004</v>
      </c>
      <c r="M231" s="2">
        <v>14.5</v>
      </c>
      <c r="N231" s="2">
        <v>9.5</v>
      </c>
      <c r="O231" s="2">
        <v>20.9</v>
      </c>
      <c r="P231" s="2">
        <v>1.5</v>
      </c>
      <c r="Q231" s="2">
        <v>0.9</v>
      </c>
      <c r="R231" s="2">
        <v>10.8</v>
      </c>
      <c r="S231" s="2">
        <v>29.7</v>
      </c>
      <c r="T231" s="2">
        <v>1</v>
      </c>
      <c r="U231" s="2">
        <v>0.8</v>
      </c>
      <c r="V231" s="2">
        <v>1.8</v>
      </c>
      <c r="W231" s="2">
        <v>0.123</v>
      </c>
      <c r="X231" s="2">
        <v>1</v>
      </c>
      <c r="Y231" s="2">
        <v>-1.1000000000000001</v>
      </c>
      <c r="Z231" s="2">
        <v>-0.1</v>
      </c>
      <c r="AA231" s="2">
        <v>0.3</v>
      </c>
    </row>
    <row r="232" spans="1:27" x14ac:dyDescent="0.2">
      <c r="A232" t="s">
        <v>537</v>
      </c>
      <c r="B232" s="2">
        <v>21</v>
      </c>
      <c r="C232" t="s">
        <v>103</v>
      </c>
      <c r="D232" s="2" t="s">
        <v>49</v>
      </c>
      <c r="E232" s="2">
        <v>2</v>
      </c>
      <c r="F232" s="2">
        <v>0</v>
      </c>
      <c r="G232" s="2">
        <v>3</v>
      </c>
      <c r="H232" s="2">
        <v>34.700000000000003</v>
      </c>
      <c r="I232" s="2">
        <v>1.5</v>
      </c>
      <c r="J232" s="2">
        <v>1</v>
      </c>
      <c r="K232" s="2">
        <v>0</v>
      </c>
      <c r="L232" s="2">
        <v>0</v>
      </c>
      <c r="M232" s="2">
        <v>0</v>
      </c>
      <c r="N232" s="2">
        <v>0</v>
      </c>
      <c r="O232" s="2">
        <v>0</v>
      </c>
      <c r="P232" s="2">
        <v>0</v>
      </c>
      <c r="Q232" s="2">
        <v>0</v>
      </c>
      <c r="R232" s="2">
        <v>0</v>
      </c>
      <c r="S232" s="2">
        <v>14.9</v>
      </c>
      <c r="T232" s="2">
        <v>0</v>
      </c>
      <c r="U232" s="2">
        <v>0</v>
      </c>
      <c r="V232" s="2">
        <v>0</v>
      </c>
      <c r="W232" s="2">
        <v>0.2</v>
      </c>
      <c r="X232" s="2">
        <v>17.399999999999999</v>
      </c>
      <c r="Y232" s="2">
        <v>4.8</v>
      </c>
      <c r="Z232" s="2">
        <v>22.2</v>
      </c>
      <c r="AA232" s="2">
        <v>0</v>
      </c>
    </row>
    <row r="233" spans="1:27" x14ac:dyDescent="0.2">
      <c r="A233" t="s">
        <v>379</v>
      </c>
      <c r="B233" s="2">
        <v>25</v>
      </c>
      <c r="C233" t="s">
        <v>117</v>
      </c>
      <c r="D233" s="2" t="s">
        <v>52</v>
      </c>
      <c r="E233" s="2">
        <v>8</v>
      </c>
      <c r="F233" s="2">
        <v>0</v>
      </c>
      <c r="G233" s="2">
        <v>168</v>
      </c>
      <c r="H233" s="2">
        <v>7.9</v>
      </c>
      <c r="I233" s="2">
        <v>0.43</v>
      </c>
      <c r="J233" s="2">
        <v>0.37</v>
      </c>
      <c r="K233" s="2">
        <v>0.151</v>
      </c>
      <c r="L233" s="2">
        <v>3.7</v>
      </c>
      <c r="M233" s="2">
        <v>9.4</v>
      </c>
      <c r="N233" s="2">
        <v>6.4</v>
      </c>
      <c r="O233" s="2">
        <v>16.3</v>
      </c>
      <c r="P233" s="2">
        <v>0.3</v>
      </c>
      <c r="Q233" s="2">
        <v>2.2000000000000002</v>
      </c>
      <c r="R233" s="2">
        <v>9.3000000000000007</v>
      </c>
      <c r="S233" s="2">
        <v>21.6</v>
      </c>
      <c r="T233" s="2">
        <v>-0.2</v>
      </c>
      <c r="U233" s="2">
        <v>0</v>
      </c>
      <c r="V233" s="2">
        <v>-0.2</v>
      </c>
      <c r="W233" s="2">
        <v>-6.5000000000000002E-2</v>
      </c>
      <c r="X233" s="2">
        <v>-3</v>
      </c>
      <c r="Y233" s="2">
        <v>-2.8</v>
      </c>
      <c r="Z233" s="2">
        <v>-5.8</v>
      </c>
      <c r="AA233" s="2">
        <v>-0.2</v>
      </c>
    </row>
    <row r="234" spans="1:27" x14ac:dyDescent="0.2">
      <c r="A234" t="s">
        <v>168</v>
      </c>
      <c r="B234" s="2">
        <v>21</v>
      </c>
      <c r="C234" t="s">
        <v>80</v>
      </c>
      <c r="D234" s="2" t="s">
        <v>52</v>
      </c>
      <c r="E234" s="2">
        <v>25</v>
      </c>
      <c r="F234" s="2">
        <v>20</v>
      </c>
      <c r="G234" s="2">
        <v>621</v>
      </c>
      <c r="H234" s="2">
        <v>11.2</v>
      </c>
      <c r="I234" s="2">
        <v>0.58099999999999996</v>
      </c>
      <c r="J234" s="2">
        <v>0.52600000000000002</v>
      </c>
      <c r="K234" s="2">
        <v>0.19700000000000001</v>
      </c>
      <c r="L234" s="2">
        <v>4.2</v>
      </c>
      <c r="M234" s="2">
        <v>9.5</v>
      </c>
      <c r="N234" s="2">
        <v>7</v>
      </c>
      <c r="O234" s="2">
        <v>9</v>
      </c>
      <c r="P234" s="2">
        <v>0.7</v>
      </c>
      <c r="Q234" s="2">
        <v>0.7</v>
      </c>
      <c r="R234" s="2">
        <v>11.4</v>
      </c>
      <c r="S234" s="2">
        <v>18.100000000000001</v>
      </c>
      <c r="T234" s="2">
        <v>0.6</v>
      </c>
      <c r="U234" s="2">
        <v>0.6</v>
      </c>
      <c r="V234" s="2">
        <v>1.2</v>
      </c>
      <c r="W234" s="2">
        <v>0.09</v>
      </c>
      <c r="X234" s="2">
        <v>-0.9</v>
      </c>
      <c r="Y234" s="2">
        <v>-1.2</v>
      </c>
      <c r="Z234" s="2">
        <v>-2.1</v>
      </c>
      <c r="AA234" s="2">
        <v>0</v>
      </c>
    </row>
    <row r="235" spans="1:27" x14ac:dyDescent="0.2">
      <c r="A235" t="s">
        <v>443</v>
      </c>
      <c r="B235" s="2">
        <v>22</v>
      </c>
      <c r="C235" t="s">
        <v>57</v>
      </c>
      <c r="D235" s="2" t="s">
        <v>52</v>
      </c>
      <c r="E235" s="2">
        <v>14</v>
      </c>
      <c r="F235" s="2">
        <v>1</v>
      </c>
      <c r="G235" s="2">
        <v>108</v>
      </c>
      <c r="H235" s="2">
        <v>9.3000000000000007</v>
      </c>
      <c r="I235" s="2">
        <v>0.50600000000000001</v>
      </c>
      <c r="J235" s="2">
        <v>0.40699999999999997</v>
      </c>
      <c r="K235" s="2">
        <v>0.222</v>
      </c>
      <c r="L235" s="2">
        <v>10.6</v>
      </c>
      <c r="M235" s="2">
        <v>13.9</v>
      </c>
      <c r="N235" s="2">
        <v>12.3</v>
      </c>
      <c r="O235" s="2">
        <v>12.3</v>
      </c>
      <c r="P235" s="2">
        <v>1.8</v>
      </c>
      <c r="Q235" s="2">
        <v>0</v>
      </c>
      <c r="R235" s="2">
        <v>16.8</v>
      </c>
      <c r="S235" s="2">
        <v>14.3</v>
      </c>
      <c r="T235" s="2">
        <v>0.1</v>
      </c>
      <c r="U235" s="2">
        <v>0.1</v>
      </c>
      <c r="V235" s="2">
        <v>0.2</v>
      </c>
      <c r="W235" s="2">
        <v>8.1000000000000003E-2</v>
      </c>
      <c r="X235" s="2">
        <v>-4.3</v>
      </c>
      <c r="Y235" s="2">
        <v>-0.8</v>
      </c>
      <c r="Z235" s="2">
        <v>-5.0999999999999996</v>
      </c>
      <c r="AA235" s="2">
        <v>-0.1</v>
      </c>
    </row>
    <row r="236" spans="1:27" x14ac:dyDescent="0.2">
      <c r="A236" t="s">
        <v>38</v>
      </c>
      <c r="B236" s="2">
        <v>26</v>
      </c>
      <c r="C236" t="s">
        <v>39</v>
      </c>
      <c r="D236" s="2" t="s">
        <v>27</v>
      </c>
      <c r="E236" s="2">
        <v>23</v>
      </c>
      <c r="F236" s="2">
        <v>23</v>
      </c>
      <c r="G236" s="2">
        <v>839</v>
      </c>
      <c r="H236" s="2">
        <v>23.2</v>
      </c>
      <c r="I236" s="2">
        <v>0.59899999999999998</v>
      </c>
      <c r="J236" s="2">
        <v>0.52200000000000002</v>
      </c>
      <c r="K236" s="2">
        <v>0.377</v>
      </c>
      <c r="L236" s="2">
        <v>1.6</v>
      </c>
      <c r="M236" s="2">
        <v>25.3</v>
      </c>
      <c r="N236" s="2">
        <v>13.4</v>
      </c>
      <c r="O236" s="2">
        <v>25.8</v>
      </c>
      <c r="P236" s="2">
        <v>1.6</v>
      </c>
      <c r="Q236" s="2">
        <v>1.3</v>
      </c>
      <c r="R236" s="2">
        <v>10.6</v>
      </c>
      <c r="S236" s="2">
        <v>31.2</v>
      </c>
      <c r="T236" s="2">
        <v>2.2000000000000002</v>
      </c>
      <c r="U236" s="2">
        <v>1.3</v>
      </c>
      <c r="V236" s="2">
        <v>3.5</v>
      </c>
      <c r="W236" s="2">
        <v>0.19900000000000001</v>
      </c>
      <c r="X236" s="2">
        <v>5.3</v>
      </c>
      <c r="Y236" s="2">
        <v>1</v>
      </c>
      <c r="Z236" s="2">
        <v>6.4</v>
      </c>
      <c r="AA236" s="2">
        <v>1.8</v>
      </c>
    </row>
    <row r="237" spans="1:27" x14ac:dyDescent="0.2">
      <c r="A237" t="s">
        <v>502</v>
      </c>
      <c r="B237" s="2">
        <v>21</v>
      </c>
      <c r="C237" t="s">
        <v>63</v>
      </c>
      <c r="D237" s="2" t="s">
        <v>33</v>
      </c>
      <c r="E237" s="2">
        <v>6</v>
      </c>
      <c r="F237" s="2">
        <v>0</v>
      </c>
      <c r="G237" s="2">
        <v>14</v>
      </c>
      <c r="H237" s="2">
        <v>16.399999999999999</v>
      </c>
      <c r="I237" s="2">
        <v>0.8</v>
      </c>
      <c r="J237" s="2">
        <v>0.6</v>
      </c>
      <c r="K237" s="2">
        <v>0</v>
      </c>
      <c r="L237" s="2">
        <v>8</v>
      </c>
      <c r="M237" s="2">
        <v>0</v>
      </c>
      <c r="N237" s="2">
        <v>3.8</v>
      </c>
      <c r="O237" s="2">
        <v>0</v>
      </c>
      <c r="P237" s="2">
        <v>0</v>
      </c>
      <c r="Q237" s="2">
        <v>6.4</v>
      </c>
      <c r="R237" s="2">
        <v>16.7</v>
      </c>
      <c r="S237" s="2">
        <v>18.100000000000001</v>
      </c>
      <c r="T237" s="2">
        <v>0</v>
      </c>
      <c r="U237" s="2">
        <v>0</v>
      </c>
      <c r="V237" s="2">
        <v>0</v>
      </c>
      <c r="W237" s="2">
        <v>0.12</v>
      </c>
      <c r="X237" s="2">
        <v>3.6</v>
      </c>
      <c r="Y237" s="2">
        <v>0.4</v>
      </c>
      <c r="Z237" s="2">
        <v>4</v>
      </c>
      <c r="AA237" s="2">
        <v>0</v>
      </c>
    </row>
    <row r="238" spans="1:27" x14ac:dyDescent="0.2">
      <c r="A238" t="s">
        <v>509</v>
      </c>
      <c r="B238" s="2">
        <v>22</v>
      </c>
      <c r="C238" t="s">
        <v>39</v>
      </c>
      <c r="D238" s="2" t="s">
        <v>33</v>
      </c>
      <c r="E238" s="2">
        <v>5</v>
      </c>
      <c r="F238" s="2">
        <v>0</v>
      </c>
      <c r="G238" s="2">
        <v>24</v>
      </c>
      <c r="H238" s="2">
        <v>-4.5</v>
      </c>
      <c r="I238" s="2">
        <v>0.51</v>
      </c>
      <c r="J238" s="2">
        <v>0.6</v>
      </c>
      <c r="K238" s="2">
        <v>0.4</v>
      </c>
      <c r="L238" s="2">
        <v>0</v>
      </c>
      <c r="M238" s="2">
        <v>9.1999999999999993</v>
      </c>
      <c r="N238" s="2">
        <v>4.5999999999999996</v>
      </c>
      <c r="O238" s="2">
        <v>5.4</v>
      </c>
      <c r="P238" s="2">
        <v>2</v>
      </c>
      <c r="Q238" s="2">
        <v>0</v>
      </c>
      <c r="R238" s="2">
        <v>50.5</v>
      </c>
      <c r="S238" s="2">
        <v>21.4</v>
      </c>
      <c r="T238" s="2">
        <v>-0.2</v>
      </c>
      <c r="U238" s="2">
        <v>0</v>
      </c>
      <c r="V238" s="2">
        <v>-0.1</v>
      </c>
      <c r="W238" s="2">
        <v>-0.27400000000000002</v>
      </c>
      <c r="X238" s="2">
        <v>-12.2</v>
      </c>
      <c r="Y238" s="2">
        <v>-2.4</v>
      </c>
      <c r="Z238" s="2">
        <v>-14.5</v>
      </c>
      <c r="AA238" s="2">
        <v>-0.1</v>
      </c>
    </row>
    <row r="239" spans="1:27" x14ac:dyDescent="0.2">
      <c r="A239" t="s">
        <v>508</v>
      </c>
      <c r="B239" s="2">
        <v>25</v>
      </c>
      <c r="C239" t="s">
        <v>87</v>
      </c>
      <c r="D239" s="2" t="s">
        <v>52</v>
      </c>
      <c r="E239" s="2">
        <v>3</v>
      </c>
      <c r="F239" s="2">
        <v>0</v>
      </c>
      <c r="G239" s="2">
        <v>10</v>
      </c>
      <c r="H239" s="2">
        <v>31.6</v>
      </c>
      <c r="I239" s="2">
        <v>0.875</v>
      </c>
      <c r="J239" s="2">
        <v>0.5</v>
      </c>
      <c r="K239" s="2">
        <v>0</v>
      </c>
      <c r="L239" s="2">
        <v>0</v>
      </c>
      <c r="M239" s="2">
        <v>31.6</v>
      </c>
      <c r="N239" s="2">
        <v>15.6</v>
      </c>
      <c r="O239" s="2">
        <v>0</v>
      </c>
      <c r="P239" s="2">
        <v>4.8</v>
      </c>
      <c r="Q239" s="2">
        <v>0</v>
      </c>
      <c r="R239" s="2">
        <v>0</v>
      </c>
      <c r="S239" s="2">
        <v>16.5</v>
      </c>
      <c r="T239" s="2">
        <v>0</v>
      </c>
      <c r="U239" s="2">
        <v>0</v>
      </c>
      <c r="V239" s="2">
        <v>0.1</v>
      </c>
      <c r="W239" s="2">
        <v>0.35299999999999998</v>
      </c>
      <c r="X239" s="2">
        <v>5.4</v>
      </c>
      <c r="Y239" s="2">
        <v>7.4</v>
      </c>
      <c r="Z239" s="2">
        <v>12.8</v>
      </c>
      <c r="AA239" s="2">
        <v>0</v>
      </c>
    </row>
    <row r="240" spans="1:27" x14ac:dyDescent="0.2">
      <c r="A240" t="s">
        <v>481</v>
      </c>
      <c r="B240" s="2">
        <v>27</v>
      </c>
      <c r="C240" t="s">
        <v>122</v>
      </c>
      <c r="D240" s="2" t="s">
        <v>33</v>
      </c>
      <c r="E240" s="2">
        <v>8</v>
      </c>
      <c r="F240" s="2">
        <v>0</v>
      </c>
      <c r="G240" s="2">
        <v>80</v>
      </c>
      <c r="H240" s="2">
        <v>7</v>
      </c>
      <c r="I240" s="2">
        <v>0.38500000000000001</v>
      </c>
      <c r="J240" s="2">
        <v>0.42099999999999999</v>
      </c>
      <c r="K240" s="2">
        <v>0.21099999999999999</v>
      </c>
      <c r="L240" s="2">
        <v>2.7</v>
      </c>
      <c r="M240" s="2">
        <v>9.3000000000000007</v>
      </c>
      <c r="N240" s="2">
        <v>5.8</v>
      </c>
      <c r="O240" s="2">
        <v>16</v>
      </c>
      <c r="P240" s="2">
        <v>1.9</v>
      </c>
      <c r="Q240" s="2">
        <v>0</v>
      </c>
      <c r="R240" s="2">
        <v>4.5999999999999996</v>
      </c>
      <c r="S240" s="2">
        <v>12</v>
      </c>
      <c r="T240" s="2">
        <v>0</v>
      </c>
      <c r="U240" s="2">
        <v>0.1</v>
      </c>
      <c r="V240" s="2">
        <v>0</v>
      </c>
      <c r="W240" s="2">
        <v>2.5000000000000001E-2</v>
      </c>
      <c r="X240" s="2">
        <v>-5.5</v>
      </c>
      <c r="Y240" s="2">
        <v>1</v>
      </c>
      <c r="Z240" s="2">
        <v>-4.5999999999999996</v>
      </c>
      <c r="AA240" s="2">
        <v>-0.1</v>
      </c>
    </row>
    <row r="241" spans="1:27" x14ac:dyDescent="0.2">
      <c r="A241" t="s">
        <v>480</v>
      </c>
      <c r="B241" s="2">
        <v>38</v>
      </c>
      <c r="C241" t="s">
        <v>87</v>
      </c>
      <c r="D241" s="2" t="s">
        <v>27</v>
      </c>
      <c r="E241" s="2">
        <v>7</v>
      </c>
      <c r="F241" s="2">
        <v>0</v>
      </c>
      <c r="G241" s="2">
        <v>40</v>
      </c>
      <c r="H241" s="2">
        <v>12</v>
      </c>
      <c r="I241" s="2">
        <v>0.65400000000000003</v>
      </c>
      <c r="J241" s="2">
        <v>0.61499999999999999</v>
      </c>
      <c r="K241" s="2">
        <v>0</v>
      </c>
      <c r="L241" s="2">
        <v>0</v>
      </c>
      <c r="M241" s="2">
        <v>10.5</v>
      </c>
      <c r="N241" s="2">
        <v>5.2</v>
      </c>
      <c r="O241" s="2">
        <v>3.7</v>
      </c>
      <c r="P241" s="2">
        <v>2.4</v>
      </c>
      <c r="Q241" s="2">
        <v>0</v>
      </c>
      <c r="R241" s="2">
        <v>13.3</v>
      </c>
      <c r="S241" s="2">
        <v>15.5</v>
      </c>
      <c r="T241" s="2">
        <v>0</v>
      </c>
      <c r="U241" s="2">
        <v>0.1</v>
      </c>
      <c r="V241" s="2">
        <v>0.1</v>
      </c>
      <c r="W241" s="2">
        <v>0.11700000000000001</v>
      </c>
      <c r="X241" s="2">
        <v>-1.2</v>
      </c>
      <c r="Y241" s="2">
        <v>1.4</v>
      </c>
      <c r="Z241" s="2">
        <v>0.1</v>
      </c>
      <c r="AA241" s="2">
        <v>0</v>
      </c>
    </row>
    <row r="242" spans="1:27" x14ac:dyDescent="0.2">
      <c r="A242" t="s">
        <v>139</v>
      </c>
      <c r="B242" s="2">
        <v>30</v>
      </c>
      <c r="C242" t="s">
        <v>135</v>
      </c>
      <c r="D242" s="2" t="s">
        <v>27</v>
      </c>
      <c r="E242" s="2">
        <v>22</v>
      </c>
      <c r="F242" s="2">
        <v>22</v>
      </c>
      <c r="G242" s="2">
        <v>714</v>
      </c>
      <c r="H242" s="2">
        <v>11.9</v>
      </c>
      <c r="I242" s="2">
        <v>0.51900000000000002</v>
      </c>
      <c r="J242" s="2">
        <v>0.48099999999999998</v>
      </c>
      <c r="K242" s="2">
        <v>0.29599999999999999</v>
      </c>
      <c r="L242" s="2">
        <v>1.4</v>
      </c>
      <c r="M242" s="2">
        <v>10.7</v>
      </c>
      <c r="N242" s="2">
        <v>5.8</v>
      </c>
      <c r="O242" s="2">
        <v>10.8</v>
      </c>
      <c r="P242" s="2">
        <v>1.4</v>
      </c>
      <c r="Q242" s="2">
        <v>3.2</v>
      </c>
      <c r="R242" s="2">
        <v>8.6999999999999993</v>
      </c>
      <c r="S242" s="2">
        <v>20.6</v>
      </c>
      <c r="T242" s="2">
        <v>0.3</v>
      </c>
      <c r="U242" s="2">
        <v>0.4</v>
      </c>
      <c r="V242" s="2">
        <v>0.6</v>
      </c>
      <c r="W242" s="2">
        <v>4.2999999999999997E-2</v>
      </c>
      <c r="X242" s="2">
        <v>-0.8</v>
      </c>
      <c r="Y242" s="2">
        <v>-0.7</v>
      </c>
      <c r="Z242" s="2">
        <v>-1.6</v>
      </c>
      <c r="AA242" s="2">
        <v>0.1</v>
      </c>
    </row>
    <row r="243" spans="1:27" x14ac:dyDescent="0.2">
      <c r="A243" t="s">
        <v>250</v>
      </c>
      <c r="B243" s="2">
        <v>24</v>
      </c>
      <c r="C243" t="s">
        <v>117</v>
      </c>
      <c r="D243" s="2" t="s">
        <v>27</v>
      </c>
      <c r="E243" s="2">
        <v>25</v>
      </c>
      <c r="F243" s="2">
        <v>4</v>
      </c>
      <c r="G243" s="2">
        <v>507</v>
      </c>
      <c r="H243" s="2">
        <v>13.3</v>
      </c>
      <c r="I243" s="2">
        <v>0.54100000000000004</v>
      </c>
      <c r="J243" s="2">
        <v>0.42499999999999999</v>
      </c>
      <c r="K243" s="2">
        <v>0.17</v>
      </c>
      <c r="L243" s="2">
        <v>10.8</v>
      </c>
      <c r="M243" s="2">
        <v>16.5</v>
      </c>
      <c r="N243" s="2">
        <v>13.5</v>
      </c>
      <c r="O243" s="2">
        <v>8.6999999999999993</v>
      </c>
      <c r="P243" s="2">
        <v>1.8</v>
      </c>
      <c r="Q243" s="2">
        <v>0.5</v>
      </c>
      <c r="R243" s="2">
        <v>11.8</v>
      </c>
      <c r="S243" s="2">
        <v>15.6</v>
      </c>
      <c r="T243" s="2">
        <v>0.5</v>
      </c>
      <c r="U243" s="2">
        <v>0.2</v>
      </c>
      <c r="V243" s="2">
        <v>0.6</v>
      </c>
      <c r="W243" s="2">
        <v>6.0999999999999999E-2</v>
      </c>
      <c r="X243" s="2">
        <v>-1.2</v>
      </c>
      <c r="Y243" s="2">
        <v>-1.9</v>
      </c>
      <c r="Z243" s="2">
        <v>-3</v>
      </c>
      <c r="AA243" s="2">
        <v>-0.1</v>
      </c>
    </row>
    <row r="244" spans="1:27" x14ac:dyDescent="0.2">
      <c r="A244" t="s">
        <v>271</v>
      </c>
      <c r="B244" s="2">
        <v>21</v>
      </c>
      <c r="C244" t="s">
        <v>93</v>
      </c>
      <c r="D244" s="2" t="s">
        <v>27</v>
      </c>
      <c r="E244" s="2">
        <v>11</v>
      </c>
      <c r="F244" s="2">
        <v>8</v>
      </c>
      <c r="G244" s="2">
        <v>304</v>
      </c>
      <c r="H244" s="2">
        <v>17.3</v>
      </c>
      <c r="I244" s="2">
        <v>0.55000000000000004</v>
      </c>
      <c r="J244" s="2">
        <v>0.151</v>
      </c>
      <c r="K244" s="2">
        <v>0.33300000000000002</v>
      </c>
      <c r="L244" s="2">
        <v>11.5</v>
      </c>
      <c r="M244" s="2">
        <v>20.399999999999999</v>
      </c>
      <c r="N244" s="2">
        <v>16</v>
      </c>
      <c r="O244" s="2">
        <v>14.9</v>
      </c>
      <c r="P244" s="2">
        <v>1.8</v>
      </c>
      <c r="Q244" s="2">
        <v>1.8</v>
      </c>
      <c r="R244" s="2">
        <v>12.2</v>
      </c>
      <c r="S244" s="2">
        <v>23.1</v>
      </c>
      <c r="T244" s="2">
        <v>0.3</v>
      </c>
      <c r="U244" s="2">
        <v>0.3</v>
      </c>
      <c r="V244" s="2">
        <v>0.6</v>
      </c>
      <c r="W244" s="2">
        <v>0.1</v>
      </c>
      <c r="X244" s="2">
        <v>0.4</v>
      </c>
      <c r="Y244" s="2">
        <v>0.1</v>
      </c>
      <c r="Z244" s="2">
        <v>0.5</v>
      </c>
      <c r="AA244" s="2">
        <v>0.2</v>
      </c>
    </row>
    <row r="245" spans="1:27" x14ac:dyDescent="0.2">
      <c r="A245" t="s">
        <v>418</v>
      </c>
      <c r="B245" s="2">
        <v>26</v>
      </c>
      <c r="C245" t="s">
        <v>44</v>
      </c>
      <c r="D245" s="2" t="s">
        <v>42</v>
      </c>
      <c r="E245" s="2">
        <v>24</v>
      </c>
      <c r="F245" s="2">
        <v>2</v>
      </c>
      <c r="G245" s="2">
        <v>299</v>
      </c>
      <c r="H245" s="2">
        <v>10.199999999999999</v>
      </c>
      <c r="I245" s="2">
        <v>0.69799999999999995</v>
      </c>
      <c r="J245" s="2">
        <v>0</v>
      </c>
      <c r="K245" s="2">
        <v>0.25900000000000001</v>
      </c>
      <c r="L245" s="2">
        <v>12.5</v>
      </c>
      <c r="M245" s="2">
        <v>20.6</v>
      </c>
      <c r="N245" s="2">
        <v>16.7</v>
      </c>
      <c r="O245" s="2">
        <v>6</v>
      </c>
      <c r="P245" s="2">
        <v>1</v>
      </c>
      <c r="Q245" s="2">
        <v>2.9</v>
      </c>
      <c r="R245" s="2">
        <v>30.2</v>
      </c>
      <c r="S245" s="2">
        <v>6.4</v>
      </c>
      <c r="T245" s="2">
        <v>0.4</v>
      </c>
      <c r="U245" s="2">
        <v>0.3</v>
      </c>
      <c r="V245" s="2">
        <v>0.7</v>
      </c>
      <c r="W245" s="2">
        <v>0.108</v>
      </c>
      <c r="X245" s="2">
        <v>-2.6</v>
      </c>
      <c r="Y245" s="2">
        <v>0.1</v>
      </c>
      <c r="Z245" s="2">
        <v>-2.5</v>
      </c>
      <c r="AA245" s="2">
        <v>0</v>
      </c>
    </row>
    <row r="246" spans="1:27" x14ac:dyDescent="0.2">
      <c r="A246" t="s">
        <v>333</v>
      </c>
      <c r="B246" s="2">
        <v>21</v>
      </c>
      <c r="C246" t="s">
        <v>48</v>
      </c>
      <c r="D246" s="2" t="s">
        <v>49</v>
      </c>
      <c r="E246" s="2">
        <v>25</v>
      </c>
      <c r="F246" s="2">
        <v>0</v>
      </c>
      <c r="G246" s="2">
        <v>268</v>
      </c>
      <c r="H246" s="2">
        <v>9.5</v>
      </c>
      <c r="I246" s="2">
        <v>0.51400000000000001</v>
      </c>
      <c r="J246" s="2">
        <v>0.76500000000000001</v>
      </c>
      <c r="K246" s="2">
        <v>7.0999999999999994E-2</v>
      </c>
      <c r="L246" s="2">
        <v>4.2</v>
      </c>
      <c r="M246" s="2">
        <v>9</v>
      </c>
      <c r="N246" s="2">
        <v>6.5</v>
      </c>
      <c r="O246" s="2">
        <v>6.7</v>
      </c>
      <c r="P246" s="2">
        <v>0.9</v>
      </c>
      <c r="Q246" s="2">
        <v>2.2000000000000002</v>
      </c>
      <c r="R246" s="2">
        <v>6.5</v>
      </c>
      <c r="S246" s="2">
        <v>17.399999999999999</v>
      </c>
      <c r="T246" s="2">
        <v>0.1</v>
      </c>
      <c r="U246" s="2">
        <v>0.3</v>
      </c>
      <c r="V246" s="2">
        <v>0.4</v>
      </c>
      <c r="W246" s="2">
        <v>7.3999999999999996E-2</v>
      </c>
      <c r="X246" s="2">
        <v>-1.5</v>
      </c>
      <c r="Y246" s="2">
        <v>-0.5</v>
      </c>
      <c r="Z246" s="2">
        <v>-2</v>
      </c>
      <c r="AA246" s="2">
        <v>0</v>
      </c>
    </row>
    <row r="247" spans="1:27" x14ac:dyDescent="0.2">
      <c r="A247" t="s">
        <v>475</v>
      </c>
      <c r="B247" s="2">
        <v>29</v>
      </c>
      <c r="C247" t="s">
        <v>70</v>
      </c>
      <c r="D247" s="2" t="s">
        <v>33</v>
      </c>
      <c r="E247" s="2">
        <v>11</v>
      </c>
      <c r="F247" s="2">
        <v>0</v>
      </c>
      <c r="G247" s="2">
        <v>53</v>
      </c>
      <c r="H247" s="2">
        <v>5.8</v>
      </c>
      <c r="I247" s="2">
        <v>0.39100000000000001</v>
      </c>
      <c r="J247" s="2">
        <v>0.69599999999999995</v>
      </c>
      <c r="K247" s="2">
        <v>0</v>
      </c>
      <c r="L247" s="2">
        <v>2</v>
      </c>
      <c r="M247" s="2">
        <v>13.9</v>
      </c>
      <c r="N247" s="2">
        <v>8</v>
      </c>
      <c r="O247" s="2">
        <v>14.6</v>
      </c>
      <c r="P247" s="2">
        <v>2.6</v>
      </c>
      <c r="Q247" s="2">
        <v>0</v>
      </c>
      <c r="R247" s="2">
        <v>14.8</v>
      </c>
      <c r="S247" s="2">
        <v>21.3</v>
      </c>
      <c r="T247" s="2">
        <v>-0.2</v>
      </c>
      <c r="U247" s="2">
        <v>0</v>
      </c>
      <c r="V247" s="2">
        <v>-0.1</v>
      </c>
      <c r="W247" s="2">
        <v>-0.112</v>
      </c>
      <c r="X247" s="2">
        <v>-5.4</v>
      </c>
      <c r="Y247" s="2">
        <v>-1.6</v>
      </c>
      <c r="Z247" s="2">
        <v>-7</v>
      </c>
      <c r="AA247" s="2">
        <v>-0.1</v>
      </c>
    </row>
    <row r="248" spans="1:27" x14ac:dyDescent="0.2">
      <c r="A248" t="s">
        <v>144</v>
      </c>
      <c r="B248" s="2">
        <v>35</v>
      </c>
      <c r="C248" t="s">
        <v>61</v>
      </c>
      <c r="D248" s="2" t="s">
        <v>27</v>
      </c>
      <c r="E248" s="2">
        <v>18</v>
      </c>
      <c r="F248" s="2">
        <v>18</v>
      </c>
      <c r="G248" s="2">
        <v>575</v>
      </c>
      <c r="H248" s="2">
        <v>23.3</v>
      </c>
      <c r="I248" s="2">
        <v>0.64400000000000002</v>
      </c>
      <c r="J248" s="2">
        <v>0.125</v>
      </c>
      <c r="K248" s="2">
        <v>0.67500000000000004</v>
      </c>
      <c r="L248" s="2">
        <v>8.3000000000000007</v>
      </c>
      <c r="M248" s="2">
        <v>9.8000000000000007</v>
      </c>
      <c r="N248" s="2">
        <v>9.1</v>
      </c>
      <c r="O248" s="2">
        <v>23.4</v>
      </c>
      <c r="P248" s="2">
        <v>1.8</v>
      </c>
      <c r="Q248" s="2">
        <v>1.2</v>
      </c>
      <c r="R248" s="2">
        <v>9.1</v>
      </c>
      <c r="S248" s="2">
        <v>21.7</v>
      </c>
      <c r="T248" s="2">
        <v>2.2999999999999998</v>
      </c>
      <c r="U248" s="2">
        <v>0.6</v>
      </c>
      <c r="V248" s="2">
        <v>2.9</v>
      </c>
      <c r="W248" s="2">
        <v>0.24199999999999999</v>
      </c>
      <c r="X248" s="2">
        <v>4.3</v>
      </c>
      <c r="Y248" s="2">
        <v>0.6</v>
      </c>
      <c r="Z248" s="2">
        <v>5</v>
      </c>
      <c r="AA248" s="2">
        <v>1</v>
      </c>
    </row>
    <row r="249" spans="1:27" x14ac:dyDescent="0.2">
      <c r="A249" t="s">
        <v>397</v>
      </c>
      <c r="B249" s="2">
        <v>29</v>
      </c>
      <c r="C249" t="s">
        <v>87</v>
      </c>
      <c r="D249" s="2" t="s">
        <v>42</v>
      </c>
      <c r="E249" s="2">
        <v>14</v>
      </c>
      <c r="F249" s="2">
        <v>0</v>
      </c>
      <c r="G249" s="2">
        <v>156</v>
      </c>
      <c r="H249" s="2">
        <v>14.5</v>
      </c>
      <c r="I249" s="2">
        <v>0.497</v>
      </c>
      <c r="J249" s="2">
        <v>0.128</v>
      </c>
      <c r="K249" s="2">
        <v>0.40400000000000003</v>
      </c>
      <c r="L249" s="2">
        <v>13.2</v>
      </c>
      <c r="M249" s="2">
        <v>17.5</v>
      </c>
      <c r="N249" s="2">
        <v>15.4</v>
      </c>
      <c r="O249" s="2">
        <v>12.5</v>
      </c>
      <c r="P249" s="2">
        <v>0.9</v>
      </c>
      <c r="Q249" s="2">
        <v>3.4</v>
      </c>
      <c r="R249" s="2">
        <v>11.2</v>
      </c>
      <c r="S249" s="2">
        <v>16.5</v>
      </c>
      <c r="T249" s="2">
        <v>0.1</v>
      </c>
      <c r="U249" s="2">
        <v>0.3</v>
      </c>
      <c r="V249" s="2">
        <v>0.4</v>
      </c>
      <c r="W249" s="2">
        <v>0.13500000000000001</v>
      </c>
      <c r="X249" s="2">
        <v>-1.4</v>
      </c>
      <c r="Y249" s="2">
        <v>0.7</v>
      </c>
      <c r="Z249" s="2">
        <v>-0.7</v>
      </c>
      <c r="AA249" s="2">
        <v>0.1</v>
      </c>
    </row>
    <row r="250" spans="1:27" x14ac:dyDescent="0.2">
      <c r="A250" t="s">
        <v>558</v>
      </c>
      <c r="B250" s="2">
        <v>37</v>
      </c>
      <c r="C250" t="s">
        <v>51</v>
      </c>
      <c r="D250" s="2" t="s">
        <v>49</v>
      </c>
      <c r="E250" s="2">
        <v>7</v>
      </c>
      <c r="F250" s="2">
        <v>0</v>
      </c>
      <c r="G250" s="2">
        <v>26</v>
      </c>
      <c r="H250" s="2">
        <v>5.6</v>
      </c>
      <c r="I250" s="2">
        <v>0</v>
      </c>
      <c r="J250" s="2">
        <v>1</v>
      </c>
      <c r="K250" s="2">
        <v>0</v>
      </c>
      <c r="L250" s="2">
        <v>9</v>
      </c>
      <c r="M250" s="2">
        <v>0</v>
      </c>
      <c r="N250" s="2">
        <v>4.4000000000000004</v>
      </c>
      <c r="O250" s="2">
        <v>42.6</v>
      </c>
      <c r="P250" s="2">
        <v>0</v>
      </c>
      <c r="Q250" s="2">
        <v>0</v>
      </c>
      <c r="R250" s="2">
        <v>33.299999999999997</v>
      </c>
      <c r="S250" s="2">
        <v>5.0999999999999996</v>
      </c>
      <c r="T250" s="2">
        <v>0</v>
      </c>
      <c r="U250" s="2">
        <v>0</v>
      </c>
      <c r="V250" s="2">
        <v>0.1</v>
      </c>
      <c r="W250" s="2">
        <v>9.4E-2</v>
      </c>
      <c r="X250" s="2">
        <v>-3.1</v>
      </c>
      <c r="Y250" s="2">
        <v>1.3</v>
      </c>
      <c r="Z250" s="2">
        <v>-1.8</v>
      </c>
      <c r="AA250" s="2">
        <v>0</v>
      </c>
    </row>
    <row r="251" spans="1:27" x14ac:dyDescent="0.2">
      <c r="A251" t="s">
        <v>324</v>
      </c>
      <c r="B251" s="2">
        <v>30</v>
      </c>
      <c r="C251" t="s">
        <v>122</v>
      </c>
      <c r="D251" s="2" t="s">
        <v>42</v>
      </c>
      <c r="E251" s="2">
        <v>5</v>
      </c>
      <c r="F251" s="2">
        <v>5</v>
      </c>
      <c r="G251" s="2">
        <v>158</v>
      </c>
      <c r="H251" s="2">
        <v>17.7</v>
      </c>
      <c r="I251" s="2">
        <v>0.53500000000000003</v>
      </c>
      <c r="J251" s="2">
        <v>0.26700000000000002</v>
      </c>
      <c r="K251" s="2">
        <v>0.442</v>
      </c>
      <c r="L251" s="2">
        <v>5.5</v>
      </c>
      <c r="M251" s="2">
        <v>26.6</v>
      </c>
      <c r="N251" s="2">
        <v>15.4</v>
      </c>
      <c r="O251" s="2">
        <v>20.5</v>
      </c>
      <c r="P251" s="2">
        <v>0.6</v>
      </c>
      <c r="Q251" s="2">
        <v>4</v>
      </c>
      <c r="R251" s="2">
        <v>15.6</v>
      </c>
      <c r="S251" s="2">
        <v>33.9</v>
      </c>
      <c r="T251" s="2">
        <v>0</v>
      </c>
      <c r="U251" s="2">
        <v>0.2</v>
      </c>
      <c r="V251" s="2">
        <v>0.1</v>
      </c>
      <c r="W251" s="2">
        <v>4.3999999999999997E-2</v>
      </c>
      <c r="X251" s="2">
        <v>-1</v>
      </c>
      <c r="Y251" s="2">
        <v>0.3</v>
      </c>
      <c r="Z251" s="2">
        <v>-0.7</v>
      </c>
      <c r="AA251" s="2">
        <v>0.1</v>
      </c>
    </row>
    <row r="252" spans="1:27" x14ac:dyDescent="0.2">
      <c r="A252" t="s">
        <v>119</v>
      </c>
      <c r="B252" s="2">
        <v>27</v>
      </c>
      <c r="C252" t="s">
        <v>120</v>
      </c>
      <c r="D252" s="2" t="s">
        <v>27</v>
      </c>
      <c r="E252" s="2">
        <v>22</v>
      </c>
      <c r="F252" s="2">
        <v>13</v>
      </c>
      <c r="G252" s="2">
        <v>634</v>
      </c>
      <c r="H252" s="2">
        <v>21.2</v>
      </c>
      <c r="I252" s="2">
        <v>0.63900000000000001</v>
      </c>
      <c r="J252" s="2">
        <v>0.251</v>
      </c>
      <c r="K252" s="2">
        <v>0.28000000000000003</v>
      </c>
      <c r="L252" s="2">
        <v>9.4</v>
      </c>
      <c r="M252" s="2">
        <v>22.4</v>
      </c>
      <c r="N252" s="2">
        <v>16</v>
      </c>
      <c r="O252" s="2">
        <v>15.1</v>
      </c>
      <c r="P252" s="2">
        <v>1.8</v>
      </c>
      <c r="Q252" s="2">
        <v>2.7</v>
      </c>
      <c r="R252" s="2">
        <v>14.6</v>
      </c>
      <c r="S252" s="2">
        <v>24</v>
      </c>
      <c r="T252" s="2">
        <v>1.4</v>
      </c>
      <c r="U252" s="2">
        <v>0.4</v>
      </c>
      <c r="V252" s="2">
        <v>1.8</v>
      </c>
      <c r="W252" s="2">
        <v>0.13800000000000001</v>
      </c>
      <c r="X252" s="2">
        <v>2.5</v>
      </c>
      <c r="Y252" s="2">
        <v>0</v>
      </c>
      <c r="Z252" s="2">
        <v>2.4</v>
      </c>
      <c r="AA252" s="2">
        <v>0.7</v>
      </c>
    </row>
    <row r="253" spans="1:27" x14ac:dyDescent="0.2">
      <c r="A253" t="s">
        <v>435</v>
      </c>
      <c r="B253" s="2">
        <v>28</v>
      </c>
      <c r="C253" t="s">
        <v>80</v>
      </c>
      <c r="D253" s="2" t="s">
        <v>52</v>
      </c>
      <c r="E253" s="2">
        <v>12</v>
      </c>
      <c r="F253" s="2">
        <v>0</v>
      </c>
      <c r="G253" s="2">
        <v>154</v>
      </c>
      <c r="H253" s="2">
        <v>12.2</v>
      </c>
      <c r="I253" s="2">
        <v>0.67300000000000004</v>
      </c>
      <c r="J253" s="2">
        <v>0.81799999999999995</v>
      </c>
      <c r="K253" s="2">
        <v>0.182</v>
      </c>
      <c r="L253" s="2">
        <v>8.5</v>
      </c>
      <c r="M253" s="2">
        <v>16.3</v>
      </c>
      <c r="N253" s="2">
        <v>12.6</v>
      </c>
      <c r="O253" s="2">
        <v>8.3000000000000007</v>
      </c>
      <c r="P253" s="2">
        <v>2.1</v>
      </c>
      <c r="Q253" s="2">
        <v>3.6</v>
      </c>
      <c r="R253" s="2">
        <v>20.2</v>
      </c>
      <c r="S253" s="2">
        <v>7.8</v>
      </c>
      <c r="T253" s="2">
        <v>0.2</v>
      </c>
      <c r="U253" s="2">
        <v>0.3</v>
      </c>
      <c r="V253" s="2">
        <v>0.5</v>
      </c>
      <c r="W253" s="2">
        <v>0.14799999999999999</v>
      </c>
      <c r="X253" s="2">
        <v>-0.2</v>
      </c>
      <c r="Y253" s="2">
        <v>2.2000000000000002</v>
      </c>
      <c r="Z253" s="2">
        <v>2.1</v>
      </c>
      <c r="AA253" s="2">
        <v>0.2</v>
      </c>
    </row>
    <row r="254" spans="1:27" x14ac:dyDescent="0.2">
      <c r="A254" t="s">
        <v>399</v>
      </c>
      <c r="B254" s="2">
        <v>22</v>
      </c>
      <c r="C254" t="s">
        <v>114</v>
      </c>
      <c r="D254" s="2" t="s">
        <v>52</v>
      </c>
      <c r="E254" s="2">
        <v>17</v>
      </c>
      <c r="F254" s="2">
        <v>0</v>
      </c>
      <c r="G254" s="2">
        <v>142</v>
      </c>
      <c r="H254" s="2">
        <v>13</v>
      </c>
      <c r="I254" s="2">
        <v>0.56299999999999994</v>
      </c>
      <c r="J254" s="2">
        <v>0.27300000000000002</v>
      </c>
      <c r="K254" s="2">
        <v>0.20499999999999999</v>
      </c>
      <c r="L254" s="2">
        <v>4.4000000000000004</v>
      </c>
      <c r="M254" s="2">
        <v>14.4</v>
      </c>
      <c r="N254" s="2">
        <v>9.3000000000000007</v>
      </c>
      <c r="O254" s="2">
        <v>5.2</v>
      </c>
      <c r="P254" s="2">
        <v>3</v>
      </c>
      <c r="Q254" s="2">
        <v>1.9</v>
      </c>
      <c r="R254" s="2">
        <v>7.7</v>
      </c>
      <c r="S254" s="2">
        <v>15.1</v>
      </c>
      <c r="T254" s="2">
        <v>0.1</v>
      </c>
      <c r="U254" s="2">
        <v>0.1</v>
      </c>
      <c r="V254" s="2">
        <v>0.2</v>
      </c>
      <c r="W254" s="2">
        <v>5.2999999999999999E-2</v>
      </c>
      <c r="X254" s="2">
        <v>-2.2999999999999998</v>
      </c>
      <c r="Y254" s="2">
        <v>0.3</v>
      </c>
      <c r="Z254" s="2">
        <v>-1.9</v>
      </c>
      <c r="AA254" s="2">
        <v>0</v>
      </c>
    </row>
    <row r="255" spans="1:27" x14ac:dyDescent="0.2">
      <c r="A255" t="s">
        <v>403</v>
      </c>
      <c r="B255" s="2">
        <v>20</v>
      </c>
      <c r="C255" t="s">
        <v>82</v>
      </c>
      <c r="D255" s="2" t="s">
        <v>52</v>
      </c>
      <c r="E255" s="2">
        <v>15</v>
      </c>
      <c r="F255" s="2">
        <v>0</v>
      </c>
      <c r="G255" s="2">
        <v>150</v>
      </c>
      <c r="H255" s="2">
        <v>10.199999999999999</v>
      </c>
      <c r="I255" s="2">
        <v>0.56599999999999995</v>
      </c>
      <c r="J255" s="2">
        <v>0.57099999999999995</v>
      </c>
      <c r="K255" s="2">
        <v>0.16700000000000001</v>
      </c>
      <c r="L255" s="2">
        <v>7.8</v>
      </c>
      <c r="M255" s="2">
        <v>9.3000000000000007</v>
      </c>
      <c r="N255" s="2">
        <v>8.5</v>
      </c>
      <c r="O255" s="2">
        <v>5.2</v>
      </c>
      <c r="P255" s="2">
        <v>1.6</v>
      </c>
      <c r="Q255" s="2">
        <v>2.5</v>
      </c>
      <c r="R255" s="2">
        <v>15.1</v>
      </c>
      <c r="S255" s="2">
        <v>15.3</v>
      </c>
      <c r="T255" s="2">
        <v>0</v>
      </c>
      <c r="U255" s="2">
        <v>0.1</v>
      </c>
      <c r="V255" s="2">
        <v>0.1</v>
      </c>
      <c r="W255" s="2">
        <v>3.5000000000000003E-2</v>
      </c>
      <c r="X255" s="2">
        <v>-1.1000000000000001</v>
      </c>
      <c r="Y255" s="2">
        <v>-1.6</v>
      </c>
      <c r="Z255" s="2">
        <v>-2.7</v>
      </c>
      <c r="AA255" s="2">
        <v>0</v>
      </c>
    </row>
    <row r="256" spans="1:27" x14ac:dyDescent="0.2">
      <c r="A256" t="s">
        <v>305</v>
      </c>
      <c r="B256" s="2">
        <v>23</v>
      </c>
      <c r="C256" t="s">
        <v>120</v>
      </c>
      <c r="D256" s="2" t="s">
        <v>52</v>
      </c>
      <c r="E256" s="2">
        <v>19</v>
      </c>
      <c r="F256" s="2">
        <v>0</v>
      </c>
      <c r="G256" s="2">
        <v>328</v>
      </c>
      <c r="H256" s="2">
        <v>9.5</v>
      </c>
      <c r="I256" s="2">
        <v>0.54400000000000004</v>
      </c>
      <c r="J256" s="2">
        <v>0.71399999999999997</v>
      </c>
      <c r="K256" s="2">
        <v>0.11600000000000001</v>
      </c>
      <c r="L256" s="2">
        <v>3.4</v>
      </c>
      <c r="M256" s="2">
        <v>10.3</v>
      </c>
      <c r="N256" s="2">
        <v>6.9</v>
      </c>
      <c r="O256" s="2">
        <v>9.5</v>
      </c>
      <c r="P256" s="2">
        <v>1</v>
      </c>
      <c r="Q256" s="2">
        <v>1.1000000000000001</v>
      </c>
      <c r="R256" s="2">
        <v>8.5</v>
      </c>
      <c r="S256" s="2">
        <v>16.5</v>
      </c>
      <c r="T256" s="2">
        <v>0.2</v>
      </c>
      <c r="U256" s="2">
        <v>0</v>
      </c>
      <c r="V256" s="2">
        <v>0.2</v>
      </c>
      <c r="W256" s="2">
        <v>3.5000000000000003E-2</v>
      </c>
      <c r="X256" s="2">
        <v>-2.2999999999999998</v>
      </c>
      <c r="Y256" s="2">
        <v>-1.9</v>
      </c>
      <c r="Z256" s="2">
        <v>-4.2</v>
      </c>
      <c r="AA256" s="2">
        <v>-0.2</v>
      </c>
    </row>
    <row r="257" spans="1:27" x14ac:dyDescent="0.2">
      <c r="A257" t="s">
        <v>175</v>
      </c>
      <c r="B257" s="2">
        <v>32</v>
      </c>
      <c r="C257" t="s">
        <v>114</v>
      </c>
      <c r="D257" s="2" t="s">
        <v>42</v>
      </c>
      <c r="E257" s="2">
        <v>22</v>
      </c>
      <c r="F257" s="2">
        <v>6</v>
      </c>
      <c r="G257" s="2">
        <v>447</v>
      </c>
      <c r="H257" s="2">
        <v>23</v>
      </c>
      <c r="I257" s="2">
        <v>0.626</v>
      </c>
      <c r="J257" s="2">
        <v>5.0999999999999997E-2</v>
      </c>
      <c r="K257" s="2">
        <v>0.30099999999999999</v>
      </c>
      <c r="L257" s="2">
        <v>13</v>
      </c>
      <c r="M257" s="2">
        <v>29.4</v>
      </c>
      <c r="N257" s="2">
        <v>21</v>
      </c>
      <c r="O257" s="2">
        <v>18.5</v>
      </c>
      <c r="P257" s="2">
        <v>0.8</v>
      </c>
      <c r="Q257" s="2">
        <v>3.8</v>
      </c>
      <c r="R257" s="2">
        <v>15.3</v>
      </c>
      <c r="S257" s="2">
        <v>24.2</v>
      </c>
      <c r="T257" s="2">
        <v>0.9</v>
      </c>
      <c r="U257" s="2">
        <v>0.3</v>
      </c>
      <c r="V257" s="2">
        <v>1.2</v>
      </c>
      <c r="W257" s="2">
        <v>0.127</v>
      </c>
      <c r="X257" s="2">
        <v>2.6</v>
      </c>
      <c r="Y257" s="2">
        <v>-0.7</v>
      </c>
      <c r="Z257" s="2">
        <v>1.9</v>
      </c>
      <c r="AA257" s="2">
        <v>0.4</v>
      </c>
    </row>
    <row r="258" spans="1:27" x14ac:dyDescent="0.2">
      <c r="A258" t="s">
        <v>299</v>
      </c>
      <c r="B258" s="2">
        <v>27</v>
      </c>
      <c r="C258" t="s">
        <v>48</v>
      </c>
      <c r="D258" s="2" t="s">
        <v>27</v>
      </c>
      <c r="E258" s="2">
        <v>21</v>
      </c>
      <c r="F258" s="2">
        <v>0</v>
      </c>
      <c r="G258" s="2">
        <v>355</v>
      </c>
      <c r="H258" s="2">
        <v>17.3</v>
      </c>
      <c r="I258" s="2">
        <v>0.54300000000000004</v>
      </c>
      <c r="J258" s="2">
        <v>0.51300000000000001</v>
      </c>
      <c r="K258" s="2">
        <v>0.248</v>
      </c>
      <c r="L258" s="2">
        <v>11.6</v>
      </c>
      <c r="M258" s="2">
        <v>21</v>
      </c>
      <c r="N258" s="2">
        <v>16.100000000000001</v>
      </c>
      <c r="O258" s="2">
        <v>2.1</v>
      </c>
      <c r="P258" s="2">
        <v>2.5</v>
      </c>
      <c r="Q258" s="2">
        <v>8.1999999999999993</v>
      </c>
      <c r="R258" s="2">
        <v>6.7</v>
      </c>
      <c r="S258" s="2">
        <v>16.399999999999999</v>
      </c>
      <c r="T258" s="2">
        <v>0.4</v>
      </c>
      <c r="U258" s="2">
        <v>0.9</v>
      </c>
      <c r="V258" s="2">
        <v>1.3</v>
      </c>
      <c r="W258" s="2">
        <v>0.17</v>
      </c>
      <c r="X258" s="2">
        <v>-0.5</v>
      </c>
      <c r="Y258" s="2">
        <v>1.8</v>
      </c>
      <c r="Z258" s="2">
        <v>1.3</v>
      </c>
      <c r="AA258" s="2">
        <v>0.3</v>
      </c>
    </row>
    <row r="259" spans="1:27" x14ac:dyDescent="0.2">
      <c r="A259" t="s">
        <v>141</v>
      </c>
      <c r="B259" s="2">
        <v>22</v>
      </c>
      <c r="C259" t="s">
        <v>100</v>
      </c>
      <c r="D259" s="2" t="s">
        <v>27</v>
      </c>
      <c r="E259" s="2">
        <v>22</v>
      </c>
      <c r="F259" s="2">
        <v>9</v>
      </c>
      <c r="G259" s="2">
        <v>550</v>
      </c>
      <c r="H259" s="2">
        <v>14.3</v>
      </c>
      <c r="I259" s="2">
        <v>0.51100000000000001</v>
      </c>
      <c r="J259" s="2">
        <v>0.29199999999999998</v>
      </c>
      <c r="K259" s="2">
        <v>0.316</v>
      </c>
      <c r="L259" s="2">
        <v>5</v>
      </c>
      <c r="M259" s="2">
        <v>13.5</v>
      </c>
      <c r="N259" s="2">
        <v>9.1999999999999993</v>
      </c>
      <c r="O259" s="2">
        <v>11.3</v>
      </c>
      <c r="P259" s="2">
        <v>1.9</v>
      </c>
      <c r="Q259" s="2">
        <v>2.4</v>
      </c>
      <c r="R259" s="2">
        <v>9.4</v>
      </c>
      <c r="S259" s="2">
        <v>27.4</v>
      </c>
      <c r="T259" s="2">
        <v>-0.2</v>
      </c>
      <c r="U259" s="2">
        <v>0.9</v>
      </c>
      <c r="V259" s="2">
        <v>0.7</v>
      </c>
      <c r="W259" s="2">
        <v>6.2E-2</v>
      </c>
      <c r="X259" s="2">
        <v>-1.3</v>
      </c>
      <c r="Y259" s="2">
        <v>-0.1</v>
      </c>
      <c r="Z259" s="2">
        <v>-1.5</v>
      </c>
      <c r="AA259" s="2">
        <v>0.1</v>
      </c>
    </row>
    <row r="260" spans="1:27" x14ac:dyDescent="0.2">
      <c r="A260" t="s">
        <v>287</v>
      </c>
      <c r="B260" s="2">
        <v>23</v>
      </c>
      <c r="C260" t="s">
        <v>66</v>
      </c>
      <c r="D260" s="2" t="s">
        <v>27</v>
      </c>
      <c r="E260" s="2">
        <v>26</v>
      </c>
      <c r="F260" s="2">
        <v>2</v>
      </c>
      <c r="G260" s="2">
        <v>439</v>
      </c>
      <c r="H260" s="2">
        <v>15.4</v>
      </c>
      <c r="I260" s="2">
        <v>0.54700000000000004</v>
      </c>
      <c r="J260" s="2">
        <v>0.17499999999999999</v>
      </c>
      <c r="K260" s="2">
        <v>0.36799999999999999</v>
      </c>
      <c r="L260" s="2">
        <v>13.8</v>
      </c>
      <c r="M260" s="2">
        <v>16</v>
      </c>
      <c r="N260" s="2">
        <v>14.9</v>
      </c>
      <c r="O260" s="2">
        <v>14.1</v>
      </c>
      <c r="P260" s="2">
        <v>2.4</v>
      </c>
      <c r="Q260" s="2">
        <v>2.4</v>
      </c>
      <c r="R260" s="2">
        <v>14.8</v>
      </c>
      <c r="S260" s="2">
        <v>14.7</v>
      </c>
      <c r="T260" s="2">
        <v>0.6</v>
      </c>
      <c r="U260" s="2">
        <v>0.4</v>
      </c>
      <c r="V260" s="2">
        <v>1</v>
      </c>
      <c r="W260" s="2">
        <v>0.112</v>
      </c>
      <c r="X260" s="2">
        <v>-0.5</v>
      </c>
      <c r="Y260" s="2">
        <v>0.6</v>
      </c>
      <c r="Z260" s="2">
        <v>0.1</v>
      </c>
      <c r="AA260" s="2">
        <v>0.2</v>
      </c>
    </row>
    <row r="261" spans="1:27" x14ac:dyDescent="0.2">
      <c r="A261" t="s">
        <v>236</v>
      </c>
      <c r="B261" s="2">
        <v>32</v>
      </c>
      <c r="C261" t="s">
        <v>120</v>
      </c>
      <c r="D261" s="2" t="s">
        <v>52</v>
      </c>
      <c r="E261" s="2">
        <v>13</v>
      </c>
      <c r="F261" s="2">
        <v>2</v>
      </c>
      <c r="G261" s="2">
        <v>338</v>
      </c>
      <c r="H261" s="2">
        <v>13.7</v>
      </c>
      <c r="I261" s="2">
        <v>0.502</v>
      </c>
      <c r="J261" s="2">
        <v>0.46</v>
      </c>
      <c r="K261" s="2">
        <v>0.26400000000000001</v>
      </c>
      <c r="L261" s="2">
        <v>3.3</v>
      </c>
      <c r="M261" s="2">
        <v>12.9</v>
      </c>
      <c r="N261" s="2">
        <v>8.1999999999999993</v>
      </c>
      <c r="O261" s="2">
        <v>24.4</v>
      </c>
      <c r="P261" s="2">
        <v>1.6</v>
      </c>
      <c r="Q261" s="2">
        <v>0.3</v>
      </c>
      <c r="R261" s="2">
        <v>11.8</v>
      </c>
      <c r="S261" s="2">
        <v>27.4</v>
      </c>
      <c r="T261" s="2">
        <v>0</v>
      </c>
      <c r="U261" s="2">
        <v>0</v>
      </c>
      <c r="V261" s="2">
        <v>0.1</v>
      </c>
      <c r="W261" s="2">
        <v>1.2999999999999999E-2</v>
      </c>
      <c r="X261" s="2">
        <v>-0.7</v>
      </c>
      <c r="Y261" s="2">
        <v>-1.9</v>
      </c>
      <c r="Z261" s="2">
        <v>-2.6</v>
      </c>
      <c r="AA261" s="2">
        <v>-0.1</v>
      </c>
    </row>
    <row r="262" spans="1:27" x14ac:dyDescent="0.2">
      <c r="A262" t="s">
        <v>289</v>
      </c>
      <c r="B262" s="2">
        <v>22</v>
      </c>
      <c r="C262" t="s">
        <v>117</v>
      </c>
      <c r="D262" s="2" t="s">
        <v>52</v>
      </c>
      <c r="E262" s="2">
        <v>11</v>
      </c>
      <c r="F262" s="2">
        <v>3</v>
      </c>
      <c r="G262" s="2">
        <v>302</v>
      </c>
      <c r="H262" s="2">
        <v>10.1</v>
      </c>
      <c r="I262" s="2">
        <v>0.51600000000000001</v>
      </c>
      <c r="J262" s="2">
        <v>0.52400000000000002</v>
      </c>
      <c r="K262" s="2">
        <v>0.246</v>
      </c>
      <c r="L262" s="2">
        <v>1.7</v>
      </c>
      <c r="M262" s="2">
        <v>13.8</v>
      </c>
      <c r="N262" s="2">
        <v>7.5</v>
      </c>
      <c r="O262" s="2">
        <v>7</v>
      </c>
      <c r="P262" s="2">
        <v>0.5</v>
      </c>
      <c r="Q262" s="2">
        <v>1.2</v>
      </c>
      <c r="R262" s="2">
        <v>9.1</v>
      </c>
      <c r="S262" s="2">
        <v>21.5</v>
      </c>
      <c r="T262" s="2">
        <v>0</v>
      </c>
      <c r="U262" s="2">
        <v>0</v>
      </c>
      <c r="V262" s="2">
        <v>0</v>
      </c>
      <c r="W262" s="2">
        <v>-7.0000000000000001E-3</v>
      </c>
      <c r="X262" s="2">
        <v>-2.5</v>
      </c>
      <c r="Y262" s="2">
        <v>-3.7</v>
      </c>
      <c r="Z262" s="2">
        <v>-6.2</v>
      </c>
      <c r="AA262" s="2">
        <v>-0.3</v>
      </c>
    </row>
    <row r="263" spans="1:27" x14ac:dyDescent="0.2">
      <c r="A263" t="s">
        <v>412</v>
      </c>
      <c r="B263" s="2">
        <v>28</v>
      </c>
      <c r="C263" t="s">
        <v>37</v>
      </c>
      <c r="D263" s="2" t="s">
        <v>33</v>
      </c>
      <c r="E263" s="2">
        <v>20</v>
      </c>
      <c r="F263" s="2">
        <v>0</v>
      </c>
      <c r="G263" s="2">
        <v>158</v>
      </c>
      <c r="H263" s="2">
        <v>10</v>
      </c>
      <c r="I263" s="2">
        <v>0.52100000000000002</v>
      </c>
      <c r="J263" s="2">
        <v>0.57899999999999996</v>
      </c>
      <c r="K263" s="2">
        <v>0.36799999999999999</v>
      </c>
      <c r="L263" s="2">
        <v>2.2000000000000002</v>
      </c>
      <c r="M263" s="2">
        <v>11.4</v>
      </c>
      <c r="N263" s="2">
        <v>6.9</v>
      </c>
      <c r="O263" s="2">
        <v>15.1</v>
      </c>
      <c r="P263" s="2">
        <v>2.8</v>
      </c>
      <c r="Q263" s="2">
        <v>0</v>
      </c>
      <c r="R263" s="2">
        <v>15.3</v>
      </c>
      <c r="S263" s="2">
        <v>14.3</v>
      </c>
      <c r="T263" s="2">
        <v>0</v>
      </c>
      <c r="U263" s="2">
        <v>0.2</v>
      </c>
      <c r="V263" s="2">
        <v>0.2</v>
      </c>
      <c r="W263" s="2">
        <v>6.4000000000000001E-2</v>
      </c>
      <c r="X263" s="2">
        <v>-3.6</v>
      </c>
      <c r="Y263" s="2">
        <v>0.2</v>
      </c>
      <c r="Z263" s="2">
        <v>-3.4</v>
      </c>
      <c r="AA263" s="2">
        <v>-0.1</v>
      </c>
    </row>
    <row r="264" spans="1:27" x14ac:dyDescent="0.2">
      <c r="A264" t="s">
        <v>325</v>
      </c>
      <c r="B264" s="2">
        <v>25</v>
      </c>
      <c r="C264" t="s">
        <v>77</v>
      </c>
      <c r="D264" s="2" t="s">
        <v>49</v>
      </c>
      <c r="E264" s="2">
        <v>14</v>
      </c>
      <c r="F264" s="2">
        <v>0</v>
      </c>
      <c r="G264" s="2">
        <v>228</v>
      </c>
      <c r="H264" s="2">
        <v>13.4</v>
      </c>
      <c r="I264" s="2">
        <v>0.54100000000000004</v>
      </c>
      <c r="J264" s="2">
        <v>0.25</v>
      </c>
      <c r="K264" s="2">
        <v>0.23899999999999999</v>
      </c>
      <c r="L264" s="2">
        <v>8.3000000000000007</v>
      </c>
      <c r="M264" s="2">
        <v>8.9</v>
      </c>
      <c r="N264" s="2">
        <v>8.6</v>
      </c>
      <c r="O264" s="2">
        <v>12.4</v>
      </c>
      <c r="P264" s="2">
        <v>1.1000000000000001</v>
      </c>
      <c r="Q264" s="2">
        <v>0.9</v>
      </c>
      <c r="R264" s="2">
        <v>12.1</v>
      </c>
      <c r="S264" s="2">
        <v>21.9</v>
      </c>
      <c r="T264" s="2">
        <v>0.1</v>
      </c>
      <c r="U264" s="2">
        <v>0.2</v>
      </c>
      <c r="V264" s="2">
        <v>0.4</v>
      </c>
      <c r="W264" s="2">
        <v>7.3999999999999996E-2</v>
      </c>
      <c r="X264" s="2">
        <v>-0.7</v>
      </c>
      <c r="Y264" s="2">
        <v>-1.6</v>
      </c>
      <c r="Z264" s="2">
        <v>-2.2999999999999998</v>
      </c>
      <c r="AA264" s="2">
        <v>0</v>
      </c>
    </row>
    <row r="265" spans="1:27" x14ac:dyDescent="0.2">
      <c r="A265" t="s">
        <v>113</v>
      </c>
      <c r="B265" s="2">
        <v>25</v>
      </c>
      <c r="C265" t="s">
        <v>114</v>
      </c>
      <c r="D265" s="2" t="s">
        <v>52</v>
      </c>
      <c r="E265" s="2">
        <v>20</v>
      </c>
      <c r="F265" s="2">
        <v>20</v>
      </c>
      <c r="G265" s="2">
        <v>606</v>
      </c>
      <c r="H265" s="2">
        <v>16.2</v>
      </c>
      <c r="I265" s="2">
        <v>0.58899999999999997</v>
      </c>
      <c r="J265" s="2">
        <v>0.51100000000000001</v>
      </c>
      <c r="K265" s="2">
        <v>0.28999999999999998</v>
      </c>
      <c r="L265" s="2">
        <v>0.7</v>
      </c>
      <c r="M265" s="2">
        <v>7.1</v>
      </c>
      <c r="N265" s="2">
        <v>3.8</v>
      </c>
      <c r="O265" s="2">
        <v>27.1</v>
      </c>
      <c r="P265" s="2">
        <v>2.5</v>
      </c>
      <c r="Q265" s="2">
        <v>1.2</v>
      </c>
      <c r="R265" s="2">
        <v>16.399999999999999</v>
      </c>
      <c r="S265" s="2">
        <v>28.2</v>
      </c>
      <c r="T265" s="2">
        <v>0.3</v>
      </c>
      <c r="U265" s="2">
        <v>0.1</v>
      </c>
      <c r="V265" s="2">
        <v>0.3</v>
      </c>
      <c r="W265" s="2">
        <v>2.7E-2</v>
      </c>
      <c r="X265" s="2">
        <v>1.4</v>
      </c>
      <c r="Y265" s="2">
        <v>-1.8</v>
      </c>
      <c r="Z265" s="2">
        <v>-0.5</v>
      </c>
      <c r="AA265" s="2">
        <v>0.2</v>
      </c>
    </row>
    <row r="266" spans="1:27" x14ac:dyDescent="0.2">
      <c r="A266" t="s">
        <v>457</v>
      </c>
      <c r="B266" s="2">
        <v>20</v>
      </c>
      <c r="C266" t="s">
        <v>39</v>
      </c>
      <c r="D266" s="2" t="s">
        <v>27</v>
      </c>
      <c r="E266" s="2">
        <v>17</v>
      </c>
      <c r="F266" s="2">
        <v>1</v>
      </c>
      <c r="G266" s="2">
        <v>154</v>
      </c>
      <c r="H266" s="2">
        <v>4.8</v>
      </c>
      <c r="I266" s="2">
        <v>0.39100000000000001</v>
      </c>
      <c r="J266" s="2">
        <v>0.75900000000000001</v>
      </c>
      <c r="K266" s="2">
        <v>3.4000000000000002E-2</v>
      </c>
      <c r="L266" s="2">
        <v>4.3</v>
      </c>
      <c r="M266" s="2">
        <v>10.1</v>
      </c>
      <c r="N266" s="2">
        <v>7.1</v>
      </c>
      <c r="O266" s="2">
        <v>3.2</v>
      </c>
      <c r="P266" s="2">
        <v>1.6</v>
      </c>
      <c r="Q266" s="2">
        <v>3.4</v>
      </c>
      <c r="R266" s="2">
        <v>12</v>
      </c>
      <c r="S266" s="2">
        <v>9.4</v>
      </c>
      <c r="T266" s="2">
        <v>-0.1</v>
      </c>
      <c r="U266" s="2">
        <v>0.2</v>
      </c>
      <c r="V266" s="2">
        <v>0.1</v>
      </c>
      <c r="W266" s="2">
        <v>1.7000000000000001E-2</v>
      </c>
      <c r="X266" s="2">
        <v>-4.9000000000000004</v>
      </c>
      <c r="Y266" s="2">
        <v>0.7</v>
      </c>
      <c r="Z266" s="2">
        <v>-4.2</v>
      </c>
      <c r="AA266" s="2">
        <v>-0.1</v>
      </c>
    </row>
    <row r="267" spans="1:27" x14ac:dyDescent="0.2">
      <c r="A267" t="s">
        <v>317</v>
      </c>
      <c r="B267" s="2">
        <v>26</v>
      </c>
      <c r="C267" t="s">
        <v>117</v>
      </c>
      <c r="D267" s="2" t="s">
        <v>33</v>
      </c>
      <c r="E267" s="2">
        <v>11</v>
      </c>
      <c r="F267" s="2">
        <v>7</v>
      </c>
      <c r="G267" s="2">
        <v>282</v>
      </c>
      <c r="H267" s="2">
        <v>14.3</v>
      </c>
      <c r="I267" s="2">
        <v>0.54400000000000004</v>
      </c>
      <c r="J267" s="2">
        <v>0.59399999999999997</v>
      </c>
      <c r="K267" s="2">
        <v>0.16800000000000001</v>
      </c>
      <c r="L267" s="2">
        <v>2.2000000000000002</v>
      </c>
      <c r="M267" s="2">
        <v>7.2</v>
      </c>
      <c r="N267" s="2">
        <v>4.5999999999999996</v>
      </c>
      <c r="O267" s="2">
        <v>25.8</v>
      </c>
      <c r="P267" s="2">
        <v>2.9</v>
      </c>
      <c r="Q267" s="2">
        <v>1</v>
      </c>
      <c r="R267" s="2">
        <v>11.4</v>
      </c>
      <c r="S267" s="2">
        <v>18.399999999999999</v>
      </c>
      <c r="T267" s="2">
        <v>0.4</v>
      </c>
      <c r="U267" s="2">
        <v>0.1</v>
      </c>
      <c r="V267" s="2">
        <v>0.5</v>
      </c>
      <c r="W267" s="2">
        <v>7.8E-2</v>
      </c>
      <c r="X267" s="2">
        <v>-0.3</v>
      </c>
      <c r="Y267" s="2">
        <v>-0.5</v>
      </c>
      <c r="Z267" s="2">
        <v>-0.9</v>
      </c>
      <c r="AA267" s="2">
        <v>0.1</v>
      </c>
    </row>
    <row r="268" spans="1:27" x14ac:dyDescent="0.2">
      <c r="A268" t="s">
        <v>161</v>
      </c>
      <c r="B268" s="2">
        <v>22</v>
      </c>
      <c r="C268" t="s">
        <v>70</v>
      </c>
      <c r="D268" s="2" t="s">
        <v>33</v>
      </c>
      <c r="E268" s="2">
        <v>25</v>
      </c>
      <c r="F268" s="2">
        <v>25</v>
      </c>
      <c r="G268" s="2">
        <v>679</v>
      </c>
      <c r="H268" s="2">
        <v>15</v>
      </c>
      <c r="I268" s="2">
        <v>0.52600000000000002</v>
      </c>
      <c r="J268" s="2">
        <v>0.36</v>
      </c>
      <c r="K268" s="2">
        <v>0.22900000000000001</v>
      </c>
      <c r="L268" s="2">
        <v>4.5999999999999996</v>
      </c>
      <c r="M268" s="2">
        <v>19.5</v>
      </c>
      <c r="N268" s="2">
        <v>12.1</v>
      </c>
      <c r="O268" s="2">
        <v>34.200000000000003</v>
      </c>
      <c r="P268" s="2">
        <v>1.4</v>
      </c>
      <c r="Q268" s="2">
        <v>1.4</v>
      </c>
      <c r="R268" s="2">
        <v>18.899999999999999</v>
      </c>
      <c r="S268" s="2">
        <v>21.1</v>
      </c>
      <c r="T268" s="2">
        <v>0.5</v>
      </c>
      <c r="U268" s="2">
        <v>0.4</v>
      </c>
      <c r="V268" s="2">
        <v>0.9</v>
      </c>
      <c r="W268" s="2">
        <v>6.0999999999999999E-2</v>
      </c>
      <c r="X268" s="2">
        <v>0.3</v>
      </c>
      <c r="Y268" s="2">
        <v>-0.3</v>
      </c>
      <c r="Z268" s="2">
        <v>0</v>
      </c>
      <c r="AA268" s="2">
        <v>0.3</v>
      </c>
    </row>
    <row r="269" spans="1:27" x14ac:dyDescent="0.2">
      <c r="A269" t="s">
        <v>264</v>
      </c>
      <c r="B269" s="2">
        <v>24</v>
      </c>
      <c r="C269" t="s">
        <v>59</v>
      </c>
      <c r="D269" s="2" t="s">
        <v>52</v>
      </c>
      <c r="E269" s="2">
        <v>22</v>
      </c>
      <c r="F269" s="2">
        <v>21</v>
      </c>
      <c r="G269" s="2">
        <v>608</v>
      </c>
      <c r="H269" s="2">
        <v>8.3000000000000007</v>
      </c>
      <c r="I269" s="2">
        <v>0.56599999999999995</v>
      </c>
      <c r="J269" s="2">
        <v>0.53300000000000003</v>
      </c>
      <c r="K269" s="2">
        <v>0.161</v>
      </c>
      <c r="L269" s="2">
        <v>3.7</v>
      </c>
      <c r="M269" s="2">
        <v>7</v>
      </c>
      <c r="N269" s="2">
        <v>5.3</v>
      </c>
      <c r="O269" s="2">
        <v>8.6999999999999993</v>
      </c>
      <c r="P269" s="2">
        <v>1.5</v>
      </c>
      <c r="Q269" s="2">
        <v>1.2</v>
      </c>
      <c r="R269" s="2">
        <v>11.5</v>
      </c>
      <c r="S269" s="2">
        <v>11.6</v>
      </c>
      <c r="T269" s="2">
        <v>0.5</v>
      </c>
      <c r="U269" s="2">
        <v>0.3</v>
      </c>
      <c r="V269" s="2">
        <v>0.7</v>
      </c>
      <c r="W269" s="2">
        <v>5.8999999999999997E-2</v>
      </c>
      <c r="X269" s="2">
        <v>-3.6</v>
      </c>
      <c r="Y269" s="2">
        <v>-0.3</v>
      </c>
      <c r="Z269" s="2">
        <v>-3.8</v>
      </c>
      <c r="AA269" s="2">
        <v>-0.3</v>
      </c>
    </row>
    <row r="270" spans="1:27" x14ac:dyDescent="0.2">
      <c r="A270" t="s">
        <v>128</v>
      </c>
      <c r="B270" s="2">
        <v>29</v>
      </c>
      <c r="C270" t="s">
        <v>44</v>
      </c>
      <c r="D270" s="2" t="s">
        <v>52</v>
      </c>
      <c r="E270" s="2">
        <v>25</v>
      </c>
      <c r="F270" s="2">
        <v>25</v>
      </c>
      <c r="G270" s="2">
        <v>924</v>
      </c>
      <c r="H270" s="2">
        <v>18</v>
      </c>
      <c r="I270" s="2">
        <v>0.69899999999999995</v>
      </c>
      <c r="J270" s="2">
        <v>0.374</v>
      </c>
      <c r="K270" s="2">
        <v>0.23</v>
      </c>
      <c r="L270" s="2">
        <v>5.2</v>
      </c>
      <c r="M270" s="2">
        <v>20</v>
      </c>
      <c r="N270" s="2">
        <v>13</v>
      </c>
      <c r="O270" s="2">
        <v>19.8</v>
      </c>
      <c r="P270" s="2">
        <v>1.8</v>
      </c>
      <c r="Q270" s="2">
        <v>0.8</v>
      </c>
      <c r="R270" s="2">
        <v>14.2</v>
      </c>
      <c r="S270" s="2">
        <v>14.1</v>
      </c>
      <c r="T270" s="2">
        <v>2.7</v>
      </c>
      <c r="U270" s="2">
        <v>1</v>
      </c>
      <c r="V270" s="2">
        <v>3.6</v>
      </c>
      <c r="W270" s="2">
        <v>0.189</v>
      </c>
      <c r="X270" s="2">
        <v>2.4</v>
      </c>
      <c r="Y270" s="2">
        <v>1.1000000000000001</v>
      </c>
      <c r="Z270" s="2">
        <v>3.5</v>
      </c>
      <c r="AA270" s="2">
        <v>1.3</v>
      </c>
    </row>
    <row r="271" spans="1:27" x14ac:dyDescent="0.2">
      <c r="A271" t="s">
        <v>446</v>
      </c>
      <c r="B271" s="2">
        <v>22</v>
      </c>
      <c r="C271" t="s">
        <v>51</v>
      </c>
      <c r="D271" s="2" t="s">
        <v>49</v>
      </c>
      <c r="E271" s="2">
        <v>11</v>
      </c>
      <c r="F271" s="2">
        <v>0</v>
      </c>
      <c r="G271" s="2">
        <v>82</v>
      </c>
      <c r="H271" s="2">
        <v>10.5</v>
      </c>
      <c r="I271" s="2">
        <v>0.63700000000000001</v>
      </c>
      <c r="J271" s="2">
        <v>0.52600000000000002</v>
      </c>
      <c r="K271" s="2">
        <v>0.26300000000000001</v>
      </c>
      <c r="L271" s="2">
        <v>1.4</v>
      </c>
      <c r="M271" s="2">
        <v>17.7</v>
      </c>
      <c r="N271" s="2">
        <v>9.8000000000000007</v>
      </c>
      <c r="O271" s="2">
        <v>9</v>
      </c>
      <c r="P271" s="2">
        <v>1.8</v>
      </c>
      <c r="Q271" s="2">
        <v>3.4</v>
      </c>
      <c r="R271" s="2">
        <v>19.100000000000001</v>
      </c>
      <c r="S271" s="2">
        <v>14.1</v>
      </c>
      <c r="T271" s="2">
        <v>0</v>
      </c>
      <c r="U271" s="2">
        <v>0.1</v>
      </c>
      <c r="V271" s="2">
        <v>0.2</v>
      </c>
      <c r="W271" s="2">
        <v>9.6000000000000002E-2</v>
      </c>
      <c r="X271" s="2">
        <v>-4.5</v>
      </c>
      <c r="Y271" s="2">
        <v>3</v>
      </c>
      <c r="Z271" s="2">
        <v>-1.5</v>
      </c>
      <c r="AA271" s="2">
        <v>0</v>
      </c>
    </row>
    <row r="272" spans="1:27" x14ac:dyDescent="0.2">
      <c r="A272" t="s">
        <v>342</v>
      </c>
      <c r="B272" s="2">
        <v>26</v>
      </c>
      <c r="C272" t="s">
        <v>54</v>
      </c>
      <c r="D272" s="2" t="s">
        <v>52</v>
      </c>
      <c r="E272" s="2">
        <v>13</v>
      </c>
      <c r="F272" s="2">
        <v>1</v>
      </c>
      <c r="G272" s="2">
        <v>194</v>
      </c>
      <c r="H272" s="2">
        <v>18.100000000000001</v>
      </c>
      <c r="I272" s="2">
        <v>0.61199999999999999</v>
      </c>
      <c r="J272" s="2">
        <v>0.32900000000000001</v>
      </c>
      <c r="K272" s="2">
        <v>0.32900000000000001</v>
      </c>
      <c r="L272" s="2">
        <v>10</v>
      </c>
      <c r="M272" s="2">
        <v>14</v>
      </c>
      <c r="N272" s="2">
        <v>12</v>
      </c>
      <c r="O272" s="2">
        <v>6.5</v>
      </c>
      <c r="P272" s="2">
        <v>3</v>
      </c>
      <c r="Q272" s="2">
        <v>1.9</v>
      </c>
      <c r="R272" s="2">
        <v>11.1</v>
      </c>
      <c r="S272" s="2">
        <v>20.5</v>
      </c>
      <c r="T272" s="2">
        <v>0.3</v>
      </c>
      <c r="U272" s="2">
        <v>0.2</v>
      </c>
      <c r="V272" s="2">
        <v>0.5</v>
      </c>
      <c r="W272" s="2">
        <v>0.124</v>
      </c>
      <c r="X272" s="2">
        <v>1.8</v>
      </c>
      <c r="Y272" s="2">
        <v>0.4</v>
      </c>
      <c r="Z272" s="2">
        <v>2.2000000000000002</v>
      </c>
      <c r="AA272" s="2">
        <v>0.2</v>
      </c>
    </row>
    <row r="273" spans="1:27" x14ac:dyDescent="0.2">
      <c r="A273" t="s">
        <v>437</v>
      </c>
      <c r="B273" s="2">
        <v>31</v>
      </c>
      <c r="C273" t="s">
        <v>61</v>
      </c>
      <c r="D273" s="2" t="s">
        <v>52</v>
      </c>
      <c r="E273" s="2">
        <v>8</v>
      </c>
      <c r="F273" s="2">
        <v>0</v>
      </c>
      <c r="G273" s="2">
        <v>150</v>
      </c>
      <c r="H273" s="2">
        <v>4.4000000000000004</v>
      </c>
      <c r="I273" s="2">
        <v>0.40200000000000002</v>
      </c>
      <c r="J273" s="2">
        <v>0.57899999999999996</v>
      </c>
      <c r="K273" s="2">
        <v>0.105</v>
      </c>
      <c r="L273" s="2">
        <v>4.4000000000000004</v>
      </c>
      <c r="M273" s="2">
        <v>4.3</v>
      </c>
      <c r="N273" s="2">
        <v>4.3</v>
      </c>
      <c r="O273" s="2">
        <v>10.7</v>
      </c>
      <c r="P273" s="2">
        <v>2.6</v>
      </c>
      <c r="Q273" s="2">
        <v>0.6</v>
      </c>
      <c r="R273" s="2">
        <v>16.8</v>
      </c>
      <c r="S273" s="2">
        <v>13.9</v>
      </c>
      <c r="T273" s="2">
        <v>-0.2</v>
      </c>
      <c r="U273" s="2">
        <v>0.2</v>
      </c>
      <c r="V273" s="2">
        <v>-0.1</v>
      </c>
      <c r="W273" s="2">
        <v>-1.7000000000000001E-2</v>
      </c>
      <c r="X273" s="2">
        <v>-7.2</v>
      </c>
      <c r="Y273" s="2">
        <v>0.2</v>
      </c>
      <c r="Z273" s="2">
        <v>-7</v>
      </c>
      <c r="AA273" s="2">
        <v>-0.2</v>
      </c>
    </row>
    <row r="274" spans="1:27" x14ac:dyDescent="0.2">
      <c r="A274" t="s">
        <v>176</v>
      </c>
      <c r="B274" s="2">
        <v>34</v>
      </c>
      <c r="C274" t="s">
        <v>39</v>
      </c>
      <c r="D274" s="2" t="s">
        <v>33</v>
      </c>
      <c r="E274" s="2">
        <v>22</v>
      </c>
      <c r="F274" s="2">
        <v>22</v>
      </c>
      <c r="G274" s="2">
        <v>681</v>
      </c>
      <c r="H274" s="2">
        <v>13.7</v>
      </c>
      <c r="I274" s="2">
        <v>0.56499999999999995</v>
      </c>
      <c r="J274" s="2">
        <v>0.55500000000000005</v>
      </c>
      <c r="K274" s="2">
        <v>0.18099999999999999</v>
      </c>
      <c r="L274" s="2">
        <v>4.2</v>
      </c>
      <c r="M274" s="2">
        <v>11.4</v>
      </c>
      <c r="N274" s="2">
        <v>7.8</v>
      </c>
      <c r="O274" s="2">
        <v>18.5</v>
      </c>
      <c r="P274" s="2">
        <v>1.1000000000000001</v>
      </c>
      <c r="Q274" s="2">
        <v>1</v>
      </c>
      <c r="R274" s="2">
        <v>11.6</v>
      </c>
      <c r="S274" s="2">
        <v>17.600000000000001</v>
      </c>
      <c r="T274" s="2">
        <v>1.1000000000000001</v>
      </c>
      <c r="U274" s="2">
        <v>0.7</v>
      </c>
      <c r="V274" s="2">
        <v>1.7</v>
      </c>
      <c r="W274" s="2">
        <v>0.122</v>
      </c>
      <c r="X274" s="2">
        <v>0.3</v>
      </c>
      <c r="Y274" s="2">
        <v>-0.1</v>
      </c>
      <c r="Z274" s="2">
        <v>0.2</v>
      </c>
      <c r="AA274" s="2">
        <v>0.4</v>
      </c>
    </row>
    <row r="275" spans="1:27" x14ac:dyDescent="0.2">
      <c r="A275" t="s">
        <v>473</v>
      </c>
      <c r="B275" s="2">
        <v>22</v>
      </c>
      <c r="C275" t="s">
        <v>57</v>
      </c>
      <c r="D275" s="2" t="s">
        <v>27</v>
      </c>
      <c r="E275" s="2">
        <v>3</v>
      </c>
      <c r="F275" s="2">
        <v>0</v>
      </c>
      <c r="G275" s="2">
        <v>16</v>
      </c>
      <c r="H275" s="2">
        <v>49.1</v>
      </c>
      <c r="I275" s="2">
        <v>1.206</v>
      </c>
      <c r="J275" s="2">
        <v>0.42899999999999999</v>
      </c>
      <c r="K275" s="2">
        <v>0.28599999999999998</v>
      </c>
      <c r="L275" s="2">
        <v>0</v>
      </c>
      <c r="M275" s="2">
        <v>13.4</v>
      </c>
      <c r="N275" s="2">
        <v>6.9</v>
      </c>
      <c r="O275" s="2">
        <v>0</v>
      </c>
      <c r="P275" s="2">
        <v>6</v>
      </c>
      <c r="Q275" s="2">
        <v>11.5</v>
      </c>
      <c r="R275" s="2">
        <v>20.2</v>
      </c>
      <c r="S275" s="2">
        <v>26.7</v>
      </c>
      <c r="T275" s="2">
        <v>0.1</v>
      </c>
      <c r="U275" s="2">
        <v>0</v>
      </c>
      <c r="V275" s="2">
        <v>0.1</v>
      </c>
      <c r="W275" s="2">
        <v>0.35899999999999999</v>
      </c>
      <c r="X275" s="2">
        <v>16.5</v>
      </c>
      <c r="Y275" s="2">
        <v>10.1</v>
      </c>
      <c r="Z275" s="2">
        <v>26.6</v>
      </c>
      <c r="AA275" s="2">
        <v>0.1</v>
      </c>
    </row>
    <row r="276" spans="1:27" x14ac:dyDescent="0.2">
      <c r="A276" t="s">
        <v>153</v>
      </c>
      <c r="B276" s="2">
        <v>23</v>
      </c>
      <c r="C276" t="s">
        <v>93</v>
      </c>
      <c r="D276" s="2" t="s">
        <v>49</v>
      </c>
      <c r="E276" s="2">
        <v>24</v>
      </c>
      <c r="F276" s="2">
        <v>24</v>
      </c>
      <c r="G276" s="2">
        <v>711</v>
      </c>
      <c r="H276" s="2">
        <v>12.9</v>
      </c>
      <c r="I276" s="2">
        <v>0.59199999999999997</v>
      </c>
      <c r="J276" s="2">
        <v>0.71</v>
      </c>
      <c r="K276" s="2">
        <v>0.16400000000000001</v>
      </c>
      <c r="L276" s="2">
        <v>3.2</v>
      </c>
      <c r="M276" s="2">
        <v>15.3</v>
      </c>
      <c r="N276" s="2">
        <v>9.3000000000000007</v>
      </c>
      <c r="O276" s="2">
        <v>7.4</v>
      </c>
      <c r="P276" s="2">
        <v>1.4</v>
      </c>
      <c r="Q276" s="2">
        <v>1.9</v>
      </c>
      <c r="R276" s="2">
        <v>9.1999999999999993</v>
      </c>
      <c r="S276" s="2">
        <v>16.899999999999999</v>
      </c>
      <c r="T276" s="2">
        <v>0.7</v>
      </c>
      <c r="U276" s="2">
        <v>0.6</v>
      </c>
      <c r="V276" s="2">
        <v>1.2</v>
      </c>
      <c r="W276" s="2">
        <v>8.4000000000000005E-2</v>
      </c>
      <c r="X276" s="2">
        <v>-0.1</v>
      </c>
      <c r="Y276" s="2">
        <v>-0.8</v>
      </c>
      <c r="Z276" s="2">
        <v>-0.9</v>
      </c>
      <c r="AA276" s="2">
        <v>0.2</v>
      </c>
    </row>
    <row r="277" spans="1:27" x14ac:dyDescent="0.2">
      <c r="A277" t="s">
        <v>328</v>
      </c>
      <c r="B277" s="2">
        <v>21</v>
      </c>
      <c r="C277" t="s">
        <v>70</v>
      </c>
      <c r="D277" s="2" t="s">
        <v>49</v>
      </c>
      <c r="E277" s="2">
        <v>24</v>
      </c>
      <c r="F277" s="2">
        <v>2</v>
      </c>
      <c r="G277" s="2">
        <v>344</v>
      </c>
      <c r="H277" s="2">
        <v>9.1999999999999993</v>
      </c>
      <c r="I277" s="2">
        <v>0.52800000000000002</v>
      </c>
      <c r="J277" s="2">
        <v>0.62</v>
      </c>
      <c r="K277" s="2">
        <v>0.22800000000000001</v>
      </c>
      <c r="L277" s="2">
        <v>5.9</v>
      </c>
      <c r="M277" s="2">
        <v>9.5</v>
      </c>
      <c r="N277" s="2">
        <v>7.7</v>
      </c>
      <c r="O277" s="2">
        <v>4</v>
      </c>
      <c r="P277" s="2">
        <v>2.1</v>
      </c>
      <c r="Q277" s="2">
        <v>1.5</v>
      </c>
      <c r="R277" s="2">
        <v>9</v>
      </c>
      <c r="S277" s="2">
        <v>13.5</v>
      </c>
      <c r="T277" s="2">
        <v>0.1</v>
      </c>
      <c r="U277" s="2">
        <v>0.2</v>
      </c>
      <c r="V277" s="2">
        <v>0.3</v>
      </c>
      <c r="W277" s="2">
        <v>3.5999999999999997E-2</v>
      </c>
      <c r="X277" s="2">
        <v>-2.8</v>
      </c>
      <c r="Y277" s="2">
        <v>-0.6</v>
      </c>
      <c r="Z277" s="2">
        <v>-3.4</v>
      </c>
      <c r="AA277" s="2">
        <v>-0.1</v>
      </c>
    </row>
    <row r="278" spans="1:27" x14ac:dyDescent="0.2">
      <c r="A278" t="s">
        <v>233</v>
      </c>
      <c r="B278" s="2">
        <v>22</v>
      </c>
      <c r="C278" t="s">
        <v>46</v>
      </c>
      <c r="D278" s="2" t="s">
        <v>52</v>
      </c>
      <c r="E278" s="2">
        <v>22</v>
      </c>
      <c r="F278" s="2">
        <v>0</v>
      </c>
      <c r="G278" s="2">
        <v>458</v>
      </c>
      <c r="H278" s="2">
        <v>11.2</v>
      </c>
      <c r="I278" s="2">
        <v>0.60099999999999998</v>
      </c>
      <c r="J278" s="2">
        <v>0.51</v>
      </c>
      <c r="K278" s="2">
        <v>0.24199999999999999</v>
      </c>
      <c r="L278" s="2">
        <v>1.7</v>
      </c>
      <c r="M278" s="2">
        <v>8.6</v>
      </c>
      <c r="N278" s="2">
        <v>5.2</v>
      </c>
      <c r="O278" s="2">
        <v>8.9</v>
      </c>
      <c r="P278" s="2">
        <v>1.9</v>
      </c>
      <c r="Q278" s="2">
        <v>1.8</v>
      </c>
      <c r="R278" s="2">
        <v>11.3</v>
      </c>
      <c r="S278" s="2">
        <v>17.100000000000001</v>
      </c>
      <c r="T278" s="2">
        <v>0.4</v>
      </c>
      <c r="U278" s="2">
        <v>0.3</v>
      </c>
      <c r="V278" s="2">
        <v>0.7</v>
      </c>
      <c r="W278" s="2">
        <v>7.3999999999999996E-2</v>
      </c>
      <c r="X278" s="2">
        <v>-2.1</v>
      </c>
      <c r="Y278" s="2">
        <v>-0.4</v>
      </c>
      <c r="Z278" s="2">
        <v>-2.5</v>
      </c>
      <c r="AA278" s="2">
        <v>-0.1</v>
      </c>
    </row>
    <row r="279" spans="1:27" x14ac:dyDescent="0.2">
      <c r="A279" t="s">
        <v>91</v>
      </c>
      <c r="B279" s="2">
        <v>30</v>
      </c>
      <c r="C279" t="s">
        <v>51</v>
      </c>
      <c r="D279" s="2" t="s">
        <v>27</v>
      </c>
      <c r="E279" s="2">
        <v>23</v>
      </c>
      <c r="F279" s="2">
        <v>23</v>
      </c>
      <c r="G279" s="2">
        <v>763</v>
      </c>
      <c r="H279" s="2">
        <v>18.5</v>
      </c>
      <c r="I279" s="2">
        <v>0.60799999999999998</v>
      </c>
      <c r="J279" s="2">
        <v>0.33100000000000002</v>
      </c>
      <c r="K279" s="2">
        <v>0.39800000000000002</v>
      </c>
      <c r="L279" s="2">
        <v>6.2</v>
      </c>
      <c r="M279" s="2">
        <v>17.600000000000001</v>
      </c>
      <c r="N279" s="2">
        <v>12</v>
      </c>
      <c r="O279" s="2">
        <v>20.2</v>
      </c>
      <c r="P279" s="2">
        <v>1.2</v>
      </c>
      <c r="Q279" s="2">
        <v>0.4</v>
      </c>
      <c r="R279" s="2">
        <v>13.8</v>
      </c>
      <c r="S279" s="2">
        <v>25.9</v>
      </c>
      <c r="T279" s="2">
        <v>1.5</v>
      </c>
      <c r="U279" s="2">
        <v>1</v>
      </c>
      <c r="V279" s="2">
        <v>2.5</v>
      </c>
      <c r="W279" s="2">
        <v>0.158</v>
      </c>
      <c r="X279" s="2">
        <v>1.7</v>
      </c>
      <c r="Y279" s="2">
        <v>0</v>
      </c>
      <c r="Z279" s="2">
        <v>1.7</v>
      </c>
      <c r="AA279" s="2">
        <v>0.7</v>
      </c>
    </row>
    <row r="280" spans="1:27" x14ac:dyDescent="0.2">
      <c r="A280" t="s">
        <v>410</v>
      </c>
      <c r="B280" s="2">
        <v>23</v>
      </c>
      <c r="C280" t="s">
        <v>114</v>
      </c>
      <c r="D280" s="2" t="s">
        <v>49</v>
      </c>
      <c r="E280" s="2">
        <v>5</v>
      </c>
      <c r="F280" s="2">
        <v>2</v>
      </c>
      <c r="G280" s="2">
        <v>105</v>
      </c>
      <c r="H280" s="2">
        <v>16.600000000000001</v>
      </c>
      <c r="I280" s="2">
        <v>0.63500000000000001</v>
      </c>
      <c r="J280" s="2">
        <v>0.35299999999999998</v>
      </c>
      <c r="K280" s="2">
        <v>0.14699999999999999</v>
      </c>
      <c r="L280" s="2">
        <v>9.9</v>
      </c>
      <c r="M280" s="2">
        <v>13.3</v>
      </c>
      <c r="N280" s="2">
        <v>11.6</v>
      </c>
      <c r="O280" s="2">
        <v>7.3</v>
      </c>
      <c r="P280" s="2">
        <v>3.1</v>
      </c>
      <c r="Q280" s="2">
        <v>1.7</v>
      </c>
      <c r="R280" s="2">
        <v>12.1</v>
      </c>
      <c r="S280" s="2">
        <v>16.2</v>
      </c>
      <c r="T280" s="2">
        <v>0.1</v>
      </c>
      <c r="U280" s="2">
        <v>0.1</v>
      </c>
      <c r="V280" s="2">
        <v>0.2</v>
      </c>
      <c r="W280" s="2">
        <v>9.4E-2</v>
      </c>
      <c r="X280" s="2">
        <v>0</v>
      </c>
      <c r="Y280" s="2">
        <v>0.2</v>
      </c>
      <c r="Z280" s="2">
        <v>0.2</v>
      </c>
      <c r="AA280" s="2">
        <v>0.1</v>
      </c>
    </row>
    <row r="281" spans="1:27" x14ac:dyDescent="0.2">
      <c r="A281" t="s">
        <v>524</v>
      </c>
      <c r="B281" s="2">
        <v>21</v>
      </c>
      <c r="C281" t="s">
        <v>122</v>
      </c>
      <c r="D281" s="2" t="s">
        <v>49</v>
      </c>
      <c r="E281" s="2">
        <v>2</v>
      </c>
      <c r="F281" s="2">
        <v>0</v>
      </c>
      <c r="G281" s="2">
        <v>9</v>
      </c>
      <c r="H281" s="2">
        <v>16.7</v>
      </c>
      <c r="I281" s="2">
        <v>0.58099999999999996</v>
      </c>
      <c r="J281" s="2">
        <v>0.33300000000000002</v>
      </c>
      <c r="K281" s="2">
        <v>0.33300000000000002</v>
      </c>
      <c r="L281" s="2">
        <v>0</v>
      </c>
      <c r="M281" s="2">
        <v>27.5</v>
      </c>
      <c r="N281" s="2">
        <v>12.9</v>
      </c>
      <c r="O281" s="2">
        <v>20</v>
      </c>
      <c r="P281" s="2">
        <v>0</v>
      </c>
      <c r="Q281" s="2">
        <v>0</v>
      </c>
      <c r="R281" s="2">
        <v>0</v>
      </c>
      <c r="S281" s="2">
        <v>16.8</v>
      </c>
      <c r="T281" s="2">
        <v>0</v>
      </c>
      <c r="U281" s="2">
        <v>0</v>
      </c>
      <c r="V281" s="2">
        <v>0</v>
      </c>
      <c r="W281" s="2">
        <v>0.11899999999999999</v>
      </c>
      <c r="X281" s="2">
        <v>1.9</v>
      </c>
      <c r="Y281" s="2">
        <v>-0.3</v>
      </c>
      <c r="Z281" s="2">
        <v>1.7</v>
      </c>
      <c r="AA281" s="2">
        <v>0</v>
      </c>
    </row>
    <row r="282" spans="1:27" x14ac:dyDescent="0.2">
      <c r="A282" t="s">
        <v>564</v>
      </c>
      <c r="B282" s="2">
        <v>25</v>
      </c>
      <c r="C282" t="s">
        <v>135</v>
      </c>
      <c r="D282" s="2" t="s">
        <v>49</v>
      </c>
      <c r="E282" s="2">
        <v>1</v>
      </c>
      <c r="F282" s="2">
        <v>0</v>
      </c>
      <c r="G282" s="2">
        <v>6</v>
      </c>
      <c r="H282" s="2">
        <v>-0.4</v>
      </c>
      <c r="I282" s="2"/>
      <c r="J282" s="2"/>
      <c r="K282" s="2"/>
      <c r="L282" s="2">
        <v>0</v>
      </c>
      <c r="M282" s="2">
        <v>19</v>
      </c>
      <c r="N282" s="2">
        <v>9</v>
      </c>
      <c r="O282" s="2">
        <v>0</v>
      </c>
      <c r="P282" s="2">
        <v>0</v>
      </c>
      <c r="Q282" s="2">
        <v>0</v>
      </c>
      <c r="R282" s="2"/>
      <c r="S282" s="2">
        <v>0</v>
      </c>
      <c r="T282" s="2">
        <v>0</v>
      </c>
      <c r="U282" s="2">
        <v>0</v>
      </c>
      <c r="V282" s="2">
        <v>0</v>
      </c>
      <c r="W282" s="2">
        <v>1.0999999999999999E-2</v>
      </c>
      <c r="X282" s="2">
        <v>-11.5</v>
      </c>
      <c r="Y282" s="2">
        <v>-2</v>
      </c>
      <c r="Z282" s="2">
        <v>-13.5</v>
      </c>
      <c r="AA282" s="2">
        <v>0</v>
      </c>
    </row>
    <row r="283" spans="1:27" x14ac:dyDescent="0.2">
      <c r="A283" t="s">
        <v>293</v>
      </c>
      <c r="B283" s="2">
        <v>30</v>
      </c>
      <c r="C283" t="s">
        <v>54</v>
      </c>
      <c r="D283" s="2" t="s">
        <v>42</v>
      </c>
      <c r="E283" s="2">
        <v>16</v>
      </c>
      <c r="F283" s="2">
        <v>16</v>
      </c>
      <c r="G283" s="2">
        <v>385</v>
      </c>
      <c r="H283" s="2">
        <v>11.9</v>
      </c>
      <c r="I283" s="2">
        <v>0.53</v>
      </c>
      <c r="J283" s="2">
        <v>0.42</v>
      </c>
      <c r="K283" s="2">
        <v>0.46400000000000002</v>
      </c>
      <c r="L283" s="2">
        <v>8.6</v>
      </c>
      <c r="M283" s="2">
        <v>36.700000000000003</v>
      </c>
      <c r="N283" s="2">
        <v>22.9</v>
      </c>
      <c r="O283" s="2">
        <v>7.8</v>
      </c>
      <c r="P283" s="2">
        <v>1.9</v>
      </c>
      <c r="Q283" s="2">
        <v>2.4</v>
      </c>
      <c r="R283" s="2">
        <v>21.5</v>
      </c>
      <c r="S283" s="2">
        <v>19.7</v>
      </c>
      <c r="T283" s="2">
        <v>-0.4</v>
      </c>
      <c r="U283" s="2">
        <v>0.6</v>
      </c>
      <c r="V283" s="2">
        <v>0.2</v>
      </c>
      <c r="W283" s="2">
        <v>0.03</v>
      </c>
      <c r="X283" s="2">
        <v>-4.2</v>
      </c>
      <c r="Y283" s="2">
        <v>0.1</v>
      </c>
      <c r="Z283" s="2">
        <v>-4</v>
      </c>
      <c r="AA283" s="2">
        <v>-0.2</v>
      </c>
    </row>
    <row r="284" spans="1:27" x14ac:dyDescent="0.2">
      <c r="A284" t="s">
        <v>423</v>
      </c>
      <c r="B284" s="2">
        <v>24</v>
      </c>
      <c r="C284" t="s">
        <v>77</v>
      </c>
      <c r="D284" s="2" t="s">
        <v>42</v>
      </c>
      <c r="E284" s="2">
        <v>16</v>
      </c>
      <c r="F284" s="2">
        <v>0</v>
      </c>
      <c r="G284" s="2">
        <v>139</v>
      </c>
      <c r="H284" s="2">
        <v>13.9</v>
      </c>
      <c r="I284" s="2">
        <v>0.75800000000000001</v>
      </c>
      <c r="J284" s="2">
        <v>0</v>
      </c>
      <c r="K284" s="2">
        <v>0.5</v>
      </c>
      <c r="L284" s="2">
        <v>8.8000000000000007</v>
      </c>
      <c r="M284" s="2">
        <v>16.2</v>
      </c>
      <c r="N284" s="2">
        <v>12.5</v>
      </c>
      <c r="O284" s="2">
        <v>6</v>
      </c>
      <c r="P284" s="2">
        <v>1.4</v>
      </c>
      <c r="Q284" s="2">
        <v>6.6</v>
      </c>
      <c r="R284" s="2">
        <v>22.3</v>
      </c>
      <c r="S284" s="2">
        <v>9.6999999999999993</v>
      </c>
      <c r="T284" s="2">
        <v>0.2</v>
      </c>
      <c r="U284" s="2">
        <v>0.2</v>
      </c>
      <c r="V284" s="2">
        <v>0.4</v>
      </c>
      <c r="W284" s="2">
        <v>0.153</v>
      </c>
      <c r="X284" s="2">
        <v>-2.4</v>
      </c>
      <c r="Y284" s="2">
        <v>2</v>
      </c>
      <c r="Z284" s="2">
        <v>-0.4</v>
      </c>
      <c r="AA284" s="2">
        <v>0.1</v>
      </c>
    </row>
    <row r="285" spans="1:27" x14ac:dyDescent="0.2">
      <c r="A285" t="s">
        <v>55</v>
      </c>
      <c r="B285" s="2">
        <v>29</v>
      </c>
      <c r="C285" t="s">
        <v>44</v>
      </c>
      <c r="D285" s="2" t="s">
        <v>42</v>
      </c>
      <c r="E285" s="2">
        <v>23</v>
      </c>
      <c r="F285" s="2">
        <v>23</v>
      </c>
      <c r="G285" s="2">
        <v>781</v>
      </c>
      <c r="H285" s="2">
        <v>26.3</v>
      </c>
      <c r="I285" s="2">
        <v>0.64500000000000002</v>
      </c>
      <c r="J285" s="2">
        <v>0.313</v>
      </c>
      <c r="K285" s="2">
        <v>0.35199999999999998</v>
      </c>
      <c r="L285" s="2">
        <v>10.4</v>
      </c>
      <c r="M285" s="4">
        <v>34.4</v>
      </c>
      <c r="N285" s="4">
        <v>23</v>
      </c>
      <c r="O285" s="2">
        <v>14.7</v>
      </c>
      <c r="P285" s="2">
        <v>1.3</v>
      </c>
      <c r="Q285" s="2">
        <v>3</v>
      </c>
      <c r="R285" s="2">
        <v>11</v>
      </c>
      <c r="S285" s="2">
        <v>28.2</v>
      </c>
      <c r="T285" s="2">
        <v>2.6</v>
      </c>
      <c r="U285" s="2">
        <v>1.2</v>
      </c>
      <c r="V285" s="2">
        <v>3.8</v>
      </c>
      <c r="W285" s="2">
        <v>0.23499999999999999</v>
      </c>
      <c r="X285" s="2">
        <v>4.9000000000000004</v>
      </c>
      <c r="Y285" s="2">
        <v>0.1</v>
      </c>
      <c r="Z285" s="2">
        <v>5</v>
      </c>
      <c r="AA285" s="2">
        <v>1.4</v>
      </c>
    </row>
    <row r="286" spans="1:27" x14ac:dyDescent="0.2">
      <c r="A286" t="s">
        <v>530</v>
      </c>
      <c r="B286" s="2">
        <v>23</v>
      </c>
      <c r="C286" t="s">
        <v>117</v>
      </c>
      <c r="D286" s="2" t="s">
        <v>27</v>
      </c>
      <c r="E286" s="2">
        <v>5</v>
      </c>
      <c r="F286" s="2">
        <v>0</v>
      </c>
      <c r="G286" s="2">
        <v>39</v>
      </c>
      <c r="H286" s="2">
        <v>8</v>
      </c>
      <c r="I286" s="2">
        <v>0.4</v>
      </c>
      <c r="J286" s="2">
        <v>0</v>
      </c>
      <c r="K286" s="2">
        <v>0</v>
      </c>
      <c r="L286" s="2">
        <v>15.9</v>
      </c>
      <c r="M286" s="2">
        <v>11.6</v>
      </c>
      <c r="N286" s="2">
        <v>13.9</v>
      </c>
      <c r="O286" s="2">
        <v>0</v>
      </c>
      <c r="P286" s="2">
        <v>3.8</v>
      </c>
      <c r="Q286" s="2">
        <v>7.1</v>
      </c>
      <c r="R286" s="2">
        <v>44.4</v>
      </c>
      <c r="S286" s="2">
        <v>9.8000000000000007</v>
      </c>
      <c r="T286" s="2">
        <v>-0.1</v>
      </c>
      <c r="U286" s="2">
        <v>0</v>
      </c>
      <c r="V286" s="2">
        <v>0</v>
      </c>
      <c r="W286" s="2">
        <v>-4.2999999999999997E-2</v>
      </c>
      <c r="X286" s="2">
        <v>-8</v>
      </c>
      <c r="Y286" s="2">
        <v>-1</v>
      </c>
      <c r="Z286" s="2">
        <v>-8.9</v>
      </c>
      <c r="AA286" s="2">
        <v>-0.1</v>
      </c>
    </row>
    <row r="287" spans="1:27" x14ac:dyDescent="0.2">
      <c r="A287" t="s">
        <v>396</v>
      </c>
      <c r="B287" s="2">
        <v>25</v>
      </c>
      <c r="C287" t="s">
        <v>72</v>
      </c>
      <c r="D287" s="2" t="s">
        <v>33</v>
      </c>
      <c r="E287" s="2">
        <v>12</v>
      </c>
      <c r="F287" s="2">
        <v>1</v>
      </c>
      <c r="G287" s="2">
        <v>194</v>
      </c>
      <c r="H287" s="2">
        <v>8.4</v>
      </c>
      <c r="I287" s="2">
        <v>0.49299999999999999</v>
      </c>
      <c r="J287" s="2">
        <v>0.47299999999999998</v>
      </c>
      <c r="K287" s="2">
        <v>7.2999999999999995E-2</v>
      </c>
      <c r="L287" s="2">
        <v>1.1000000000000001</v>
      </c>
      <c r="M287" s="2">
        <v>8.9</v>
      </c>
      <c r="N287" s="2">
        <v>4.9000000000000004</v>
      </c>
      <c r="O287" s="2">
        <v>14.6</v>
      </c>
      <c r="P287" s="2">
        <v>2.4</v>
      </c>
      <c r="Q287" s="2">
        <v>3</v>
      </c>
      <c r="R287" s="2">
        <v>17.5</v>
      </c>
      <c r="S287" s="2">
        <v>14.3</v>
      </c>
      <c r="T287" s="2">
        <v>-0.1</v>
      </c>
      <c r="U287" s="2">
        <v>0.2</v>
      </c>
      <c r="V287" s="2">
        <v>0</v>
      </c>
      <c r="W287" s="2">
        <v>1.2E-2</v>
      </c>
      <c r="X287" s="2">
        <v>-4.5</v>
      </c>
      <c r="Y287" s="2">
        <v>0.7</v>
      </c>
      <c r="Z287" s="2">
        <v>-3.8</v>
      </c>
      <c r="AA287" s="2">
        <v>-0.1</v>
      </c>
    </row>
    <row r="288" spans="1:27" x14ac:dyDescent="0.2">
      <c r="A288" t="s">
        <v>147</v>
      </c>
      <c r="B288" s="2">
        <v>24</v>
      </c>
      <c r="C288" t="s">
        <v>37</v>
      </c>
      <c r="D288" s="2" t="s">
        <v>27</v>
      </c>
      <c r="E288" s="2">
        <v>26</v>
      </c>
      <c r="F288" s="2">
        <v>26</v>
      </c>
      <c r="G288" s="2">
        <v>944</v>
      </c>
      <c r="H288" s="2">
        <v>10.9</v>
      </c>
      <c r="I288" s="2">
        <v>0.52300000000000002</v>
      </c>
      <c r="J288" s="2">
        <v>0.49</v>
      </c>
      <c r="K288" s="2">
        <v>0.109</v>
      </c>
      <c r="L288" s="2">
        <v>7.7</v>
      </c>
      <c r="M288" s="2">
        <v>16.3</v>
      </c>
      <c r="N288" s="2">
        <v>12.1</v>
      </c>
      <c r="O288" s="2">
        <v>5.5</v>
      </c>
      <c r="P288" s="2">
        <v>0.9</v>
      </c>
      <c r="Q288" s="2">
        <v>2.4</v>
      </c>
      <c r="R288" s="2">
        <v>8.1</v>
      </c>
      <c r="S288" s="2">
        <v>15.3</v>
      </c>
      <c r="T288" s="2">
        <v>0.6</v>
      </c>
      <c r="U288" s="2">
        <v>0.8</v>
      </c>
      <c r="V288" s="2">
        <v>1.4</v>
      </c>
      <c r="W288" s="2">
        <v>7.0999999999999994E-2</v>
      </c>
      <c r="X288" s="2">
        <v>-1.6</v>
      </c>
      <c r="Y288" s="2">
        <v>-1.5</v>
      </c>
      <c r="Z288" s="2">
        <v>-3.1</v>
      </c>
      <c r="AA288" s="2">
        <v>-0.3</v>
      </c>
    </row>
    <row r="289" spans="1:27" x14ac:dyDescent="0.2">
      <c r="A289" t="s">
        <v>455</v>
      </c>
      <c r="B289" s="2">
        <v>20</v>
      </c>
      <c r="C289" t="s">
        <v>61</v>
      </c>
      <c r="D289" s="2" t="s">
        <v>42</v>
      </c>
      <c r="E289" s="2">
        <v>10</v>
      </c>
      <c r="F289" s="2">
        <v>0</v>
      </c>
      <c r="G289" s="2">
        <v>69</v>
      </c>
      <c r="H289" s="2">
        <v>9.6999999999999993</v>
      </c>
      <c r="I289" s="2">
        <v>0.46400000000000002</v>
      </c>
      <c r="J289" s="2">
        <v>0.28000000000000003</v>
      </c>
      <c r="K289" s="2">
        <v>0.08</v>
      </c>
      <c r="L289" s="2">
        <v>3.2</v>
      </c>
      <c r="M289" s="2">
        <v>21.9</v>
      </c>
      <c r="N289" s="2">
        <v>12.6</v>
      </c>
      <c r="O289" s="2">
        <v>2.1</v>
      </c>
      <c r="P289" s="2">
        <v>2.2000000000000002</v>
      </c>
      <c r="Q289" s="2">
        <v>7</v>
      </c>
      <c r="R289" s="2">
        <v>13.4</v>
      </c>
      <c r="S289" s="2">
        <v>18.899999999999999</v>
      </c>
      <c r="T289" s="2">
        <v>-0.1</v>
      </c>
      <c r="U289" s="2">
        <v>0.1</v>
      </c>
      <c r="V289" s="2">
        <v>0</v>
      </c>
      <c r="W289" s="2">
        <v>0</v>
      </c>
      <c r="X289" s="2">
        <v>-5.8</v>
      </c>
      <c r="Y289" s="2">
        <v>0.3</v>
      </c>
      <c r="Z289" s="2">
        <v>-5.5</v>
      </c>
      <c r="AA289" s="2">
        <v>-0.1</v>
      </c>
    </row>
    <row r="290" spans="1:27" x14ac:dyDescent="0.2">
      <c r="A290" t="s">
        <v>164</v>
      </c>
      <c r="B290" s="2">
        <v>25</v>
      </c>
      <c r="C290" t="s">
        <v>93</v>
      </c>
      <c r="D290" s="2" t="s">
        <v>49</v>
      </c>
      <c r="E290" s="2">
        <v>23</v>
      </c>
      <c r="F290" s="2">
        <v>0</v>
      </c>
      <c r="G290" s="2">
        <v>583</v>
      </c>
      <c r="H290" s="2">
        <v>14.4</v>
      </c>
      <c r="I290" s="2">
        <v>0.54200000000000004</v>
      </c>
      <c r="J290" s="2">
        <v>0.38100000000000001</v>
      </c>
      <c r="K290" s="2">
        <v>0.28000000000000003</v>
      </c>
      <c r="L290" s="2">
        <v>4.9000000000000004</v>
      </c>
      <c r="M290" s="2">
        <v>17.7</v>
      </c>
      <c r="N290" s="2">
        <v>11.4</v>
      </c>
      <c r="O290" s="2">
        <v>9.9</v>
      </c>
      <c r="P290" s="2">
        <v>1.5</v>
      </c>
      <c r="Q290" s="2">
        <v>0.8</v>
      </c>
      <c r="R290" s="2">
        <v>6.3</v>
      </c>
      <c r="S290" s="2">
        <v>21</v>
      </c>
      <c r="T290" s="2">
        <v>0.6</v>
      </c>
      <c r="U290" s="2">
        <v>0.5</v>
      </c>
      <c r="V290" s="2">
        <v>1.1000000000000001</v>
      </c>
      <c r="W290" s="2">
        <v>8.6999999999999994E-2</v>
      </c>
      <c r="X290" s="2">
        <v>-1.1000000000000001</v>
      </c>
      <c r="Y290" s="2">
        <v>-1</v>
      </c>
      <c r="Z290" s="2">
        <v>-2.2000000000000002</v>
      </c>
      <c r="AA290" s="2">
        <v>0</v>
      </c>
    </row>
    <row r="291" spans="1:27" x14ac:dyDescent="0.2">
      <c r="A291" t="s">
        <v>472</v>
      </c>
      <c r="B291" s="2">
        <v>33</v>
      </c>
      <c r="C291" t="s">
        <v>66</v>
      </c>
      <c r="D291" s="2" t="s">
        <v>42</v>
      </c>
      <c r="E291" s="2">
        <v>3</v>
      </c>
      <c r="F291" s="2">
        <v>0</v>
      </c>
      <c r="G291" s="2">
        <v>41</v>
      </c>
      <c r="H291" s="2">
        <v>17.7</v>
      </c>
      <c r="I291" s="2">
        <v>0.48399999999999999</v>
      </c>
      <c r="J291" s="2">
        <v>0.41199999999999998</v>
      </c>
      <c r="K291" s="2">
        <v>0.35299999999999998</v>
      </c>
      <c r="L291" s="2">
        <v>10.5</v>
      </c>
      <c r="M291" s="2">
        <v>21.5</v>
      </c>
      <c r="N291" s="2">
        <v>15.9</v>
      </c>
      <c r="O291" s="2">
        <v>13.5</v>
      </c>
      <c r="P291" s="2">
        <v>5.9</v>
      </c>
      <c r="Q291" s="2">
        <v>2.2999999999999998</v>
      </c>
      <c r="R291" s="2">
        <v>13.3</v>
      </c>
      <c r="S291" s="2">
        <v>22.9</v>
      </c>
      <c r="T291" s="2">
        <v>0</v>
      </c>
      <c r="U291" s="2">
        <v>0.1</v>
      </c>
      <c r="V291" s="2">
        <v>0.1</v>
      </c>
      <c r="W291" s="2">
        <v>8.8999999999999996E-2</v>
      </c>
      <c r="X291" s="2">
        <v>0</v>
      </c>
      <c r="Y291" s="2">
        <v>2.5</v>
      </c>
      <c r="Z291" s="2">
        <v>2.5</v>
      </c>
      <c r="AA291" s="2">
        <v>0</v>
      </c>
    </row>
    <row r="292" spans="1:27" x14ac:dyDescent="0.2">
      <c r="A292" t="s">
        <v>170</v>
      </c>
      <c r="B292" s="2">
        <v>29</v>
      </c>
      <c r="C292" t="s">
        <v>122</v>
      </c>
      <c r="D292" s="2" t="s">
        <v>49</v>
      </c>
      <c r="E292" s="2">
        <v>22</v>
      </c>
      <c r="F292" s="2">
        <v>19</v>
      </c>
      <c r="G292" s="2">
        <v>691</v>
      </c>
      <c r="H292" s="2">
        <v>12</v>
      </c>
      <c r="I292" s="2">
        <v>0.53600000000000003</v>
      </c>
      <c r="J292" s="2">
        <v>0.39900000000000002</v>
      </c>
      <c r="K292" s="2">
        <v>0.19800000000000001</v>
      </c>
      <c r="L292" s="2">
        <v>5.2</v>
      </c>
      <c r="M292" s="2">
        <v>15.1</v>
      </c>
      <c r="N292" s="2">
        <v>9.8000000000000007</v>
      </c>
      <c r="O292" s="2">
        <v>7</v>
      </c>
      <c r="P292" s="2">
        <v>2</v>
      </c>
      <c r="Q292" s="2">
        <v>1.7</v>
      </c>
      <c r="R292" s="2">
        <v>9.9</v>
      </c>
      <c r="S292" s="2">
        <v>18.600000000000001</v>
      </c>
      <c r="T292" s="2">
        <v>0.2</v>
      </c>
      <c r="U292" s="2">
        <v>0.8</v>
      </c>
      <c r="V292" s="2">
        <v>0.9</v>
      </c>
      <c r="W292" s="2">
        <v>6.4000000000000001E-2</v>
      </c>
      <c r="X292" s="2">
        <v>-1.9</v>
      </c>
      <c r="Y292" s="2">
        <v>-0.1</v>
      </c>
      <c r="Z292" s="2">
        <v>-2</v>
      </c>
      <c r="AA292" s="2">
        <v>0</v>
      </c>
    </row>
    <row r="293" spans="1:27" x14ac:dyDescent="0.2">
      <c r="A293" t="s">
        <v>364</v>
      </c>
      <c r="B293" s="2">
        <v>30</v>
      </c>
      <c r="C293" t="s">
        <v>32</v>
      </c>
      <c r="D293" s="2" t="s">
        <v>27</v>
      </c>
      <c r="E293" s="2">
        <v>14</v>
      </c>
      <c r="F293" s="2">
        <v>0</v>
      </c>
      <c r="G293" s="2">
        <v>185</v>
      </c>
      <c r="H293" s="2">
        <v>18.899999999999999</v>
      </c>
      <c r="I293" s="2">
        <v>0.69099999999999995</v>
      </c>
      <c r="J293" s="2">
        <v>0.55400000000000005</v>
      </c>
      <c r="K293" s="2">
        <v>0.107</v>
      </c>
      <c r="L293" s="2">
        <v>6.8</v>
      </c>
      <c r="M293" s="2">
        <v>17</v>
      </c>
      <c r="N293" s="2">
        <v>11.9</v>
      </c>
      <c r="O293" s="2">
        <v>9.6</v>
      </c>
      <c r="P293" s="2">
        <v>2.2999999999999998</v>
      </c>
      <c r="Q293" s="2">
        <v>2.2000000000000002</v>
      </c>
      <c r="R293" s="2">
        <v>3.3</v>
      </c>
      <c r="S293" s="2">
        <v>13.9</v>
      </c>
      <c r="T293" s="2">
        <v>0.6</v>
      </c>
      <c r="U293" s="2">
        <v>0.4</v>
      </c>
      <c r="V293" s="2">
        <v>1</v>
      </c>
      <c r="W293" s="2">
        <v>0.25800000000000001</v>
      </c>
      <c r="X293" s="2">
        <v>2.1</v>
      </c>
      <c r="Y293" s="2">
        <v>2</v>
      </c>
      <c r="Z293" s="2">
        <v>4.0999999999999996</v>
      </c>
      <c r="AA293" s="2">
        <v>0.3</v>
      </c>
    </row>
    <row r="294" spans="1:27" x14ac:dyDescent="0.2">
      <c r="A294" t="s">
        <v>219</v>
      </c>
      <c r="B294" s="2">
        <v>31</v>
      </c>
      <c r="C294" t="s">
        <v>48</v>
      </c>
      <c r="D294" s="2" t="s">
        <v>52</v>
      </c>
      <c r="E294" s="2">
        <v>26</v>
      </c>
      <c r="F294" s="2">
        <v>26</v>
      </c>
      <c r="G294" s="2">
        <v>786</v>
      </c>
      <c r="H294" s="2">
        <v>9.1999999999999993</v>
      </c>
      <c r="I294" s="2">
        <v>0.53600000000000003</v>
      </c>
      <c r="J294" s="2">
        <v>0.67</v>
      </c>
      <c r="K294" s="2">
        <v>0.17799999999999999</v>
      </c>
      <c r="L294" s="2">
        <v>1.3</v>
      </c>
      <c r="M294" s="2">
        <v>6.9</v>
      </c>
      <c r="N294" s="2">
        <v>4</v>
      </c>
      <c r="O294" s="2">
        <v>8.1</v>
      </c>
      <c r="P294" s="2">
        <v>2.7</v>
      </c>
      <c r="Q294" s="2">
        <v>1.7</v>
      </c>
      <c r="R294" s="2">
        <v>8.6999999999999993</v>
      </c>
      <c r="S294" s="2">
        <v>12</v>
      </c>
      <c r="T294" s="2">
        <v>0.3</v>
      </c>
      <c r="U294" s="2">
        <v>1.3</v>
      </c>
      <c r="V294" s="2">
        <v>1.6</v>
      </c>
      <c r="W294" s="2">
        <v>9.9000000000000005E-2</v>
      </c>
      <c r="X294" s="2">
        <v>-3.7</v>
      </c>
      <c r="Y294" s="2">
        <v>2.2999999999999998</v>
      </c>
      <c r="Z294" s="2">
        <v>-1.4</v>
      </c>
      <c r="AA294" s="2">
        <v>0.1</v>
      </c>
    </row>
    <row r="295" spans="1:27" x14ac:dyDescent="0.2">
      <c r="A295" t="s">
        <v>277</v>
      </c>
      <c r="B295" s="2">
        <v>25</v>
      </c>
      <c r="C295" t="s">
        <v>37</v>
      </c>
      <c r="D295" s="2" t="s">
        <v>52</v>
      </c>
      <c r="E295" s="2">
        <v>24</v>
      </c>
      <c r="F295" s="2">
        <v>4</v>
      </c>
      <c r="G295" s="2">
        <v>491</v>
      </c>
      <c r="H295" s="2">
        <v>12.3</v>
      </c>
      <c r="I295" s="2">
        <v>0.65</v>
      </c>
      <c r="J295" s="2">
        <v>0.72399999999999998</v>
      </c>
      <c r="K295" s="2">
        <v>0.25700000000000001</v>
      </c>
      <c r="L295" s="2">
        <v>4.2</v>
      </c>
      <c r="M295" s="2">
        <v>7.3</v>
      </c>
      <c r="N295" s="2">
        <v>5.8</v>
      </c>
      <c r="O295" s="2">
        <v>7</v>
      </c>
      <c r="P295" s="2">
        <v>2.9</v>
      </c>
      <c r="Q295" s="2">
        <v>4</v>
      </c>
      <c r="R295" s="2">
        <v>14.6</v>
      </c>
      <c r="S295" s="2">
        <v>12</v>
      </c>
      <c r="T295" s="2">
        <v>0.6</v>
      </c>
      <c r="U295" s="2">
        <v>0.6</v>
      </c>
      <c r="V295" s="2">
        <v>1.2</v>
      </c>
      <c r="W295" s="2">
        <v>0.11600000000000001</v>
      </c>
      <c r="X295" s="2">
        <v>-0.3</v>
      </c>
      <c r="Y295" s="2">
        <v>1.6</v>
      </c>
      <c r="Z295" s="2">
        <v>1.2</v>
      </c>
      <c r="AA295" s="2">
        <v>0.4</v>
      </c>
    </row>
    <row r="296" spans="1:27" x14ac:dyDescent="0.2">
      <c r="A296" t="s">
        <v>309</v>
      </c>
      <c r="B296" s="2">
        <v>22</v>
      </c>
      <c r="C296" t="s">
        <v>103</v>
      </c>
      <c r="D296" s="2" t="s">
        <v>52</v>
      </c>
      <c r="E296" s="2">
        <v>22</v>
      </c>
      <c r="F296" s="2">
        <v>3</v>
      </c>
      <c r="G296" s="2">
        <v>373</v>
      </c>
      <c r="H296" s="2">
        <v>6.6</v>
      </c>
      <c r="I296" s="2">
        <v>0.45700000000000002</v>
      </c>
      <c r="J296" s="2">
        <v>0.629</v>
      </c>
      <c r="K296" s="2">
        <v>8.3000000000000004E-2</v>
      </c>
      <c r="L296" s="2">
        <v>4.0999999999999996</v>
      </c>
      <c r="M296" s="2">
        <v>16.600000000000001</v>
      </c>
      <c r="N296" s="2">
        <v>10.199999999999999</v>
      </c>
      <c r="O296" s="2">
        <v>9.5</v>
      </c>
      <c r="P296" s="2">
        <v>1.6</v>
      </c>
      <c r="Q296" s="2">
        <v>1.9</v>
      </c>
      <c r="R296" s="2">
        <v>13.3</v>
      </c>
      <c r="S296" s="2">
        <v>19</v>
      </c>
      <c r="T296" s="2">
        <v>-0.6</v>
      </c>
      <c r="U296" s="2">
        <v>0.3</v>
      </c>
      <c r="V296" s="2">
        <v>-0.3</v>
      </c>
      <c r="W296" s="2">
        <v>-3.9E-2</v>
      </c>
      <c r="X296" s="2">
        <v>-4.9000000000000004</v>
      </c>
      <c r="Y296" s="2">
        <v>-0.9</v>
      </c>
      <c r="Z296" s="2">
        <v>-5.8</v>
      </c>
      <c r="AA296" s="2">
        <v>-0.4</v>
      </c>
    </row>
    <row r="297" spans="1:27" x14ac:dyDescent="0.2">
      <c r="A297" t="s">
        <v>546</v>
      </c>
      <c r="B297" s="2">
        <v>23</v>
      </c>
      <c r="C297" t="s">
        <v>61</v>
      </c>
      <c r="D297" s="2" t="s">
        <v>49</v>
      </c>
      <c r="E297" s="2">
        <v>2</v>
      </c>
      <c r="F297" s="2">
        <v>0</v>
      </c>
      <c r="G297" s="2">
        <v>12</v>
      </c>
      <c r="H297" s="2">
        <v>5</v>
      </c>
      <c r="I297" s="2">
        <v>0.5</v>
      </c>
      <c r="J297" s="2">
        <v>0.5</v>
      </c>
      <c r="K297" s="2">
        <v>0</v>
      </c>
      <c r="L297" s="2">
        <v>0</v>
      </c>
      <c r="M297" s="2">
        <v>18</v>
      </c>
      <c r="N297" s="2">
        <v>9.1</v>
      </c>
      <c r="O297" s="2">
        <v>0</v>
      </c>
      <c r="P297" s="2">
        <v>0</v>
      </c>
      <c r="Q297" s="2">
        <v>0</v>
      </c>
      <c r="R297" s="2">
        <v>0</v>
      </c>
      <c r="S297" s="2">
        <v>7.3</v>
      </c>
      <c r="T297" s="2">
        <v>0</v>
      </c>
      <c r="U297" s="2">
        <v>0</v>
      </c>
      <c r="V297" s="2">
        <v>0</v>
      </c>
      <c r="W297" s="2">
        <v>2.8000000000000001E-2</v>
      </c>
      <c r="X297" s="2">
        <v>-5.3</v>
      </c>
      <c r="Y297" s="2">
        <v>-1.2</v>
      </c>
      <c r="Z297" s="2">
        <v>-6.5</v>
      </c>
      <c r="AA297" s="2">
        <v>0</v>
      </c>
    </row>
    <row r="298" spans="1:27" x14ac:dyDescent="0.2">
      <c r="A298" t="s">
        <v>557</v>
      </c>
      <c r="B298" s="2">
        <v>24</v>
      </c>
      <c r="C298" t="s">
        <v>63</v>
      </c>
      <c r="D298" s="2" t="s">
        <v>49</v>
      </c>
      <c r="E298" s="2">
        <v>5</v>
      </c>
      <c r="F298" s="2">
        <v>0</v>
      </c>
      <c r="G298" s="2">
        <v>10</v>
      </c>
      <c r="H298" s="2">
        <v>-15.3</v>
      </c>
      <c r="I298" s="2">
        <v>0</v>
      </c>
      <c r="J298" s="2">
        <v>1</v>
      </c>
      <c r="K298" s="2">
        <v>0</v>
      </c>
      <c r="L298" s="2">
        <v>0</v>
      </c>
      <c r="M298" s="2">
        <v>0</v>
      </c>
      <c r="N298" s="2">
        <v>0</v>
      </c>
      <c r="O298" s="2">
        <v>0</v>
      </c>
      <c r="P298" s="2">
        <v>0</v>
      </c>
      <c r="Q298" s="2">
        <v>0</v>
      </c>
      <c r="R298" s="2">
        <v>33.299999999999997</v>
      </c>
      <c r="S298" s="2">
        <v>12.7</v>
      </c>
      <c r="T298" s="2">
        <v>-0.1</v>
      </c>
      <c r="U298" s="2">
        <v>0</v>
      </c>
      <c r="V298" s="2">
        <v>-0.1</v>
      </c>
      <c r="W298" s="2">
        <v>-0.32900000000000001</v>
      </c>
      <c r="X298" s="2">
        <v>-18.8</v>
      </c>
      <c r="Y298" s="2">
        <v>-5.8</v>
      </c>
      <c r="Z298" s="2">
        <v>-24.5</v>
      </c>
      <c r="AA298" s="2">
        <v>-0.1</v>
      </c>
    </row>
    <row r="299" spans="1:27" x14ac:dyDescent="0.2">
      <c r="A299" t="s">
        <v>140</v>
      </c>
      <c r="B299" s="2">
        <v>36</v>
      </c>
      <c r="C299" t="s">
        <v>54</v>
      </c>
      <c r="D299" s="2" t="s">
        <v>27</v>
      </c>
      <c r="E299" s="2">
        <v>13</v>
      </c>
      <c r="F299" s="2">
        <v>13</v>
      </c>
      <c r="G299" s="2">
        <v>464</v>
      </c>
      <c r="H299" s="2">
        <v>20.399999999999999</v>
      </c>
      <c r="I299" s="2">
        <v>0.65200000000000002</v>
      </c>
      <c r="J299" s="2">
        <v>0.34799999999999998</v>
      </c>
      <c r="K299" s="2">
        <v>0.33500000000000002</v>
      </c>
      <c r="L299" s="2">
        <v>0.7</v>
      </c>
      <c r="M299" s="2">
        <v>19.7</v>
      </c>
      <c r="N299" s="2">
        <v>10.4</v>
      </c>
      <c r="O299" s="2">
        <v>15.3</v>
      </c>
      <c r="P299" s="2">
        <v>0.7</v>
      </c>
      <c r="Q299" s="2">
        <v>3.8</v>
      </c>
      <c r="R299" s="2">
        <v>14.3</v>
      </c>
      <c r="S299" s="2">
        <v>28.5</v>
      </c>
      <c r="T299" s="2">
        <v>0.6</v>
      </c>
      <c r="U299" s="2">
        <v>0.4</v>
      </c>
      <c r="V299" s="2">
        <v>1</v>
      </c>
      <c r="W299" s="2">
        <v>9.9000000000000005E-2</v>
      </c>
      <c r="X299" s="2">
        <v>2.8</v>
      </c>
      <c r="Y299" s="2">
        <v>-0.2</v>
      </c>
      <c r="Z299" s="2">
        <v>2.6</v>
      </c>
      <c r="AA299" s="2">
        <v>0.5</v>
      </c>
    </row>
    <row r="300" spans="1:27" x14ac:dyDescent="0.2">
      <c r="A300" t="s">
        <v>208</v>
      </c>
      <c r="B300" s="2">
        <v>26</v>
      </c>
      <c r="C300" t="s">
        <v>37</v>
      </c>
      <c r="D300" s="2" t="s">
        <v>52</v>
      </c>
      <c r="E300" s="2">
        <v>23</v>
      </c>
      <c r="F300" s="2">
        <v>15</v>
      </c>
      <c r="G300" s="2">
        <v>589</v>
      </c>
      <c r="H300" s="2">
        <v>11.6</v>
      </c>
      <c r="I300" s="2">
        <v>0.54400000000000004</v>
      </c>
      <c r="J300" s="2">
        <v>0.66800000000000004</v>
      </c>
      <c r="K300" s="2">
        <v>8.4000000000000005E-2</v>
      </c>
      <c r="L300" s="2">
        <v>1.8</v>
      </c>
      <c r="M300" s="2">
        <v>13.5</v>
      </c>
      <c r="N300" s="2">
        <v>7.7</v>
      </c>
      <c r="O300" s="2">
        <v>10.8</v>
      </c>
      <c r="P300" s="2">
        <v>2.1</v>
      </c>
      <c r="Q300" s="2">
        <v>2.1</v>
      </c>
      <c r="R300" s="2">
        <v>9.5</v>
      </c>
      <c r="S300" s="2">
        <v>17</v>
      </c>
      <c r="T300" s="2">
        <v>0.2</v>
      </c>
      <c r="U300" s="2">
        <v>0.6</v>
      </c>
      <c r="V300" s="2">
        <v>0.9</v>
      </c>
      <c r="W300" s="2">
        <v>7.0999999999999994E-2</v>
      </c>
      <c r="X300" s="2">
        <v>-1.8</v>
      </c>
      <c r="Y300" s="2">
        <v>0</v>
      </c>
      <c r="Z300" s="2">
        <v>-1.8</v>
      </c>
      <c r="AA300" s="2">
        <v>0</v>
      </c>
    </row>
    <row r="301" spans="1:27" x14ac:dyDescent="0.2">
      <c r="A301" t="s">
        <v>358</v>
      </c>
      <c r="B301" s="2">
        <v>36</v>
      </c>
      <c r="C301" t="s">
        <v>61</v>
      </c>
      <c r="D301" s="2" t="s">
        <v>27</v>
      </c>
      <c r="E301" s="2">
        <v>13</v>
      </c>
      <c r="F301" s="2">
        <v>4</v>
      </c>
      <c r="G301" s="2">
        <v>153</v>
      </c>
      <c r="H301" s="2">
        <v>20.399999999999999</v>
      </c>
      <c r="I301" s="2">
        <v>0.502</v>
      </c>
      <c r="J301" s="2">
        <v>0.59499999999999997</v>
      </c>
      <c r="K301" s="2">
        <v>0.19</v>
      </c>
      <c r="L301" s="2">
        <v>10</v>
      </c>
      <c r="M301" s="2">
        <v>33.200000000000003</v>
      </c>
      <c r="N301" s="2">
        <v>21.7</v>
      </c>
      <c r="O301" s="2">
        <v>17.600000000000001</v>
      </c>
      <c r="P301" s="2">
        <v>4.2</v>
      </c>
      <c r="Q301" s="2">
        <v>1.3</v>
      </c>
      <c r="R301" s="2">
        <v>9.5</v>
      </c>
      <c r="S301" s="2">
        <v>27</v>
      </c>
      <c r="T301" s="2">
        <v>0.1</v>
      </c>
      <c r="U301" s="2">
        <v>0.4</v>
      </c>
      <c r="V301" s="2">
        <v>0.4</v>
      </c>
      <c r="W301" s="2">
        <v>0.13400000000000001</v>
      </c>
      <c r="X301" s="2">
        <v>1.9</v>
      </c>
      <c r="Y301" s="2">
        <v>1.4</v>
      </c>
      <c r="Z301" s="2">
        <v>3.3</v>
      </c>
      <c r="AA301" s="2">
        <v>0.2</v>
      </c>
    </row>
    <row r="302" spans="1:27" x14ac:dyDescent="0.2">
      <c r="A302" t="s">
        <v>227</v>
      </c>
      <c r="B302" s="2">
        <v>24</v>
      </c>
      <c r="C302" t="s">
        <v>77</v>
      </c>
      <c r="D302" s="2" t="s">
        <v>52</v>
      </c>
      <c r="E302" s="2">
        <v>22</v>
      </c>
      <c r="F302" s="2">
        <v>1</v>
      </c>
      <c r="G302" s="2">
        <v>429</v>
      </c>
      <c r="H302" s="2">
        <v>10.5</v>
      </c>
      <c r="I302" s="2">
        <v>0.46300000000000002</v>
      </c>
      <c r="J302" s="2">
        <v>0.26500000000000001</v>
      </c>
      <c r="K302" s="2">
        <v>0.18099999999999999</v>
      </c>
      <c r="L302" s="2">
        <v>3.6</v>
      </c>
      <c r="M302" s="2">
        <v>16.3</v>
      </c>
      <c r="N302" s="2">
        <v>9.9</v>
      </c>
      <c r="O302" s="2">
        <v>23.7</v>
      </c>
      <c r="P302" s="2">
        <v>2.2999999999999998</v>
      </c>
      <c r="Q302" s="2">
        <v>1.7</v>
      </c>
      <c r="R302" s="2">
        <v>18.5</v>
      </c>
      <c r="S302" s="2">
        <v>27.2</v>
      </c>
      <c r="T302" s="2">
        <v>-1</v>
      </c>
      <c r="U302" s="2">
        <v>0.7</v>
      </c>
      <c r="V302" s="2">
        <v>-0.3</v>
      </c>
      <c r="W302" s="2">
        <v>-3.4000000000000002E-2</v>
      </c>
      <c r="X302" s="2">
        <v>-4</v>
      </c>
      <c r="Y302" s="2">
        <v>-0.1</v>
      </c>
      <c r="Z302" s="2">
        <v>-4.0999999999999996</v>
      </c>
      <c r="AA302" s="2">
        <v>-0.2</v>
      </c>
    </row>
    <row r="303" spans="1:27" x14ac:dyDescent="0.2">
      <c r="A303" t="s">
        <v>315</v>
      </c>
      <c r="B303" s="2">
        <v>28</v>
      </c>
      <c r="C303" t="s">
        <v>100</v>
      </c>
      <c r="D303" s="2" t="s">
        <v>42</v>
      </c>
      <c r="E303" s="2">
        <v>22</v>
      </c>
      <c r="F303" s="2">
        <v>3</v>
      </c>
      <c r="G303" s="2">
        <v>360</v>
      </c>
      <c r="H303" s="2">
        <v>19.100000000000001</v>
      </c>
      <c r="I303" s="2">
        <v>0.53</v>
      </c>
      <c r="J303" s="2">
        <v>0</v>
      </c>
      <c r="K303" s="2">
        <v>0.38500000000000001</v>
      </c>
      <c r="L303" s="2">
        <v>22</v>
      </c>
      <c r="M303" s="2">
        <v>27.5</v>
      </c>
      <c r="N303" s="2">
        <v>24.7</v>
      </c>
      <c r="O303" s="2">
        <v>14.3</v>
      </c>
      <c r="P303" s="2">
        <v>2.4</v>
      </c>
      <c r="Q303" s="2">
        <v>1.6</v>
      </c>
      <c r="R303" s="2">
        <v>11.8</v>
      </c>
      <c r="S303" s="2">
        <v>14.7</v>
      </c>
      <c r="T303" s="2">
        <v>0.8</v>
      </c>
      <c r="U303" s="2">
        <v>0.8</v>
      </c>
      <c r="V303" s="2">
        <v>1.6</v>
      </c>
      <c r="W303" s="2">
        <v>0.21099999999999999</v>
      </c>
      <c r="X303" s="2">
        <v>0</v>
      </c>
      <c r="Y303" s="2">
        <v>0.8</v>
      </c>
      <c r="Z303" s="2">
        <v>0.8</v>
      </c>
      <c r="AA303" s="2">
        <v>0.3</v>
      </c>
    </row>
    <row r="304" spans="1:27" x14ac:dyDescent="0.2">
      <c r="A304" t="s">
        <v>130</v>
      </c>
      <c r="B304" s="2">
        <v>21</v>
      </c>
      <c r="C304" t="s">
        <v>120</v>
      </c>
      <c r="D304" s="2" t="s">
        <v>33</v>
      </c>
      <c r="E304" s="2">
        <v>22</v>
      </c>
      <c r="F304" s="2">
        <v>22</v>
      </c>
      <c r="G304" s="2">
        <v>694</v>
      </c>
      <c r="H304" s="2">
        <v>11.5</v>
      </c>
      <c r="I304" s="2">
        <v>0.52800000000000002</v>
      </c>
      <c r="J304" s="2">
        <v>0.56299999999999994</v>
      </c>
      <c r="K304" s="2">
        <v>0.222</v>
      </c>
      <c r="L304" s="2">
        <v>2</v>
      </c>
      <c r="M304" s="2">
        <v>9.3000000000000007</v>
      </c>
      <c r="N304" s="2">
        <v>5.7</v>
      </c>
      <c r="O304" s="2">
        <v>28.1</v>
      </c>
      <c r="P304" s="2">
        <v>1.2</v>
      </c>
      <c r="Q304" s="2">
        <v>0.3</v>
      </c>
      <c r="R304" s="2">
        <v>17.8</v>
      </c>
      <c r="S304" s="2">
        <v>24.4</v>
      </c>
      <c r="T304" s="2">
        <v>0</v>
      </c>
      <c r="U304" s="2">
        <v>-0.1</v>
      </c>
      <c r="V304" s="2">
        <v>-0.1</v>
      </c>
      <c r="W304" s="2">
        <v>-8.0000000000000002E-3</v>
      </c>
      <c r="X304" s="2">
        <v>-1</v>
      </c>
      <c r="Y304" s="2">
        <v>-3</v>
      </c>
      <c r="Z304" s="2">
        <v>-4.0999999999999996</v>
      </c>
      <c r="AA304" s="2">
        <v>-0.4</v>
      </c>
    </row>
    <row r="305" spans="1:27" x14ac:dyDescent="0.2">
      <c r="A305" t="s">
        <v>459</v>
      </c>
      <c r="B305" s="2">
        <v>33</v>
      </c>
      <c r="C305" t="s">
        <v>35</v>
      </c>
      <c r="D305" s="2" t="s">
        <v>49</v>
      </c>
      <c r="E305" s="2">
        <v>3</v>
      </c>
      <c r="F305" s="2">
        <v>0</v>
      </c>
      <c r="G305" s="2">
        <v>63</v>
      </c>
      <c r="H305" s="2">
        <v>16.2</v>
      </c>
      <c r="I305" s="2">
        <v>0.45100000000000001</v>
      </c>
      <c r="J305" s="2">
        <v>0.35</v>
      </c>
      <c r="K305" s="2">
        <v>0.5</v>
      </c>
      <c r="L305" s="2">
        <v>0</v>
      </c>
      <c r="M305" s="2">
        <v>15.1</v>
      </c>
      <c r="N305" s="2">
        <v>7.9</v>
      </c>
      <c r="O305" s="2">
        <v>39.1</v>
      </c>
      <c r="P305" s="2">
        <v>3.9</v>
      </c>
      <c r="Q305" s="2">
        <v>1.5</v>
      </c>
      <c r="R305" s="2">
        <v>10.9</v>
      </c>
      <c r="S305" s="2">
        <v>19.2</v>
      </c>
      <c r="T305" s="2">
        <v>0.1</v>
      </c>
      <c r="U305" s="2">
        <v>0.1</v>
      </c>
      <c r="V305" s="2">
        <v>0.2</v>
      </c>
      <c r="W305" s="2">
        <v>0.13300000000000001</v>
      </c>
      <c r="X305" s="2">
        <v>0.3</v>
      </c>
      <c r="Y305" s="2">
        <v>3.6</v>
      </c>
      <c r="Z305" s="2">
        <v>3.9</v>
      </c>
      <c r="AA305" s="2">
        <v>0.1</v>
      </c>
    </row>
    <row r="306" spans="1:27" x14ac:dyDescent="0.2">
      <c r="A306" t="s">
        <v>306</v>
      </c>
      <c r="B306" s="2">
        <v>24</v>
      </c>
      <c r="C306" t="s">
        <v>122</v>
      </c>
      <c r="D306" s="2" t="s">
        <v>27</v>
      </c>
      <c r="E306" s="2">
        <v>19</v>
      </c>
      <c r="F306" s="2">
        <v>3</v>
      </c>
      <c r="G306" s="2">
        <v>359</v>
      </c>
      <c r="H306" s="2">
        <v>14.6</v>
      </c>
      <c r="I306" s="2">
        <v>0.71699999999999997</v>
      </c>
      <c r="J306" s="2">
        <v>0.184</v>
      </c>
      <c r="K306" s="2">
        <v>0.35499999999999998</v>
      </c>
      <c r="L306" s="2">
        <v>5.2</v>
      </c>
      <c r="M306" s="2">
        <v>11.7</v>
      </c>
      <c r="N306" s="2">
        <v>8.1999999999999993</v>
      </c>
      <c r="O306" s="2">
        <v>7.4</v>
      </c>
      <c r="P306" s="2">
        <v>1</v>
      </c>
      <c r="Q306" s="2">
        <v>4.0999999999999996</v>
      </c>
      <c r="R306" s="2">
        <v>7.4</v>
      </c>
      <c r="S306" s="2">
        <v>11.6</v>
      </c>
      <c r="T306" s="2">
        <v>0.9</v>
      </c>
      <c r="U306" s="2">
        <v>0.3</v>
      </c>
      <c r="V306" s="2">
        <v>1.2</v>
      </c>
      <c r="W306" s="2">
        <v>0.16400000000000001</v>
      </c>
      <c r="X306" s="2">
        <v>-0.9</v>
      </c>
      <c r="Y306" s="2">
        <v>0.7</v>
      </c>
      <c r="Z306" s="2">
        <v>-0.2</v>
      </c>
      <c r="AA306" s="2">
        <v>0.2</v>
      </c>
    </row>
    <row r="307" spans="1:27" x14ac:dyDescent="0.2">
      <c r="A307" t="s">
        <v>427</v>
      </c>
      <c r="B307" s="2">
        <v>22</v>
      </c>
      <c r="C307" t="s">
        <v>59</v>
      </c>
      <c r="D307" s="2" t="s">
        <v>33</v>
      </c>
      <c r="E307" s="2">
        <v>8</v>
      </c>
      <c r="F307" s="2">
        <v>0</v>
      </c>
      <c r="G307" s="2">
        <v>116</v>
      </c>
      <c r="H307" s="2">
        <v>7.7</v>
      </c>
      <c r="I307" s="2">
        <v>0.40300000000000002</v>
      </c>
      <c r="J307" s="2">
        <v>0.48699999999999999</v>
      </c>
      <c r="K307" s="2">
        <v>0.25600000000000001</v>
      </c>
      <c r="L307" s="2">
        <v>8.1999999999999993</v>
      </c>
      <c r="M307" s="2">
        <v>6</v>
      </c>
      <c r="N307" s="2">
        <v>7.1</v>
      </c>
      <c r="O307" s="2">
        <v>21.2</v>
      </c>
      <c r="P307" s="2">
        <v>2.1</v>
      </c>
      <c r="Q307" s="2">
        <v>0.9</v>
      </c>
      <c r="R307" s="2">
        <v>17.2</v>
      </c>
      <c r="S307" s="2">
        <v>19.2</v>
      </c>
      <c r="T307" s="2">
        <v>-0.1</v>
      </c>
      <c r="U307" s="2">
        <v>0.1</v>
      </c>
      <c r="V307" s="2">
        <v>-0.1</v>
      </c>
      <c r="W307" s="2">
        <v>-2.4E-2</v>
      </c>
      <c r="X307" s="2">
        <v>-5.3</v>
      </c>
      <c r="Y307" s="2">
        <v>-1</v>
      </c>
      <c r="Z307" s="2">
        <v>-6.3</v>
      </c>
      <c r="AA307" s="2">
        <v>-0.1</v>
      </c>
    </row>
    <row r="308" spans="1:27" x14ac:dyDescent="0.2">
      <c r="A308" t="s">
        <v>173</v>
      </c>
      <c r="B308" s="2">
        <v>34</v>
      </c>
      <c r="C308" t="s">
        <v>63</v>
      </c>
      <c r="D308" s="2" t="s">
        <v>49</v>
      </c>
      <c r="E308" s="2">
        <v>21</v>
      </c>
      <c r="F308" s="2">
        <v>21</v>
      </c>
      <c r="G308" s="2">
        <v>579</v>
      </c>
      <c r="H308" s="2">
        <v>11.8</v>
      </c>
      <c r="I308" s="2">
        <v>0.53300000000000003</v>
      </c>
      <c r="J308" s="2">
        <v>0.64400000000000002</v>
      </c>
      <c r="K308" s="2">
        <v>7.9000000000000001E-2</v>
      </c>
      <c r="L308" s="2">
        <v>3.1</v>
      </c>
      <c r="M308" s="2">
        <v>10.4</v>
      </c>
      <c r="N308" s="2">
        <v>6.9</v>
      </c>
      <c r="O308" s="2">
        <v>8.5</v>
      </c>
      <c r="P308" s="2">
        <v>1.1000000000000001</v>
      </c>
      <c r="Q308" s="2">
        <v>1.1000000000000001</v>
      </c>
      <c r="R308" s="2">
        <v>7.8</v>
      </c>
      <c r="S308" s="2">
        <v>20.7</v>
      </c>
      <c r="T308" s="2">
        <v>0.3</v>
      </c>
      <c r="U308" s="2">
        <v>0.5</v>
      </c>
      <c r="V308" s="2">
        <v>0.8</v>
      </c>
      <c r="W308" s="2">
        <v>6.5000000000000002E-2</v>
      </c>
      <c r="X308" s="2">
        <v>0.7</v>
      </c>
      <c r="Y308" s="2">
        <v>-1.5</v>
      </c>
      <c r="Z308" s="2">
        <v>-0.9</v>
      </c>
      <c r="AA308" s="2">
        <v>0.2</v>
      </c>
    </row>
    <row r="309" spans="1:27" x14ac:dyDescent="0.2">
      <c r="A309" t="s">
        <v>464</v>
      </c>
      <c r="B309" s="2">
        <v>25</v>
      </c>
      <c r="C309" t="s">
        <v>77</v>
      </c>
      <c r="D309" s="2" t="s">
        <v>27</v>
      </c>
      <c r="E309" s="2">
        <v>7</v>
      </c>
      <c r="F309" s="2">
        <v>0</v>
      </c>
      <c r="G309" s="2">
        <v>47</v>
      </c>
      <c r="H309" s="2">
        <v>15.8</v>
      </c>
      <c r="I309" s="2">
        <v>0.47899999999999998</v>
      </c>
      <c r="J309" s="2">
        <v>0.3</v>
      </c>
      <c r="K309" s="2">
        <v>0.1</v>
      </c>
      <c r="L309" s="2">
        <v>11.8</v>
      </c>
      <c r="M309" s="2">
        <v>26.4</v>
      </c>
      <c r="N309" s="2">
        <v>19</v>
      </c>
      <c r="O309" s="2">
        <v>13.4</v>
      </c>
      <c r="P309" s="2">
        <v>1</v>
      </c>
      <c r="Q309" s="2">
        <v>0</v>
      </c>
      <c r="R309" s="2">
        <v>0</v>
      </c>
      <c r="S309" s="2">
        <v>19.2</v>
      </c>
      <c r="T309" s="2">
        <v>0.1</v>
      </c>
      <c r="U309" s="2">
        <v>0.1</v>
      </c>
      <c r="V309" s="2">
        <v>0.1</v>
      </c>
      <c r="W309" s="2">
        <v>0.13700000000000001</v>
      </c>
      <c r="X309" s="2">
        <v>0.7</v>
      </c>
      <c r="Y309" s="2">
        <v>-0.6</v>
      </c>
      <c r="Z309" s="2">
        <v>0.1</v>
      </c>
      <c r="AA309" s="2">
        <v>0</v>
      </c>
    </row>
    <row r="310" spans="1:27" x14ac:dyDescent="0.2">
      <c r="A310" t="s">
        <v>401</v>
      </c>
      <c r="B310" s="2">
        <v>21</v>
      </c>
      <c r="C310" t="s">
        <v>72</v>
      </c>
      <c r="D310" s="2" t="s">
        <v>52</v>
      </c>
      <c r="E310" s="2">
        <v>10</v>
      </c>
      <c r="F310" s="2">
        <v>0</v>
      </c>
      <c r="G310" s="2">
        <v>124</v>
      </c>
      <c r="H310" s="2">
        <v>10.6</v>
      </c>
      <c r="I310" s="2">
        <v>0.48299999999999998</v>
      </c>
      <c r="J310" s="2">
        <v>0.40400000000000003</v>
      </c>
      <c r="K310" s="2">
        <v>0.38300000000000001</v>
      </c>
      <c r="L310" s="2">
        <v>4.2</v>
      </c>
      <c r="M310" s="2">
        <v>14</v>
      </c>
      <c r="N310" s="2">
        <v>9</v>
      </c>
      <c r="O310" s="2">
        <v>18.399999999999999</v>
      </c>
      <c r="P310" s="2">
        <v>1.1000000000000001</v>
      </c>
      <c r="Q310" s="2">
        <v>1.6</v>
      </c>
      <c r="R310" s="2">
        <v>12.7</v>
      </c>
      <c r="S310" s="2">
        <v>20.399999999999999</v>
      </c>
      <c r="T310" s="2">
        <v>0</v>
      </c>
      <c r="U310" s="2">
        <v>0.1</v>
      </c>
      <c r="V310" s="2">
        <v>0.1</v>
      </c>
      <c r="W310" s="2">
        <v>2.1000000000000001E-2</v>
      </c>
      <c r="X310" s="2">
        <v>-3.4</v>
      </c>
      <c r="Y310" s="2">
        <v>-0.6</v>
      </c>
      <c r="Z310" s="2">
        <v>-4.0999999999999996</v>
      </c>
      <c r="AA310" s="2">
        <v>-0.1</v>
      </c>
    </row>
    <row r="311" spans="1:27" x14ac:dyDescent="0.2">
      <c r="A311" t="s">
        <v>266</v>
      </c>
      <c r="B311" s="2">
        <v>30</v>
      </c>
      <c r="C311" t="s">
        <v>77</v>
      </c>
      <c r="D311" s="2" t="s">
        <v>33</v>
      </c>
      <c r="E311" s="2">
        <v>25</v>
      </c>
      <c r="F311" s="2">
        <v>14</v>
      </c>
      <c r="G311" s="2">
        <v>565</v>
      </c>
      <c r="H311" s="2">
        <v>11.6</v>
      </c>
      <c r="I311" s="2">
        <v>0.51800000000000002</v>
      </c>
      <c r="J311" s="2">
        <v>0.48399999999999999</v>
      </c>
      <c r="K311" s="2">
        <v>6.5000000000000002E-2</v>
      </c>
      <c r="L311" s="2">
        <v>3.7</v>
      </c>
      <c r="M311" s="2">
        <v>15</v>
      </c>
      <c r="N311" s="2">
        <v>9.3000000000000007</v>
      </c>
      <c r="O311" s="2">
        <v>16.3</v>
      </c>
      <c r="P311" s="2">
        <v>3.6</v>
      </c>
      <c r="Q311" s="2">
        <v>1.3</v>
      </c>
      <c r="R311" s="2">
        <v>14.5</v>
      </c>
      <c r="S311" s="2">
        <v>14.2</v>
      </c>
      <c r="T311" s="2">
        <v>0.1</v>
      </c>
      <c r="U311" s="2">
        <v>1</v>
      </c>
      <c r="V311" s="2">
        <v>1.2</v>
      </c>
      <c r="W311" s="2">
        <v>9.8000000000000004E-2</v>
      </c>
      <c r="X311" s="2">
        <v>-2.8</v>
      </c>
      <c r="Y311" s="2">
        <v>3.1</v>
      </c>
      <c r="Z311" s="2">
        <v>0.3</v>
      </c>
      <c r="AA311" s="2">
        <v>0.3</v>
      </c>
    </row>
    <row r="312" spans="1:27" x14ac:dyDescent="0.2">
      <c r="A312" t="s">
        <v>345</v>
      </c>
      <c r="B312" s="2">
        <v>24</v>
      </c>
      <c r="C312" t="s">
        <v>135</v>
      </c>
      <c r="D312" s="2" t="s">
        <v>49</v>
      </c>
      <c r="E312" s="2">
        <v>21</v>
      </c>
      <c r="F312" s="2">
        <v>0</v>
      </c>
      <c r="G312" s="2">
        <v>267</v>
      </c>
      <c r="H312" s="2">
        <v>11.3</v>
      </c>
      <c r="I312" s="2">
        <v>0.53500000000000003</v>
      </c>
      <c r="J312" s="2">
        <v>0.41299999999999998</v>
      </c>
      <c r="K312" s="2">
        <v>0.25</v>
      </c>
      <c r="L312" s="2">
        <v>8.5</v>
      </c>
      <c r="M312" s="2">
        <v>11.1</v>
      </c>
      <c r="N312" s="2">
        <v>9.8000000000000007</v>
      </c>
      <c r="O312" s="2">
        <v>7.8</v>
      </c>
      <c r="P312" s="2">
        <v>1.6</v>
      </c>
      <c r="Q312" s="2">
        <v>1.1000000000000001</v>
      </c>
      <c r="R312" s="2">
        <v>11.9</v>
      </c>
      <c r="S312" s="2">
        <v>15.6</v>
      </c>
      <c r="T312" s="2">
        <v>0.1</v>
      </c>
      <c r="U312" s="2">
        <v>0.1</v>
      </c>
      <c r="V312" s="2">
        <v>0.2</v>
      </c>
      <c r="W312" s="2">
        <v>4.1000000000000002E-2</v>
      </c>
      <c r="X312" s="2">
        <v>-1.5</v>
      </c>
      <c r="Y312" s="2">
        <v>-0.9</v>
      </c>
      <c r="Z312" s="2">
        <v>-2.4</v>
      </c>
      <c r="AA312" s="2">
        <v>0</v>
      </c>
    </row>
    <row r="313" spans="1:27" x14ac:dyDescent="0.2">
      <c r="A313" t="s">
        <v>313</v>
      </c>
      <c r="B313" s="2">
        <v>29</v>
      </c>
      <c r="C313" t="s">
        <v>39</v>
      </c>
      <c r="D313" s="2" t="s">
        <v>42</v>
      </c>
      <c r="E313" s="2">
        <v>6</v>
      </c>
      <c r="F313" s="2">
        <v>6</v>
      </c>
      <c r="G313" s="2">
        <v>173</v>
      </c>
      <c r="H313" s="2">
        <v>23.3</v>
      </c>
      <c r="I313" s="2">
        <v>0.57699999999999996</v>
      </c>
      <c r="J313" s="2">
        <v>0.45700000000000002</v>
      </c>
      <c r="K313" s="2">
        <v>0.33700000000000002</v>
      </c>
      <c r="L313" s="2">
        <v>6.3</v>
      </c>
      <c r="M313" s="2">
        <v>23.7</v>
      </c>
      <c r="N313" s="2">
        <v>15</v>
      </c>
      <c r="O313" s="2">
        <v>10.3</v>
      </c>
      <c r="P313" s="2">
        <v>1.7</v>
      </c>
      <c r="Q313" s="2">
        <v>4.5999999999999996</v>
      </c>
      <c r="R313" s="2">
        <v>4.5</v>
      </c>
      <c r="S313" s="2">
        <v>27.6</v>
      </c>
      <c r="T313" s="2">
        <v>0.4</v>
      </c>
      <c r="U313" s="2">
        <v>0.3</v>
      </c>
      <c r="V313" s="2">
        <v>0.7</v>
      </c>
      <c r="W313" s="2">
        <v>0.20100000000000001</v>
      </c>
      <c r="X313" s="2">
        <v>2.7</v>
      </c>
      <c r="Y313" s="2">
        <v>0.4</v>
      </c>
      <c r="Z313" s="2">
        <v>3.1</v>
      </c>
      <c r="AA313" s="2">
        <v>0.2</v>
      </c>
    </row>
    <row r="314" spans="1:27" x14ac:dyDescent="0.2">
      <c r="A314" t="s">
        <v>322</v>
      </c>
      <c r="B314" s="2">
        <v>31</v>
      </c>
      <c r="C314" t="s">
        <v>100</v>
      </c>
      <c r="D314" s="2" t="s">
        <v>27</v>
      </c>
      <c r="E314" s="2">
        <v>23</v>
      </c>
      <c r="F314" s="2">
        <v>0</v>
      </c>
      <c r="G314" s="2">
        <v>327</v>
      </c>
      <c r="H314" s="2">
        <v>13.8</v>
      </c>
      <c r="I314" s="2">
        <v>0.47899999999999998</v>
      </c>
      <c r="J314" s="2">
        <v>0.32700000000000001</v>
      </c>
      <c r="K314" s="2">
        <v>0.187</v>
      </c>
      <c r="L314" s="2">
        <v>3.4</v>
      </c>
      <c r="M314" s="2">
        <v>17.899999999999999</v>
      </c>
      <c r="N314" s="2">
        <v>10.5</v>
      </c>
      <c r="O314" s="2">
        <v>21.8</v>
      </c>
      <c r="P314" s="2">
        <v>2.6</v>
      </c>
      <c r="Q314" s="2">
        <v>2.9</v>
      </c>
      <c r="R314" s="2">
        <v>9.4</v>
      </c>
      <c r="S314" s="2">
        <v>16.3</v>
      </c>
      <c r="T314" s="2">
        <v>0.2</v>
      </c>
      <c r="U314" s="2">
        <v>0.7</v>
      </c>
      <c r="V314" s="2">
        <v>0.9</v>
      </c>
      <c r="W314" s="2">
        <v>0.126</v>
      </c>
      <c r="X314" s="2">
        <v>-1.2</v>
      </c>
      <c r="Y314" s="2">
        <v>2.9</v>
      </c>
      <c r="Z314" s="2">
        <v>1.7</v>
      </c>
      <c r="AA314" s="2">
        <v>0.3</v>
      </c>
    </row>
    <row r="315" spans="1:27" x14ac:dyDescent="0.2">
      <c r="A315" t="s">
        <v>331</v>
      </c>
      <c r="B315" s="2">
        <v>21</v>
      </c>
      <c r="C315" t="s">
        <v>120</v>
      </c>
      <c r="D315" s="2" t="s">
        <v>42</v>
      </c>
      <c r="E315" s="2">
        <v>15</v>
      </c>
      <c r="F315" s="2">
        <v>8</v>
      </c>
      <c r="G315" s="2">
        <v>276</v>
      </c>
      <c r="H315" s="2">
        <v>13.1</v>
      </c>
      <c r="I315" s="2">
        <v>0.56899999999999995</v>
      </c>
      <c r="J315" s="2">
        <v>0.39200000000000002</v>
      </c>
      <c r="K315" s="2">
        <v>0.38</v>
      </c>
      <c r="L315" s="2">
        <v>5.7</v>
      </c>
      <c r="M315" s="2">
        <v>21</v>
      </c>
      <c r="N315" s="2">
        <v>13.5</v>
      </c>
      <c r="O315" s="2">
        <v>16.399999999999999</v>
      </c>
      <c r="P315" s="2">
        <v>1.4</v>
      </c>
      <c r="Q315" s="2">
        <v>0.7</v>
      </c>
      <c r="R315" s="2">
        <v>14</v>
      </c>
      <c r="S315" s="2">
        <v>16.3</v>
      </c>
      <c r="T315" s="2">
        <v>0.3</v>
      </c>
      <c r="U315" s="2">
        <v>0.1</v>
      </c>
      <c r="V315" s="2">
        <v>0.4</v>
      </c>
      <c r="W315" s="2">
        <v>6.5000000000000002E-2</v>
      </c>
      <c r="X315" s="2">
        <v>-1.2</v>
      </c>
      <c r="Y315" s="2">
        <v>-0.5</v>
      </c>
      <c r="Z315" s="2">
        <v>-1.7</v>
      </c>
      <c r="AA315" s="2">
        <v>0</v>
      </c>
    </row>
    <row r="316" spans="1:27" x14ac:dyDescent="0.2">
      <c r="A316" t="s">
        <v>241</v>
      </c>
      <c r="B316" s="2">
        <v>29</v>
      </c>
      <c r="C316" t="s">
        <v>114</v>
      </c>
      <c r="D316" s="2" t="s">
        <v>27</v>
      </c>
      <c r="E316" s="2">
        <v>12</v>
      </c>
      <c r="F316" s="2">
        <v>12</v>
      </c>
      <c r="G316" s="2">
        <v>330</v>
      </c>
      <c r="H316" s="2">
        <v>9.8000000000000007</v>
      </c>
      <c r="I316" s="2">
        <v>0.48699999999999999</v>
      </c>
      <c r="J316" s="2">
        <v>0.32</v>
      </c>
      <c r="K316" s="2">
        <v>0.17699999999999999</v>
      </c>
      <c r="L316" s="2">
        <v>2.5</v>
      </c>
      <c r="M316" s="2">
        <v>19.3</v>
      </c>
      <c r="N316" s="2">
        <v>10.7</v>
      </c>
      <c r="O316" s="2">
        <v>11.6</v>
      </c>
      <c r="P316" s="2">
        <v>0.7</v>
      </c>
      <c r="Q316" s="2">
        <v>0.8</v>
      </c>
      <c r="R316" s="2">
        <v>12.9</v>
      </c>
      <c r="S316" s="2">
        <v>28</v>
      </c>
      <c r="T316" s="2">
        <v>-0.7</v>
      </c>
      <c r="U316" s="2">
        <v>0</v>
      </c>
      <c r="V316" s="2">
        <v>-0.7</v>
      </c>
      <c r="W316" s="2">
        <v>-0.10199999999999999</v>
      </c>
      <c r="X316" s="2">
        <v>-3.6</v>
      </c>
      <c r="Y316" s="2">
        <v>-3.1</v>
      </c>
      <c r="Z316" s="2">
        <v>-6.7</v>
      </c>
      <c r="AA316" s="2">
        <v>-0.4</v>
      </c>
    </row>
    <row r="317" spans="1:27" x14ac:dyDescent="0.2">
      <c r="A317" t="s">
        <v>362</v>
      </c>
      <c r="B317" s="2">
        <v>38</v>
      </c>
      <c r="C317" t="s">
        <v>122</v>
      </c>
      <c r="D317" s="2" t="s">
        <v>33</v>
      </c>
      <c r="E317" s="2">
        <v>16</v>
      </c>
      <c r="F317" s="2">
        <v>10</v>
      </c>
      <c r="G317" s="2">
        <v>350</v>
      </c>
      <c r="H317" s="2">
        <v>10.3</v>
      </c>
      <c r="I317" s="2">
        <v>0.55100000000000005</v>
      </c>
      <c r="J317" s="2">
        <v>0.76100000000000001</v>
      </c>
      <c r="K317" s="2">
        <v>0.28399999999999997</v>
      </c>
      <c r="L317" s="2">
        <v>1.9</v>
      </c>
      <c r="M317" s="2">
        <v>9.6</v>
      </c>
      <c r="N317" s="2">
        <v>5.5</v>
      </c>
      <c r="O317" s="2">
        <v>19</v>
      </c>
      <c r="P317" s="2">
        <v>2.4</v>
      </c>
      <c r="Q317" s="2">
        <v>1.5</v>
      </c>
      <c r="R317" s="2">
        <v>14.7</v>
      </c>
      <c r="S317" s="2">
        <v>11.1</v>
      </c>
      <c r="T317" s="2">
        <v>0.3</v>
      </c>
      <c r="U317" s="2">
        <v>0.4</v>
      </c>
      <c r="V317" s="2">
        <v>0.7</v>
      </c>
      <c r="W317" s="2">
        <v>9.0999999999999998E-2</v>
      </c>
      <c r="X317" s="2">
        <v>-2.5</v>
      </c>
      <c r="Y317" s="2">
        <v>1.7</v>
      </c>
      <c r="Z317" s="2">
        <v>-0.8</v>
      </c>
      <c r="AA317" s="2">
        <v>0.1</v>
      </c>
    </row>
    <row r="318" spans="1:27" x14ac:dyDescent="0.2">
      <c r="A318" t="s">
        <v>62</v>
      </c>
      <c r="B318" s="2">
        <v>32</v>
      </c>
      <c r="C318" t="s">
        <v>63</v>
      </c>
      <c r="D318" s="2" t="s">
        <v>52</v>
      </c>
      <c r="E318" s="2">
        <v>23</v>
      </c>
      <c r="F318" s="2">
        <v>23</v>
      </c>
      <c r="G318" s="2">
        <v>813</v>
      </c>
      <c r="H318" s="2">
        <v>21.3</v>
      </c>
      <c r="I318" s="2">
        <v>0.625</v>
      </c>
      <c r="J318" s="2">
        <v>0.378</v>
      </c>
      <c r="K318" s="2">
        <v>0.192</v>
      </c>
      <c r="L318" s="2">
        <v>3.6</v>
      </c>
      <c r="M318" s="2">
        <v>10.7</v>
      </c>
      <c r="N318" s="2">
        <v>7.3</v>
      </c>
      <c r="O318" s="2">
        <v>22.8</v>
      </c>
      <c r="P318" s="2">
        <v>1.7</v>
      </c>
      <c r="Q318" s="2">
        <v>0.7</v>
      </c>
      <c r="R318" s="2">
        <v>10.199999999999999</v>
      </c>
      <c r="S318" s="2">
        <v>25.6</v>
      </c>
      <c r="T318" s="2">
        <v>2.4</v>
      </c>
      <c r="U318" s="2">
        <v>0.8</v>
      </c>
      <c r="V318" s="2">
        <v>3.2</v>
      </c>
      <c r="W318" s="2">
        <v>0.19</v>
      </c>
      <c r="X318" s="2">
        <v>5.3</v>
      </c>
      <c r="Y318" s="2">
        <v>0.1</v>
      </c>
      <c r="Z318" s="2">
        <v>5.3</v>
      </c>
      <c r="AA318" s="2">
        <v>1.5</v>
      </c>
    </row>
    <row r="319" spans="1:27" x14ac:dyDescent="0.2">
      <c r="A319" t="s">
        <v>292</v>
      </c>
      <c r="B319" s="2">
        <v>21</v>
      </c>
      <c r="C319" t="s">
        <v>114</v>
      </c>
      <c r="D319" s="2" t="s">
        <v>52</v>
      </c>
      <c r="E319" s="2">
        <v>19</v>
      </c>
      <c r="F319" s="2">
        <v>6</v>
      </c>
      <c r="G319" s="2">
        <v>497</v>
      </c>
      <c r="H319" s="2">
        <v>7.2</v>
      </c>
      <c r="I319" s="2">
        <v>0.44600000000000001</v>
      </c>
      <c r="J319" s="2">
        <v>0.65100000000000002</v>
      </c>
      <c r="K319" s="2">
        <v>0.17399999999999999</v>
      </c>
      <c r="L319" s="2">
        <v>2.7</v>
      </c>
      <c r="M319" s="2">
        <v>14.1</v>
      </c>
      <c r="N319" s="2">
        <v>8.3000000000000007</v>
      </c>
      <c r="O319" s="2">
        <v>13.8</v>
      </c>
      <c r="P319" s="2">
        <v>1.2</v>
      </c>
      <c r="Q319" s="2">
        <v>2.4</v>
      </c>
      <c r="R319" s="2">
        <v>10.6</v>
      </c>
      <c r="S319" s="2">
        <v>14.9</v>
      </c>
      <c r="T319" s="2">
        <v>-0.3</v>
      </c>
      <c r="U319" s="2">
        <v>0.1</v>
      </c>
      <c r="V319" s="2">
        <v>-0.3</v>
      </c>
      <c r="W319" s="2">
        <v>-2.7E-2</v>
      </c>
      <c r="X319" s="2">
        <v>-4.4000000000000004</v>
      </c>
      <c r="Y319" s="2">
        <v>-1.3</v>
      </c>
      <c r="Z319" s="2">
        <v>-5.7</v>
      </c>
      <c r="AA319" s="2">
        <v>-0.5</v>
      </c>
    </row>
    <row r="320" spans="1:27" x14ac:dyDescent="0.2">
      <c r="A320" t="s">
        <v>58</v>
      </c>
      <c r="B320" s="2">
        <v>23</v>
      </c>
      <c r="C320" t="s">
        <v>59</v>
      </c>
      <c r="D320" s="2" t="s">
        <v>33</v>
      </c>
      <c r="E320" s="2">
        <v>18</v>
      </c>
      <c r="F320" s="2">
        <v>18</v>
      </c>
      <c r="G320" s="2">
        <v>614</v>
      </c>
      <c r="H320" s="2">
        <v>21.7</v>
      </c>
      <c r="I320" s="2">
        <v>0.56399999999999995</v>
      </c>
      <c r="J320" s="2">
        <v>0.52600000000000002</v>
      </c>
      <c r="K320" s="2">
        <v>0.23400000000000001</v>
      </c>
      <c r="L320" s="2">
        <v>2.9</v>
      </c>
      <c r="M320" s="2">
        <v>15</v>
      </c>
      <c r="N320" s="2">
        <v>8.6999999999999993</v>
      </c>
      <c r="O320" s="2">
        <v>42.4</v>
      </c>
      <c r="P320" s="2">
        <v>1.6</v>
      </c>
      <c r="Q320" s="2">
        <v>0.7</v>
      </c>
      <c r="R320" s="2">
        <v>14.1</v>
      </c>
      <c r="S320" s="4">
        <v>39.9</v>
      </c>
      <c r="T320" s="2">
        <v>0.9</v>
      </c>
      <c r="U320" s="2">
        <v>0.4</v>
      </c>
      <c r="V320" s="2">
        <v>1.3</v>
      </c>
      <c r="W320" s="2">
        <v>0.105</v>
      </c>
      <c r="X320" s="2">
        <v>6</v>
      </c>
      <c r="Y320" s="2">
        <v>-0.6</v>
      </c>
      <c r="Z320" s="2">
        <v>5.4</v>
      </c>
      <c r="AA320" s="2">
        <v>1.1000000000000001</v>
      </c>
    </row>
    <row r="321" spans="1:27" x14ac:dyDescent="0.2">
      <c r="A321" t="s">
        <v>357</v>
      </c>
      <c r="B321" s="2">
        <v>32</v>
      </c>
      <c r="C321" t="s">
        <v>72</v>
      </c>
      <c r="D321" s="2" t="s">
        <v>27</v>
      </c>
      <c r="E321" s="2">
        <v>10</v>
      </c>
      <c r="F321" s="2">
        <v>2</v>
      </c>
      <c r="G321" s="2">
        <v>165</v>
      </c>
      <c r="H321" s="2">
        <v>21</v>
      </c>
      <c r="I321" s="2">
        <v>0.78</v>
      </c>
      <c r="J321" s="2">
        <v>0.53700000000000003</v>
      </c>
      <c r="K321" s="2">
        <v>7.3999999999999996E-2</v>
      </c>
      <c r="L321" s="2">
        <v>6.3</v>
      </c>
      <c r="M321" s="2">
        <v>10.5</v>
      </c>
      <c r="N321" s="2">
        <v>8.4</v>
      </c>
      <c r="O321" s="2">
        <v>12.4</v>
      </c>
      <c r="P321" s="2">
        <v>2.5</v>
      </c>
      <c r="Q321" s="2">
        <v>1.7</v>
      </c>
      <c r="R321" s="2">
        <v>6.7</v>
      </c>
      <c r="S321" s="2">
        <v>14.6</v>
      </c>
      <c r="T321" s="2">
        <v>0.6</v>
      </c>
      <c r="U321" s="2">
        <v>0.1</v>
      </c>
      <c r="V321" s="2">
        <v>0.7</v>
      </c>
      <c r="W321" s="2">
        <v>0.20699999999999999</v>
      </c>
      <c r="X321" s="2">
        <v>4.9000000000000004</v>
      </c>
      <c r="Y321" s="2">
        <v>0.6</v>
      </c>
      <c r="Z321" s="2">
        <v>5.5</v>
      </c>
      <c r="AA321" s="2">
        <v>0.3</v>
      </c>
    </row>
    <row r="322" spans="1:27" x14ac:dyDescent="0.2">
      <c r="A322" t="s">
        <v>142</v>
      </c>
      <c r="B322" s="2">
        <v>27</v>
      </c>
      <c r="C322" t="s">
        <v>120</v>
      </c>
      <c r="D322" s="2" t="s">
        <v>27</v>
      </c>
      <c r="E322" s="2">
        <v>18</v>
      </c>
      <c r="F322" s="2">
        <v>18</v>
      </c>
      <c r="G322" s="2">
        <v>572</v>
      </c>
      <c r="H322" s="2">
        <v>17.3</v>
      </c>
      <c r="I322" s="2">
        <v>0.60299999999999998</v>
      </c>
      <c r="J322" s="2">
        <v>0.51100000000000001</v>
      </c>
      <c r="K322" s="2">
        <v>0.39200000000000002</v>
      </c>
      <c r="L322" s="2">
        <v>5.5</v>
      </c>
      <c r="M322" s="2">
        <v>16.3</v>
      </c>
      <c r="N322" s="2">
        <v>11</v>
      </c>
      <c r="O322" s="2">
        <v>11.8</v>
      </c>
      <c r="P322" s="2">
        <v>1</v>
      </c>
      <c r="Q322" s="2">
        <v>0.3</v>
      </c>
      <c r="R322" s="2">
        <v>8.6</v>
      </c>
      <c r="S322" s="2">
        <v>22.3</v>
      </c>
      <c r="T322" s="2">
        <v>1.3</v>
      </c>
      <c r="U322" s="2">
        <v>0</v>
      </c>
      <c r="V322" s="2">
        <v>1.4</v>
      </c>
      <c r="W322" s="2">
        <v>0.11700000000000001</v>
      </c>
      <c r="X322" s="2">
        <v>2.8</v>
      </c>
      <c r="Y322" s="2">
        <v>-1.9</v>
      </c>
      <c r="Z322" s="2">
        <v>0.9</v>
      </c>
      <c r="AA322" s="2">
        <v>0.4</v>
      </c>
    </row>
    <row r="323" spans="1:27" x14ac:dyDescent="0.2">
      <c r="A323" t="s">
        <v>68</v>
      </c>
      <c r="B323" s="2">
        <v>40</v>
      </c>
      <c r="C323" t="s">
        <v>41</v>
      </c>
      <c r="D323" s="2" t="s">
        <v>49</v>
      </c>
      <c r="E323" s="2">
        <v>23</v>
      </c>
      <c r="F323" s="2">
        <v>23</v>
      </c>
      <c r="G323" s="2">
        <v>806</v>
      </c>
      <c r="H323" s="2">
        <v>21.2</v>
      </c>
      <c r="I323" s="2">
        <v>0.58499999999999996</v>
      </c>
      <c r="J323" s="2">
        <v>0.32300000000000001</v>
      </c>
      <c r="K323" s="2">
        <v>0.25900000000000001</v>
      </c>
      <c r="L323" s="2">
        <v>3</v>
      </c>
      <c r="M323" s="2">
        <v>23</v>
      </c>
      <c r="N323" s="2">
        <v>13</v>
      </c>
      <c r="O323" s="2">
        <v>43.5</v>
      </c>
      <c r="P323" s="2">
        <v>1</v>
      </c>
      <c r="Q323" s="2">
        <v>1.5</v>
      </c>
      <c r="R323" s="2">
        <v>17.2</v>
      </c>
      <c r="S323" s="2">
        <v>29.8</v>
      </c>
      <c r="T323" s="2">
        <v>1.1000000000000001</v>
      </c>
      <c r="U323" s="2">
        <v>0.5</v>
      </c>
      <c r="V323" s="2">
        <v>1.6</v>
      </c>
      <c r="W323" s="2">
        <v>9.5000000000000001E-2</v>
      </c>
      <c r="X323" s="2">
        <v>4.4000000000000004</v>
      </c>
      <c r="Y323" s="2">
        <v>-0.6</v>
      </c>
      <c r="Z323" s="2">
        <v>3.7</v>
      </c>
      <c r="AA323" s="2">
        <v>1.2</v>
      </c>
    </row>
    <row r="324" spans="1:27" x14ac:dyDescent="0.2">
      <c r="A324" t="s">
        <v>500</v>
      </c>
      <c r="B324" s="2">
        <v>24</v>
      </c>
      <c r="C324" t="s">
        <v>122</v>
      </c>
      <c r="D324" s="2" t="s">
        <v>52</v>
      </c>
      <c r="E324" s="2">
        <v>4</v>
      </c>
      <c r="F324" s="2">
        <v>0</v>
      </c>
      <c r="G324" s="2">
        <v>17</v>
      </c>
      <c r="H324" s="2">
        <v>8.6999999999999993</v>
      </c>
      <c r="I324" s="2">
        <v>0.53300000000000003</v>
      </c>
      <c r="J324" s="2">
        <v>0.375</v>
      </c>
      <c r="K324" s="2">
        <v>0.125</v>
      </c>
      <c r="L324" s="2">
        <v>19.2</v>
      </c>
      <c r="M324" s="2">
        <v>7.3</v>
      </c>
      <c r="N324" s="2">
        <v>13.6</v>
      </c>
      <c r="O324" s="2">
        <v>10.8</v>
      </c>
      <c r="P324" s="2">
        <v>0</v>
      </c>
      <c r="Q324" s="2">
        <v>0</v>
      </c>
      <c r="R324" s="2">
        <v>32.200000000000003</v>
      </c>
      <c r="S324" s="2">
        <v>32.200000000000003</v>
      </c>
      <c r="T324" s="2">
        <v>-0.1</v>
      </c>
      <c r="U324" s="2">
        <v>0</v>
      </c>
      <c r="V324" s="2">
        <v>-0.1</v>
      </c>
      <c r="W324" s="2">
        <v>-0.184</v>
      </c>
      <c r="X324" s="2">
        <v>-3.8</v>
      </c>
      <c r="Y324" s="2">
        <v>-6.6</v>
      </c>
      <c r="Z324" s="2">
        <v>-10.4</v>
      </c>
      <c r="AA324" s="2">
        <v>0</v>
      </c>
    </row>
    <row r="325" spans="1:27" x14ac:dyDescent="0.2">
      <c r="A325" t="s">
        <v>520</v>
      </c>
      <c r="B325" s="2">
        <v>25</v>
      </c>
      <c r="C325" t="s">
        <v>35</v>
      </c>
      <c r="D325" s="2" t="s">
        <v>42</v>
      </c>
      <c r="E325" s="2">
        <v>5</v>
      </c>
      <c r="F325" s="2">
        <v>0</v>
      </c>
      <c r="G325" s="2">
        <v>20</v>
      </c>
      <c r="H325" s="2">
        <v>6.9</v>
      </c>
      <c r="I325" s="2">
        <v>0.52500000000000002</v>
      </c>
      <c r="J325" s="2">
        <v>0.33300000000000002</v>
      </c>
      <c r="K325" s="2">
        <v>1.333</v>
      </c>
      <c r="L325" s="2">
        <v>11.5</v>
      </c>
      <c r="M325" s="2">
        <v>5.3</v>
      </c>
      <c r="N325" s="2">
        <v>8.3000000000000007</v>
      </c>
      <c r="O325" s="2">
        <v>0</v>
      </c>
      <c r="P325" s="2">
        <v>0</v>
      </c>
      <c r="Q325" s="2">
        <v>0</v>
      </c>
      <c r="R325" s="2">
        <v>0</v>
      </c>
      <c r="S325" s="2">
        <v>10.5</v>
      </c>
      <c r="T325" s="2">
        <v>0</v>
      </c>
      <c r="U325" s="2">
        <v>0</v>
      </c>
      <c r="V325" s="2">
        <v>0</v>
      </c>
      <c r="W325" s="2">
        <v>5.7000000000000002E-2</v>
      </c>
      <c r="X325" s="2">
        <v>-4.4000000000000004</v>
      </c>
      <c r="Y325" s="2">
        <v>-3.1</v>
      </c>
      <c r="Z325" s="2">
        <v>-7.5</v>
      </c>
      <c r="AA325" s="2">
        <v>0</v>
      </c>
    </row>
    <row r="326" spans="1:27" x14ac:dyDescent="0.2">
      <c r="A326" t="s">
        <v>319</v>
      </c>
      <c r="B326" s="2">
        <v>27</v>
      </c>
      <c r="C326" t="s">
        <v>100</v>
      </c>
      <c r="D326" s="2" t="s">
        <v>52</v>
      </c>
      <c r="E326" s="2">
        <v>20</v>
      </c>
      <c r="F326" s="2">
        <v>8</v>
      </c>
      <c r="G326" s="2">
        <v>356</v>
      </c>
      <c r="H326" s="2">
        <v>9.1</v>
      </c>
      <c r="I326" s="2">
        <v>0.51700000000000002</v>
      </c>
      <c r="J326" s="2">
        <v>0.70399999999999996</v>
      </c>
      <c r="K326" s="2">
        <v>4.5999999999999999E-2</v>
      </c>
      <c r="L326" s="2">
        <v>2.6</v>
      </c>
      <c r="M326" s="2">
        <v>12.3</v>
      </c>
      <c r="N326" s="2">
        <v>7.4</v>
      </c>
      <c r="O326" s="2">
        <v>10.199999999999999</v>
      </c>
      <c r="P326" s="2">
        <v>1.3</v>
      </c>
      <c r="Q326" s="2">
        <v>1.3</v>
      </c>
      <c r="R326" s="2">
        <v>6.8</v>
      </c>
      <c r="S326" s="2">
        <v>13.8</v>
      </c>
      <c r="T326" s="2">
        <v>0.2</v>
      </c>
      <c r="U326" s="2">
        <v>0.5</v>
      </c>
      <c r="V326" s="2">
        <v>0.7</v>
      </c>
      <c r="W326" s="2">
        <v>0.09</v>
      </c>
      <c r="X326" s="2">
        <v>-3</v>
      </c>
      <c r="Y326" s="2">
        <v>0.6</v>
      </c>
      <c r="Z326" s="2">
        <v>-2.4</v>
      </c>
      <c r="AA326" s="2">
        <v>0</v>
      </c>
    </row>
    <row r="327" spans="1:27" x14ac:dyDescent="0.2">
      <c r="A327" t="s">
        <v>421</v>
      </c>
      <c r="B327" s="2">
        <v>27</v>
      </c>
      <c r="C327" t="s">
        <v>70</v>
      </c>
      <c r="D327" s="2" t="s">
        <v>33</v>
      </c>
      <c r="E327" s="2">
        <v>8</v>
      </c>
      <c r="F327" s="2">
        <v>0</v>
      </c>
      <c r="G327" s="2">
        <v>134</v>
      </c>
      <c r="H327" s="2">
        <v>13.4</v>
      </c>
      <c r="I327" s="2">
        <v>0.51300000000000001</v>
      </c>
      <c r="J327" s="2">
        <v>0.81599999999999995</v>
      </c>
      <c r="K327" s="2">
        <v>0</v>
      </c>
      <c r="L327" s="2">
        <v>0.8</v>
      </c>
      <c r="M327" s="2">
        <v>14.1</v>
      </c>
      <c r="N327" s="2">
        <v>7.5</v>
      </c>
      <c r="O327" s="2">
        <v>25.2</v>
      </c>
      <c r="P327" s="2">
        <v>3.1</v>
      </c>
      <c r="Q327" s="2">
        <v>2.5</v>
      </c>
      <c r="R327" s="2">
        <v>11.6</v>
      </c>
      <c r="S327" s="2">
        <v>13.4</v>
      </c>
      <c r="T327" s="2">
        <v>0.1</v>
      </c>
      <c r="U327" s="2">
        <v>0.1</v>
      </c>
      <c r="V327" s="2">
        <v>0.3</v>
      </c>
      <c r="W327" s="2">
        <v>9.4E-2</v>
      </c>
      <c r="X327" s="2">
        <v>-0.3</v>
      </c>
      <c r="Y327" s="2">
        <v>2.6</v>
      </c>
      <c r="Z327" s="2">
        <v>2.2999999999999998</v>
      </c>
      <c r="AA327" s="2">
        <v>0.1</v>
      </c>
    </row>
    <row r="328" spans="1:27" x14ac:dyDescent="0.2">
      <c r="A328" t="s">
        <v>204</v>
      </c>
      <c r="B328" s="2">
        <v>25</v>
      </c>
      <c r="C328" t="s">
        <v>32</v>
      </c>
      <c r="D328" s="2" t="s">
        <v>49</v>
      </c>
      <c r="E328" s="2">
        <v>24</v>
      </c>
      <c r="F328" s="2">
        <v>24</v>
      </c>
      <c r="G328" s="2">
        <v>705</v>
      </c>
      <c r="H328" s="2">
        <v>12.2</v>
      </c>
      <c r="I328" s="2">
        <v>0.56200000000000006</v>
      </c>
      <c r="J328" s="2">
        <v>0.65700000000000003</v>
      </c>
      <c r="K328" s="2">
        <v>0.14599999999999999</v>
      </c>
      <c r="L328" s="2">
        <v>5.3</v>
      </c>
      <c r="M328" s="2">
        <v>11.2</v>
      </c>
      <c r="N328" s="2">
        <v>8.1999999999999993</v>
      </c>
      <c r="O328" s="2">
        <v>7.9</v>
      </c>
      <c r="P328" s="2">
        <v>1.9</v>
      </c>
      <c r="Q328" s="2">
        <v>3</v>
      </c>
      <c r="R328" s="2">
        <v>6.2</v>
      </c>
      <c r="S328" s="2">
        <v>13.5</v>
      </c>
      <c r="T328" s="2">
        <v>0.9</v>
      </c>
      <c r="U328" s="2">
        <v>1.3</v>
      </c>
      <c r="V328" s="2">
        <v>2.2000000000000002</v>
      </c>
      <c r="W328" s="2">
        <v>0.15</v>
      </c>
      <c r="X328" s="2">
        <v>-0.8</v>
      </c>
      <c r="Y328" s="2">
        <v>1.1000000000000001</v>
      </c>
      <c r="Z328" s="2">
        <v>0.3</v>
      </c>
      <c r="AA328" s="2">
        <v>0.4</v>
      </c>
    </row>
    <row r="329" spans="1:27" x14ac:dyDescent="0.2">
      <c r="A329" t="s">
        <v>67</v>
      </c>
      <c r="B329" s="2">
        <v>25</v>
      </c>
      <c r="C329" t="s">
        <v>63</v>
      </c>
      <c r="D329" s="2" t="s">
        <v>33</v>
      </c>
      <c r="E329" s="2">
        <v>19</v>
      </c>
      <c r="F329" s="2">
        <v>19</v>
      </c>
      <c r="G329" s="2">
        <v>701</v>
      </c>
      <c r="H329" s="2">
        <v>23</v>
      </c>
      <c r="I329" s="2">
        <v>0.56499999999999995</v>
      </c>
      <c r="J329" s="2">
        <v>0.45500000000000002</v>
      </c>
      <c r="K329" s="2">
        <v>0.308</v>
      </c>
      <c r="L329" s="2">
        <v>1.9</v>
      </c>
      <c r="M329" s="2">
        <v>21.9</v>
      </c>
      <c r="N329" s="2">
        <v>12.3</v>
      </c>
      <c r="O329" s="2">
        <v>33.6</v>
      </c>
      <c r="P329" s="2">
        <v>2.7</v>
      </c>
      <c r="Q329" s="2">
        <v>0.9</v>
      </c>
      <c r="R329" s="2">
        <v>12.3</v>
      </c>
      <c r="S329" s="2">
        <v>32.4</v>
      </c>
      <c r="T329" s="2">
        <v>1.4</v>
      </c>
      <c r="U329" s="2">
        <v>1.1000000000000001</v>
      </c>
      <c r="V329" s="2">
        <v>2.5</v>
      </c>
      <c r="W329" s="2">
        <v>0.17399999999999999</v>
      </c>
      <c r="X329" s="2">
        <v>4.7</v>
      </c>
      <c r="Y329" s="2">
        <v>1</v>
      </c>
      <c r="Z329" s="2">
        <v>5.8</v>
      </c>
      <c r="AA329" s="2">
        <v>1.4</v>
      </c>
    </row>
    <row r="330" spans="1:27" x14ac:dyDescent="0.2">
      <c r="A330" t="s">
        <v>448</v>
      </c>
      <c r="B330" s="2">
        <v>26</v>
      </c>
      <c r="C330" t="s">
        <v>51</v>
      </c>
      <c r="D330" s="2" t="s">
        <v>42</v>
      </c>
      <c r="E330" s="2">
        <v>7</v>
      </c>
      <c r="F330" s="2">
        <v>0</v>
      </c>
      <c r="G330" s="2">
        <v>33</v>
      </c>
      <c r="H330" s="2">
        <v>21.1</v>
      </c>
      <c r="I330" s="2">
        <v>0.57399999999999995</v>
      </c>
      <c r="J330" s="2">
        <v>0.3</v>
      </c>
      <c r="K330" s="2">
        <v>0.3</v>
      </c>
      <c r="L330" s="2">
        <v>14.2</v>
      </c>
      <c r="M330" s="2">
        <v>16.899999999999999</v>
      </c>
      <c r="N330" s="2">
        <v>15.6</v>
      </c>
      <c r="O330" s="2">
        <v>0</v>
      </c>
      <c r="P330" s="2">
        <v>1.5</v>
      </c>
      <c r="Q330" s="2">
        <v>0</v>
      </c>
      <c r="R330" s="2">
        <v>8.1</v>
      </c>
      <c r="S330" s="2">
        <v>32.799999999999997</v>
      </c>
      <c r="T330" s="2">
        <v>0</v>
      </c>
      <c r="U330" s="2">
        <v>0</v>
      </c>
      <c r="V330" s="2">
        <v>0.1</v>
      </c>
      <c r="W330" s="2">
        <v>0.09</v>
      </c>
      <c r="X330" s="2">
        <v>-1.3</v>
      </c>
      <c r="Y330" s="2">
        <v>-2.5</v>
      </c>
      <c r="Z330" s="2">
        <v>-3.8</v>
      </c>
      <c r="AA330" s="2">
        <v>0</v>
      </c>
    </row>
    <row r="331" spans="1:27" x14ac:dyDescent="0.2">
      <c r="A331" t="s">
        <v>346</v>
      </c>
      <c r="B331" s="2">
        <v>28</v>
      </c>
      <c r="C331" t="s">
        <v>80</v>
      </c>
      <c r="D331" s="2" t="s">
        <v>52</v>
      </c>
      <c r="E331" s="2">
        <v>14</v>
      </c>
      <c r="F331" s="2">
        <v>0</v>
      </c>
      <c r="G331" s="2">
        <v>276</v>
      </c>
      <c r="H331" s="2">
        <v>12.5</v>
      </c>
      <c r="I331" s="2">
        <v>0.60099999999999998</v>
      </c>
      <c r="J331" s="2">
        <v>0.72199999999999998</v>
      </c>
      <c r="K331" s="2">
        <v>0.19400000000000001</v>
      </c>
      <c r="L331" s="2">
        <v>2.8</v>
      </c>
      <c r="M331" s="2">
        <v>9.8000000000000007</v>
      </c>
      <c r="N331" s="2">
        <v>6.4</v>
      </c>
      <c r="O331" s="2">
        <v>18</v>
      </c>
      <c r="P331" s="2">
        <v>1.3</v>
      </c>
      <c r="Q331" s="2">
        <v>0.7</v>
      </c>
      <c r="R331" s="2">
        <v>11.3</v>
      </c>
      <c r="S331" s="2">
        <v>12.8</v>
      </c>
      <c r="T331" s="2">
        <v>0.5</v>
      </c>
      <c r="U331" s="2">
        <v>0.3</v>
      </c>
      <c r="V331" s="2">
        <v>0.8</v>
      </c>
      <c r="W331" s="2">
        <v>0.14000000000000001</v>
      </c>
      <c r="X331" s="2">
        <v>0.3</v>
      </c>
      <c r="Y331" s="2">
        <v>0.3</v>
      </c>
      <c r="Z331" s="2">
        <v>0.6</v>
      </c>
      <c r="AA331" s="2">
        <v>0.2</v>
      </c>
    </row>
    <row r="332" spans="1:27" x14ac:dyDescent="0.2">
      <c r="A332" t="s">
        <v>350</v>
      </c>
      <c r="B332" s="2">
        <v>29</v>
      </c>
      <c r="C332" t="s">
        <v>39</v>
      </c>
      <c r="D332" s="2" t="s">
        <v>42</v>
      </c>
      <c r="E332" s="2">
        <v>19</v>
      </c>
      <c r="F332" s="2">
        <v>3</v>
      </c>
      <c r="G332" s="2">
        <v>320</v>
      </c>
      <c r="H332" s="2">
        <v>18.600000000000001</v>
      </c>
      <c r="I332" s="2">
        <v>0.71399999999999997</v>
      </c>
      <c r="J332" s="2">
        <v>0</v>
      </c>
      <c r="K332" s="2">
        <v>0.49099999999999999</v>
      </c>
      <c r="L332" s="2">
        <v>12</v>
      </c>
      <c r="M332" s="2">
        <v>16.899999999999999</v>
      </c>
      <c r="N332" s="2">
        <v>14.5</v>
      </c>
      <c r="O332" s="2">
        <v>11.7</v>
      </c>
      <c r="P332" s="2">
        <v>1.5</v>
      </c>
      <c r="Q332" s="2">
        <v>5.8</v>
      </c>
      <c r="R332" s="2">
        <v>11</v>
      </c>
      <c r="S332" s="2">
        <v>9.8000000000000007</v>
      </c>
      <c r="T332" s="2">
        <v>1.1000000000000001</v>
      </c>
      <c r="U332" s="2">
        <v>0.5</v>
      </c>
      <c r="V332" s="2">
        <v>1.6</v>
      </c>
      <c r="W332" s="2">
        <v>0.24099999999999999</v>
      </c>
      <c r="X332" s="2">
        <v>1.2</v>
      </c>
      <c r="Y332" s="2">
        <v>2.6</v>
      </c>
      <c r="Z332" s="2">
        <v>3.8</v>
      </c>
      <c r="AA332" s="2">
        <v>0.5</v>
      </c>
    </row>
    <row r="333" spans="1:27" x14ac:dyDescent="0.2">
      <c r="A333" t="s">
        <v>504</v>
      </c>
      <c r="B333" s="2">
        <v>23</v>
      </c>
      <c r="C333" t="s">
        <v>57</v>
      </c>
      <c r="D333" s="2" t="s">
        <v>52</v>
      </c>
      <c r="E333" s="2">
        <v>6</v>
      </c>
      <c r="F333" s="2">
        <v>0</v>
      </c>
      <c r="G333" s="2">
        <v>42</v>
      </c>
      <c r="H333" s="2">
        <v>8</v>
      </c>
      <c r="I333" s="2">
        <v>0.50800000000000001</v>
      </c>
      <c r="J333" s="2">
        <v>0.42899999999999999</v>
      </c>
      <c r="K333" s="2">
        <v>0.28599999999999998</v>
      </c>
      <c r="L333" s="2">
        <v>2.7</v>
      </c>
      <c r="M333" s="2">
        <v>12.7</v>
      </c>
      <c r="N333" s="2">
        <v>7.9</v>
      </c>
      <c r="O333" s="2">
        <v>13.8</v>
      </c>
      <c r="P333" s="2">
        <v>1.1000000000000001</v>
      </c>
      <c r="Q333" s="2">
        <v>2.2000000000000002</v>
      </c>
      <c r="R333" s="2">
        <v>20.2</v>
      </c>
      <c r="S333" s="2">
        <v>10.199999999999999</v>
      </c>
      <c r="T333" s="2">
        <v>0</v>
      </c>
      <c r="U333" s="2">
        <v>0</v>
      </c>
      <c r="V333" s="2">
        <v>0.1</v>
      </c>
      <c r="W333" s="2">
        <v>6.4000000000000001E-2</v>
      </c>
      <c r="X333" s="2">
        <v>-5.3</v>
      </c>
      <c r="Y333" s="2">
        <v>-0.5</v>
      </c>
      <c r="Z333" s="2">
        <v>-5.8</v>
      </c>
      <c r="AA333" s="2">
        <v>0</v>
      </c>
    </row>
    <row r="334" spans="1:27" x14ac:dyDescent="0.2">
      <c r="A334" t="s">
        <v>563</v>
      </c>
      <c r="B334" s="2">
        <v>26</v>
      </c>
      <c r="C334" t="s">
        <v>48</v>
      </c>
      <c r="D334" s="2" t="s">
        <v>52</v>
      </c>
      <c r="E334" s="2">
        <v>1</v>
      </c>
      <c r="F334" s="2">
        <v>0</v>
      </c>
      <c r="G334" s="2">
        <v>5</v>
      </c>
      <c r="H334" s="2">
        <v>14.6</v>
      </c>
      <c r="I334" s="2"/>
      <c r="J334" s="2"/>
      <c r="K334" s="2"/>
      <c r="L334" s="2">
        <v>0</v>
      </c>
      <c r="M334" s="2">
        <v>24.1</v>
      </c>
      <c r="N334" s="2">
        <v>11.6</v>
      </c>
      <c r="O334" s="2">
        <v>49.8</v>
      </c>
      <c r="P334" s="2">
        <v>0</v>
      </c>
      <c r="Q334" s="2">
        <v>0</v>
      </c>
      <c r="R334" s="2"/>
      <c r="S334" s="2">
        <v>0</v>
      </c>
      <c r="T334" s="2">
        <v>0</v>
      </c>
      <c r="U334" s="2">
        <v>0</v>
      </c>
      <c r="V334" s="2">
        <v>0</v>
      </c>
      <c r="W334" s="2">
        <v>0.224</v>
      </c>
      <c r="X334" s="2">
        <v>2.2999999999999998</v>
      </c>
      <c r="Y334" s="2">
        <v>3.9</v>
      </c>
      <c r="Z334" s="2">
        <v>6.2</v>
      </c>
      <c r="AA334" s="2">
        <v>0</v>
      </c>
    </row>
    <row r="335" spans="1:27" x14ac:dyDescent="0.2">
      <c r="A335" t="s">
        <v>314</v>
      </c>
      <c r="B335" s="2">
        <v>21</v>
      </c>
      <c r="C335" t="s">
        <v>93</v>
      </c>
      <c r="D335" s="2" t="s">
        <v>52</v>
      </c>
      <c r="E335" s="2">
        <v>18</v>
      </c>
      <c r="F335" s="2">
        <v>0</v>
      </c>
      <c r="G335" s="2">
        <v>233</v>
      </c>
      <c r="H335" s="2">
        <v>11.1</v>
      </c>
      <c r="I335" s="2">
        <v>0.57299999999999995</v>
      </c>
      <c r="J335" s="2">
        <v>0.42699999999999999</v>
      </c>
      <c r="K335" s="2">
        <v>0.20799999999999999</v>
      </c>
      <c r="L335" s="2">
        <v>1.4</v>
      </c>
      <c r="M335" s="2">
        <v>11.9</v>
      </c>
      <c r="N335" s="2">
        <v>6.7</v>
      </c>
      <c r="O335" s="2">
        <v>14.1</v>
      </c>
      <c r="P335" s="2">
        <v>1.5</v>
      </c>
      <c r="Q335" s="2">
        <v>0.8</v>
      </c>
      <c r="R335" s="2">
        <v>18</v>
      </c>
      <c r="S335" s="2">
        <v>23.4</v>
      </c>
      <c r="T335" s="2">
        <v>-0.1</v>
      </c>
      <c r="U335" s="2">
        <v>0.1</v>
      </c>
      <c r="V335" s="2">
        <v>0</v>
      </c>
      <c r="W335" s="2">
        <v>0</v>
      </c>
      <c r="X335" s="2">
        <v>-1.8</v>
      </c>
      <c r="Y335" s="2">
        <v>-1.5</v>
      </c>
      <c r="Z335" s="2">
        <v>-3.3</v>
      </c>
      <c r="AA335" s="2">
        <v>-0.1</v>
      </c>
    </row>
    <row r="336" spans="1:27" x14ac:dyDescent="0.2">
      <c r="A336" t="s">
        <v>310</v>
      </c>
      <c r="B336" s="2">
        <v>32</v>
      </c>
      <c r="C336" t="s">
        <v>114</v>
      </c>
      <c r="D336" s="2" t="s">
        <v>33</v>
      </c>
      <c r="E336" s="2">
        <v>9</v>
      </c>
      <c r="F336" s="2">
        <v>8</v>
      </c>
      <c r="G336" s="2">
        <v>214</v>
      </c>
      <c r="H336" s="2">
        <v>16.2</v>
      </c>
      <c r="I336" s="2">
        <v>0.59</v>
      </c>
      <c r="J336" s="2">
        <v>0.23100000000000001</v>
      </c>
      <c r="K336" s="2">
        <v>0.35199999999999998</v>
      </c>
      <c r="L336" s="2">
        <v>4.4000000000000004</v>
      </c>
      <c r="M336" s="2">
        <v>15.1</v>
      </c>
      <c r="N336" s="2">
        <v>9.6</v>
      </c>
      <c r="O336" s="2">
        <v>17.399999999999999</v>
      </c>
      <c r="P336" s="2">
        <v>0.9</v>
      </c>
      <c r="Q336" s="2">
        <v>1.3</v>
      </c>
      <c r="R336" s="2">
        <v>11.8</v>
      </c>
      <c r="S336" s="2">
        <v>23</v>
      </c>
      <c r="T336" s="2">
        <v>0.3</v>
      </c>
      <c r="U336" s="2">
        <v>0</v>
      </c>
      <c r="V336" s="2">
        <v>0.3</v>
      </c>
      <c r="W336" s="2">
        <v>0.06</v>
      </c>
      <c r="X336" s="2">
        <v>0.7</v>
      </c>
      <c r="Y336" s="2">
        <v>-1.3</v>
      </c>
      <c r="Z336" s="2">
        <v>-0.6</v>
      </c>
      <c r="AA336" s="2">
        <v>0.1</v>
      </c>
    </row>
    <row r="337" spans="1:27" x14ac:dyDescent="0.2">
      <c r="A337" t="s">
        <v>547</v>
      </c>
      <c r="B337" s="2">
        <v>25</v>
      </c>
      <c r="C337" t="s">
        <v>32</v>
      </c>
      <c r="D337" s="2" t="s">
        <v>49</v>
      </c>
      <c r="E337" s="2">
        <v>6</v>
      </c>
      <c r="F337" s="2">
        <v>0</v>
      </c>
      <c r="G337" s="2">
        <v>21</v>
      </c>
      <c r="H337" s="2">
        <v>-2.2999999999999998</v>
      </c>
      <c r="I337" s="2">
        <v>0.26600000000000001</v>
      </c>
      <c r="J337" s="2">
        <v>0.5</v>
      </c>
      <c r="K337" s="2">
        <v>2</v>
      </c>
      <c r="L337" s="2">
        <v>5</v>
      </c>
      <c r="M337" s="2">
        <v>10</v>
      </c>
      <c r="N337" s="2">
        <v>7.5</v>
      </c>
      <c r="O337" s="2">
        <v>5.3</v>
      </c>
      <c r="P337" s="2">
        <v>0</v>
      </c>
      <c r="Q337" s="2">
        <v>0</v>
      </c>
      <c r="R337" s="2">
        <v>21</v>
      </c>
      <c r="S337" s="2">
        <v>9.6</v>
      </c>
      <c r="T337" s="2">
        <v>0</v>
      </c>
      <c r="U337" s="2">
        <v>0</v>
      </c>
      <c r="V337" s="2">
        <v>0</v>
      </c>
      <c r="W337" s="2">
        <v>-4.4999999999999998E-2</v>
      </c>
      <c r="X337" s="2">
        <v>-10.6</v>
      </c>
      <c r="Y337" s="2">
        <v>-1.9</v>
      </c>
      <c r="Z337" s="2">
        <v>-12.6</v>
      </c>
      <c r="AA337" s="2">
        <v>-0.1</v>
      </c>
    </row>
    <row r="338" spans="1:27" x14ac:dyDescent="0.2">
      <c r="A338" t="s">
        <v>115</v>
      </c>
      <c r="B338" s="2">
        <v>28</v>
      </c>
      <c r="C338" t="s">
        <v>75</v>
      </c>
      <c r="D338" s="2" t="s">
        <v>52</v>
      </c>
      <c r="E338" s="2">
        <v>26</v>
      </c>
      <c r="F338" s="2">
        <v>7</v>
      </c>
      <c r="G338" s="2">
        <v>727</v>
      </c>
      <c r="H338" s="2">
        <v>14.4</v>
      </c>
      <c r="I338" s="2">
        <v>0.58399999999999996</v>
      </c>
      <c r="J338" s="2">
        <v>0.68500000000000005</v>
      </c>
      <c r="K338" s="2">
        <v>0.109</v>
      </c>
      <c r="L338" s="2">
        <v>2.5</v>
      </c>
      <c r="M338" s="2">
        <v>9.8000000000000007</v>
      </c>
      <c r="N338" s="2">
        <v>6.2</v>
      </c>
      <c r="O338" s="2">
        <v>10.5</v>
      </c>
      <c r="P338" s="2">
        <v>1.3</v>
      </c>
      <c r="Q338" s="2">
        <v>0.1</v>
      </c>
      <c r="R338" s="2">
        <v>7.5</v>
      </c>
      <c r="S338" s="2">
        <v>22</v>
      </c>
      <c r="T338" s="2">
        <v>0.9</v>
      </c>
      <c r="U338" s="2">
        <v>0.4</v>
      </c>
      <c r="V338" s="2">
        <v>1.3</v>
      </c>
      <c r="W338" s="2">
        <v>8.8999999999999996E-2</v>
      </c>
      <c r="X338" s="2">
        <v>1.6</v>
      </c>
      <c r="Y338" s="2">
        <v>-1.5</v>
      </c>
      <c r="Z338" s="2">
        <v>0.1</v>
      </c>
      <c r="AA338" s="2">
        <v>0.4</v>
      </c>
    </row>
    <row r="339" spans="1:27" x14ac:dyDescent="0.2">
      <c r="A339" t="s">
        <v>156</v>
      </c>
      <c r="B339" s="2">
        <v>26</v>
      </c>
      <c r="C339" t="s">
        <v>37</v>
      </c>
      <c r="D339" s="2" t="s">
        <v>52</v>
      </c>
      <c r="E339" s="2">
        <v>19</v>
      </c>
      <c r="F339" s="2">
        <v>6</v>
      </c>
      <c r="G339" s="2">
        <v>545</v>
      </c>
      <c r="H339" s="2">
        <v>17.3</v>
      </c>
      <c r="I339" s="2">
        <v>0.58199999999999996</v>
      </c>
      <c r="J339" s="2">
        <v>0.5</v>
      </c>
      <c r="K339" s="2">
        <v>0.214</v>
      </c>
      <c r="L339" s="2">
        <v>0.8</v>
      </c>
      <c r="M339" s="2">
        <v>12.8</v>
      </c>
      <c r="N339" s="2">
        <v>6.9</v>
      </c>
      <c r="O339" s="2">
        <v>24</v>
      </c>
      <c r="P339" s="2">
        <v>1.3</v>
      </c>
      <c r="Q339" s="2">
        <v>1.7</v>
      </c>
      <c r="R339" s="2">
        <v>8.6</v>
      </c>
      <c r="S339" s="2">
        <v>22.2</v>
      </c>
      <c r="T339" s="2">
        <v>1.1000000000000001</v>
      </c>
      <c r="U339" s="2">
        <v>0.4</v>
      </c>
      <c r="V339" s="2">
        <v>1.6</v>
      </c>
      <c r="W339" s="2">
        <v>0.14000000000000001</v>
      </c>
      <c r="X339" s="2">
        <v>2.2999999999999998</v>
      </c>
      <c r="Y339" s="2">
        <v>-0.6</v>
      </c>
      <c r="Z339" s="2">
        <v>1.7</v>
      </c>
      <c r="AA339" s="2">
        <v>0.5</v>
      </c>
    </row>
    <row r="340" spans="1:27" x14ac:dyDescent="0.2">
      <c r="A340" t="s">
        <v>326</v>
      </c>
      <c r="B340" s="2">
        <v>24</v>
      </c>
      <c r="C340" t="s">
        <v>75</v>
      </c>
      <c r="D340" s="2" t="s">
        <v>33</v>
      </c>
      <c r="E340" s="2">
        <v>17</v>
      </c>
      <c r="F340" s="2">
        <v>0</v>
      </c>
      <c r="G340" s="2">
        <v>227</v>
      </c>
      <c r="H340" s="2">
        <v>17.600000000000001</v>
      </c>
      <c r="I340" s="2">
        <v>0.64200000000000002</v>
      </c>
      <c r="J340" s="2">
        <v>0.434</v>
      </c>
      <c r="K340" s="2">
        <v>7.1999999999999995E-2</v>
      </c>
      <c r="L340" s="2">
        <v>3.5</v>
      </c>
      <c r="M340" s="2">
        <v>5.3</v>
      </c>
      <c r="N340" s="2">
        <v>4.4000000000000004</v>
      </c>
      <c r="O340" s="2">
        <v>19.3</v>
      </c>
      <c r="P340" s="2">
        <v>3.2</v>
      </c>
      <c r="Q340" s="2">
        <v>1.3</v>
      </c>
      <c r="R340" s="2">
        <v>13.2</v>
      </c>
      <c r="S340" s="2">
        <v>18.600000000000001</v>
      </c>
      <c r="T340" s="2">
        <v>0.4</v>
      </c>
      <c r="U340" s="2">
        <v>0.2</v>
      </c>
      <c r="V340" s="2">
        <v>0.7</v>
      </c>
      <c r="W340" s="2">
        <v>0.14099999999999999</v>
      </c>
      <c r="X340" s="2">
        <v>1</v>
      </c>
      <c r="Y340" s="2">
        <v>1.1000000000000001</v>
      </c>
      <c r="Z340" s="2">
        <v>2.1</v>
      </c>
      <c r="AA340" s="2">
        <v>0.2</v>
      </c>
    </row>
    <row r="341" spans="1:27" x14ac:dyDescent="0.2">
      <c r="A341" t="s">
        <v>291</v>
      </c>
      <c r="B341" s="2">
        <v>30</v>
      </c>
      <c r="C341" t="s">
        <v>80</v>
      </c>
      <c r="D341" s="2" t="s">
        <v>33</v>
      </c>
      <c r="E341" s="2">
        <v>15</v>
      </c>
      <c r="F341" s="2">
        <v>6</v>
      </c>
      <c r="G341" s="2">
        <v>320</v>
      </c>
      <c r="H341" s="2">
        <v>13.2</v>
      </c>
      <c r="I341" s="2">
        <v>0.52400000000000002</v>
      </c>
      <c r="J341" s="2">
        <v>0.63100000000000001</v>
      </c>
      <c r="K341" s="2">
        <v>0.28699999999999998</v>
      </c>
      <c r="L341" s="2">
        <v>4.4000000000000004</v>
      </c>
      <c r="M341" s="2">
        <v>7.8</v>
      </c>
      <c r="N341" s="2">
        <v>6.2</v>
      </c>
      <c r="O341" s="2">
        <v>24</v>
      </c>
      <c r="P341" s="2">
        <v>3.2</v>
      </c>
      <c r="Q341" s="2">
        <v>1.7</v>
      </c>
      <c r="R341" s="2">
        <v>18.899999999999999</v>
      </c>
      <c r="S341" s="2">
        <v>21.2</v>
      </c>
      <c r="T341" s="2">
        <v>0.1</v>
      </c>
      <c r="U341" s="2">
        <v>0.5</v>
      </c>
      <c r="V341" s="2">
        <v>0.6</v>
      </c>
      <c r="W341" s="2">
        <v>8.7999999999999995E-2</v>
      </c>
      <c r="X341" s="2">
        <v>-1</v>
      </c>
      <c r="Y341" s="2">
        <v>0.9</v>
      </c>
      <c r="Z341" s="2">
        <v>-0.1</v>
      </c>
      <c r="AA341" s="2">
        <v>0.2</v>
      </c>
    </row>
    <row r="342" spans="1:27" x14ac:dyDescent="0.2">
      <c r="A342" t="s">
        <v>474</v>
      </c>
      <c r="B342" s="2">
        <v>24</v>
      </c>
      <c r="C342" t="s">
        <v>35</v>
      </c>
      <c r="D342" s="2" t="s">
        <v>49</v>
      </c>
      <c r="E342" s="2">
        <v>11</v>
      </c>
      <c r="F342" s="2">
        <v>0</v>
      </c>
      <c r="G342" s="2">
        <v>35</v>
      </c>
      <c r="H342" s="2">
        <v>4.9000000000000004</v>
      </c>
      <c r="I342" s="2">
        <v>0.50700000000000001</v>
      </c>
      <c r="J342" s="2">
        <v>0.5</v>
      </c>
      <c r="K342" s="2">
        <v>0.25</v>
      </c>
      <c r="L342" s="2">
        <v>6.6</v>
      </c>
      <c r="M342" s="2">
        <v>21.2</v>
      </c>
      <c r="N342" s="2">
        <v>14.2</v>
      </c>
      <c r="O342" s="2">
        <v>4.2</v>
      </c>
      <c r="P342" s="2">
        <v>1.4</v>
      </c>
      <c r="Q342" s="2">
        <v>0</v>
      </c>
      <c r="R342" s="2">
        <v>28.3</v>
      </c>
      <c r="S342" s="2">
        <v>31.3</v>
      </c>
      <c r="T342" s="2">
        <v>-0.2</v>
      </c>
      <c r="U342" s="2">
        <v>0</v>
      </c>
      <c r="V342" s="2">
        <v>-0.1</v>
      </c>
      <c r="W342" s="2">
        <v>-0.17899999999999999</v>
      </c>
      <c r="X342" s="2">
        <v>-7.6</v>
      </c>
      <c r="Y342" s="2">
        <v>-3.1</v>
      </c>
      <c r="Z342" s="2">
        <v>-10.7</v>
      </c>
      <c r="AA342" s="2">
        <v>-0.1</v>
      </c>
    </row>
    <row r="343" spans="1:27" x14ac:dyDescent="0.2">
      <c r="A343" t="s">
        <v>460</v>
      </c>
      <c r="B343" s="2">
        <v>23</v>
      </c>
      <c r="C343" t="s">
        <v>59</v>
      </c>
      <c r="D343" s="2" t="s">
        <v>42</v>
      </c>
      <c r="E343" s="2">
        <v>3</v>
      </c>
      <c r="F343" s="2">
        <v>0</v>
      </c>
      <c r="G343" s="2">
        <v>30</v>
      </c>
      <c r="H343" s="2">
        <v>31.8</v>
      </c>
      <c r="I343" s="2">
        <v>0.64</v>
      </c>
      <c r="J343" s="2">
        <v>0</v>
      </c>
      <c r="K343" s="2">
        <v>0.33300000000000002</v>
      </c>
      <c r="L343" s="2">
        <v>21.3</v>
      </c>
      <c r="M343" s="2">
        <v>26.8</v>
      </c>
      <c r="N343" s="2">
        <v>23.9</v>
      </c>
      <c r="O343" s="2">
        <v>20.2</v>
      </c>
      <c r="P343" s="2">
        <v>1.7</v>
      </c>
      <c r="Q343" s="2">
        <v>3.4</v>
      </c>
      <c r="R343" s="2">
        <v>10.4</v>
      </c>
      <c r="S343" s="2">
        <v>27.2</v>
      </c>
      <c r="T343" s="2">
        <v>0.1</v>
      </c>
      <c r="U343" s="2">
        <v>0</v>
      </c>
      <c r="V343" s="2">
        <v>0.2</v>
      </c>
      <c r="W343" s="2">
        <v>0.26300000000000001</v>
      </c>
      <c r="X343" s="2">
        <v>7</v>
      </c>
      <c r="Y343" s="2">
        <v>-0.1</v>
      </c>
      <c r="Z343" s="2">
        <v>7</v>
      </c>
      <c r="AA343" s="2">
        <v>0.1</v>
      </c>
    </row>
    <row r="344" spans="1:27" x14ac:dyDescent="0.2">
      <c r="A344" t="s">
        <v>518</v>
      </c>
      <c r="B344" s="2">
        <v>35</v>
      </c>
      <c r="C344" t="s">
        <v>63</v>
      </c>
      <c r="D344" s="2" t="s">
        <v>27</v>
      </c>
      <c r="E344" s="2">
        <v>3</v>
      </c>
      <c r="F344" s="2">
        <v>0</v>
      </c>
      <c r="G344" s="2">
        <v>18</v>
      </c>
      <c r="H344" s="2">
        <v>-0.5</v>
      </c>
      <c r="I344" s="2">
        <v>0.27800000000000002</v>
      </c>
      <c r="J344" s="2">
        <v>0.33300000000000002</v>
      </c>
      <c r="K344" s="2">
        <v>0</v>
      </c>
      <c r="L344" s="2">
        <v>0</v>
      </c>
      <c r="M344" s="2">
        <v>28.8</v>
      </c>
      <c r="N344" s="2">
        <v>14.9</v>
      </c>
      <c r="O344" s="2">
        <v>14.1</v>
      </c>
      <c r="P344" s="2">
        <v>0</v>
      </c>
      <c r="Q344" s="2">
        <v>5</v>
      </c>
      <c r="R344" s="2">
        <v>18.2</v>
      </c>
      <c r="S344" s="2">
        <v>25.8</v>
      </c>
      <c r="T344" s="2">
        <v>-0.1</v>
      </c>
      <c r="U344" s="2">
        <v>0</v>
      </c>
      <c r="V344" s="2">
        <v>-0.1</v>
      </c>
      <c r="W344" s="2">
        <v>-0.23400000000000001</v>
      </c>
      <c r="X344" s="2">
        <v>-9.1999999999999993</v>
      </c>
      <c r="Y344" s="2">
        <v>-2</v>
      </c>
      <c r="Z344" s="2">
        <v>-11.2</v>
      </c>
      <c r="AA344" s="2">
        <v>0</v>
      </c>
    </row>
    <row r="345" spans="1:27" x14ac:dyDescent="0.2">
      <c r="A345" t="s">
        <v>366</v>
      </c>
      <c r="B345" s="2">
        <v>25</v>
      </c>
      <c r="C345" t="s">
        <v>114</v>
      </c>
      <c r="D345" s="2" t="s">
        <v>42</v>
      </c>
      <c r="E345" s="2">
        <v>16</v>
      </c>
      <c r="F345" s="2">
        <v>1</v>
      </c>
      <c r="G345" s="2">
        <v>135</v>
      </c>
      <c r="H345" s="2">
        <v>20</v>
      </c>
      <c r="I345" s="2">
        <v>0.57699999999999996</v>
      </c>
      <c r="J345" s="2">
        <v>0.16400000000000001</v>
      </c>
      <c r="K345" s="2">
        <v>0.246</v>
      </c>
      <c r="L345" s="2">
        <v>16.100000000000001</v>
      </c>
      <c r="M345" s="2">
        <v>18.399999999999999</v>
      </c>
      <c r="N345" s="2">
        <v>17.2</v>
      </c>
      <c r="O345" s="2">
        <v>7.6</v>
      </c>
      <c r="P345" s="2">
        <v>1.7</v>
      </c>
      <c r="Q345" s="2">
        <v>3.3</v>
      </c>
      <c r="R345" s="2">
        <v>12.9</v>
      </c>
      <c r="S345" s="2">
        <v>23.7</v>
      </c>
      <c r="T345" s="2">
        <v>0.1</v>
      </c>
      <c r="U345" s="2">
        <v>0.1</v>
      </c>
      <c r="V345" s="2">
        <v>0.2</v>
      </c>
      <c r="W345" s="2">
        <v>6.5000000000000002E-2</v>
      </c>
      <c r="X345" s="2">
        <v>0.9</v>
      </c>
      <c r="Y345" s="2">
        <v>-2.4</v>
      </c>
      <c r="Z345" s="2">
        <v>-1.5</v>
      </c>
      <c r="AA345" s="2">
        <v>0</v>
      </c>
    </row>
    <row r="346" spans="1:27" x14ac:dyDescent="0.2">
      <c r="A346" t="s">
        <v>561</v>
      </c>
      <c r="B346" s="2">
        <v>26</v>
      </c>
      <c r="C346" t="s">
        <v>37</v>
      </c>
      <c r="D346" s="2" t="s">
        <v>52</v>
      </c>
      <c r="E346" s="2">
        <v>3</v>
      </c>
      <c r="F346" s="2">
        <v>0</v>
      </c>
      <c r="G346" s="2">
        <v>13</v>
      </c>
      <c r="H346" s="2">
        <v>14.9</v>
      </c>
      <c r="I346" s="2">
        <v>0</v>
      </c>
      <c r="J346" s="2">
        <v>1</v>
      </c>
      <c r="K346" s="2">
        <v>0</v>
      </c>
      <c r="L346" s="2">
        <v>8.9</v>
      </c>
      <c r="M346" s="2">
        <v>25.9</v>
      </c>
      <c r="N346" s="2">
        <v>17.5</v>
      </c>
      <c r="O346" s="2">
        <v>60.9</v>
      </c>
      <c r="P346" s="2">
        <v>0</v>
      </c>
      <c r="Q346" s="2">
        <v>0</v>
      </c>
      <c r="R346" s="2">
        <v>0</v>
      </c>
      <c r="S346" s="2">
        <v>6.6</v>
      </c>
      <c r="T346" s="2">
        <v>0</v>
      </c>
      <c r="U346" s="2">
        <v>0</v>
      </c>
      <c r="V346" s="2">
        <v>0</v>
      </c>
      <c r="W346" s="2">
        <v>0.14699999999999999</v>
      </c>
      <c r="X346" s="2">
        <v>2.9</v>
      </c>
      <c r="Y346" s="2">
        <v>1.2</v>
      </c>
      <c r="Z346" s="2">
        <v>4.0999999999999996</v>
      </c>
      <c r="AA346" s="2">
        <v>0</v>
      </c>
    </row>
    <row r="347" spans="1:27" x14ac:dyDescent="0.2">
      <c r="A347" t="s">
        <v>335</v>
      </c>
      <c r="B347" s="2">
        <v>34</v>
      </c>
      <c r="C347" t="s">
        <v>54</v>
      </c>
      <c r="D347" s="2" t="s">
        <v>42</v>
      </c>
      <c r="E347" s="2">
        <v>22</v>
      </c>
      <c r="F347" s="2">
        <v>7</v>
      </c>
      <c r="G347" s="2">
        <v>397</v>
      </c>
      <c r="H347" s="2">
        <v>13.3</v>
      </c>
      <c r="I347" s="2">
        <v>0.57099999999999995</v>
      </c>
      <c r="J347" s="2">
        <v>0</v>
      </c>
      <c r="K347" s="2">
        <v>0.6</v>
      </c>
      <c r="L347" s="2">
        <v>9.6999999999999993</v>
      </c>
      <c r="M347" s="2">
        <v>27.3</v>
      </c>
      <c r="N347" s="2">
        <v>18.7</v>
      </c>
      <c r="O347" s="2">
        <v>12.9</v>
      </c>
      <c r="P347" s="2">
        <v>1</v>
      </c>
      <c r="Q347" s="2">
        <v>4.2</v>
      </c>
      <c r="R347" s="2">
        <v>18.399999999999999</v>
      </c>
      <c r="S347" s="2">
        <v>12.1</v>
      </c>
      <c r="T347" s="2">
        <v>0.4</v>
      </c>
      <c r="U347" s="2">
        <v>0.5</v>
      </c>
      <c r="V347" s="2">
        <v>0.9</v>
      </c>
      <c r="W347" s="2">
        <v>0.107</v>
      </c>
      <c r="X347" s="2">
        <v>-2.2999999999999998</v>
      </c>
      <c r="Y347" s="2">
        <v>0.8</v>
      </c>
      <c r="Z347" s="2">
        <v>-1.6</v>
      </c>
      <c r="AA347" s="2">
        <v>0</v>
      </c>
    </row>
    <row r="348" spans="1:27" x14ac:dyDescent="0.2">
      <c r="A348" t="s">
        <v>304</v>
      </c>
      <c r="B348" s="2">
        <v>20</v>
      </c>
      <c r="C348" t="s">
        <v>70</v>
      </c>
      <c r="D348" s="2" t="s">
        <v>49</v>
      </c>
      <c r="E348" s="2">
        <v>24</v>
      </c>
      <c r="F348" s="2">
        <v>0</v>
      </c>
      <c r="G348" s="2">
        <v>304</v>
      </c>
      <c r="H348" s="2">
        <v>10.199999999999999</v>
      </c>
      <c r="I348" s="2">
        <v>0.53100000000000003</v>
      </c>
      <c r="J348" s="2">
        <v>0.52700000000000002</v>
      </c>
      <c r="K348" s="2">
        <v>0.218</v>
      </c>
      <c r="L348" s="2">
        <v>3.9</v>
      </c>
      <c r="M348" s="2">
        <v>17.3</v>
      </c>
      <c r="N348" s="2">
        <v>10.7</v>
      </c>
      <c r="O348" s="2">
        <v>3.9</v>
      </c>
      <c r="P348" s="2">
        <v>1.2</v>
      </c>
      <c r="Q348" s="2">
        <v>4.8</v>
      </c>
      <c r="R348" s="2">
        <v>12.4</v>
      </c>
      <c r="S348" s="2">
        <v>18.899999999999999</v>
      </c>
      <c r="T348" s="2">
        <v>-0.2</v>
      </c>
      <c r="U348" s="2">
        <v>0.2</v>
      </c>
      <c r="V348" s="2">
        <v>0</v>
      </c>
      <c r="W348" s="2">
        <v>7.0000000000000001E-3</v>
      </c>
      <c r="X348" s="2">
        <v>-4.0999999999999996</v>
      </c>
      <c r="Y348" s="2">
        <v>-1.3</v>
      </c>
      <c r="Z348" s="2">
        <v>-5.4</v>
      </c>
      <c r="AA348" s="2">
        <v>-0.3</v>
      </c>
    </row>
    <row r="349" spans="1:27" x14ac:dyDescent="0.2">
      <c r="A349" t="s">
        <v>495</v>
      </c>
      <c r="B349" s="2">
        <v>27</v>
      </c>
      <c r="C349" t="s">
        <v>44</v>
      </c>
      <c r="D349" s="2" t="s">
        <v>49</v>
      </c>
      <c r="E349" s="2">
        <v>8</v>
      </c>
      <c r="F349" s="2">
        <v>0</v>
      </c>
      <c r="G349" s="2">
        <v>41</v>
      </c>
      <c r="H349" s="2">
        <v>-4</v>
      </c>
      <c r="I349" s="2">
        <v>0.34399999999999997</v>
      </c>
      <c r="J349" s="2">
        <v>0.75</v>
      </c>
      <c r="K349" s="2">
        <v>0</v>
      </c>
      <c r="L349" s="2">
        <v>0</v>
      </c>
      <c r="M349" s="2">
        <v>2.7</v>
      </c>
      <c r="N349" s="2">
        <v>1.4</v>
      </c>
      <c r="O349" s="2">
        <v>0</v>
      </c>
      <c r="P349" s="2">
        <v>0</v>
      </c>
      <c r="Q349" s="2">
        <v>0</v>
      </c>
      <c r="R349" s="2">
        <v>15.8</v>
      </c>
      <c r="S349" s="2">
        <v>20.5</v>
      </c>
      <c r="T349" s="2">
        <v>-0.2</v>
      </c>
      <c r="U349" s="2">
        <v>0</v>
      </c>
      <c r="V349" s="2">
        <v>-0.2</v>
      </c>
      <c r="W349" s="2">
        <v>-0.23400000000000001</v>
      </c>
      <c r="X349" s="2">
        <v>-8.9</v>
      </c>
      <c r="Y349" s="2">
        <v>-5.8</v>
      </c>
      <c r="Z349" s="2">
        <v>-14.8</v>
      </c>
      <c r="AA349" s="2">
        <v>-0.1</v>
      </c>
    </row>
    <row r="350" spans="1:27" x14ac:dyDescent="0.2">
      <c r="A350" t="s">
        <v>302</v>
      </c>
      <c r="B350" s="2">
        <v>21</v>
      </c>
      <c r="C350" t="s">
        <v>41</v>
      </c>
      <c r="D350" s="2" t="s">
        <v>52</v>
      </c>
      <c r="E350" s="2">
        <v>23</v>
      </c>
      <c r="F350" s="2">
        <v>2</v>
      </c>
      <c r="G350" s="2">
        <v>442</v>
      </c>
      <c r="H350" s="2">
        <v>10.199999999999999</v>
      </c>
      <c r="I350" s="2">
        <v>0.54500000000000004</v>
      </c>
      <c r="J350" s="2">
        <v>0.46600000000000003</v>
      </c>
      <c r="K350" s="2">
        <v>0.39800000000000002</v>
      </c>
      <c r="L350" s="2">
        <v>3.6</v>
      </c>
      <c r="M350" s="2">
        <v>9.3000000000000007</v>
      </c>
      <c r="N350" s="2">
        <v>6.4</v>
      </c>
      <c r="O350" s="2">
        <v>8.6999999999999993</v>
      </c>
      <c r="P350" s="2">
        <v>2</v>
      </c>
      <c r="Q350" s="2">
        <v>1.9</v>
      </c>
      <c r="R350" s="2">
        <v>11</v>
      </c>
      <c r="S350" s="2">
        <v>13.5</v>
      </c>
      <c r="T350" s="2">
        <v>0.2</v>
      </c>
      <c r="U350" s="2">
        <v>0.2</v>
      </c>
      <c r="V350" s="2">
        <v>0.5</v>
      </c>
      <c r="W350" s="2">
        <v>4.9000000000000002E-2</v>
      </c>
      <c r="X350" s="2">
        <v>-2.8</v>
      </c>
      <c r="Y350" s="2">
        <v>-0.4</v>
      </c>
      <c r="Z350" s="2">
        <v>-3.2</v>
      </c>
      <c r="AA350" s="2">
        <v>-0.1</v>
      </c>
    </row>
    <row r="351" spans="1:27" x14ac:dyDescent="0.2">
      <c r="A351" t="s">
        <v>453</v>
      </c>
      <c r="B351" s="2">
        <v>33</v>
      </c>
      <c r="C351" t="s">
        <v>63</v>
      </c>
      <c r="D351" s="2" t="s">
        <v>27</v>
      </c>
      <c r="E351" s="2">
        <v>14</v>
      </c>
      <c r="F351" s="2">
        <v>2</v>
      </c>
      <c r="G351" s="2">
        <v>238</v>
      </c>
      <c r="H351" s="2">
        <v>2.4</v>
      </c>
      <c r="I351" s="2">
        <v>0.41899999999999998</v>
      </c>
      <c r="J351" s="2">
        <v>0.34599999999999997</v>
      </c>
      <c r="K351" s="2">
        <v>0.23100000000000001</v>
      </c>
      <c r="L351" s="2">
        <v>2.8</v>
      </c>
      <c r="M351" s="2">
        <v>15.7</v>
      </c>
      <c r="N351" s="2">
        <v>9.5</v>
      </c>
      <c r="O351" s="2">
        <v>3.9</v>
      </c>
      <c r="P351" s="2">
        <v>0.4</v>
      </c>
      <c r="Q351" s="2">
        <v>2.6</v>
      </c>
      <c r="R351" s="2">
        <v>25.9</v>
      </c>
      <c r="S351" s="2">
        <v>6.9</v>
      </c>
      <c r="T351" s="2">
        <v>-0.2</v>
      </c>
      <c r="U351" s="2">
        <v>0.2</v>
      </c>
      <c r="V351" s="2">
        <v>0</v>
      </c>
      <c r="W351" s="2">
        <v>2E-3</v>
      </c>
      <c r="X351" s="2">
        <v>-6.6</v>
      </c>
      <c r="Y351" s="2">
        <v>0</v>
      </c>
      <c r="Z351" s="2">
        <v>-6.5</v>
      </c>
      <c r="AA351" s="2">
        <v>-0.3</v>
      </c>
    </row>
    <row r="352" spans="1:27" x14ac:dyDescent="0.2">
      <c r="A352" t="s">
        <v>529</v>
      </c>
      <c r="B352" s="2">
        <v>22</v>
      </c>
      <c r="C352" t="s">
        <v>41</v>
      </c>
      <c r="D352" s="2" t="s">
        <v>49</v>
      </c>
      <c r="E352" s="2">
        <v>7</v>
      </c>
      <c r="F352" s="2">
        <v>0</v>
      </c>
      <c r="G352" s="2">
        <v>29</v>
      </c>
      <c r="H352" s="2">
        <v>2.2999999999999998</v>
      </c>
      <c r="I352" s="2">
        <v>0.33300000000000002</v>
      </c>
      <c r="J352" s="2">
        <v>0</v>
      </c>
      <c r="K352" s="2">
        <v>0</v>
      </c>
      <c r="L352" s="2">
        <v>7.9</v>
      </c>
      <c r="M352" s="2">
        <v>0</v>
      </c>
      <c r="N352" s="2">
        <v>3.9</v>
      </c>
      <c r="O352" s="2">
        <v>8.9</v>
      </c>
      <c r="P352" s="2">
        <v>1.7</v>
      </c>
      <c r="Q352" s="2">
        <v>0</v>
      </c>
      <c r="R352" s="2">
        <v>25</v>
      </c>
      <c r="S352" s="2">
        <v>12.1</v>
      </c>
      <c r="T352" s="2">
        <v>-0.1</v>
      </c>
      <c r="U352" s="2">
        <v>0</v>
      </c>
      <c r="V352" s="2">
        <v>-0.1</v>
      </c>
      <c r="W352" s="2">
        <v>-0.105</v>
      </c>
      <c r="X352" s="2">
        <v>-6.5</v>
      </c>
      <c r="Y352" s="2">
        <v>-3.6</v>
      </c>
      <c r="Z352" s="2">
        <v>-10.1</v>
      </c>
      <c r="AA352" s="2">
        <v>-0.1</v>
      </c>
    </row>
    <row r="353" spans="1:27" x14ac:dyDescent="0.2">
      <c r="A353" t="s">
        <v>468</v>
      </c>
      <c r="B353" s="2">
        <v>26</v>
      </c>
      <c r="C353" t="s">
        <v>120</v>
      </c>
      <c r="D353" s="2" t="s">
        <v>42</v>
      </c>
      <c r="E353" s="2">
        <v>5</v>
      </c>
      <c r="F353" s="2">
        <v>1</v>
      </c>
      <c r="G353" s="2">
        <v>101</v>
      </c>
      <c r="H353" s="2">
        <v>9.4</v>
      </c>
      <c r="I353" s="2">
        <v>0.52600000000000002</v>
      </c>
      <c r="J353" s="2">
        <v>0.84199999999999997</v>
      </c>
      <c r="K353" s="2">
        <v>0</v>
      </c>
      <c r="L353" s="2">
        <v>11.2</v>
      </c>
      <c r="M353" s="2">
        <v>24.9</v>
      </c>
      <c r="N353" s="2">
        <v>18.2</v>
      </c>
      <c r="O353" s="2">
        <v>6.7</v>
      </c>
      <c r="P353" s="2">
        <v>0.5</v>
      </c>
      <c r="Q353" s="2">
        <v>2.8</v>
      </c>
      <c r="R353" s="2">
        <v>20.8</v>
      </c>
      <c r="S353" s="2">
        <v>10</v>
      </c>
      <c r="T353" s="2">
        <v>0</v>
      </c>
      <c r="U353" s="2">
        <v>0</v>
      </c>
      <c r="V353" s="2">
        <v>0.1</v>
      </c>
      <c r="W353" s="2">
        <v>3.1E-2</v>
      </c>
      <c r="X353" s="2">
        <v>-2.2000000000000002</v>
      </c>
      <c r="Y353" s="2">
        <v>-1.3</v>
      </c>
      <c r="Z353" s="2">
        <v>-3.5</v>
      </c>
      <c r="AA353" s="2">
        <v>0</v>
      </c>
    </row>
    <row r="354" spans="1:27" x14ac:dyDescent="0.2">
      <c r="A354" t="s">
        <v>109</v>
      </c>
      <c r="B354" s="2">
        <v>26</v>
      </c>
      <c r="C354" t="s">
        <v>46</v>
      </c>
      <c r="D354" s="2" t="s">
        <v>49</v>
      </c>
      <c r="E354" s="2">
        <v>22</v>
      </c>
      <c r="F354" s="2">
        <v>22</v>
      </c>
      <c r="G354" s="2">
        <v>784</v>
      </c>
      <c r="H354" s="2">
        <v>16.2</v>
      </c>
      <c r="I354" s="2">
        <v>0.60499999999999998</v>
      </c>
      <c r="J354" s="2">
        <v>0.41599999999999998</v>
      </c>
      <c r="K354" s="2">
        <v>0.161</v>
      </c>
      <c r="L354" s="2">
        <v>5</v>
      </c>
      <c r="M354" s="2">
        <v>16.399999999999999</v>
      </c>
      <c r="N354" s="2">
        <v>10.8</v>
      </c>
      <c r="O354" s="2">
        <v>11.5</v>
      </c>
      <c r="P354" s="2">
        <v>1.2</v>
      </c>
      <c r="Q354" s="2">
        <v>1</v>
      </c>
      <c r="R354" s="2">
        <v>7.8</v>
      </c>
      <c r="S354" s="2">
        <v>20.100000000000001</v>
      </c>
      <c r="T354" s="2">
        <v>1.3</v>
      </c>
      <c r="U354" s="2">
        <v>0.6</v>
      </c>
      <c r="V354" s="2">
        <v>1.9</v>
      </c>
      <c r="W354" s="2">
        <v>0.11600000000000001</v>
      </c>
      <c r="X354" s="2">
        <v>1.5</v>
      </c>
      <c r="Y354" s="2">
        <v>-1.3</v>
      </c>
      <c r="Z354" s="2">
        <v>0.2</v>
      </c>
      <c r="AA354" s="2">
        <v>0.4</v>
      </c>
    </row>
    <row r="355" spans="1:27" x14ac:dyDescent="0.2">
      <c r="A355" t="s">
        <v>105</v>
      </c>
      <c r="B355" s="2">
        <v>28</v>
      </c>
      <c r="C355" t="s">
        <v>44</v>
      </c>
      <c r="D355" s="2" t="s">
        <v>49</v>
      </c>
      <c r="E355" s="2">
        <v>25</v>
      </c>
      <c r="F355" s="2">
        <v>25</v>
      </c>
      <c r="G355" s="2">
        <v>958</v>
      </c>
      <c r="H355" s="2">
        <v>13</v>
      </c>
      <c r="I355" s="2">
        <v>0.56299999999999994</v>
      </c>
      <c r="J355" s="2">
        <v>0.46500000000000002</v>
      </c>
      <c r="K355" s="2">
        <v>5.7000000000000002E-2</v>
      </c>
      <c r="L355" s="2">
        <v>3</v>
      </c>
      <c r="M355" s="2">
        <v>7.6</v>
      </c>
      <c r="N355" s="2">
        <v>5.4</v>
      </c>
      <c r="O355" s="2">
        <v>12.1</v>
      </c>
      <c r="P355" s="2">
        <v>1.3</v>
      </c>
      <c r="Q355" s="2">
        <v>1.3</v>
      </c>
      <c r="R355" s="2">
        <v>9.1999999999999993</v>
      </c>
      <c r="S355" s="2">
        <v>19.100000000000001</v>
      </c>
      <c r="T355" s="2">
        <v>0.8</v>
      </c>
      <c r="U355" s="2">
        <v>0.5</v>
      </c>
      <c r="V355" s="2">
        <v>1.3</v>
      </c>
      <c r="W355" s="2">
        <v>6.5000000000000002E-2</v>
      </c>
      <c r="X355" s="2">
        <v>-0.2</v>
      </c>
      <c r="Y355" s="2">
        <v>-1.5</v>
      </c>
      <c r="Z355" s="2">
        <v>-1.7</v>
      </c>
      <c r="AA355" s="2">
        <v>0.1</v>
      </c>
    </row>
    <row r="356" spans="1:27" x14ac:dyDescent="0.2">
      <c r="A356" t="s">
        <v>258</v>
      </c>
      <c r="B356" s="2">
        <v>37</v>
      </c>
      <c r="C356" t="s">
        <v>51</v>
      </c>
      <c r="D356" s="2" t="s">
        <v>33</v>
      </c>
      <c r="E356" s="2">
        <v>19</v>
      </c>
      <c r="F356" s="2">
        <v>19</v>
      </c>
      <c r="G356" s="2">
        <v>485</v>
      </c>
      <c r="H356" s="2">
        <v>13.4</v>
      </c>
      <c r="I356" s="2">
        <v>0.53900000000000003</v>
      </c>
      <c r="J356" s="2">
        <v>0.70499999999999996</v>
      </c>
      <c r="K356" s="2">
        <v>0.21199999999999999</v>
      </c>
      <c r="L356" s="2">
        <v>2.2000000000000002</v>
      </c>
      <c r="M356" s="2">
        <v>10.8</v>
      </c>
      <c r="N356" s="2">
        <v>6.6</v>
      </c>
      <c r="O356" s="2">
        <v>24.6</v>
      </c>
      <c r="P356" s="2">
        <v>3</v>
      </c>
      <c r="Q356" s="2">
        <v>0.8</v>
      </c>
      <c r="R356" s="2">
        <v>14.5</v>
      </c>
      <c r="S356" s="2">
        <v>16.899999999999999</v>
      </c>
      <c r="T356" s="2">
        <v>0.5</v>
      </c>
      <c r="U356" s="2">
        <v>0.8</v>
      </c>
      <c r="V356" s="2">
        <v>1.3</v>
      </c>
      <c r="W356" s="2">
        <v>0.128</v>
      </c>
      <c r="X356" s="2">
        <v>-1.1000000000000001</v>
      </c>
      <c r="Y356" s="2">
        <v>2</v>
      </c>
      <c r="Z356" s="2">
        <v>0.9</v>
      </c>
      <c r="AA356" s="2">
        <v>0.3</v>
      </c>
    </row>
    <row r="357" spans="1:27" x14ac:dyDescent="0.2">
      <c r="A357" t="s">
        <v>252</v>
      </c>
      <c r="B357" s="2">
        <v>26</v>
      </c>
      <c r="C357" t="s">
        <v>59</v>
      </c>
      <c r="D357" s="2" t="s">
        <v>27</v>
      </c>
      <c r="E357" s="2">
        <v>11</v>
      </c>
      <c r="F357" s="2">
        <v>11</v>
      </c>
      <c r="G357" s="2">
        <v>331</v>
      </c>
      <c r="H357" s="2">
        <v>15.9</v>
      </c>
      <c r="I357" s="2">
        <v>0.54800000000000004</v>
      </c>
      <c r="J357" s="2">
        <v>0.47299999999999998</v>
      </c>
      <c r="K357" s="2">
        <v>0.22600000000000001</v>
      </c>
      <c r="L357" s="2">
        <v>2.6</v>
      </c>
      <c r="M357" s="2">
        <v>22.2</v>
      </c>
      <c r="N357" s="2">
        <v>12</v>
      </c>
      <c r="O357" s="2">
        <v>16.399999999999999</v>
      </c>
      <c r="P357" s="2">
        <v>1</v>
      </c>
      <c r="Q357" s="2">
        <v>1.5</v>
      </c>
      <c r="R357" s="2">
        <v>8.5</v>
      </c>
      <c r="S357" s="2">
        <v>22.5</v>
      </c>
      <c r="T357" s="2">
        <v>0.4</v>
      </c>
      <c r="U357" s="2">
        <v>0.3</v>
      </c>
      <c r="V357" s="2">
        <v>0.7</v>
      </c>
      <c r="W357" s="2">
        <v>0.10199999999999999</v>
      </c>
      <c r="X357" s="2">
        <v>1.3</v>
      </c>
      <c r="Y357" s="2">
        <v>-0.8</v>
      </c>
      <c r="Z357" s="2">
        <v>0.5</v>
      </c>
      <c r="AA357" s="2">
        <v>0.2</v>
      </c>
    </row>
    <row r="358" spans="1:27" x14ac:dyDescent="0.2">
      <c r="A358" t="s">
        <v>220</v>
      </c>
      <c r="B358" s="2">
        <v>24</v>
      </c>
      <c r="C358" t="s">
        <v>44</v>
      </c>
      <c r="D358" s="2" t="s">
        <v>33</v>
      </c>
      <c r="E358" s="2">
        <v>20</v>
      </c>
      <c r="F358" s="2">
        <v>0</v>
      </c>
      <c r="G358" s="2">
        <v>508</v>
      </c>
      <c r="H358" s="2">
        <v>13.6</v>
      </c>
      <c r="I358" s="2">
        <v>0.6</v>
      </c>
      <c r="J358" s="2">
        <v>0.60199999999999998</v>
      </c>
      <c r="K358" s="2">
        <v>0.14499999999999999</v>
      </c>
      <c r="L358" s="2">
        <v>2.6</v>
      </c>
      <c r="M358" s="2">
        <v>8.6</v>
      </c>
      <c r="N358" s="2">
        <v>5.8</v>
      </c>
      <c r="O358" s="2">
        <v>14.8</v>
      </c>
      <c r="P358" s="2">
        <v>1.8</v>
      </c>
      <c r="Q358" s="2">
        <v>0.9</v>
      </c>
      <c r="R358" s="2">
        <v>10.6</v>
      </c>
      <c r="S358" s="2">
        <v>17.2</v>
      </c>
      <c r="T358" s="2">
        <v>0.8</v>
      </c>
      <c r="U358" s="2">
        <v>0.3</v>
      </c>
      <c r="V358" s="2">
        <v>1.1000000000000001</v>
      </c>
      <c r="W358" s="2">
        <v>0.105</v>
      </c>
      <c r="X358" s="2">
        <v>0.6</v>
      </c>
      <c r="Y358" s="2">
        <v>-0.3</v>
      </c>
      <c r="Z358" s="2">
        <v>0.3</v>
      </c>
      <c r="AA358" s="2">
        <v>0.3</v>
      </c>
    </row>
    <row r="359" spans="1:27" x14ac:dyDescent="0.2">
      <c r="A359" t="s">
        <v>405</v>
      </c>
      <c r="B359" s="2">
        <v>26</v>
      </c>
      <c r="C359" t="s">
        <v>77</v>
      </c>
      <c r="D359" s="2" t="s">
        <v>42</v>
      </c>
      <c r="E359" s="2">
        <v>10</v>
      </c>
      <c r="F359" s="2">
        <v>0</v>
      </c>
      <c r="G359" s="2">
        <v>136</v>
      </c>
      <c r="H359" s="2">
        <v>14.3</v>
      </c>
      <c r="I359" s="2">
        <v>0.52200000000000002</v>
      </c>
      <c r="J359" s="2">
        <v>0.46500000000000002</v>
      </c>
      <c r="K359" s="2">
        <v>0.20899999999999999</v>
      </c>
      <c r="L359" s="2">
        <v>5.7</v>
      </c>
      <c r="M359" s="2">
        <v>26.6</v>
      </c>
      <c r="N359" s="2">
        <v>16</v>
      </c>
      <c r="O359" s="2">
        <v>8.6</v>
      </c>
      <c r="P359" s="2">
        <v>2.5</v>
      </c>
      <c r="Q359" s="2">
        <v>9</v>
      </c>
      <c r="R359" s="2">
        <v>13</v>
      </c>
      <c r="S359" s="2">
        <v>17.100000000000001</v>
      </c>
      <c r="T359" s="2">
        <v>0</v>
      </c>
      <c r="U359" s="2">
        <v>0.3</v>
      </c>
      <c r="V359" s="2">
        <v>0.3</v>
      </c>
      <c r="W359" s="2">
        <v>0.115</v>
      </c>
      <c r="X359" s="2">
        <v>-3.9</v>
      </c>
      <c r="Y359" s="2">
        <v>3.2</v>
      </c>
      <c r="Z359" s="2">
        <v>-0.7</v>
      </c>
      <c r="AA359" s="2">
        <v>0</v>
      </c>
    </row>
    <row r="360" spans="1:27" x14ac:dyDescent="0.2">
      <c r="A360" t="s">
        <v>341</v>
      </c>
      <c r="B360" s="2">
        <v>29</v>
      </c>
      <c r="C360" t="s">
        <v>54</v>
      </c>
      <c r="D360" s="2" t="s">
        <v>33</v>
      </c>
      <c r="E360" s="2">
        <v>18</v>
      </c>
      <c r="F360" s="2">
        <v>0</v>
      </c>
      <c r="G360" s="2">
        <v>214</v>
      </c>
      <c r="H360" s="2">
        <v>16</v>
      </c>
      <c r="I360" s="2">
        <v>0.59699999999999998</v>
      </c>
      <c r="J360" s="2">
        <v>0.50700000000000001</v>
      </c>
      <c r="K360" s="2">
        <v>0.21299999999999999</v>
      </c>
      <c r="L360" s="2">
        <v>2.1</v>
      </c>
      <c r="M360" s="2">
        <v>10.7</v>
      </c>
      <c r="N360" s="2">
        <v>6.5</v>
      </c>
      <c r="O360" s="2">
        <v>21.3</v>
      </c>
      <c r="P360" s="2">
        <v>1.6</v>
      </c>
      <c r="Q360" s="2">
        <v>1.3</v>
      </c>
      <c r="R360" s="2">
        <v>8.9</v>
      </c>
      <c r="S360" s="2">
        <v>18.600000000000001</v>
      </c>
      <c r="T360" s="2">
        <v>0.4</v>
      </c>
      <c r="U360" s="2">
        <v>0.1</v>
      </c>
      <c r="V360" s="2">
        <v>0.5</v>
      </c>
      <c r="W360" s="2">
        <v>0.122</v>
      </c>
      <c r="X360" s="2">
        <v>1.5</v>
      </c>
      <c r="Y360" s="2">
        <v>-0.1</v>
      </c>
      <c r="Z360" s="2">
        <v>1.4</v>
      </c>
      <c r="AA360" s="2">
        <v>0.2</v>
      </c>
    </row>
    <row r="361" spans="1:27" x14ac:dyDescent="0.2">
      <c r="A361" t="s">
        <v>136</v>
      </c>
      <c r="B361" s="2">
        <v>27</v>
      </c>
      <c r="C361" t="s">
        <v>48</v>
      </c>
      <c r="D361" s="2" t="s">
        <v>42</v>
      </c>
      <c r="E361" s="4">
        <v>27</v>
      </c>
      <c r="F361" s="2">
        <v>1</v>
      </c>
      <c r="G361" s="2">
        <v>518</v>
      </c>
      <c r="H361" s="2">
        <v>22.1</v>
      </c>
      <c r="I361" s="2">
        <v>0.64</v>
      </c>
      <c r="J361" s="2">
        <v>0.29499999999999998</v>
      </c>
      <c r="K361" s="2">
        <v>0.41899999999999998</v>
      </c>
      <c r="L361" s="2">
        <v>8.6</v>
      </c>
      <c r="M361" s="2">
        <v>23.7</v>
      </c>
      <c r="N361" s="2">
        <v>15.9</v>
      </c>
      <c r="O361" s="2">
        <v>13.4</v>
      </c>
      <c r="P361" s="2">
        <v>2.1</v>
      </c>
      <c r="Q361" s="2">
        <v>2.2999999999999998</v>
      </c>
      <c r="R361" s="2">
        <v>14.1</v>
      </c>
      <c r="S361" s="2">
        <v>26.1</v>
      </c>
      <c r="T361" s="2">
        <v>1</v>
      </c>
      <c r="U361" s="2">
        <v>1</v>
      </c>
      <c r="V361" s="2">
        <v>2</v>
      </c>
      <c r="W361" s="2">
        <v>0.188</v>
      </c>
      <c r="X361" s="2">
        <v>2.2999999999999998</v>
      </c>
      <c r="Y361" s="2">
        <v>1.2</v>
      </c>
      <c r="Z361" s="2">
        <v>3.5</v>
      </c>
      <c r="AA361" s="2">
        <v>0.7</v>
      </c>
    </row>
    <row r="362" spans="1:27" x14ac:dyDescent="0.2">
      <c r="A362" t="s">
        <v>444</v>
      </c>
      <c r="B362" s="2">
        <v>25</v>
      </c>
      <c r="C362" t="s">
        <v>82</v>
      </c>
      <c r="D362" s="2" t="s">
        <v>42</v>
      </c>
      <c r="E362" s="2">
        <v>9</v>
      </c>
      <c r="F362" s="2">
        <v>0</v>
      </c>
      <c r="G362" s="2">
        <v>46</v>
      </c>
      <c r="H362" s="2">
        <v>16.600000000000001</v>
      </c>
      <c r="I362" s="2">
        <v>0.65300000000000002</v>
      </c>
      <c r="J362" s="2">
        <v>0</v>
      </c>
      <c r="K362" s="2">
        <v>0.25</v>
      </c>
      <c r="L362" s="2">
        <v>10.199999999999999</v>
      </c>
      <c r="M362" s="2">
        <v>22.7</v>
      </c>
      <c r="N362" s="2">
        <v>16.5</v>
      </c>
      <c r="O362" s="2">
        <v>0</v>
      </c>
      <c r="P362" s="2">
        <v>2.1</v>
      </c>
      <c r="Q362" s="2">
        <v>2.1</v>
      </c>
      <c r="R362" s="2">
        <v>21.3</v>
      </c>
      <c r="S362" s="2">
        <v>26.6</v>
      </c>
      <c r="T362" s="2">
        <v>0</v>
      </c>
      <c r="U362" s="2">
        <v>0</v>
      </c>
      <c r="V362" s="2">
        <v>0</v>
      </c>
      <c r="W362" s="2">
        <v>8.0000000000000002E-3</v>
      </c>
      <c r="X362" s="2">
        <v>-4</v>
      </c>
      <c r="Y362" s="2">
        <v>-2.2000000000000002</v>
      </c>
      <c r="Z362" s="2">
        <v>-6.2</v>
      </c>
      <c r="AA362" s="2">
        <v>0</v>
      </c>
    </row>
    <row r="363" spans="1:27" x14ac:dyDescent="0.2">
      <c r="A363" t="s">
        <v>260</v>
      </c>
      <c r="B363" s="2">
        <v>22</v>
      </c>
      <c r="C363" t="s">
        <v>100</v>
      </c>
      <c r="D363" s="2" t="s">
        <v>52</v>
      </c>
      <c r="E363" s="2">
        <v>23</v>
      </c>
      <c r="F363" s="2">
        <v>4</v>
      </c>
      <c r="G363" s="2">
        <v>358</v>
      </c>
      <c r="H363" s="2">
        <v>10.7</v>
      </c>
      <c r="I363" s="2">
        <v>0.55700000000000005</v>
      </c>
      <c r="J363" s="2">
        <v>0.59399999999999997</v>
      </c>
      <c r="K363" s="2">
        <v>0.254</v>
      </c>
      <c r="L363" s="2">
        <v>2.8</v>
      </c>
      <c r="M363" s="2">
        <v>9.6</v>
      </c>
      <c r="N363" s="2">
        <v>6.2</v>
      </c>
      <c r="O363" s="2">
        <v>8</v>
      </c>
      <c r="P363" s="2">
        <v>0.8</v>
      </c>
      <c r="Q363" s="2">
        <v>1.6</v>
      </c>
      <c r="R363" s="2">
        <v>10.5</v>
      </c>
      <c r="S363" s="2">
        <v>19.899999999999999</v>
      </c>
      <c r="T363" s="2">
        <v>0.1</v>
      </c>
      <c r="U363" s="2">
        <v>0.4</v>
      </c>
      <c r="V363" s="2">
        <v>0.5</v>
      </c>
      <c r="W363" s="2">
        <v>7.1999999999999995E-2</v>
      </c>
      <c r="X363" s="2">
        <v>-1.8</v>
      </c>
      <c r="Y363" s="2">
        <v>-1.1000000000000001</v>
      </c>
      <c r="Z363" s="2">
        <v>-2.8</v>
      </c>
      <c r="AA363" s="2">
        <v>-0.1</v>
      </c>
    </row>
    <row r="364" spans="1:27" x14ac:dyDescent="0.2">
      <c r="A364" t="s">
        <v>545</v>
      </c>
      <c r="B364" s="2">
        <v>22</v>
      </c>
      <c r="C364" t="s">
        <v>72</v>
      </c>
      <c r="D364" s="2" t="s">
        <v>27</v>
      </c>
      <c r="E364" s="2">
        <v>2</v>
      </c>
      <c r="F364" s="2">
        <v>0</v>
      </c>
      <c r="G364" s="2">
        <v>11</v>
      </c>
      <c r="H364" s="2">
        <v>-5.7</v>
      </c>
      <c r="I364" s="2">
        <v>0.25</v>
      </c>
      <c r="J364" s="2">
        <v>0.5</v>
      </c>
      <c r="K364" s="2">
        <v>0</v>
      </c>
      <c r="L364" s="2">
        <v>0</v>
      </c>
      <c r="M364" s="2">
        <v>19.7</v>
      </c>
      <c r="N364" s="2">
        <v>9.6</v>
      </c>
      <c r="O364" s="2">
        <v>0</v>
      </c>
      <c r="P364" s="2">
        <v>0</v>
      </c>
      <c r="Q364" s="2">
        <v>0</v>
      </c>
      <c r="R364" s="2">
        <v>20</v>
      </c>
      <c r="S364" s="2">
        <v>18.3</v>
      </c>
      <c r="T364" s="2">
        <v>-0.1</v>
      </c>
      <c r="U364" s="2">
        <v>0</v>
      </c>
      <c r="V364" s="2">
        <v>-0.1</v>
      </c>
      <c r="W364" s="2">
        <v>-0.26500000000000001</v>
      </c>
      <c r="X364" s="2">
        <v>-11</v>
      </c>
      <c r="Y364" s="2">
        <v>-4.5</v>
      </c>
      <c r="Z364" s="2">
        <v>-15.6</v>
      </c>
      <c r="AA364" s="2">
        <v>0</v>
      </c>
    </row>
    <row r="365" spans="1:27" x14ac:dyDescent="0.2">
      <c r="A365" t="s">
        <v>377</v>
      </c>
      <c r="B365" s="2">
        <v>23</v>
      </c>
      <c r="C365" t="s">
        <v>59</v>
      </c>
      <c r="D365" s="2" t="s">
        <v>42</v>
      </c>
      <c r="E365" s="2">
        <v>22</v>
      </c>
      <c r="F365" s="2">
        <v>4</v>
      </c>
      <c r="G365" s="2">
        <v>439</v>
      </c>
      <c r="H365" s="2">
        <v>13.5</v>
      </c>
      <c r="I365" s="2">
        <v>0.53400000000000003</v>
      </c>
      <c r="J365" s="2">
        <v>0</v>
      </c>
      <c r="K365" s="2">
        <v>0.25900000000000001</v>
      </c>
      <c r="L365" s="2">
        <v>19.100000000000001</v>
      </c>
      <c r="M365" s="2">
        <v>24.1</v>
      </c>
      <c r="N365" s="2">
        <v>21.5</v>
      </c>
      <c r="O365" s="2">
        <v>5.0999999999999996</v>
      </c>
      <c r="P365" s="2">
        <v>1.7</v>
      </c>
      <c r="Q365" s="2">
        <v>4.8</v>
      </c>
      <c r="R365" s="2">
        <v>24.5</v>
      </c>
      <c r="S365" s="2">
        <v>8.3000000000000007</v>
      </c>
      <c r="T365" s="2">
        <v>0.4</v>
      </c>
      <c r="U365" s="2">
        <v>0.6</v>
      </c>
      <c r="V365" s="2">
        <v>0.9</v>
      </c>
      <c r="W365" s="2">
        <v>0.10100000000000001</v>
      </c>
      <c r="X365" s="2">
        <v>-2.8</v>
      </c>
      <c r="Y365" s="2">
        <v>0.1</v>
      </c>
      <c r="Z365" s="2">
        <v>-2.6</v>
      </c>
      <c r="AA365" s="2">
        <v>-0.1</v>
      </c>
    </row>
    <row r="366" spans="1:27" x14ac:dyDescent="0.2">
      <c r="A366" t="s">
        <v>129</v>
      </c>
      <c r="B366" s="2">
        <v>28</v>
      </c>
      <c r="C366" t="s">
        <v>82</v>
      </c>
      <c r="D366" s="2" t="s">
        <v>42</v>
      </c>
      <c r="E366" s="2">
        <v>23</v>
      </c>
      <c r="F366" s="2">
        <v>23</v>
      </c>
      <c r="G366" s="2">
        <v>734</v>
      </c>
      <c r="H366" s="2">
        <v>13.7</v>
      </c>
      <c r="I366" s="2">
        <v>0.59</v>
      </c>
      <c r="J366" s="2">
        <v>0.437</v>
      </c>
      <c r="K366" s="2">
        <v>0.25</v>
      </c>
      <c r="L366" s="2">
        <v>4.5</v>
      </c>
      <c r="M366" s="2">
        <v>21.3</v>
      </c>
      <c r="N366" s="2">
        <v>12.9</v>
      </c>
      <c r="O366" s="2">
        <v>7.2</v>
      </c>
      <c r="P366" s="2">
        <v>1.2</v>
      </c>
      <c r="Q366" s="2">
        <v>6</v>
      </c>
      <c r="R366" s="2">
        <v>16.8</v>
      </c>
      <c r="S366" s="2">
        <v>21.1</v>
      </c>
      <c r="T366" s="2">
        <v>-0.2</v>
      </c>
      <c r="U366" s="2">
        <v>0.7</v>
      </c>
      <c r="V366" s="2">
        <v>0.5</v>
      </c>
      <c r="W366" s="2">
        <v>3.4000000000000002E-2</v>
      </c>
      <c r="X366" s="2">
        <v>-1.9</v>
      </c>
      <c r="Y366" s="2">
        <v>-0.5</v>
      </c>
      <c r="Z366" s="2">
        <v>-2.4</v>
      </c>
      <c r="AA366" s="2">
        <v>-0.1</v>
      </c>
    </row>
    <row r="367" spans="1:27" x14ac:dyDescent="0.2">
      <c r="A367" t="s">
        <v>189</v>
      </c>
      <c r="B367" s="2">
        <v>27</v>
      </c>
      <c r="C367" t="s">
        <v>63</v>
      </c>
      <c r="D367" s="2" t="s">
        <v>49</v>
      </c>
      <c r="E367" s="2">
        <v>21</v>
      </c>
      <c r="F367" s="2">
        <v>7</v>
      </c>
      <c r="G367" s="2">
        <v>511</v>
      </c>
      <c r="H367" s="2">
        <v>16.100000000000001</v>
      </c>
      <c r="I367" s="2">
        <v>0.629</v>
      </c>
      <c r="J367" s="2">
        <v>0.30199999999999999</v>
      </c>
      <c r="K367" s="2">
        <v>0.20899999999999999</v>
      </c>
      <c r="L367" s="2">
        <v>5</v>
      </c>
      <c r="M367" s="2">
        <v>9.6999999999999993</v>
      </c>
      <c r="N367" s="2">
        <v>7.5</v>
      </c>
      <c r="O367" s="2">
        <v>13.9</v>
      </c>
      <c r="P367" s="2">
        <v>1.9</v>
      </c>
      <c r="Q367" s="2">
        <v>0.4</v>
      </c>
      <c r="R367" s="2">
        <v>13.5</v>
      </c>
      <c r="S367" s="2">
        <v>19</v>
      </c>
      <c r="T367" s="2">
        <v>0.9</v>
      </c>
      <c r="U367" s="2">
        <v>0.5</v>
      </c>
      <c r="V367" s="2">
        <v>1.4</v>
      </c>
      <c r="W367" s="2">
        <v>0.13200000000000001</v>
      </c>
      <c r="X367" s="2">
        <v>0.8</v>
      </c>
      <c r="Y367" s="2">
        <v>0</v>
      </c>
      <c r="Z367" s="2">
        <v>0.7</v>
      </c>
      <c r="AA367" s="2">
        <v>0.4</v>
      </c>
    </row>
    <row r="368" spans="1:27" x14ac:dyDescent="0.2">
      <c r="A368" t="s">
        <v>162</v>
      </c>
      <c r="B368" s="2">
        <v>25</v>
      </c>
      <c r="C368" t="s">
        <v>51</v>
      </c>
      <c r="D368" s="2" t="s">
        <v>42</v>
      </c>
      <c r="E368" s="2">
        <v>23</v>
      </c>
      <c r="F368" s="2">
        <v>0</v>
      </c>
      <c r="G368" s="2">
        <v>568</v>
      </c>
      <c r="H368" s="2">
        <v>16.100000000000001</v>
      </c>
      <c r="I368" s="2">
        <v>0.59899999999999998</v>
      </c>
      <c r="J368" s="2">
        <v>0.52200000000000002</v>
      </c>
      <c r="K368" s="2">
        <v>0.20100000000000001</v>
      </c>
      <c r="L368" s="2">
        <v>3.1</v>
      </c>
      <c r="M368" s="2">
        <v>20.7</v>
      </c>
      <c r="N368" s="2">
        <v>12.1</v>
      </c>
      <c r="O368" s="2">
        <v>10.4</v>
      </c>
      <c r="P368" s="2">
        <v>1.6</v>
      </c>
      <c r="Q368" s="2">
        <v>3.1</v>
      </c>
      <c r="R368" s="2">
        <v>10.3</v>
      </c>
      <c r="S368" s="2">
        <v>21</v>
      </c>
      <c r="T368" s="2">
        <v>0.6</v>
      </c>
      <c r="U368" s="2">
        <v>1</v>
      </c>
      <c r="V368" s="2">
        <v>1.6</v>
      </c>
      <c r="W368" s="2">
        <v>0.13900000000000001</v>
      </c>
      <c r="X368" s="2">
        <v>0.1</v>
      </c>
      <c r="Y368" s="2">
        <v>1.5</v>
      </c>
      <c r="Z368" s="2">
        <v>1.6</v>
      </c>
      <c r="AA368" s="2">
        <v>0.5</v>
      </c>
    </row>
    <row r="369" spans="1:27" x14ac:dyDescent="0.2">
      <c r="A369" t="s">
        <v>311</v>
      </c>
      <c r="B369" s="2">
        <v>25</v>
      </c>
      <c r="C369" t="s">
        <v>39</v>
      </c>
      <c r="D369" s="2" t="s">
        <v>42</v>
      </c>
      <c r="E369" s="2">
        <v>21</v>
      </c>
      <c r="F369" s="2">
        <v>5</v>
      </c>
      <c r="G369" s="2">
        <v>375</v>
      </c>
      <c r="H369" s="2">
        <v>15.3</v>
      </c>
      <c r="I369" s="2">
        <v>0.67</v>
      </c>
      <c r="J369" s="2">
        <v>2.4E-2</v>
      </c>
      <c r="K369" s="2">
        <v>0.29299999999999998</v>
      </c>
      <c r="L369" s="2">
        <v>10.8</v>
      </c>
      <c r="M369" s="2">
        <v>20.399999999999999</v>
      </c>
      <c r="N369" s="2">
        <v>15.6</v>
      </c>
      <c r="O369" s="2">
        <v>5.9</v>
      </c>
      <c r="P369" s="2">
        <v>0.7</v>
      </c>
      <c r="Q369" s="2">
        <v>4.9000000000000004</v>
      </c>
      <c r="R369" s="2">
        <v>13.9</v>
      </c>
      <c r="S369" s="2">
        <v>12.4</v>
      </c>
      <c r="T369" s="2">
        <v>0.8</v>
      </c>
      <c r="U369" s="2">
        <v>0.5</v>
      </c>
      <c r="V369" s="2">
        <v>1.3</v>
      </c>
      <c r="W369" s="2">
        <v>0.17100000000000001</v>
      </c>
      <c r="X369" s="2">
        <v>-1.7</v>
      </c>
      <c r="Y369" s="2">
        <v>0.9</v>
      </c>
      <c r="Z369" s="2">
        <v>-0.7</v>
      </c>
      <c r="AA369" s="2">
        <v>0.1</v>
      </c>
    </row>
    <row r="370" spans="1:27" x14ac:dyDescent="0.2">
      <c r="A370" t="s">
        <v>253</v>
      </c>
      <c r="B370" s="2">
        <v>25</v>
      </c>
      <c r="C370" t="s">
        <v>103</v>
      </c>
      <c r="D370" s="2" t="s">
        <v>42</v>
      </c>
      <c r="E370" s="2">
        <v>18</v>
      </c>
      <c r="F370" s="2">
        <v>10</v>
      </c>
      <c r="G370" s="2">
        <v>455</v>
      </c>
      <c r="H370" s="2">
        <v>18</v>
      </c>
      <c r="I370" s="2">
        <v>0.63700000000000001</v>
      </c>
      <c r="J370" s="2">
        <v>2.5000000000000001E-2</v>
      </c>
      <c r="K370" s="2">
        <v>0.34200000000000003</v>
      </c>
      <c r="L370" s="2">
        <v>9</v>
      </c>
      <c r="M370" s="2">
        <v>28.6</v>
      </c>
      <c r="N370" s="2">
        <v>18.5</v>
      </c>
      <c r="O370" s="2">
        <v>14.7</v>
      </c>
      <c r="P370" s="2">
        <v>1.4</v>
      </c>
      <c r="Q370" s="2">
        <v>5.0999999999999996</v>
      </c>
      <c r="R370" s="2">
        <v>13.7</v>
      </c>
      <c r="S370" s="2">
        <v>15.8</v>
      </c>
      <c r="T370" s="2">
        <v>0.8</v>
      </c>
      <c r="U370" s="2">
        <v>0.5</v>
      </c>
      <c r="V370" s="2">
        <v>1.4</v>
      </c>
      <c r="W370" s="2">
        <v>0.14499999999999999</v>
      </c>
      <c r="X370" s="2">
        <v>0.3</v>
      </c>
      <c r="Y370" s="2">
        <v>2</v>
      </c>
      <c r="Z370" s="2">
        <v>2.2999999999999998</v>
      </c>
      <c r="AA370" s="2">
        <v>0.5</v>
      </c>
    </row>
    <row r="371" spans="1:27" x14ac:dyDescent="0.2">
      <c r="A371" t="s">
        <v>334</v>
      </c>
      <c r="B371" s="2">
        <v>27</v>
      </c>
      <c r="C371" t="s">
        <v>59</v>
      </c>
      <c r="D371" s="2" t="s">
        <v>42</v>
      </c>
      <c r="E371" s="2">
        <v>9</v>
      </c>
      <c r="F371" s="2">
        <v>8</v>
      </c>
      <c r="G371" s="2">
        <v>241</v>
      </c>
      <c r="H371" s="2">
        <v>20</v>
      </c>
      <c r="I371" s="2">
        <v>0.66500000000000004</v>
      </c>
      <c r="J371" s="2">
        <v>1.7000000000000001E-2</v>
      </c>
      <c r="K371" s="2">
        <v>0.79300000000000004</v>
      </c>
      <c r="L371" s="2">
        <v>12.4</v>
      </c>
      <c r="M371" s="2">
        <v>30.6</v>
      </c>
      <c r="N371" s="2">
        <v>21.1</v>
      </c>
      <c r="O371" s="2">
        <v>10.3</v>
      </c>
      <c r="P371" s="2">
        <v>0.8</v>
      </c>
      <c r="Q371" s="2">
        <v>7.1</v>
      </c>
      <c r="R371" s="2">
        <v>17.8</v>
      </c>
      <c r="S371" s="2">
        <v>16.8</v>
      </c>
      <c r="T371" s="2">
        <v>0.5</v>
      </c>
      <c r="U371" s="2">
        <v>0.3</v>
      </c>
      <c r="V371" s="2">
        <v>0.9</v>
      </c>
      <c r="W371" s="2">
        <v>0.17100000000000001</v>
      </c>
      <c r="X371" s="2">
        <v>-0.9</v>
      </c>
      <c r="Y371" s="2">
        <v>0.7</v>
      </c>
      <c r="Z371" s="2">
        <v>-0.2</v>
      </c>
      <c r="AA371" s="2">
        <v>0.1</v>
      </c>
    </row>
    <row r="372" spans="1:27" x14ac:dyDescent="0.2">
      <c r="A372" t="s">
        <v>420</v>
      </c>
      <c r="B372" s="2">
        <v>20</v>
      </c>
      <c r="C372" t="s">
        <v>59</v>
      </c>
      <c r="D372" s="2" t="s">
        <v>52</v>
      </c>
      <c r="E372" s="2">
        <v>13</v>
      </c>
      <c r="F372" s="2">
        <v>0</v>
      </c>
      <c r="G372" s="2">
        <v>121</v>
      </c>
      <c r="H372" s="2">
        <v>6.5</v>
      </c>
      <c r="I372" s="2">
        <v>0.41699999999999998</v>
      </c>
      <c r="J372" s="2">
        <v>0.54200000000000004</v>
      </c>
      <c r="K372" s="2">
        <v>0</v>
      </c>
      <c r="L372" s="2">
        <v>0.9</v>
      </c>
      <c r="M372" s="2">
        <v>9.5</v>
      </c>
      <c r="N372" s="2">
        <v>5</v>
      </c>
      <c r="O372" s="2">
        <v>12.5</v>
      </c>
      <c r="P372" s="2">
        <v>1.6</v>
      </c>
      <c r="Q372" s="2">
        <v>0.8</v>
      </c>
      <c r="R372" s="2">
        <v>5.9</v>
      </c>
      <c r="S372" s="2">
        <v>17.899999999999999</v>
      </c>
      <c r="T372" s="2">
        <v>-0.1</v>
      </c>
      <c r="U372" s="2">
        <v>0.1</v>
      </c>
      <c r="V372" s="2">
        <v>0</v>
      </c>
      <c r="W372" s="2">
        <v>-1.6E-2</v>
      </c>
      <c r="X372" s="2">
        <v>-4.9000000000000004</v>
      </c>
      <c r="Y372" s="2">
        <v>-0.9</v>
      </c>
      <c r="Z372" s="2">
        <v>-5.9</v>
      </c>
      <c r="AA372" s="2">
        <v>-0.1</v>
      </c>
    </row>
    <row r="373" spans="1:27" x14ac:dyDescent="0.2">
      <c r="A373" t="s">
        <v>213</v>
      </c>
      <c r="B373" s="2">
        <v>26</v>
      </c>
      <c r="C373" t="s">
        <v>51</v>
      </c>
      <c r="D373" s="2" t="s">
        <v>52</v>
      </c>
      <c r="E373" s="2">
        <v>23</v>
      </c>
      <c r="F373" s="2">
        <v>2</v>
      </c>
      <c r="G373" s="2">
        <v>553</v>
      </c>
      <c r="H373" s="2">
        <v>13.7</v>
      </c>
      <c r="I373" s="2">
        <v>0.66</v>
      </c>
      <c r="J373" s="2">
        <v>0.56100000000000005</v>
      </c>
      <c r="K373" s="2">
        <v>0.19400000000000001</v>
      </c>
      <c r="L373" s="2">
        <v>3.4</v>
      </c>
      <c r="M373" s="2">
        <v>9.1</v>
      </c>
      <c r="N373" s="2">
        <v>6.3</v>
      </c>
      <c r="O373" s="2">
        <v>15.7</v>
      </c>
      <c r="P373" s="2">
        <v>1.8</v>
      </c>
      <c r="Q373" s="2">
        <v>1.5</v>
      </c>
      <c r="R373" s="2">
        <v>16.8</v>
      </c>
      <c r="S373" s="2">
        <v>16.100000000000001</v>
      </c>
      <c r="T373" s="2">
        <v>0.8</v>
      </c>
      <c r="U373" s="2">
        <v>0.7</v>
      </c>
      <c r="V373" s="2">
        <v>1.5</v>
      </c>
      <c r="W373" s="2">
        <v>0.13100000000000001</v>
      </c>
      <c r="X373" s="2">
        <v>0.3</v>
      </c>
      <c r="Y373" s="2">
        <v>1.2</v>
      </c>
      <c r="Z373" s="2">
        <v>1.4</v>
      </c>
      <c r="AA373" s="2">
        <v>0.5</v>
      </c>
    </row>
    <row r="374" spans="1:27" x14ac:dyDescent="0.2">
      <c r="A374" t="s">
        <v>355</v>
      </c>
      <c r="B374" s="2">
        <v>36</v>
      </c>
      <c r="C374" t="s">
        <v>77</v>
      </c>
      <c r="D374" s="2" t="s">
        <v>27</v>
      </c>
      <c r="E374" s="2">
        <v>25</v>
      </c>
      <c r="F374" s="2">
        <v>0</v>
      </c>
      <c r="G374" s="2">
        <v>449</v>
      </c>
      <c r="H374" s="2">
        <v>8.5</v>
      </c>
      <c r="I374" s="2">
        <v>0.52</v>
      </c>
      <c r="J374" s="2">
        <v>0.78</v>
      </c>
      <c r="K374" s="2">
        <v>9.8000000000000004E-2</v>
      </c>
      <c r="L374" s="2">
        <v>4.7</v>
      </c>
      <c r="M374" s="2">
        <v>12.3</v>
      </c>
      <c r="N374" s="2">
        <v>8.5</v>
      </c>
      <c r="O374" s="2">
        <v>11.1</v>
      </c>
      <c r="P374" s="2">
        <v>0.9</v>
      </c>
      <c r="Q374" s="2">
        <v>2.5</v>
      </c>
      <c r="R374" s="2">
        <v>10.5</v>
      </c>
      <c r="S374" s="2">
        <v>9.1999999999999993</v>
      </c>
      <c r="T374" s="2">
        <v>0.4</v>
      </c>
      <c r="U374" s="2">
        <v>0.5</v>
      </c>
      <c r="V374" s="2">
        <v>0.9</v>
      </c>
      <c r="W374" s="2">
        <v>9.0999999999999998E-2</v>
      </c>
      <c r="X374" s="2">
        <v>-1.6</v>
      </c>
      <c r="Y374" s="2">
        <v>0.7</v>
      </c>
      <c r="Z374" s="2">
        <v>-1</v>
      </c>
      <c r="AA374" s="2">
        <v>0.1</v>
      </c>
    </row>
    <row r="375" spans="1:27" x14ac:dyDescent="0.2">
      <c r="A375" t="s">
        <v>45</v>
      </c>
      <c r="B375" s="2">
        <v>29</v>
      </c>
      <c r="C375" t="s">
        <v>46</v>
      </c>
      <c r="D375" s="2" t="s">
        <v>42</v>
      </c>
      <c r="E375" s="2">
        <v>19</v>
      </c>
      <c r="F375" s="2">
        <v>19</v>
      </c>
      <c r="G375" s="2">
        <v>714</v>
      </c>
      <c r="H375" s="4">
        <v>33.299999999999997</v>
      </c>
      <c r="I375" s="2">
        <v>0.64900000000000002</v>
      </c>
      <c r="J375" s="2">
        <v>0.20200000000000001</v>
      </c>
      <c r="K375" s="2">
        <v>0.313</v>
      </c>
      <c r="L375" s="2">
        <v>12.1</v>
      </c>
      <c r="M375" s="2">
        <v>26.9</v>
      </c>
      <c r="N375" s="2">
        <v>19.7</v>
      </c>
      <c r="O375" s="2">
        <v>46.4</v>
      </c>
      <c r="P375" s="2">
        <v>2.2999999999999998</v>
      </c>
      <c r="Q375" s="2">
        <v>1.7</v>
      </c>
      <c r="R375" s="2">
        <v>13.1</v>
      </c>
      <c r="S375" s="2">
        <v>32</v>
      </c>
      <c r="T375" s="4">
        <v>3.5</v>
      </c>
      <c r="U375" s="2">
        <v>1</v>
      </c>
      <c r="V375" s="2">
        <v>4.5</v>
      </c>
      <c r="W375" s="4">
        <v>0.30299999999999999</v>
      </c>
      <c r="X375" s="4">
        <v>10.8</v>
      </c>
      <c r="Y375" s="2">
        <v>2.9</v>
      </c>
      <c r="Z375" s="4">
        <v>13.8</v>
      </c>
      <c r="AA375" s="4">
        <v>2.8</v>
      </c>
    </row>
    <row r="376" spans="1:27" x14ac:dyDescent="0.2">
      <c r="A376" t="s">
        <v>312</v>
      </c>
      <c r="B376" s="2">
        <v>21</v>
      </c>
      <c r="C376" t="s">
        <v>61</v>
      </c>
      <c r="D376" s="2" t="s">
        <v>27</v>
      </c>
      <c r="E376" s="2">
        <v>15</v>
      </c>
      <c r="F376" s="2">
        <v>8</v>
      </c>
      <c r="G376" s="2">
        <v>279</v>
      </c>
      <c r="H376" s="2">
        <v>15.2</v>
      </c>
      <c r="I376" s="2">
        <v>0.58699999999999997</v>
      </c>
      <c r="J376" s="2">
        <v>0.5</v>
      </c>
      <c r="K376" s="2">
        <v>0.29299999999999998</v>
      </c>
      <c r="L376" s="2">
        <v>3.1</v>
      </c>
      <c r="M376" s="2">
        <v>18.600000000000001</v>
      </c>
      <c r="N376" s="2">
        <v>10.9</v>
      </c>
      <c r="O376" s="2">
        <v>10.199999999999999</v>
      </c>
      <c r="P376" s="2">
        <v>2.5</v>
      </c>
      <c r="Q376" s="2">
        <v>0.7</v>
      </c>
      <c r="R376" s="2">
        <v>7.2</v>
      </c>
      <c r="S376" s="2">
        <v>17.5</v>
      </c>
      <c r="T376" s="2">
        <v>0.4</v>
      </c>
      <c r="U376" s="2">
        <v>0.4</v>
      </c>
      <c r="V376" s="2">
        <v>0.8</v>
      </c>
      <c r="W376" s="2">
        <v>0.13700000000000001</v>
      </c>
      <c r="X376" s="2">
        <v>-0.6</v>
      </c>
      <c r="Y376" s="2">
        <v>1.1000000000000001</v>
      </c>
      <c r="Z376" s="2">
        <v>0.5</v>
      </c>
      <c r="AA376" s="2">
        <v>0.2</v>
      </c>
    </row>
    <row r="377" spans="1:27" x14ac:dyDescent="0.2">
      <c r="A377" t="s">
        <v>69</v>
      </c>
      <c r="B377" s="2">
        <v>34</v>
      </c>
      <c r="C377" t="s">
        <v>70</v>
      </c>
      <c r="D377" s="2" t="s">
        <v>42</v>
      </c>
      <c r="E377" s="2">
        <v>25</v>
      </c>
      <c r="F377" s="2">
        <v>25</v>
      </c>
      <c r="G377" s="2">
        <v>793</v>
      </c>
      <c r="H377" s="2">
        <v>22.8</v>
      </c>
      <c r="I377" s="2">
        <v>0.68600000000000005</v>
      </c>
      <c r="J377" s="2">
        <v>0.32600000000000001</v>
      </c>
      <c r="K377" s="2">
        <v>0.17100000000000001</v>
      </c>
      <c r="L377" s="2">
        <v>6.6</v>
      </c>
      <c r="M377" s="2">
        <v>25.9</v>
      </c>
      <c r="N377" s="2">
        <v>16.3</v>
      </c>
      <c r="O377" s="2">
        <v>15.9</v>
      </c>
      <c r="P377" s="2">
        <v>1.2</v>
      </c>
      <c r="Q377" s="2">
        <v>2</v>
      </c>
      <c r="R377" s="2">
        <v>10.5</v>
      </c>
      <c r="S377" s="2">
        <v>22.5</v>
      </c>
      <c r="T377" s="2">
        <v>2.4</v>
      </c>
      <c r="U377" s="2">
        <v>0.6</v>
      </c>
      <c r="V377" s="2">
        <v>3</v>
      </c>
      <c r="W377" s="2">
        <v>0.17899999999999999</v>
      </c>
      <c r="X377" s="2">
        <v>4.2</v>
      </c>
      <c r="Y377" s="2">
        <v>-0.3</v>
      </c>
      <c r="Z377" s="2">
        <v>3.9</v>
      </c>
      <c r="AA377" s="2">
        <v>1.2</v>
      </c>
    </row>
    <row r="378" spans="1:27" x14ac:dyDescent="0.2">
      <c r="A378" t="s">
        <v>320</v>
      </c>
      <c r="B378" s="2">
        <v>20</v>
      </c>
      <c r="C378" t="s">
        <v>103</v>
      </c>
      <c r="D378" s="2" t="s">
        <v>27</v>
      </c>
      <c r="E378" s="2">
        <v>15</v>
      </c>
      <c r="F378" s="2">
        <v>1</v>
      </c>
      <c r="G378" s="2">
        <v>248</v>
      </c>
      <c r="H378" s="2">
        <v>11.5</v>
      </c>
      <c r="I378" s="2">
        <v>0.54200000000000004</v>
      </c>
      <c r="J378" s="2">
        <v>0.64900000000000002</v>
      </c>
      <c r="K378" s="2">
        <v>0.223</v>
      </c>
      <c r="L378" s="2">
        <v>6.6</v>
      </c>
      <c r="M378" s="2">
        <v>16.5</v>
      </c>
      <c r="N378" s="2">
        <v>11.4</v>
      </c>
      <c r="O378" s="2">
        <v>6.2</v>
      </c>
      <c r="P378" s="2">
        <v>1</v>
      </c>
      <c r="Q378" s="2">
        <v>3.7</v>
      </c>
      <c r="R378" s="2">
        <v>9.6</v>
      </c>
      <c r="S378" s="2">
        <v>20.6</v>
      </c>
      <c r="T378" s="2">
        <v>0</v>
      </c>
      <c r="U378" s="2">
        <v>0.2</v>
      </c>
      <c r="V378" s="2">
        <v>0.2</v>
      </c>
      <c r="W378" s="2">
        <v>4.2000000000000003E-2</v>
      </c>
      <c r="X378" s="2">
        <v>-2.1</v>
      </c>
      <c r="Y378" s="2">
        <v>-1.3</v>
      </c>
      <c r="Z378" s="2">
        <v>-3.4</v>
      </c>
      <c r="AA378" s="2">
        <v>-0.1</v>
      </c>
    </row>
    <row r="379" spans="1:27" x14ac:dyDescent="0.2">
      <c r="A379" t="s">
        <v>106</v>
      </c>
      <c r="B379" s="2">
        <v>31</v>
      </c>
      <c r="C379" t="s">
        <v>77</v>
      </c>
      <c r="D379" s="2" t="s">
        <v>52</v>
      </c>
      <c r="E379" s="2">
        <v>18</v>
      </c>
      <c r="F379" s="2">
        <v>18</v>
      </c>
      <c r="G379" s="2">
        <v>586</v>
      </c>
      <c r="H379" s="2">
        <v>19.600000000000001</v>
      </c>
      <c r="I379" s="2">
        <v>0.64200000000000002</v>
      </c>
      <c r="J379" s="2">
        <v>0.47799999999999998</v>
      </c>
      <c r="K379" s="2">
        <v>0.253</v>
      </c>
      <c r="L379" s="2">
        <v>0.9</v>
      </c>
      <c r="M379" s="2">
        <v>9.4</v>
      </c>
      <c r="N379" s="2">
        <v>5.2</v>
      </c>
      <c r="O379" s="2">
        <v>13.3</v>
      </c>
      <c r="P379" s="2">
        <v>1.7</v>
      </c>
      <c r="Q379" s="2">
        <v>0.5</v>
      </c>
      <c r="R379" s="2">
        <v>10.3</v>
      </c>
      <c r="S379" s="2">
        <v>27.1</v>
      </c>
      <c r="T379" s="2">
        <v>1.3</v>
      </c>
      <c r="U379" s="2">
        <v>0.6</v>
      </c>
      <c r="V379" s="2">
        <v>1.9</v>
      </c>
      <c r="W379" s="2">
        <v>0.155</v>
      </c>
      <c r="X379" s="2">
        <v>4.4000000000000004</v>
      </c>
      <c r="Y379" s="2">
        <v>-0.6</v>
      </c>
      <c r="Z379" s="2">
        <v>3.8</v>
      </c>
      <c r="AA379" s="2">
        <v>0.9</v>
      </c>
    </row>
    <row r="380" spans="1:27" x14ac:dyDescent="0.2">
      <c r="A380" t="s">
        <v>200</v>
      </c>
      <c r="B380" s="2">
        <v>26</v>
      </c>
      <c r="C380" t="s">
        <v>82</v>
      </c>
      <c r="D380" s="2" t="s">
        <v>27</v>
      </c>
      <c r="E380" s="2">
        <v>24</v>
      </c>
      <c r="F380" s="2">
        <v>0</v>
      </c>
      <c r="G380" s="2">
        <v>483</v>
      </c>
      <c r="H380" s="2">
        <v>17.3</v>
      </c>
      <c r="I380" s="2">
        <v>0.63400000000000001</v>
      </c>
      <c r="J380" s="2">
        <v>0.47199999999999998</v>
      </c>
      <c r="K380" s="2">
        <v>0.13900000000000001</v>
      </c>
      <c r="L380" s="2">
        <v>4.0999999999999996</v>
      </c>
      <c r="M380" s="2">
        <v>17.8</v>
      </c>
      <c r="N380" s="2">
        <v>11</v>
      </c>
      <c r="O380" s="2">
        <v>13.1</v>
      </c>
      <c r="P380" s="2">
        <v>1.4</v>
      </c>
      <c r="Q380" s="2">
        <v>2</v>
      </c>
      <c r="R380" s="2">
        <v>8.1999999999999993</v>
      </c>
      <c r="S380" s="2">
        <v>18.7</v>
      </c>
      <c r="T380" s="2">
        <v>1</v>
      </c>
      <c r="U380" s="2">
        <v>0.3</v>
      </c>
      <c r="V380" s="2">
        <v>1.2</v>
      </c>
      <c r="W380" s="2">
        <v>0.123</v>
      </c>
      <c r="X380" s="2">
        <v>1.9</v>
      </c>
      <c r="Y380" s="2">
        <v>-0.8</v>
      </c>
      <c r="Z380" s="2">
        <v>1.1000000000000001</v>
      </c>
      <c r="AA380" s="2">
        <v>0.4</v>
      </c>
    </row>
    <row r="381" spans="1:27" x14ac:dyDescent="0.2">
      <c r="A381" t="s">
        <v>159</v>
      </c>
      <c r="B381" s="2">
        <v>24</v>
      </c>
      <c r="C381" t="s">
        <v>66</v>
      </c>
      <c r="D381" s="2" t="s">
        <v>52</v>
      </c>
      <c r="E381" s="2">
        <v>26</v>
      </c>
      <c r="F381" s="2">
        <v>24</v>
      </c>
      <c r="G381" s="2">
        <v>801</v>
      </c>
      <c r="H381" s="2">
        <v>12.6</v>
      </c>
      <c r="I381" s="2">
        <v>0.63700000000000001</v>
      </c>
      <c r="J381" s="2">
        <v>0.45500000000000002</v>
      </c>
      <c r="K381" s="2">
        <v>0.09</v>
      </c>
      <c r="L381" s="2">
        <v>3.4</v>
      </c>
      <c r="M381" s="2">
        <v>11.4</v>
      </c>
      <c r="N381" s="2">
        <v>7.3</v>
      </c>
      <c r="O381" s="2">
        <v>9</v>
      </c>
      <c r="P381" s="2">
        <v>1.6</v>
      </c>
      <c r="Q381" s="2">
        <v>1.7</v>
      </c>
      <c r="R381" s="2">
        <v>9.1</v>
      </c>
      <c r="S381" s="2">
        <v>13.2</v>
      </c>
      <c r="T381" s="2">
        <v>1.2</v>
      </c>
      <c r="U381" s="2">
        <v>0.4</v>
      </c>
      <c r="V381" s="2">
        <v>1.6</v>
      </c>
      <c r="W381" s="2">
        <v>9.5000000000000001E-2</v>
      </c>
      <c r="X381" s="2">
        <v>-0.3</v>
      </c>
      <c r="Y381" s="2">
        <v>0.2</v>
      </c>
      <c r="Z381" s="2">
        <v>-0.1</v>
      </c>
      <c r="AA381" s="2">
        <v>0.4</v>
      </c>
    </row>
    <row r="382" spans="1:27" x14ac:dyDescent="0.2">
      <c r="A382" t="s">
        <v>98</v>
      </c>
      <c r="B382" s="2">
        <v>27</v>
      </c>
      <c r="C382" t="s">
        <v>44</v>
      </c>
      <c r="D382" s="2" t="s">
        <v>27</v>
      </c>
      <c r="E382" s="2">
        <v>25</v>
      </c>
      <c r="F382" s="2">
        <v>25</v>
      </c>
      <c r="G382" s="2">
        <v>920</v>
      </c>
      <c r="H382" s="2">
        <v>15.1</v>
      </c>
      <c r="I382" s="2">
        <v>0.58599999999999997</v>
      </c>
      <c r="J382" s="2">
        <v>0.45200000000000001</v>
      </c>
      <c r="K382" s="2">
        <v>0.19400000000000001</v>
      </c>
      <c r="L382" s="2">
        <v>3.6</v>
      </c>
      <c r="M382" s="2">
        <v>11.8</v>
      </c>
      <c r="N382" s="2">
        <v>7.9</v>
      </c>
      <c r="O382" s="2">
        <v>7.5</v>
      </c>
      <c r="P382" s="2">
        <v>2.1</v>
      </c>
      <c r="Q382" s="2">
        <v>3.1</v>
      </c>
      <c r="R382" s="2">
        <v>8.1999999999999993</v>
      </c>
      <c r="S382" s="2">
        <v>19.399999999999999</v>
      </c>
      <c r="T382" s="2">
        <v>1.1000000000000001</v>
      </c>
      <c r="U382" s="2">
        <v>0.9</v>
      </c>
      <c r="V382" s="2">
        <v>2</v>
      </c>
      <c r="W382" s="2">
        <v>0.106</v>
      </c>
      <c r="X382" s="2">
        <v>-0.1</v>
      </c>
      <c r="Y382" s="2">
        <v>-0.2</v>
      </c>
      <c r="Z382" s="2">
        <v>-0.2</v>
      </c>
      <c r="AA382" s="2">
        <v>0.4</v>
      </c>
    </row>
    <row r="383" spans="1:27" x14ac:dyDescent="0.2">
      <c r="A383" t="s">
        <v>442</v>
      </c>
      <c r="B383" s="2">
        <v>22</v>
      </c>
      <c r="C383" t="s">
        <v>63</v>
      </c>
      <c r="D383" s="2" t="s">
        <v>27</v>
      </c>
      <c r="E383" s="2">
        <v>15</v>
      </c>
      <c r="F383" s="2">
        <v>0</v>
      </c>
      <c r="G383" s="2">
        <v>97</v>
      </c>
      <c r="H383" s="2">
        <v>12.1</v>
      </c>
      <c r="I383" s="2">
        <v>0.45500000000000002</v>
      </c>
      <c r="J383" s="2">
        <v>0.31</v>
      </c>
      <c r="K383" s="2">
        <v>0.31</v>
      </c>
      <c r="L383" s="2">
        <v>12.7</v>
      </c>
      <c r="M383" s="2">
        <v>16</v>
      </c>
      <c r="N383" s="2">
        <v>14.4</v>
      </c>
      <c r="O383" s="2">
        <v>5.2</v>
      </c>
      <c r="P383" s="2">
        <v>1.5</v>
      </c>
      <c r="Q383" s="2">
        <v>1.9</v>
      </c>
      <c r="R383" s="2">
        <v>2.9</v>
      </c>
      <c r="S383" s="2">
        <v>14.8</v>
      </c>
      <c r="T383" s="2">
        <v>0.1</v>
      </c>
      <c r="U383" s="2">
        <v>0.1</v>
      </c>
      <c r="V383" s="2">
        <v>0.2</v>
      </c>
      <c r="W383" s="2">
        <v>0.1</v>
      </c>
      <c r="X383" s="2">
        <v>-1.3</v>
      </c>
      <c r="Y383" s="2">
        <v>-1.1000000000000001</v>
      </c>
      <c r="Z383" s="2">
        <v>-2.4</v>
      </c>
      <c r="AA383" s="2">
        <v>0</v>
      </c>
    </row>
    <row r="384" spans="1:27" x14ac:dyDescent="0.2">
      <c r="A384" t="s">
        <v>179</v>
      </c>
      <c r="B384" s="2">
        <v>24</v>
      </c>
      <c r="C384" t="s">
        <v>72</v>
      </c>
      <c r="D384" s="2" t="s">
        <v>42</v>
      </c>
      <c r="E384" s="2">
        <v>24</v>
      </c>
      <c r="F384" s="2">
        <v>0</v>
      </c>
      <c r="G384" s="2">
        <v>574</v>
      </c>
      <c r="H384" s="2">
        <v>17.7</v>
      </c>
      <c r="I384" s="2">
        <v>0.60599999999999998</v>
      </c>
      <c r="J384" s="2">
        <v>0.19700000000000001</v>
      </c>
      <c r="K384" s="2">
        <v>0.33300000000000002</v>
      </c>
      <c r="L384" s="2">
        <v>11.4</v>
      </c>
      <c r="M384" s="2">
        <v>18.899999999999999</v>
      </c>
      <c r="N384" s="2">
        <v>15.1</v>
      </c>
      <c r="O384" s="2">
        <v>8.6999999999999993</v>
      </c>
      <c r="P384" s="2">
        <v>1.4</v>
      </c>
      <c r="Q384" s="2">
        <v>2.8</v>
      </c>
      <c r="R384" s="2">
        <v>8.5</v>
      </c>
      <c r="S384" s="2">
        <v>17.399999999999999</v>
      </c>
      <c r="T384" s="2">
        <v>1.3</v>
      </c>
      <c r="U384" s="2">
        <v>0.5</v>
      </c>
      <c r="V384" s="2">
        <v>1.8</v>
      </c>
      <c r="W384" s="2">
        <v>0.14799999999999999</v>
      </c>
      <c r="X384" s="2">
        <v>0</v>
      </c>
      <c r="Y384" s="2">
        <v>-0.4</v>
      </c>
      <c r="Z384" s="2">
        <v>-0.4</v>
      </c>
      <c r="AA384" s="2">
        <v>0.2</v>
      </c>
    </row>
    <row r="385" spans="1:27" x14ac:dyDescent="0.2">
      <c r="A385" t="s">
        <v>491</v>
      </c>
      <c r="B385" s="2">
        <v>24</v>
      </c>
      <c r="C385" t="s">
        <v>37</v>
      </c>
      <c r="D385" s="2" t="s">
        <v>42</v>
      </c>
      <c r="E385" s="2">
        <v>6</v>
      </c>
      <c r="F385" s="2">
        <v>0</v>
      </c>
      <c r="G385" s="2">
        <v>45</v>
      </c>
      <c r="H385" s="2">
        <v>12.1</v>
      </c>
      <c r="I385" s="2">
        <v>0.51300000000000001</v>
      </c>
      <c r="J385" s="2">
        <v>0.36399999999999999</v>
      </c>
      <c r="K385" s="2">
        <v>0.54500000000000004</v>
      </c>
      <c r="L385" s="2">
        <v>5.0999999999999996</v>
      </c>
      <c r="M385" s="2">
        <v>22.5</v>
      </c>
      <c r="N385" s="2">
        <v>13.9</v>
      </c>
      <c r="O385" s="2">
        <v>20.100000000000001</v>
      </c>
      <c r="P385" s="2">
        <v>2.2000000000000002</v>
      </c>
      <c r="Q385" s="2">
        <v>2.2999999999999998</v>
      </c>
      <c r="R385" s="2">
        <v>18</v>
      </c>
      <c r="S385" s="2">
        <v>16</v>
      </c>
      <c r="T385" s="2">
        <v>0</v>
      </c>
      <c r="U385" s="2">
        <v>0.1</v>
      </c>
      <c r="V385" s="2">
        <v>0.1</v>
      </c>
      <c r="W385" s="2">
        <v>0.08</v>
      </c>
      <c r="X385" s="2">
        <v>-4.2</v>
      </c>
      <c r="Y385" s="2">
        <v>1.1000000000000001</v>
      </c>
      <c r="Z385" s="2">
        <v>-3.1</v>
      </c>
      <c r="AA385" s="2">
        <v>0</v>
      </c>
    </row>
    <row r="386" spans="1:27" x14ac:dyDescent="0.2">
      <c r="A386" t="s">
        <v>541</v>
      </c>
      <c r="B386" s="2">
        <v>25</v>
      </c>
      <c r="C386" t="s">
        <v>120</v>
      </c>
      <c r="D386" s="2" t="s">
        <v>27</v>
      </c>
      <c r="E386" s="2">
        <v>1</v>
      </c>
      <c r="F386" s="2">
        <v>0</v>
      </c>
      <c r="G386" s="2">
        <v>16</v>
      </c>
      <c r="H386" s="2">
        <v>18.100000000000001</v>
      </c>
      <c r="I386" s="2">
        <v>0.85199999999999998</v>
      </c>
      <c r="J386" s="2"/>
      <c r="K386" s="2"/>
      <c r="L386" s="2">
        <v>21.2</v>
      </c>
      <c r="M386" s="2">
        <v>41</v>
      </c>
      <c r="N386" s="2">
        <v>31.3</v>
      </c>
      <c r="O386" s="2">
        <v>0</v>
      </c>
      <c r="P386" s="2">
        <v>6.1</v>
      </c>
      <c r="Q386" s="2">
        <v>0</v>
      </c>
      <c r="R386" s="2">
        <v>36.200000000000003</v>
      </c>
      <c r="S386" s="2">
        <v>7.3</v>
      </c>
      <c r="T386" s="2">
        <v>0</v>
      </c>
      <c r="U386" s="2">
        <v>0</v>
      </c>
      <c r="V386" s="2">
        <v>0.1</v>
      </c>
      <c r="W386" s="2">
        <v>0.20599999999999999</v>
      </c>
      <c r="X386" s="2">
        <v>-3.7</v>
      </c>
      <c r="Y386" s="2">
        <v>2.8</v>
      </c>
      <c r="Z386" s="2">
        <v>-0.8</v>
      </c>
      <c r="AA386" s="2">
        <v>0</v>
      </c>
    </row>
    <row r="387" spans="1:27" x14ac:dyDescent="0.2">
      <c r="A387" t="s">
        <v>365</v>
      </c>
      <c r="B387" s="2">
        <v>22</v>
      </c>
      <c r="C387" t="s">
        <v>54</v>
      </c>
      <c r="D387" s="2" t="s">
        <v>27</v>
      </c>
      <c r="E387" s="2">
        <v>18</v>
      </c>
      <c r="F387" s="2">
        <v>2</v>
      </c>
      <c r="G387" s="2">
        <v>319</v>
      </c>
      <c r="H387" s="2">
        <v>11.2</v>
      </c>
      <c r="I387" s="2">
        <v>0.63800000000000001</v>
      </c>
      <c r="J387" s="2">
        <v>0</v>
      </c>
      <c r="K387" s="2">
        <v>0.22800000000000001</v>
      </c>
      <c r="L387" s="2">
        <v>7.8</v>
      </c>
      <c r="M387" s="2">
        <v>17.7</v>
      </c>
      <c r="N387" s="2">
        <v>12.9</v>
      </c>
      <c r="O387" s="2">
        <v>8.3000000000000007</v>
      </c>
      <c r="P387" s="2">
        <v>1.1000000000000001</v>
      </c>
      <c r="Q387" s="2">
        <v>1.7</v>
      </c>
      <c r="R387" s="2">
        <v>16.100000000000001</v>
      </c>
      <c r="S387" s="2">
        <v>10.3</v>
      </c>
      <c r="T387" s="2">
        <v>0.4</v>
      </c>
      <c r="U387" s="2">
        <v>0.2</v>
      </c>
      <c r="V387" s="2">
        <v>0.6</v>
      </c>
      <c r="W387" s="2">
        <v>9.6000000000000002E-2</v>
      </c>
      <c r="X387" s="2">
        <v>-2.5</v>
      </c>
      <c r="Y387" s="2">
        <v>0</v>
      </c>
      <c r="Z387" s="2">
        <v>-2.5</v>
      </c>
      <c r="AA387" s="2">
        <v>0</v>
      </c>
    </row>
    <row r="388" spans="1:27" x14ac:dyDescent="0.2">
      <c r="A388" t="s">
        <v>395</v>
      </c>
      <c r="B388" s="2">
        <v>21</v>
      </c>
      <c r="C388" t="s">
        <v>32</v>
      </c>
      <c r="D388" s="2" t="s">
        <v>27</v>
      </c>
      <c r="E388" s="2">
        <v>16</v>
      </c>
      <c r="F388" s="2">
        <v>0</v>
      </c>
      <c r="G388" s="2">
        <v>186</v>
      </c>
      <c r="H388" s="2">
        <v>10.5</v>
      </c>
      <c r="I388" s="2">
        <v>0.439</v>
      </c>
      <c r="J388" s="2">
        <v>0.61</v>
      </c>
      <c r="K388" s="2">
        <v>0.186</v>
      </c>
      <c r="L388" s="2">
        <v>5.0999999999999996</v>
      </c>
      <c r="M388" s="2">
        <v>18.600000000000001</v>
      </c>
      <c r="N388" s="2">
        <v>11.8</v>
      </c>
      <c r="O388" s="2">
        <v>8.8000000000000007</v>
      </c>
      <c r="P388" s="2">
        <v>2.8</v>
      </c>
      <c r="Q388" s="2">
        <v>2.2000000000000002</v>
      </c>
      <c r="R388" s="2">
        <v>5.9</v>
      </c>
      <c r="S388" s="2">
        <v>15.5</v>
      </c>
      <c r="T388" s="2">
        <v>0</v>
      </c>
      <c r="U388" s="2">
        <v>0.4</v>
      </c>
      <c r="V388" s="2">
        <v>0.4</v>
      </c>
      <c r="W388" s="2">
        <v>9.9000000000000005E-2</v>
      </c>
      <c r="X388" s="2">
        <v>-3.4</v>
      </c>
      <c r="Y388" s="2">
        <v>1.8</v>
      </c>
      <c r="Z388" s="2">
        <v>-1.7</v>
      </c>
      <c r="AA388" s="2">
        <v>0</v>
      </c>
    </row>
    <row r="389" spans="1:27" x14ac:dyDescent="0.2">
      <c r="A389" t="s">
        <v>201</v>
      </c>
      <c r="B389" s="2">
        <v>26</v>
      </c>
      <c r="C389" t="s">
        <v>63</v>
      </c>
      <c r="D389" s="2" t="s">
        <v>27</v>
      </c>
      <c r="E389" s="2">
        <v>19</v>
      </c>
      <c r="F389" s="2">
        <v>18</v>
      </c>
      <c r="G389" s="2">
        <v>619</v>
      </c>
      <c r="H389" s="2">
        <v>14.6</v>
      </c>
      <c r="I389" s="2">
        <v>0.55500000000000005</v>
      </c>
      <c r="J389" s="2">
        <v>0.38500000000000001</v>
      </c>
      <c r="K389" s="2">
        <v>0.25600000000000001</v>
      </c>
      <c r="L389" s="2">
        <v>5.4</v>
      </c>
      <c r="M389" s="2">
        <v>21.4</v>
      </c>
      <c r="N389" s="2">
        <v>13.7</v>
      </c>
      <c r="O389" s="2">
        <v>10</v>
      </c>
      <c r="P389" s="2">
        <v>1.9</v>
      </c>
      <c r="Q389" s="2">
        <v>3.3</v>
      </c>
      <c r="R389" s="2">
        <v>12.5</v>
      </c>
      <c r="S389" s="2">
        <v>16.899999999999999</v>
      </c>
      <c r="T389" s="2">
        <v>0.5</v>
      </c>
      <c r="U389" s="2">
        <v>1</v>
      </c>
      <c r="V389" s="2">
        <v>1.5</v>
      </c>
      <c r="W389" s="2">
        <v>0.115</v>
      </c>
      <c r="X389" s="2">
        <v>-0.1</v>
      </c>
      <c r="Y389" s="2">
        <v>1.3</v>
      </c>
      <c r="Z389" s="2">
        <v>1.2</v>
      </c>
      <c r="AA389" s="2">
        <v>0.5</v>
      </c>
    </row>
    <row r="390" spans="1:27" x14ac:dyDescent="0.2">
      <c r="A390" t="s">
        <v>470</v>
      </c>
      <c r="B390" s="2">
        <v>19</v>
      </c>
      <c r="C390" t="s">
        <v>44</v>
      </c>
      <c r="D390" s="2" t="s">
        <v>52</v>
      </c>
      <c r="E390" s="2">
        <v>11</v>
      </c>
      <c r="F390" s="2">
        <v>0</v>
      </c>
      <c r="G390" s="2">
        <v>77</v>
      </c>
      <c r="H390" s="2">
        <v>7.9</v>
      </c>
      <c r="I390" s="2">
        <v>0.503</v>
      </c>
      <c r="J390" s="2">
        <v>0.66700000000000004</v>
      </c>
      <c r="K390" s="2">
        <v>0.111</v>
      </c>
      <c r="L390" s="2">
        <v>0</v>
      </c>
      <c r="M390" s="2">
        <v>18.5</v>
      </c>
      <c r="N390" s="2">
        <v>9.6999999999999993</v>
      </c>
      <c r="O390" s="2">
        <v>7.9</v>
      </c>
      <c r="P390" s="2">
        <v>0.6</v>
      </c>
      <c r="Q390" s="2">
        <v>2.5</v>
      </c>
      <c r="R390" s="2">
        <v>5</v>
      </c>
      <c r="S390" s="2">
        <v>11.4</v>
      </c>
      <c r="T390" s="2">
        <v>0</v>
      </c>
      <c r="U390" s="2">
        <v>0.1</v>
      </c>
      <c r="V390" s="2">
        <v>0.1</v>
      </c>
      <c r="W390" s="2">
        <v>5.5E-2</v>
      </c>
      <c r="X390" s="2">
        <v>-3.1</v>
      </c>
      <c r="Y390" s="2">
        <v>-0.8</v>
      </c>
      <c r="Z390" s="2">
        <v>-3.9</v>
      </c>
      <c r="AA390" s="2">
        <v>0</v>
      </c>
    </row>
    <row r="391" spans="1:27" x14ac:dyDescent="0.2">
      <c r="A391" t="s">
        <v>286</v>
      </c>
      <c r="B391" s="2">
        <v>22</v>
      </c>
      <c r="C391" t="s">
        <v>48</v>
      </c>
      <c r="D391" s="2" t="s">
        <v>27</v>
      </c>
      <c r="E391" s="2">
        <v>5</v>
      </c>
      <c r="F391" s="2">
        <v>5</v>
      </c>
      <c r="G391" s="2">
        <v>182</v>
      </c>
      <c r="H391" s="2">
        <v>25.3</v>
      </c>
      <c r="I391" s="2">
        <v>0.59</v>
      </c>
      <c r="J391" s="2">
        <v>0.33</v>
      </c>
      <c r="K391" s="2">
        <v>0.60799999999999998</v>
      </c>
      <c r="L391" s="2">
        <v>7.4</v>
      </c>
      <c r="M391" s="2">
        <v>21.2</v>
      </c>
      <c r="N391" s="2">
        <v>14</v>
      </c>
      <c r="O391" s="2">
        <v>28.5</v>
      </c>
      <c r="P391" s="2">
        <v>0.8</v>
      </c>
      <c r="Q391" s="2">
        <v>2.1</v>
      </c>
      <c r="R391" s="2">
        <v>8.1999999999999993</v>
      </c>
      <c r="S391" s="2">
        <v>31.8</v>
      </c>
      <c r="T391" s="2">
        <v>0.6</v>
      </c>
      <c r="U391" s="2">
        <v>0.3</v>
      </c>
      <c r="V391" s="2">
        <v>0.9</v>
      </c>
      <c r="W391" s="2">
        <v>0.22500000000000001</v>
      </c>
      <c r="X391" s="2">
        <v>5.7</v>
      </c>
      <c r="Y391" s="2">
        <v>0.7</v>
      </c>
      <c r="Z391" s="2">
        <v>6.4</v>
      </c>
      <c r="AA391" s="2">
        <v>0.4</v>
      </c>
    </row>
    <row r="392" spans="1:27" x14ac:dyDescent="0.2">
      <c r="A392" t="s">
        <v>81</v>
      </c>
      <c r="B392" s="2">
        <v>30</v>
      </c>
      <c r="C392" t="s">
        <v>82</v>
      </c>
      <c r="D392" s="2" t="s">
        <v>27</v>
      </c>
      <c r="E392" s="2">
        <v>25</v>
      </c>
      <c r="F392" s="2">
        <v>25</v>
      </c>
      <c r="G392" s="2">
        <v>861</v>
      </c>
      <c r="H392" s="2">
        <v>18.3</v>
      </c>
      <c r="I392" s="2">
        <v>0.61799999999999999</v>
      </c>
      <c r="J392" s="2">
        <v>0.29699999999999999</v>
      </c>
      <c r="K392" s="2">
        <v>0.247</v>
      </c>
      <c r="L392" s="2">
        <v>6</v>
      </c>
      <c r="M392" s="2">
        <v>16.2</v>
      </c>
      <c r="N392" s="2">
        <v>11.1</v>
      </c>
      <c r="O392" s="2">
        <v>15.7</v>
      </c>
      <c r="P392" s="2">
        <v>1.3</v>
      </c>
      <c r="Q392" s="2">
        <v>0.7</v>
      </c>
      <c r="R392" s="2">
        <v>8.6999999999999993</v>
      </c>
      <c r="S392" s="2">
        <v>22</v>
      </c>
      <c r="T392" s="2">
        <v>2</v>
      </c>
      <c r="U392" s="2">
        <v>0.4</v>
      </c>
      <c r="V392" s="2">
        <v>2.2999999999999998</v>
      </c>
      <c r="W392" s="2">
        <v>0.13</v>
      </c>
      <c r="X392" s="2">
        <v>2.2000000000000002</v>
      </c>
      <c r="Y392" s="2">
        <v>-1.4</v>
      </c>
      <c r="Z392" s="2">
        <v>0.8</v>
      </c>
      <c r="AA392" s="2">
        <v>0.6</v>
      </c>
    </row>
    <row r="393" spans="1:27" x14ac:dyDescent="0.2">
      <c r="A393" t="s">
        <v>373</v>
      </c>
      <c r="B393" s="2">
        <v>32</v>
      </c>
      <c r="C393" t="s">
        <v>35</v>
      </c>
      <c r="D393" s="2" t="s">
        <v>52</v>
      </c>
      <c r="E393" s="2">
        <v>15</v>
      </c>
      <c r="F393" s="2">
        <v>0</v>
      </c>
      <c r="G393" s="2">
        <v>255</v>
      </c>
      <c r="H393" s="2">
        <v>8.6999999999999993</v>
      </c>
      <c r="I393" s="2">
        <v>0.49099999999999999</v>
      </c>
      <c r="J393" s="2">
        <v>0.629</v>
      </c>
      <c r="K393" s="2">
        <v>0.17100000000000001</v>
      </c>
      <c r="L393" s="2">
        <v>3.6</v>
      </c>
      <c r="M393" s="2">
        <v>15.4</v>
      </c>
      <c r="N393" s="2">
        <v>9.6999999999999993</v>
      </c>
      <c r="O393" s="2">
        <v>13.6</v>
      </c>
      <c r="P393" s="2">
        <v>0.6</v>
      </c>
      <c r="Q393" s="2">
        <v>1.8</v>
      </c>
      <c r="R393" s="2">
        <v>12.7</v>
      </c>
      <c r="S393" s="2">
        <v>15</v>
      </c>
      <c r="T393" s="2">
        <v>0</v>
      </c>
      <c r="U393" s="2">
        <v>0.2</v>
      </c>
      <c r="V393" s="2">
        <v>0.2</v>
      </c>
      <c r="W393" s="2">
        <v>3.3000000000000002E-2</v>
      </c>
      <c r="X393" s="2">
        <v>-2.7</v>
      </c>
      <c r="Y393" s="2">
        <v>-0.9</v>
      </c>
      <c r="Z393" s="2">
        <v>-3.6</v>
      </c>
      <c r="AA393" s="2">
        <v>-0.1</v>
      </c>
    </row>
    <row r="394" spans="1:27" x14ac:dyDescent="0.2">
      <c r="A394" t="s">
        <v>492</v>
      </c>
      <c r="B394" s="2">
        <v>28</v>
      </c>
      <c r="C394" t="s">
        <v>100</v>
      </c>
      <c r="D394" s="2" t="s">
        <v>33</v>
      </c>
      <c r="E394" s="2">
        <v>8</v>
      </c>
      <c r="F394" s="2">
        <v>0</v>
      </c>
      <c r="G394" s="2">
        <v>44</v>
      </c>
      <c r="H394" s="2">
        <v>15</v>
      </c>
      <c r="I394" s="2">
        <v>0.41499999999999998</v>
      </c>
      <c r="J394" s="2">
        <v>0.188</v>
      </c>
      <c r="K394" s="2">
        <v>0.125</v>
      </c>
      <c r="L394" s="2">
        <v>9.1999999999999993</v>
      </c>
      <c r="M394" s="2">
        <v>7.1</v>
      </c>
      <c r="N394" s="2">
        <v>8.1999999999999993</v>
      </c>
      <c r="O394" s="2">
        <v>37.6</v>
      </c>
      <c r="P394" s="2">
        <v>5.5</v>
      </c>
      <c r="Q394" s="2">
        <v>0</v>
      </c>
      <c r="R394" s="2">
        <v>19.2</v>
      </c>
      <c r="S394" s="2">
        <v>19.7</v>
      </c>
      <c r="T394" s="2">
        <v>0</v>
      </c>
      <c r="U394" s="2">
        <v>0.1</v>
      </c>
      <c r="V394" s="2">
        <v>0.1</v>
      </c>
      <c r="W394" s="2">
        <v>9.6000000000000002E-2</v>
      </c>
      <c r="X394" s="2">
        <v>-2.2000000000000002</v>
      </c>
      <c r="Y394" s="2">
        <v>4.9000000000000004</v>
      </c>
      <c r="Z394" s="2">
        <v>2.7</v>
      </c>
      <c r="AA394" s="2">
        <v>0.1</v>
      </c>
    </row>
    <row r="395" spans="1:27" x14ac:dyDescent="0.2">
      <c r="A395" t="s">
        <v>452</v>
      </c>
      <c r="B395" s="2">
        <v>22</v>
      </c>
      <c r="C395" t="s">
        <v>114</v>
      </c>
      <c r="D395" s="2" t="s">
        <v>49</v>
      </c>
      <c r="E395" s="2">
        <v>11</v>
      </c>
      <c r="F395" s="2">
        <v>0</v>
      </c>
      <c r="G395" s="2">
        <v>56</v>
      </c>
      <c r="H395" s="2">
        <v>14.1</v>
      </c>
      <c r="I395" s="2">
        <v>0.60199999999999998</v>
      </c>
      <c r="J395" s="2">
        <v>0.57899999999999996</v>
      </c>
      <c r="K395" s="2">
        <v>0.21099999999999999</v>
      </c>
      <c r="L395" s="2">
        <v>5.5</v>
      </c>
      <c r="M395" s="2">
        <v>17.3</v>
      </c>
      <c r="N395" s="2">
        <v>11.3</v>
      </c>
      <c r="O395" s="2">
        <v>2.7</v>
      </c>
      <c r="P395" s="2">
        <v>1.7</v>
      </c>
      <c r="Q395" s="2">
        <v>3.2</v>
      </c>
      <c r="R395" s="2">
        <v>8.8000000000000007</v>
      </c>
      <c r="S395" s="2">
        <v>16.8</v>
      </c>
      <c r="T395" s="2">
        <v>0</v>
      </c>
      <c r="U395" s="2">
        <v>0</v>
      </c>
      <c r="V395" s="2">
        <v>0.1</v>
      </c>
      <c r="W395" s="2">
        <v>5.2999999999999999E-2</v>
      </c>
      <c r="X395" s="2">
        <v>0.1</v>
      </c>
      <c r="Y395" s="2">
        <v>-1.7</v>
      </c>
      <c r="Z395" s="2">
        <v>-1.6</v>
      </c>
      <c r="AA395" s="2">
        <v>0</v>
      </c>
    </row>
    <row r="396" spans="1:27" x14ac:dyDescent="0.2">
      <c r="A396" t="s">
        <v>283</v>
      </c>
      <c r="B396" s="2">
        <v>23</v>
      </c>
      <c r="C396" t="s">
        <v>70</v>
      </c>
      <c r="D396" s="2" t="s">
        <v>27</v>
      </c>
      <c r="E396" s="2">
        <v>15</v>
      </c>
      <c r="F396" s="2">
        <v>15</v>
      </c>
      <c r="G396" s="2">
        <v>433</v>
      </c>
      <c r="H396" s="2">
        <v>9.1</v>
      </c>
      <c r="I396" s="2">
        <v>0.51700000000000002</v>
      </c>
      <c r="J396" s="2">
        <v>0.53400000000000003</v>
      </c>
      <c r="K396" s="2">
        <v>0.188</v>
      </c>
      <c r="L396" s="2">
        <v>4</v>
      </c>
      <c r="M396" s="2">
        <v>14.3</v>
      </c>
      <c r="N396" s="2">
        <v>9.1999999999999993</v>
      </c>
      <c r="O396" s="2">
        <v>10.199999999999999</v>
      </c>
      <c r="P396" s="2">
        <v>1.6</v>
      </c>
      <c r="Q396" s="2">
        <v>1.6</v>
      </c>
      <c r="R396" s="2">
        <v>16.8</v>
      </c>
      <c r="S396" s="2">
        <v>16.7</v>
      </c>
      <c r="T396" s="2">
        <v>-0.2</v>
      </c>
      <c r="U396" s="2">
        <v>0.2</v>
      </c>
      <c r="V396" s="2">
        <v>0</v>
      </c>
      <c r="W396" s="2">
        <v>-3.0000000000000001E-3</v>
      </c>
      <c r="X396" s="2">
        <v>-2.5</v>
      </c>
      <c r="Y396" s="2">
        <v>-0.9</v>
      </c>
      <c r="Z396" s="2">
        <v>-3.4</v>
      </c>
      <c r="AA396" s="2">
        <v>-0.2</v>
      </c>
    </row>
    <row r="397" spans="1:27" x14ac:dyDescent="0.2">
      <c r="A397" t="s">
        <v>436</v>
      </c>
      <c r="B397" s="2">
        <v>36</v>
      </c>
      <c r="C397" t="s">
        <v>120</v>
      </c>
      <c r="D397" s="2" t="s">
        <v>33</v>
      </c>
      <c r="E397" s="2">
        <v>9</v>
      </c>
      <c r="F397" s="2">
        <v>0</v>
      </c>
      <c r="G397" s="2">
        <v>138</v>
      </c>
      <c r="H397" s="2">
        <v>6.2</v>
      </c>
      <c r="I397" s="2">
        <v>0.495</v>
      </c>
      <c r="J397" s="2">
        <v>0.77400000000000002</v>
      </c>
      <c r="K397" s="2">
        <v>9.7000000000000003E-2</v>
      </c>
      <c r="L397" s="2">
        <v>0.8</v>
      </c>
      <c r="M397" s="2">
        <v>5.6</v>
      </c>
      <c r="N397" s="2">
        <v>3.2</v>
      </c>
      <c r="O397" s="2">
        <v>12.9</v>
      </c>
      <c r="P397" s="2">
        <v>2.1</v>
      </c>
      <c r="Q397" s="2">
        <v>1.4</v>
      </c>
      <c r="R397" s="2">
        <v>19.8</v>
      </c>
      <c r="S397" s="2">
        <v>12.3</v>
      </c>
      <c r="T397" s="2">
        <v>-0.1</v>
      </c>
      <c r="U397" s="2">
        <v>0</v>
      </c>
      <c r="V397" s="2">
        <v>-0.1</v>
      </c>
      <c r="W397" s="2">
        <v>-2.1000000000000001E-2</v>
      </c>
      <c r="X397" s="2">
        <v>-4.2</v>
      </c>
      <c r="Y397" s="2">
        <v>0.3</v>
      </c>
      <c r="Z397" s="2">
        <v>-3.9</v>
      </c>
      <c r="AA397" s="2">
        <v>-0.1</v>
      </c>
    </row>
    <row r="398" spans="1:27" x14ac:dyDescent="0.2">
      <c r="A398" t="s">
        <v>239</v>
      </c>
      <c r="B398" s="2">
        <v>34</v>
      </c>
      <c r="C398" t="s">
        <v>122</v>
      </c>
      <c r="D398" s="2" t="s">
        <v>27</v>
      </c>
      <c r="E398" s="2">
        <v>12</v>
      </c>
      <c r="F398" s="2">
        <v>12</v>
      </c>
      <c r="G398" s="2">
        <v>367</v>
      </c>
      <c r="H398" s="2">
        <v>15.8</v>
      </c>
      <c r="I398" s="2">
        <v>0.52400000000000002</v>
      </c>
      <c r="J398" s="2">
        <v>0.46100000000000002</v>
      </c>
      <c r="K398" s="2">
        <v>0.222</v>
      </c>
      <c r="L398" s="2">
        <v>2.7</v>
      </c>
      <c r="M398" s="2">
        <v>18.600000000000001</v>
      </c>
      <c r="N398" s="2">
        <v>10.1</v>
      </c>
      <c r="O398" s="2">
        <v>28.6</v>
      </c>
      <c r="P398" s="2">
        <v>3</v>
      </c>
      <c r="Q398" s="2">
        <v>1.1000000000000001</v>
      </c>
      <c r="R398" s="2">
        <v>15.3</v>
      </c>
      <c r="S398" s="2">
        <v>25.9</v>
      </c>
      <c r="T398" s="2">
        <v>0</v>
      </c>
      <c r="U398" s="2">
        <v>0.5</v>
      </c>
      <c r="V398" s="2">
        <v>0.5</v>
      </c>
      <c r="W398" s="2">
        <v>6.2E-2</v>
      </c>
      <c r="X398" s="2">
        <v>0.5</v>
      </c>
      <c r="Y398" s="2">
        <v>1.3</v>
      </c>
      <c r="Z398" s="2">
        <v>1.8</v>
      </c>
      <c r="AA398" s="2">
        <v>0.4</v>
      </c>
    </row>
    <row r="399" spans="1:27" x14ac:dyDescent="0.2">
      <c r="A399" t="s">
        <v>392</v>
      </c>
      <c r="B399" s="2">
        <v>25</v>
      </c>
      <c r="C399" t="s">
        <v>75</v>
      </c>
      <c r="D399" s="2" t="s">
        <v>42</v>
      </c>
      <c r="E399" s="2">
        <v>12</v>
      </c>
      <c r="F399" s="2">
        <v>0</v>
      </c>
      <c r="G399" s="2">
        <v>125</v>
      </c>
      <c r="H399" s="2">
        <v>17.100000000000001</v>
      </c>
      <c r="I399" s="2">
        <v>0.63600000000000001</v>
      </c>
      <c r="J399" s="2">
        <v>0.28199999999999997</v>
      </c>
      <c r="K399" s="2">
        <v>0.38500000000000001</v>
      </c>
      <c r="L399" s="2">
        <v>6.3</v>
      </c>
      <c r="M399" s="2">
        <v>14</v>
      </c>
      <c r="N399" s="2">
        <v>10.199999999999999</v>
      </c>
      <c r="O399" s="2">
        <v>9.6</v>
      </c>
      <c r="P399" s="2">
        <v>3.9</v>
      </c>
      <c r="Q399" s="2">
        <v>4.5999999999999996</v>
      </c>
      <c r="R399" s="2">
        <v>16.5</v>
      </c>
      <c r="S399" s="2">
        <v>18.7</v>
      </c>
      <c r="T399" s="2">
        <v>0.2</v>
      </c>
      <c r="U399" s="2">
        <v>0.2</v>
      </c>
      <c r="V399" s="2">
        <v>0.4</v>
      </c>
      <c r="W399" s="2">
        <v>0.14399999999999999</v>
      </c>
      <c r="X399" s="2">
        <v>-1.5</v>
      </c>
      <c r="Y399" s="2">
        <v>2.9</v>
      </c>
      <c r="Z399" s="2">
        <v>1.5</v>
      </c>
      <c r="AA399" s="2">
        <v>0.1</v>
      </c>
    </row>
    <row r="400" spans="1:27" x14ac:dyDescent="0.2">
      <c r="A400" t="s">
        <v>111</v>
      </c>
      <c r="B400" s="2">
        <v>27</v>
      </c>
      <c r="C400" t="s">
        <v>39</v>
      </c>
      <c r="D400" s="2" t="s">
        <v>33</v>
      </c>
      <c r="E400" s="2">
        <v>25</v>
      </c>
      <c r="F400" s="2">
        <v>0</v>
      </c>
      <c r="G400" s="2">
        <v>709</v>
      </c>
      <c r="H400" s="2">
        <v>19.7</v>
      </c>
      <c r="I400" s="2">
        <v>0.67400000000000004</v>
      </c>
      <c r="J400" s="2">
        <v>0.77400000000000002</v>
      </c>
      <c r="K400" s="2">
        <v>0.153</v>
      </c>
      <c r="L400" s="2">
        <v>4.2</v>
      </c>
      <c r="M400" s="2">
        <v>8.6999999999999993</v>
      </c>
      <c r="N400" s="2">
        <v>6.4</v>
      </c>
      <c r="O400" s="2">
        <v>16.8</v>
      </c>
      <c r="P400" s="2">
        <v>1.7</v>
      </c>
      <c r="Q400" s="2">
        <v>0.4</v>
      </c>
      <c r="R400" s="2">
        <v>7.8</v>
      </c>
      <c r="S400" s="2">
        <v>20.3</v>
      </c>
      <c r="T400" s="2">
        <v>2.4</v>
      </c>
      <c r="U400" s="2">
        <v>0.7</v>
      </c>
      <c r="V400" s="2">
        <v>3.1</v>
      </c>
      <c r="W400" s="2">
        <v>0.21</v>
      </c>
      <c r="X400" s="2">
        <v>4.5999999999999996</v>
      </c>
      <c r="Y400" s="2">
        <v>0</v>
      </c>
      <c r="Z400" s="2">
        <v>4.5999999999999996</v>
      </c>
      <c r="AA400" s="2">
        <v>1.2</v>
      </c>
    </row>
    <row r="401" spans="1:27" x14ac:dyDescent="0.2">
      <c r="A401" t="s">
        <v>354</v>
      </c>
      <c r="B401" s="2">
        <v>23</v>
      </c>
      <c r="C401" t="s">
        <v>61</v>
      </c>
      <c r="D401" s="2" t="s">
        <v>52</v>
      </c>
      <c r="E401" s="2">
        <v>15</v>
      </c>
      <c r="F401" s="2">
        <v>0</v>
      </c>
      <c r="G401" s="2">
        <v>245</v>
      </c>
      <c r="H401" s="2">
        <v>12.4</v>
      </c>
      <c r="I401" s="2">
        <v>0.627</v>
      </c>
      <c r="J401" s="2">
        <v>0.46</v>
      </c>
      <c r="K401" s="2">
        <v>0.317</v>
      </c>
      <c r="L401" s="2">
        <v>4.5</v>
      </c>
      <c r="M401" s="2">
        <v>8.8000000000000007</v>
      </c>
      <c r="N401" s="2">
        <v>6.7</v>
      </c>
      <c r="O401" s="2">
        <v>13.1</v>
      </c>
      <c r="P401" s="2">
        <v>1.8</v>
      </c>
      <c r="Q401" s="2">
        <v>0</v>
      </c>
      <c r="R401" s="2">
        <v>10</v>
      </c>
      <c r="S401" s="2">
        <v>14.2</v>
      </c>
      <c r="T401" s="2">
        <v>0.4</v>
      </c>
      <c r="U401" s="2">
        <v>0.2</v>
      </c>
      <c r="V401" s="2">
        <v>0.6</v>
      </c>
      <c r="W401" s="2">
        <v>0.126</v>
      </c>
      <c r="X401" s="2">
        <v>-2.7</v>
      </c>
      <c r="Y401" s="2">
        <v>0.5</v>
      </c>
      <c r="Z401" s="2">
        <v>-2.2000000000000002</v>
      </c>
      <c r="AA401" s="2">
        <v>0</v>
      </c>
    </row>
    <row r="402" spans="1:27" x14ac:dyDescent="0.2">
      <c r="A402" t="s">
        <v>238</v>
      </c>
      <c r="B402" s="2">
        <v>22</v>
      </c>
      <c r="C402" t="s">
        <v>46</v>
      </c>
      <c r="D402" s="2" t="s">
        <v>49</v>
      </c>
      <c r="E402" s="2">
        <v>22</v>
      </c>
      <c r="F402" s="2">
        <v>12</v>
      </c>
      <c r="G402" s="2">
        <v>547</v>
      </c>
      <c r="H402" s="2">
        <v>11.6</v>
      </c>
      <c r="I402" s="2">
        <v>0.58099999999999996</v>
      </c>
      <c r="J402" s="2">
        <v>0.33600000000000002</v>
      </c>
      <c r="K402" s="2">
        <v>0.28899999999999998</v>
      </c>
      <c r="L402" s="2">
        <v>4.0999999999999996</v>
      </c>
      <c r="M402" s="2">
        <v>10.1</v>
      </c>
      <c r="N402" s="2">
        <v>7.2</v>
      </c>
      <c r="O402" s="2">
        <v>6.6</v>
      </c>
      <c r="P402" s="2">
        <v>1.6</v>
      </c>
      <c r="Q402" s="2">
        <v>3.6</v>
      </c>
      <c r="R402" s="2">
        <v>9.6999999999999993</v>
      </c>
      <c r="S402" s="2">
        <v>14.3</v>
      </c>
      <c r="T402" s="2">
        <v>0.5</v>
      </c>
      <c r="U402" s="2">
        <v>0.4</v>
      </c>
      <c r="V402" s="2">
        <v>0.9</v>
      </c>
      <c r="W402" s="2">
        <v>8.1000000000000003E-2</v>
      </c>
      <c r="X402" s="2">
        <v>-1.8</v>
      </c>
      <c r="Y402" s="2">
        <v>-0.2</v>
      </c>
      <c r="Z402" s="2">
        <v>-2.1</v>
      </c>
      <c r="AA402" s="2">
        <v>0</v>
      </c>
    </row>
    <row r="403" spans="1:27" x14ac:dyDescent="0.2">
      <c r="A403" t="s">
        <v>506</v>
      </c>
      <c r="B403" s="2">
        <v>28</v>
      </c>
      <c r="C403" t="s">
        <v>51</v>
      </c>
      <c r="D403" s="2" t="s">
        <v>52</v>
      </c>
      <c r="E403" s="2">
        <v>7</v>
      </c>
      <c r="F403" s="2">
        <v>0</v>
      </c>
      <c r="G403" s="2">
        <v>30</v>
      </c>
      <c r="H403" s="2">
        <v>11.3</v>
      </c>
      <c r="I403" s="2">
        <v>0.621</v>
      </c>
      <c r="J403" s="2">
        <v>1</v>
      </c>
      <c r="K403" s="2">
        <v>2</v>
      </c>
      <c r="L403" s="2">
        <v>3.9</v>
      </c>
      <c r="M403" s="2">
        <v>14.9</v>
      </c>
      <c r="N403" s="2">
        <v>9.6</v>
      </c>
      <c r="O403" s="2">
        <v>22.3</v>
      </c>
      <c r="P403" s="2">
        <v>1.6</v>
      </c>
      <c r="Q403" s="2">
        <v>0</v>
      </c>
      <c r="R403" s="2">
        <v>15.1</v>
      </c>
      <c r="S403" s="2">
        <v>9.6999999999999993</v>
      </c>
      <c r="T403" s="2">
        <v>0</v>
      </c>
      <c r="U403" s="2">
        <v>0</v>
      </c>
      <c r="V403" s="2">
        <v>0.1</v>
      </c>
      <c r="W403" s="2">
        <v>0.13800000000000001</v>
      </c>
      <c r="X403" s="2">
        <v>-1.6</v>
      </c>
      <c r="Y403" s="2">
        <v>3.1</v>
      </c>
      <c r="Z403" s="2">
        <v>1.5</v>
      </c>
      <c r="AA403" s="2">
        <v>0</v>
      </c>
    </row>
    <row r="404" spans="1:27" x14ac:dyDescent="0.2">
      <c r="A404" t="s">
        <v>525</v>
      </c>
      <c r="B404" s="2">
        <v>22</v>
      </c>
      <c r="C404" t="s">
        <v>46</v>
      </c>
      <c r="D404" s="2" t="s">
        <v>42</v>
      </c>
      <c r="E404" s="2">
        <v>5</v>
      </c>
      <c r="F404" s="2">
        <v>0</v>
      </c>
      <c r="G404" s="2">
        <v>11</v>
      </c>
      <c r="H404" s="2">
        <v>2.4</v>
      </c>
      <c r="I404" s="2">
        <v>0.4</v>
      </c>
      <c r="J404" s="2">
        <v>0.4</v>
      </c>
      <c r="K404" s="2">
        <v>0</v>
      </c>
      <c r="L404" s="2">
        <v>0</v>
      </c>
      <c r="M404" s="2">
        <v>9.6</v>
      </c>
      <c r="N404" s="2">
        <v>5</v>
      </c>
      <c r="O404" s="2">
        <v>0</v>
      </c>
      <c r="P404" s="2">
        <v>0</v>
      </c>
      <c r="Q404" s="2">
        <v>0</v>
      </c>
      <c r="R404" s="2">
        <v>0</v>
      </c>
      <c r="S404" s="2">
        <v>19.100000000000001</v>
      </c>
      <c r="T404" s="2">
        <v>0</v>
      </c>
      <c r="U404" s="2">
        <v>0</v>
      </c>
      <c r="V404" s="2">
        <v>0</v>
      </c>
      <c r="W404" s="2">
        <v>-8.8999999999999996E-2</v>
      </c>
      <c r="X404" s="2">
        <v>-10.7</v>
      </c>
      <c r="Y404" s="2">
        <v>-6.5</v>
      </c>
      <c r="Z404" s="2">
        <v>-17.2</v>
      </c>
      <c r="AA404" s="2">
        <v>0</v>
      </c>
    </row>
    <row r="405" spans="1:27" x14ac:dyDescent="0.2">
      <c r="A405" t="s">
        <v>479</v>
      </c>
      <c r="B405" s="2">
        <v>25</v>
      </c>
      <c r="C405" t="s">
        <v>44</v>
      </c>
      <c r="D405" s="2" t="s">
        <v>27</v>
      </c>
      <c r="E405" s="2">
        <v>4</v>
      </c>
      <c r="F405" s="2">
        <v>0</v>
      </c>
      <c r="G405" s="2">
        <v>75</v>
      </c>
      <c r="H405" s="2">
        <v>12.4</v>
      </c>
      <c r="I405" s="2">
        <v>0.435</v>
      </c>
      <c r="J405" s="2">
        <v>0.125</v>
      </c>
      <c r="K405" s="2">
        <v>0.5</v>
      </c>
      <c r="L405" s="2">
        <v>9.6999999999999993</v>
      </c>
      <c r="M405" s="2">
        <v>27.8</v>
      </c>
      <c r="N405" s="2">
        <v>19.2</v>
      </c>
      <c r="O405" s="2">
        <v>9.9</v>
      </c>
      <c r="P405" s="2">
        <v>2</v>
      </c>
      <c r="Q405" s="2">
        <v>6.4</v>
      </c>
      <c r="R405" s="2">
        <v>17</v>
      </c>
      <c r="S405" s="2">
        <v>13.9</v>
      </c>
      <c r="T405" s="2">
        <v>0</v>
      </c>
      <c r="U405" s="2">
        <v>0.1</v>
      </c>
      <c r="V405" s="2">
        <v>0.1</v>
      </c>
      <c r="W405" s="2">
        <v>5.7000000000000002E-2</v>
      </c>
      <c r="X405" s="2">
        <v>-4.0999999999999996</v>
      </c>
      <c r="Y405" s="2">
        <v>0.4</v>
      </c>
      <c r="Z405" s="2">
        <v>-3.7</v>
      </c>
      <c r="AA405" s="2">
        <v>0</v>
      </c>
    </row>
    <row r="406" spans="1:27" x14ac:dyDescent="0.2">
      <c r="A406" t="s">
        <v>237</v>
      </c>
      <c r="B406" s="2">
        <v>24</v>
      </c>
      <c r="C406" t="s">
        <v>63</v>
      </c>
      <c r="D406" s="2" t="s">
        <v>52</v>
      </c>
      <c r="E406" s="2">
        <v>23</v>
      </c>
      <c r="F406" s="2">
        <v>8</v>
      </c>
      <c r="G406" s="2">
        <v>468</v>
      </c>
      <c r="H406" s="2">
        <v>12.6</v>
      </c>
      <c r="I406" s="2">
        <v>0.61899999999999999</v>
      </c>
      <c r="J406" s="2">
        <v>0.57899999999999996</v>
      </c>
      <c r="K406" s="2">
        <v>0.28599999999999998</v>
      </c>
      <c r="L406" s="2">
        <v>3.3</v>
      </c>
      <c r="M406" s="2">
        <v>15</v>
      </c>
      <c r="N406" s="2">
        <v>9.4</v>
      </c>
      <c r="O406" s="2">
        <v>9.6</v>
      </c>
      <c r="P406" s="2">
        <v>1.8</v>
      </c>
      <c r="Q406" s="2">
        <v>1</v>
      </c>
      <c r="R406" s="2">
        <v>15.5</v>
      </c>
      <c r="S406" s="2">
        <v>16.899999999999999</v>
      </c>
      <c r="T406" s="2">
        <v>0.4</v>
      </c>
      <c r="U406" s="2">
        <v>0.5</v>
      </c>
      <c r="V406" s="2">
        <v>1</v>
      </c>
      <c r="W406" s="2">
        <v>0.10100000000000001</v>
      </c>
      <c r="X406" s="2">
        <v>-0.6</v>
      </c>
      <c r="Y406" s="2">
        <v>0.1</v>
      </c>
      <c r="Z406" s="2">
        <v>-0.5</v>
      </c>
      <c r="AA406" s="2">
        <v>0.2</v>
      </c>
    </row>
    <row r="407" spans="1:27" x14ac:dyDescent="0.2">
      <c r="A407" t="s">
        <v>344</v>
      </c>
      <c r="B407" s="2">
        <v>26</v>
      </c>
      <c r="C407" t="s">
        <v>82</v>
      </c>
      <c r="D407" s="2" t="s">
        <v>33</v>
      </c>
      <c r="E407" s="2">
        <v>14</v>
      </c>
      <c r="F407" s="2">
        <v>7</v>
      </c>
      <c r="G407" s="2">
        <v>240</v>
      </c>
      <c r="H407" s="2">
        <v>13.7</v>
      </c>
      <c r="I407" s="2">
        <v>0.60299999999999998</v>
      </c>
      <c r="J407" s="2">
        <v>0.315</v>
      </c>
      <c r="K407" s="2">
        <v>0.23300000000000001</v>
      </c>
      <c r="L407" s="2">
        <v>4.9000000000000004</v>
      </c>
      <c r="M407" s="2">
        <v>8.1999999999999993</v>
      </c>
      <c r="N407" s="2">
        <v>6.6</v>
      </c>
      <c r="O407" s="2">
        <v>16.2</v>
      </c>
      <c r="P407" s="2">
        <v>1.8</v>
      </c>
      <c r="Q407" s="2">
        <v>2</v>
      </c>
      <c r="R407" s="2">
        <v>12</v>
      </c>
      <c r="S407" s="2">
        <v>16.5</v>
      </c>
      <c r="T407" s="2">
        <v>0.4</v>
      </c>
      <c r="U407" s="2">
        <v>0.1</v>
      </c>
      <c r="V407" s="2">
        <v>0.5</v>
      </c>
      <c r="W407" s="2">
        <v>9.0999999999999998E-2</v>
      </c>
      <c r="X407" s="2">
        <v>-1.5</v>
      </c>
      <c r="Y407" s="2">
        <v>-0.9</v>
      </c>
      <c r="Z407" s="2">
        <v>-2.4</v>
      </c>
      <c r="AA407" s="2">
        <v>0</v>
      </c>
    </row>
    <row r="408" spans="1:27" x14ac:dyDescent="0.2">
      <c r="A408" t="s">
        <v>539</v>
      </c>
      <c r="B408" s="2">
        <v>23</v>
      </c>
      <c r="C408" t="s">
        <v>41</v>
      </c>
      <c r="D408" s="2" t="s">
        <v>33</v>
      </c>
      <c r="E408" s="2">
        <v>1</v>
      </c>
      <c r="F408" s="2">
        <v>0</v>
      </c>
      <c r="G408" s="2">
        <v>8</v>
      </c>
      <c r="H408" s="2">
        <v>-0.9</v>
      </c>
      <c r="I408" s="2">
        <v>0.5</v>
      </c>
      <c r="J408" s="2">
        <v>1</v>
      </c>
      <c r="K408" s="2">
        <v>0</v>
      </c>
      <c r="L408" s="2">
        <v>0</v>
      </c>
      <c r="M408" s="2">
        <v>0</v>
      </c>
      <c r="N408" s="2">
        <v>0</v>
      </c>
      <c r="O408" s="2">
        <v>0</v>
      </c>
      <c r="P408" s="2">
        <v>0</v>
      </c>
      <c r="Q408" s="2">
        <v>0</v>
      </c>
      <c r="R408" s="2">
        <v>25</v>
      </c>
      <c r="S408" s="2">
        <v>22</v>
      </c>
      <c r="T408" s="2">
        <v>0</v>
      </c>
      <c r="U408" s="2">
        <v>0</v>
      </c>
      <c r="V408" s="2">
        <v>0</v>
      </c>
      <c r="W408" s="2">
        <v>-0.22</v>
      </c>
      <c r="X408" s="2">
        <v>-7.8</v>
      </c>
      <c r="Y408" s="2">
        <v>-7.8</v>
      </c>
      <c r="Z408" s="2">
        <v>-15.5</v>
      </c>
      <c r="AA408" s="2">
        <v>0</v>
      </c>
    </row>
    <row r="409" spans="1:27" x14ac:dyDescent="0.2">
      <c r="A409" t="s">
        <v>374</v>
      </c>
      <c r="B409" s="2">
        <v>20</v>
      </c>
      <c r="C409" t="s">
        <v>135</v>
      </c>
      <c r="D409" s="2" t="s">
        <v>52</v>
      </c>
      <c r="E409" s="2">
        <v>21</v>
      </c>
      <c r="F409" s="2">
        <v>0</v>
      </c>
      <c r="G409" s="2">
        <v>223</v>
      </c>
      <c r="H409" s="2">
        <v>9.5</v>
      </c>
      <c r="I409" s="2">
        <v>0.52700000000000002</v>
      </c>
      <c r="J409" s="2">
        <v>0.45300000000000001</v>
      </c>
      <c r="K409" s="2">
        <v>0.188</v>
      </c>
      <c r="L409" s="2">
        <v>7.9</v>
      </c>
      <c r="M409" s="2">
        <v>8.6999999999999993</v>
      </c>
      <c r="N409" s="2">
        <v>8.3000000000000007</v>
      </c>
      <c r="O409" s="2">
        <v>7.2</v>
      </c>
      <c r="P409" s="2">
        <v>1.5</v>
      </c>
      <c r="Q409" s="2">
        <v>0.9</v>
      </c>
      <c r="R409" s="2">
        <v>14.8</v>
      </c>
      <c r="S409" s="2">
        <v>15.1</v>
      </c>
      <c r="T409" s="2">
        <v>0</v>
      </c>
      <c r="U409" s="2">
        <v>0.1</v>
      </c>
      <c r="V409" s="2">
        <v>0.1</v>
      </c>
      <c r="W409" s="2">
        <v>1.9E-2</v>
      </c>
      <c r="X409" s="2">
        <v>-2.2999999999999998</v>
      </c>
      <c r="Y409" s="2">
        <v>-1.8</v>
      </c>
      <c r="Z409" s="2">
        <v>-4.0999999999999996</v>
      </c>
      <c r="AA409" s="2">
        <v>-0.1</v>
      </c>
    </row>
    <row r="410" spans="1:27" x14ac:dyDescent="0.2">
      <c r="A410" t="s">
        <v>543</v>
      </c>
      <c r="B410" s="2">
        <v>23</v>
      </c>
      <c r="C410" t="s">
        <v>100</v>
      </c>
      <c r="D410" s="2" t="s">
        <v>33</v>
      </c>
      <c r="E410" s="2">
        <v>2</v>
      </c>
      <c r="F410" s="2">
        <v>0</v>
      </c>
      <c r="G410" s="2">
        <v>4</v>
      </c>
      <c r="H410" s="2">
        <v>42.6</v>
      </c>
      <c r="I410" s="2">
        <v>1</v>
      </c>
      <c r="J410" s="2">
        <v>0</v>
      </c>
      <c r="K410" s="2">
        <v>0</v>
      </c>
      <c r="L410" s="2">
        <v>25.4</v>
      </c>
      <c r="M410" s="2">
        <v>0</v>
      </c>
      <c r="N410" s="2">
        <v>12.9</v>
      </c>
      <c r="O410" s="2">
        <v>40.799999999999997</v>
      </c>
      <c r="P410" s="2">
        <v>12</v>
      </c>
      <c r="Q410" s="2">
        <v>0</v>
      </c>
      <c r="R410" s="2">
        <v>0</v>
      </c>
      <c r="S410" s="2">
        <v>10.4</v>
      </c>
      <c r="T410" s="2">
        <v>0</v>
      </c>
      <c r="U410" s="2">
        <v>0</v>
      </c>
      <c r="V410" s="2">
        <v>0.1</v>
      </c>
      <c r="W410" s="2">
        <v>0.60899999999999999</v>
      </c>
      <c r="X410" s="2">
        <v>9.9</v>
      </c>
      <c r="Y410" s="2">
        <v>15.8</v>
      </c>
      <c r="Z410" s="2">
        <v>25.7</v>
      </c>
      <c r="AA410" s="2">
        <v>0</v>
      </c>
    </row>
    <row r="411" spans="1:27" x14ac:dyDescent="0.2">
      <c r="A411" t="s">
        <v>352</v>
      </c>
      <c r="B411" s="2">
        <v>20</v>
      </c>
      <c r="C411" t="s">
        <v>87</v>
      </c>
      <c r="D411" s="2" t="s">
        <v>33</v>
      </c>
      <c r="E411" s="2">
        <v>24</v>
      </c>
      <c r="F411" s="2">
        <v>0</v>
      </c>
      <c r="G411" s="2">
        <v>282</v>
      </c>
      <c r="H411" s="2">
        <v>8.6999999999999993</v>
      </c>
      <c r="I411" s="2">
        <v>0.45600000000000002</v>
      </c>
      <c r="J411" s="2">
        <v>0.57099999999999995</v>
      </c>
      <c r="K411" s="2">
        <v>4.1000000000000002E-2</v>
      </c>
      <c r="L411" s="2">
        <v>2.6</v>
      </c>
      <c r="M411" s="2">
        <v>6.7</v>
      </c>
      <c r="N411" s="2">
        <v>4.5999999999999996</v>
      </c>
      <c r="O411" s="2">
        <v>15.1</v>
      </c>
      <c r="P411" s="2">
        <v>2.1</v>
      </c>
      <c r="Q411" s="2">
        <v>2.5</v>
      </c>
      <c r="R411" s="2">
        <v>12.3</v>
      </c>
      <c r="S411" s="2">
        <v>16.600000000000001</v>
      </c>
      <c r="T411" s="2">
        <v>-0.1</v>
      </c>
      <c r="U411" s="2">
        <v>0.5</v>
      </c>
      <c r="V411" s="2">
        <v>0.4</v>
      </c>
      <c r="W411" s="2">
        <v>6.0999999999999999E-2</v>
      </c>
      <c r="X411" s="2">
        <v>-3.2</v>
      </c>
      <c r="Y411" s="2">
        <v>1.5</v>
      </c>
      <c r="Z411" s="2">
        <v>-1.7</v>
      </c>
      <c r="AA411" s="2">
        <v>0</v>
      </c>
    </row>
    <row r="412" spans="1:27" x14ac:dyDescent="0.2">
      <c r="A412" t="s">
        <v>416</v>
      </c>
      <c r="B412" s="2">
        <v>34</v>
      </c>
      <c r="C412" t="s">
        <v>122</v>
      </c>
      <c r="D412" s="2" t="s">
        <v>33</v>
      </c>
      <c r="E412" s="2">
        <v>10</v>
      </c>
      <c r="F412" s="2">
        <v>0</v>
      </c>
      <c r="G412" s="2">
        <v>119</v>
      </c>
      <c r="H412" s="2">
        <v>13.2</v>
      </c>
      <c r="I412" s="2">
        <v>0.55100000000000005</v>
      </c>
      <c r="J412" s="2">
        <v>0.64100000000000001</v>
      </c>
      <c r="K412" s="2">
        <v>0</v>
      </c>
      <c r="L412" s="2">
        <v>0.9</v>
      </c>
      <c r="M412" s="2">
        <v>8.3000000000000007</v>
      </c>
      <c r="N412" s="2">
        <v>4.4000000000000004</v>
      </c>
      <c r="O412" s="2">
        <v>27.4</v>
      </c>
      <c r="P412" s="2">
        <v>2.5</v>
      </c>
      <c r="Q412" s="2">
        <v>2.6</v>
      </c>
      <c r="R412" s="2">
        <v>15.2</v>
      </c>
      <c r="S412" s="2">
        <v>17</v>
      </c>
      <c r="T412" s="2">
        <v>0.1</v>
      </c>
      <c r="U412" s="2">
        <v>0.1</v>
      </c>
      <c r="V412" s="2">
        <v>0.2</v>
      </c>
      <c r="W412" s="2">
        <v>8.5999999999999993E-2</v>
      </c>
      <c r="X412" s="2">
        <v>0.1</v>
      </c>
      <c r="Y412" s="2">
        <v>0.5</v>
      </c>
      <c r="Z412" s="2">
        <v>0.5</v>
      </c>
      <c r="AA412" s="2">
        <v>0.1</v>
      </c>
    </row>
    <row r="413" spans="1:27" x14ac:dyDescent="0.2">
      <c r="A413" t="s">
        <v>493</v>
      </c>
      <c r="B413" s="2">
        <v>31</v>
      </c>
      <c r="C413" t="s">
        <v>114</v>
      </c>
      <c r="D413" s="2" t="s">
        <v>27</v>
      </c>
      <c r="E413" s="2">
        <v>3</v>
      </c>
      <c r="F413" s="2">
        <v>0</v>
      </c>
      <c r="G413" s="2">
        <v>20</v>
      </c>
      <c r="H413" s="2">
        <v>16</v>
      </c>
      <c r="I413" s="2">
        <v>0.55100000000000005</v>
      </c>
      <c r="J413" s="2">
        <v>0.1</v>
      </c>
      <c r="K413" s="2">
        <v>0.2</v>
      </c>
      <c r="L413" s="2">
        <v>10.4</v>
      </c>
      <c r="M413" s="2">
        <v>16.2</v>
      </c>
      <c r="N413" s="2">
        <v>13.2</v>
      </c>
      <c r="O413" s="2">
        <v>0</v>
      </c>
      <c r="P413" s="2">
        <v>0</v>
      </c>
      <c r="Q413" s="2">
        <v>9</v>
      </c>
      <c r="R413" s="2">
        <v>15.5</v>
      </c>
      <c r="S413" s="2">
        <v>26.6</v>
      </c>
      <c r="T413" s="2">
        <v>0</v>
      </c>
      <c r="U413" s="2">
        <v>0</v>
      </c>
      <c r="V413" s="2">
        <v>0</v>
      </c>
      <c r="W413" s="2">
        <v>-3.3000000000000002E-2</v>
      </c>
      <c r="X413" s="2">
        <v>-1.6</v>
      </c>
      <c r="Y413" s="2">
        <v>-1.2</v>
      </c>
      <c r="Z413" s="2">
        <v>-2.8</v>
      </c>
      <c r="AA413" s="2">
        <v>0</v>
      </c>
    </row>
    <row r="414" spans="1:27" x14ac:dyDescent="0.2">
      <c r="A414" t="s">
        <v>369</v>
      </c>
      <c r="B414" s="2">
        <v>23</v>
      </c>
      <c r="C414" t="s">
        <v>122</v>
      </c>
      <c r="D414" s="2" t="s">
        <v>49</v>
      </c>
      <c r="E414" s="2">
        <v>17</v>
      </c>
      <c r="F414" s="2">
        <v>0</v>
      </c>
      <c r="G414" s="2">
        <v>200</v>
      </c>
      <c r="H414" s="2">
        <v>11.5</v>
      </c>
      <c r="I414" s="2">
        <v>0.53400000000000003</v>
      </c>
      <c r="J414" s="2">
        <v>0.443</v>
      </c>
      <c r="K414" s="2">
        <v>0.34399999999999997</v>
      </c>
      <c r="L414" s="2">
        <v>2.7</v>
      </c>
      <c r="M414" s="2">
        <v>13</v>
      </c>
      <c r="N414" s="2">
        <v>7.5</v>
      </c>
      <c r="O414" s="2">
        <v>10.7</v>
      </c>
      <c r="P414" s="2">
        <v>0.7</v>
      </c>
      <c r="Q414" s="2">
        <v>1.6</v>
      </c>
      <c r="R414" s="2">
        <v>5.4</v>
      </c>
      <c r="S414" s="2">
        <v>16.3</v>
      </c>
      <c r="T414" s="2">
        <v>0.2</v>
      </c>
      <c r="U414" s="2">
        <v>0.1</v>
      </c>
      <c r="V414" s="2">
        <v>0.3</v>
      </c>
      <c r="W414" s="2">
        <v>8.3000000000000004E-2</v>
      </c>
      <c r="X414" s="2">
        <v>-1.3</v>
      </c>
      <c r="Y414" s="2">
        <v>-1.2</v>
      </c>
      <c r="Z414" s="2">
        <v>-2.5</v>
      </c>
      <c r="AA414" s="2">
        <v>0</v>
      </c>
    </row>
    <row r="415" spans="1:27" x14ac:dyDescent="0.2">
      <c r="A415" t="s">
        <v>565</v>
      </c>
      <c r="B415" s="2">
        <v>24</v>
      </c>
      <c r="C415" t="s">
        <v>93</v>
      </c>
      <c r="D415" s="2" t="s">
        <v>49</v>
      </c>
      <c r="E415" s="2">
        <v>1</v>
      </c>
      <c r="F415" s="2">
        <v>0</v>
      </c>
      <c r="G415" s="2">
        <v>7</v>
      </c>
      <c r="H415" s="2">
        <v>-1.8</v>
      </c>
      <c r="I415" s="2">
        <v>0</v>
      </c>
      <c r="J415" s="2">
        <v>1</v>
      </c>
      <c r="K415" s="2">
        <v>0</v>
      </c>
      <c r="L415" s="2">
        <v>0</v>
      </c>
      <c r="M415" s="2">
        <v>30.5</v>
      </c>
      <c r="N415" s="2">
        <v>15.4</v>
      </c>
      <c r="O415" s="2">
        <v>0</v>
      </c>
      <c r="P415" s="2">
        <v>0</v>
      </c>
      <c r="Q415" s="2">
        <v>0</v>
      </c>
      <c r="R415" s="2">
        <v>0</v>
      </c>
      <c r="S415" s="2">
        <v>6.1</v>
      </c>
      <c r="T415" s="2">
        <v>0</v>
      </c>
      <c r="U415" s="2">
        <v>0</v>
      </c>
      <c r="V415" s="2">
        <v>0</v>
      </c>
      <c r="W415" s="2">
        <v>-0.106</v>
      </c>
      <c r="X415" s="2">
        <v>-8.3000000000000007</v>
      </c>
      <c r="Y415" s="2">
        <v>-3.6</v>
      </c>
      <c r="Z415" s="2">
        <v>-11.9</v>
      </c>
      <c r="AA415" s="2">
        <v>0</v>
      </c>
    </row>
    <row r="416" spans="1:27" x14ac:dyDescent="0.2">
      <c r="A416" t="s">
        <v>65</v>
      </c>
      <c r="B416" s="2">
        <v>24</v>
      </c>
      <c r="C416" t="s">
        <v>66</v>
      </c>
      <c r="D416" s="2" t="s">
        <v>52</v>
      </c>
      <c r="E416" s="2">
        <v>23</v>
      </c>
      <c r="F416" s="2">
        <v>23</v>
      </c>
      <c r="G416" s="2">
        <v>787</v>
      </c>
      <c r="H416" s="2">
        <v>16.899999999999999</v>
      </c>
      <c r="I416" s="2">
        <v>0.54400000000000004</v>
      </c>
      <c r="J416" s="2">
        <v>0.309</v>
      </c>
      <c r="K416" s="2">
        <v>0.309</v>
      </c>
      <c r="L416" s="2">
        <v>2.9</v>
      </c>
      <c r="M416" s="2">
        <v>19</v>
      </c>
      <c r="N416" s="2">
        <v>10.9</v>
      </c>
      <c r="O416" s="2">
        <v>28.3</v>
      </c>
      <c r="P416" s="2">
        <v>1</v>
      </c>
      <c r="Q416" s="2">
        <v>1.1000000000000001</v>
      </c>
      <c r="R416" s="2">
        <v>13.6</v>
      </c>
      <c r="S416" s="2">
        <v>29.9</v>
      </c>
      <c r="T416" s="2">
        <v>0.5</v>
      </c>
      <c r="U416" s="2">
        <v>0.5</v>
      </c>
      <c r="V416" s="2">
        <v>0.9</v>
      </c>
      <c r="W416" s="2">
        <v>5.8000000000000003E-2</v>
      </c>
      <c r="X416" s="2">
        <v>1.4</v>
      </c>
      <c r="Y416" s="2">
        <v>-1</v>
      </c>
      <c r="Z416" s="2">
        <v>0.5</v>
      </c>
      <c r="AA416" s="2">
        <v>0.5</v>
      </c>
    </row>
    <row r="417" spans="1:27" x14ac:dyDescent="0.2">
      <c r="A417" t="s">
        <v>417</v>
      </c>
      <c r="B417" s="2">
        <v>20</v>
      </c>
      <c r="C417" t="s">
        <v>51</v>
      </c>
      <c r="D417" s="2" t="s">
        <v>33</v>
      </c>
      <c r="E417" s="2">
        <v>11</v>
      </c>
      <c r="F417" s="2">
        <v>0</v>
      </c>
      <c r="G417" s="2">
        <v>92</v>
      </c>
      <c r="H417" s="2">
        <v>9.5</v>
      </c>
      <c r="I417" s="2">
        <v>0.58299999999999996</v>
      </c>
      <c r="J417" s="2">
        <v>0.33300000000000002</v>
      </c>
      <c r="K417" s="2">
        <v>0</v>
      </c>
      <c r="L417" s="2">
        <v>1.3</v>
      </c>
      <c r="M417" s="2">
        <v>9.6999999999999993</v>
      </c>
      <c r="N417" s="2">
        <v>5.6</v>
      </c>
      <c r="O417" s="2">
        <v>28.2</v>
      </c>
      <c r="P417" s="2">
        <v>0</v>
      </c>
      <c r="Q417" s="2">
        <v>0</v>
      </c>
      <c r="R417" s="2">
        <v>25</v>
      </c>
      <c r="S417" s="2">
        <v>22.9</v>
      </c>
      <c r="T417" s="2">
        <v>-0.1</v>
      </c>
      <c r="U417" s="2">
        <v>0.1</v>
      </c>
      <c r="V417" s="2">
        <v>0</v>
      </c>
      <c r="W417" s="2">
        <v>-1E-3</v>
      </c>
      <c r="X417" s="2">
        <v>-1.3</v>
      </c>
      <c r="Y417" s="2">
        <v>-1.9</v>
      </c>
      <c r="Z417" s="2">
        <v>-3.2</v>
      </c>
      <c r="AA417" s="2">
        <v>0</v>
      </c>
    </row>
    <row r="418" spans="1:27" x14ac:dyDescent="0.2">
      <c r="A418" t="s">
        <v>381</v>
      </c>
      <c r="B418" s="2">
        <v>27</v>
      </c>
      <c r="C418" t="s">
        <v>135</v>
      </c>
      <c r="D418" s="2" t="s">
        <v>42</v>
      </c>
      <c r="E418" s="2">
        <v>7</v>
      </c>
      <c r="F418" s="2">
        <v>1</v>
      </c>
      <c r="G418" s="2">
        <v>131</v>
      </c>
      <c r="H418" s="2">
        <v>28.1</v>
      </c>
      <c r="I418" s="2">
        <v>0.76600000000000001</v>
      </c>
      <c r="J418" s="2">
        <v>5.2999999999999999E-2</v>
      </c>
      <c r="K418" s="2">
        <v>0.34200000000000003</v>
      </c>
      <c r="L418" s="2">
        <v>11.9</v>
      </c>
      <c r="M418" s="2">
        <v>23.5</v>
      </c>
      <c r="N418" s="2">
        <v>17.399999999999999</v>
      </c>
      <c r="O418" s="2">
        <v>12.6</v>
      </c>
      <c r="P418" s="2">
        <v>2.9</v>
      </c>
      <c r="Q418" s="2">
        <v>9.4</v>
      </c>
      <c r="R418" s="2">
        <v>13.8</v>
      </c>
      <c r="S418" s="2">
        <v>16</v>
      </c>
      <c r="T418" s="2">
        <v>0.5</v>
      </c>
      <c r="U418" s="2">
        <v>0.2</v>
      </c>
      <c r="V418" s="2">
        <v>0.7</v>
      </c>
      <c r="W418" s="2">
        <v>0.26100000000000001</v>
      </c>
      <c r="X418" s="2">
        <v>4.8</v>
      </c>
      <c r="Y418" s="2">
        <v>3.5</v>
      </c>
      <c r="Z418" s="2">
        <v>8.4</v>
      </c>
      <c r="AA418" s="2">
        <v>0.3</v>
      </c>
    </row>
    <row r="419" spans="1:27" x14ac:dyDescent="0.2">
      <c r="A419" t="s">
        <v>267</v>
      </c>
      <c r="B419" s="2">
        <v>19</v>
      </c>
      <c r="C419" t="s">
        <v>75</v>
      </c>
      <c r="D419" s="2" t="s">
        <v>49</v>
      </c>
      <c r="E419" s="2">
        <v>26</v>
      </c>
      <c r="F419" s="2">
        <v>1</v>
      </c>
      <c r="G419" s="2">
        <v>418</v>
      </c>
      <c r="H419" s="2">
        <v>9.6</v>
      </c>
      <c r="I419" s="2">
        <v>0.53500000000000003</v>
      </c>
      <c r="J419" s="2">
        <v>0.39</v>
      </c>
      <c r="K419" s="2">
        <v>0.21299999999999999</v>
      </c>
      <c r="L419" s="2">
        <v>4</v>
      </c>
      <c r="M419" s="2">
        <v>16.7</v>
      </c>
      <c r="N419" s="2">
        <v>10.5</v>
      </c>
      <c r="O419" s="2">
        <v>6.7</v>
      </c>
      <c r="P419" s="2">
        <v>1.4</v>
      </c>
      <c r="Q419" s="2">
        <v>1.1000000000000001</v>
      </c>
      <c r="R419" s="2">
        <v>14.9</v>
      </c>
      <c r="S419" s="2">
        <v>18.600000000000001</v>
      </c>
      <c r="T419" s="2">
        <v>-0.2</v>
      </c>
      <c r="U419" s="2">
        <v>0.4</v>
      </c>
      <c r="V419" s="2">
        <v>0.2</v>
      </c>
      <c r="W419" s="2">
        <v>2.3E-2</v>
      </c>
      <c r="X419" s="2">
        <v>-4.3</v>
      </c>
      <c r="Y419" s="2">
        <v>-0.6</v>
      </c>
      <c r="Z419" s="2">
        <v>-4.9000000000000004</v>
      </c>
      <c r="AA419" s="2">
        <v>-0.3</v>
      </c>
    </row>
    <row r="420" spans="1:27" x14ac:dyDescent="0.2">
      <c r="A420" t="s">
        <v>190</v>
      </c>
      <c r="B420" s="2">
        <v>31</v>
      </c>
      <c r="C420" t="s">
        <v>54</v>
      </c>
      <c r="D420" s="2" t="s">
        <v>49</v>
      </c>
      <c r="E420" s="2">
        <v>23</v>
      </c>
      <c r="F420" s="2">
        <v>5</v>
      </c>
      <c r="G420" s="2">
        <v>595</v>
      </c>
      <c r="H420" s="2">
        <v>15.1</v>
      </c>
      <c r="I420" s="2">
        <v>0.60699999999999998</v>
      </c>
      <c r="J420" s="2">
        <v>0.64800000000000002</v>
      </c>
      <c r="K420" s="2">
        <v>0.107</v>
      </c>
      <c r="L420" s="2">
        <v>5.5</v>
      </c>
      <c r="M420" s="2">
        <v>20.3</v>
      </c>
      <c r="N420" s="2">
        <v>13.1</v>
      </c>
      <c r="O420" s="2">
        <v>11.7</v>
      </c>
      <c r="P420" s="2">
        <v>1.8</v>
      </c>
      <c r="Q420" s="2">
        <v>2.2000000000000002</v>
      </c>
      <c r="R420" s="2">
        <v>10.5</v>
      </c>
      <c r="S420" s="2">
        <v>17</v>
      </c>
      <c r="T420" s="2">
        <v>0.8</v>
      </c>
      <c r="U420" s="2">
        <v>0.6</v>
      </c>
      <c r="V420" s="2">
        <v>1.4</v>
      </c>
      <c r="W420" s="2">
        <v>0.112</v>
      </c>
      <c r="X420" s="2">
        <v>1.4</v>
      </c>
      <c r="Y420" s="2">
        <v>0.2</v>
      </c>
      <c r="Z420" s="2">
        <v>1.6</v>
      </c>
      <c r="AA420" s="2">
        <v>0.6</v>
      </c>
    </row>
    <row r="421" spans="1:27" x14ac:dyDescent="0.2">
      <c r="A421" t="s">
        <v>197</v>
      </c>
      <c r="B421" s="2">
        <v>32</v>
      </c>
      <c r="C421" t="s">
        <v>51</v>
      </c>
      <c r="D421" s="2" t="s">
        <v>42</v>
      </c>
      <c r="E421" s="2">
        <v>23</v>
      </c>
      <c r="F421" s="2">
        <v>23</v>
      </c>
      <c r="G421" s="2">
        <v>788</v>
      </c>
      <c r="H421" s="2">
        <v>15.9</v>
      </c>
      <c r="I421" s="2">
        <v>0.69699999999999995</v>
      </c>
      <c r="J421" s="2">
        <v>0</v>
      </c>
      <c r="K421" s="2">
        <v>0.57599999999999996</v>
      </c>
      <c r="L421" s="2">
        <v>11.2</v>
      </c>
      <c r="M421" s="2">
        <v>25.3</v>
      </c>
      <c r="N421" s="2">
        <v>18.399999999999999</v>
      </c>
      <c r="O421" s="2">
        <v>8.4</v>
      </c>
      <c r="P421" s="2">
        <v>1</v>
      </c>
      <c r="Q421" s="2">
        <v>4</v>
      </c>
      <c r="R421" s="2">
        <v>18.3</v>
      </c>
      <c r="S421" s="2">
        <v>11.9</v>
      </c>
      <c r="T421" s="2">
        <v>1.6</v>
      </c>
      <c r="U421" s="2">
        <v>1.4</v>
      </c>
      <c r="V421" s="2">
        <v>3.1</v>
      </c>
      <c r="W421" s="2">
        <v>0.188</v>
      </c>
      <c r="X421" s="2">
        <v>-0.9</v>
      </c>
      <c r="Y421" s="2">
        <v>1.6</v>
      </c>
      <c r="Z421" s="2">
        <v>0.7</v>
      </c>
      <c r="AA421" s="2">
        <v>0.5</v>
      </c>
    </row>
    <row r="422" spans="1:27" x14ac:dyDescent="0.2">
      <c r="A422" t="s">
        <v>202</v>
      </c>
      <c r="B422" s="2">
        <v>26</v>
      </c>
      <c r="C422" t="s">
        <v>41</v>
      </c>
      <c r="D422" s="2" t="s">
        <v>27</v>
      </c>
      <c r="E422" s="2">
        <v>19</v>
      </c>
      <c r="F422" s="2">
        <v>19</v>
      </c>
      <c r="G422" s="2">
        <v>616</v>
      </c>
      <c r="H422" s="2">
        <v>14.6</v>
      </c>
      <c r="I422" s="2">
        <v>0.61599999999999999</v>
      </c>
      <c r="J422" s="2">
        <v>0.372</v>
      </c>
      <c r="K422" s="2">
        <v>0.189</v>
      </c>
      <c r="L422" s="2">
        <v>6.5</v>
      </c>
      <c r="M422" s="2">
        <v>12.4</v>
      </c>
      <c r="N422" s="2">
        <v>9.4</v>
      </c>
      <c r="O422" s="2">
        <v>7.4</v>
      </c>
      <c r="P422" s="2">
        <v>1.5</v>
      </c>
      <c r="Q422" s="2">
        <v>1.8</v>
      </c>
      <c r="R422" s="2">
        <v>5.8</v>
      </c>
      <c r="S422" s="2">
        <v>14.8</v>
      </c>
      <c r="T422" s="2">
        <v>1.1000000000000001</v>
      </c>
      <c r="U422" s="2">
        <v>0.3</v>
      </c>
      <c r="V422" s="2">
        <v>1.4</v>
      </c>
      <c r="W422" s="2">
        <v>0.109</v>
      </c>
      <c r="X422" s="2">
        <v>0.4</v>
      </c>
      <c r="Y422" s="2">
        <v>-1.1000000000000001</v>
      </c>
      <c r="Z422" s="2">
        <v>-0.7</v>
      </c>
      <c r="AA422" s="2">
        <v>0.2</v>
      </c>
    </row>
    <row r="423" spans="1:27" x14ac:dyDescent="0.2">
      <c r="A423" t="s">
        <v>191</v>
      </c>
      <c r="B423" s="2">
        <v>36</v>
      </c>
      <c r="C423" t="s">
        <v>46</v>
      </c>
      <c r="D423" s="2" t="s">
        <v>33</v>
      </c>
      <c r="E423" s="2">
        <v>22</v>
      </c>
      <c r="F423" s="2">
        <v>5</v>
      </c>
      <c r="G423" s="2">
        <v>545</v>
      </c>
      <c r="H423" s="2">
        <v>15.1</v>
      </c>
      <c r="I423" s="2">
        <v>0.502</v>
      </c>
      <c r="J423" s="2">
        <v>0.376</v>
      </c>
      <c r="K423" s="2">
        <v>0.376</v>
      </c>
      <c r="L423" s="2">
        <v>3.5</v>
      </c>
      <c r="M423" s="2">
        <v>13.8</v>
      </c>
      <c r="N423" s="2">
        <v>8.8000000000000007</v>
      </c>
      <c r="O423" s="2">
        <v>34.1</v>
      </c>
      <c r="P423" s="2">
        <v>3</v>
      </c>
      <c r="Q423" s="2">
        <v>2.2999999999999998</v>
      </c>
      <c r="R423" s="2">
        <v>17.600000000000001</v>
      </c>
      <c r="S423" s="2">
        <v>23.3</v>
      </c>
      <c r="T423" s="2">
        <v>0.1</v>
      </c>
      <c r="U423" s="2">
        <v>0.7</v>
      </c>
      <c r="V423" s="2">
        <v>0.8</v>
      </c>
      <c r="W423" s="2">
        <v>6.7000000000000004E-2</v>
      </c>
      <c r="X423" s="2">
        <v>-0.5</v>
      </c>
      <c r="Y423" s="2">
        <v>0.7</v>
      </c>
      <c r="Z423" s="2">
        <v>0.2</v>
      </c>
      <c r="AA423" s="2">
        <v>0.3</v>
      </c>
    </row>
    <row r="424" spans="1:27" x14ac:dyDescent="0.2">
      <c r="A424" t="s">
        <v>318</v>
      </c>
      <c r="B424" s="2">
        <v>22</v>
      </c>
      <c r="C424" t="s">
        <v>54</v>
      </c>
      <c r="D424" s="2" t="s">
        <v>49</v>
      </c>
      <c r="E424" s="2">
        <v>19</v>
      </c>
      <c r="F424" s="2">
        <v>9</v>
      </c>
      <c r="G424" s="2">
        <v>339</v>
      </c>
      <c r="H424" s="2">
        <v>8.4</v>
      </c>
      <c r="I424" s="2">
        <v>0.502</v>
      </c>
      <c r="J424" s="2">
        <v>0.64500000000000002</v>
      </c>
      <c r="K424" s="2">
        <v>7.2999999999999995E-2</v>
      </c>
      <c r="L424" s="2">
        <v>4</v>
      </c>
      <c r="M424" s="2">
        <v>12.5</v>
      </c>
      <c r="N424" s="2">
        <v>8.4</v>
      </c>
      <c r="O424" s="2">
        <v>6.4</v>
      </c>
      <c r="P424" s="2">
        <v>1.5</v>
      </c>
      <c r="Q424" s="2">
        <v>2.7</v>
      </c>
      <c r="R424" s="2">
        <v>8.1</v>
      </c>
      <c r="S424" s="2">
        <v>16.100000000000001</v>
      </c>
      <c r="T424" s="2">
        <v>-0.1</v>
      </c>
      <c r="U424" s="2">
        <v>0.2</v>
      </c>
      <c r="V424" s="2">
        <v>0.1</v>
      </c>
      <c r="W424" s="2">
        <v>1.9E-2</v>
      </c>
      <c r="X424" s="2">
        <v>-3.7</v>
      </c>
      <c r="Y424" s="2">
        <v>-0.4</v>
      </c>
      <c r="Z424" s="2">
        <v>-4.0999999999999996</v>
      </c>
      <c r="AA424" s="2">
        <v>-0.2</v>
      </c>
    </row>
    <row r="425" spans="1:27" x14ac:dyDescent="0.2">
      <c r="A425" t="s">
        <v>439</v>
      </c>
      <c r="B425" s="2">
        <v>22</v>
      </c>
      <c r="C425" t="s">
        <v>35</v>
      </c>
      <c r="D425" s="2" t="s">
        <v>33</v>
      </c>
      <c r="E425" s="2">
        <v>11</v>
      </c>
      <c r="F425" s="2">
        <v>1</v>
      </c>
      <c r="G425" s="2">
        <v>72</v>
      </c>
      <c r="H425" s="2">
        <v>15.6</v>
      </c>
      <c r="I425" s="2">
        <v>0.56100000000000005</v>
      </c>
      <c r="J425" s="2">
        <v>0.48</v>
      </c>
      <c r="K425" s="2">
        <v>0.24</v>
      </c>
      <c r="L425" s="2">
        <v>4.8</v>
      </c>
      <c r="M425" s="2">
        <v>11.8</v>
      </c>
      <c r="N425" s="2">
        <v>8.4</v>
      </c>
      <c r="O425" s="2">
        <v>17.5</v>
      </c>
      <c r="P425" s="2">
        <v>4.7</v>
      </c>
      <c r="Q425" s="2">
        <v>5.2</v>
      </c>
      <c r="R425" s="2">
        <v>20.2</v>
      </c>
      <c r="S425" s="2">
        <v>21.3</v>
      </c>
      <c r="T425" s="2">
        <v>0</v>
      </c>
      <c r="U425" s="2">
        <v>0.1</v>
      </c>
      <c r="V425" s="2">
        <v>0.1</v>
      </c>
      <c r="W425" s="2">
        <v>8.8999999999999996E-2</v>
      </c>
      <c r="X425" s="2">
        <v>-0.8</v>
      </c>
      <c r="Y425" s="2">
        <v>4.7</v>
      </c>
      <c r="Z425" s="2">
        <v>3.9</v>
      </c>
      <c r="AA425" s="2">
        <v>0.1</v>
      </c>
    </row>
    <row r="426" spans="1:27" x14ac:dyDescent="0.2">
      <c r="A426" t="s">
        <v>262</v>
      </c>
      <c r="B426" s="2">
        <v>27</v>
      </c>
      <c r="C426" t="s">
        <v>39</v>
      </c>
      <c r="D426" s="2" t="s">
        <v>27</v>
      </c>
      <c r="E426" s="2">
        <v>20</v>
      </c>
      <c r="F426" s="2">
        <v>2</v>
      </c>
      <c r="G426" s="2">
        <v>443</v>
      </c>
      <c r="H426" s="2">
        <v>12.8</v>
      </c>
      <c r="I426" s="2">
        <v>0.59599999999999997</v>
      </c>
      <c r="J426" s="2">
        <v>0.83</v>
      </c>
      <c r="K426" s="2">
        <v>1.4E-2</v>
      </c>
      <c r="L426" s="2">
        <v>4</v>
      </c>
      <c r="M426" s="2">
        <v>12.7</v>
      </c>
      <c r="N426" s="2">
        <v>8.3000000000000007</v>
      </c>
      <c r="O426" s="2">
        <v>6.6</v>
      </c>
      <c r="P426" s="2">
        <v>1.8</v>
      </c>
      <c r="Q426" s="2">
        <v>1</v>
      </c>
      <c r="R426" s="2">
        <v>5.3</v>
      </c>
      <c r="S426" s="2">
        <v>14.6</v>
      </c>
      <c r="T426" s="2">
        <v>0.6</v>
      </c>
      <c r="U426" s="2">
        <v>0.5</v>
      </c>
      <c r="V426" s="2">
        <v>1.1000000000000001</v>
      </c>
      <c r="W426" s="2">
        <v>0.123</v>
      </c>
      <c r="X426" s="2">
        <v>0.6</v>
      </c>
      <c r="Y426" s="2">
        <v>0</v>
      </c>
      <c r="Z426" s="2">
        <v>0.6</v>
      </c>
      <c r="AA426" s="2">
        <v>0.3</v>
      </c>
    </row>
    <row r="427" spans="1:27" x14ac:dyDescent="0.2">
      <c r="A427" t="s">
        <v>281</v>
      </c>
      <c r="B427" s="2">
        <v>28</v>
      </c>
      <c r="C427" t="s">
        <v>57</v>
      </c>
      <c r="D427" s="2" t="s">
        <v>52</v>
      </c>
      <c r="E427" s="2">
        <v>21</v>
      </c>
      <c r="F427" s="2">
        <v>1</v>
      </c>
      <c r="G427" s="2">
        <v>417</v>
      </c>
      <c r="H427" s="2">
        <v>10.1</v>
      </c>
      <c r="I427" s="2">
        <v>0.56699999999999995</v>
      </c>
      <c r="J427" s="2">
        <v>0.86499999999999999</v>
      </c>
      <c r="K427" s="2">
        <v>9.5000000000000001E-2</v>
      </c>
      <c r="L427" s="2">
        <v>1.6</v>
      </c>
      <c r="M427" s="2">
        <v>8</v>
      </c>
      <c r="N427" s="2">
        <v>4.9000000000000004</v>
      </c>
      <c r="O427" s="2">
        <v>10.6</v>
      </c>
      <c r="P427" s="2">
        <v>1.4</v>
      </c>
      <c r="Q427" s="2">
        <v>1.1000000000000001</v>
      </c>
      <c r="R427" s="2">
        <v>7.1</v>
      </c>
      <c r="S427" s="2">
        <v>14.7</v>
      </c>
      <c r="T427" s="2">
        <v>0.5</v>
      </c>
      <c r="U427" s="2">
        <v>0.4</v>
      </c>
      <c r="V427" s="2">
        <v>0.8</v>
      </c>
      <c r="W427" s="2">
        <v>9.4E-2</v>
      </c>
      <c r="X427" s="2">
        <v>-1.2</v>
      </c>
      <c r="Y427" s="2">
        <v>0</v>
      </c>
      <c r="Z427" s="2">
        <v>-1.2</v>
      </c>
      <c r="AA427" s="2">
        <v>0.1</v>
      </c>
    </row>
    <row r="428" spans="1:27" x14ac:dyDescent="0.2">
      <c r="A428" t="s">
        <v>360</v>
      </c>
      <c r="B428" s="2">
        <v>25</v>
      </c>
      <c r="C428" t="s">
        <v>93</v>
      </c>
      <c r="D428" s="2" t="s">
        <v>27</v>
      </c>
      <c r="E428" s="2">
        <v>17</v>
      </c>
      <c r="F428" s="2">
        <v>0</v>
      </c>
      <c r="G428" s="2">
        <v>160</v>
      </c>
      <c r="H428" s="2">
        <v>19.100000000000001</v>
      </c>
      <c r="I428" s="2">
        <v>0.73799999999999999</v>
      </c>
      <c r="J428" s="2">
        <v>0.68600000000000005</v>
      </c>
      <c r="K428" s="2">
        <v>0.29399999999999998</v>
      </c>
      <c r="L428" s="2">
        <v>6.8</v>
      </c>
      <c r="M428" s="2">
        <v>26</v>
      </c>
      <c r="N428" s="2">
        <v>16.5</v>
      </c>
      <c r="O428" s="2">
        <v>5.8</v>
      </c>
      <c r="P428" s="2">
        <v>0.9</v>
      </c>
      <c r="Q428" s="2">
        <v>2.8</v>
      </c>
      <c r="R428" s="2">
        <v>13.5</v>
      </c>
      <c r="S428" s="2">
        <v>17.8</v>
      </c>
      <c r="T428" s="2">
        <v>0.3</v>
      </c>
      <c r="U428" s="2">
        <v>0.2</v>
      </c>
      <c r="V428" s="2">
        <v>0.5</v>
      </c>
      <c r="W428" s="2">
        <v>0.156</v>
      </c>
      <c r="X428" s="2">
        <v>3.4</v>
      </c>
      <c r="Y428" s="2">
        <v>-0.2</v>
      </c>
      <c r="Z428" s="2">
        <v>3.2</v>
      </c>
      <c r="AA428" s="2">
        <v>0.2</v>
      </c>
    </row>
    <row r="429" spans="1:27" x14ac:dyDescent="0.2">
      <c r="A429" t="s">
        <v>145</v>
      </c>
      <c r="B429" s="2">
        <v>24</v>
      </c>
      <c r="C429" t="s">
        <v>80</v>
      </c>
      <c r="D429" s="2" t="s">
        <v>27</v>
      </c>
      <c r="E429" s="2">
        <v>25</v>
      </c>
      <c r="F429" s="2">
        <v>11</v>
      </c>
      <c r="G429" s="2">
        <v>672</v>
      </c>
      <c r="H429" s="2">
        <v>18.3</v>
      </c>
      <c r="I429" s="2">
        <v>0.61599999999999999</v>
      </c>
      <c r="J429" s="2">
        <v>0.40799999999999997</v>
      </c>
      <c r="K429" s="2">
        <v>0.122</v>
      </c>
      <c r="L429" s="2">
        <v>6.8</v>
      </c>
      <c r="M429" s="2">
        <v>21.6</v>
      </c>
      <c r="N429" s="2">
        <v>14.6</v>
      </c>
      <c r="O429" s="2">
        <v>16.399999999999999</v>
      </c>
      <c r="P429" s="2">
        <v>1.6</v>
      </c>
      <c r="Q429" s="2">
        <v>1.8</v>
      </c>
      <c r="R429" s="2">
        <v>10.6</v>
      </c>
      <c r="S429" s="2">
        <v>18</v>
      </c>
      <c r="T429" s="2">
        <v>1.4</v>
      </c>
      <c r="U429" s="2">
        <v>1.1000000000000001</v>
      </c>
      <c r="V429" s="2">
        <v>2.5</v>
      </c>
      <c r="W429" s="2">
        <v>0.18099999999999999</v>
      </c>
      <c r="X429" s="2">
        <v>2.5</v>
      </c>
      <c r="Y429" s="2">
        <v>1.2</v>
      </c>
      <c r="Z429" s="2">
        <v>3.7</v>
      </c>
      <c r="AA429" s="2">
        <v>1</v>
      </c>
    </row>
    <row r="430" spans="1:27" x14ac:dyDescent="0.2">
      <c r="A430" t="s">
        <v>231</v>
      </c>
      <c r="B430" s="2">
        <v>20</v>
      </c>
      <c r="C430" t="s">
        <v>135</v>
      </c>
      <c r="D430" s="2" t="s">
        <v>33</v>
      </c>
      <c r="E430" s="2">
        <v>17</v>
      </c>
      <c r="F430" s="2">
        <v>3</v>
      </c>
      <c r="G430" s="2">
        <v>445</v>
      </c>
      <c r="H430" s="2">
        <v>10.9</v>
      </c>
      <c r="I430" s="2">
        <v>0.51500000000000001</v>
      </c>
      <c r="J430" s="2">
        <v>0.308</v>
      </c>
      <c r="K430" s="2">
        <v>0.29099999999999998</v>
      </c>
      <c r="L430" s="2">
        <v>2.8</v>
      </c>
      <c r="M430" s="2">
        <v>9.1999999999999993</v>
      </c>
      <c r="N430" s="2">
        <v>5.9</v>
      </c>
      <c r="O430" s="2">
        <v>30.1</v>
      </c>
      <c r="P430" s="2">
        <v>1.7</v>
      </c>
      <c r="Q430" s="2">
        <v>0.4</v>
      </c>
      <c r="R430" s="2">
        <v>21.1</v>
      </c>
      <c r="S430" s="2">
        <v>22.9</v>
      </c>
      <c r="T430" s="2">
        <v>-0.3</v>
      </c>
      <c r="U430" s="2">
        <v>0.2</v>
      </c>
      <c r="V430" s="2">
        <v>-0.1</v>
      </c>
      <c r="W430" s="2">
        <v>-1.2E-2</v>
      </c>
      <c r="X430" s="2">
        <v>-2.7</v>
      </c>
      <c r="Y430" s="2">
        <v>-1.9</v>
      </c>
      <c r="Z430" s="2">
        <v>-4.5999999999999996</v>
      </c>
      <c r="AA430" s="2">
        <v>-0.3</v>
      </c>
    </row>
    <row r="431" spans="1:27" x14ac:dyDescent="0.2">
      <c r="A431" t="s">
        <v>167</v>
      </c>
      <c r="B431" s="2">
        <v>23</v>
      </c>
      <c r="C431" t="s">
        <v>66</v>
      </c>
      <c r="D431" s="2" t="s">
        <v>27</v>
      </c>
      <c r="E431" s="2">
        <v>14</v>
      </c>
      <c r="F431" s="2">
        <v>14</v>
      </c>
      <c r="G431" s="2">
        <v>465</v>
      </c>
      <c r="H431" s="2">
        <v>20.100000000000001</v>
      </c>
      <c r="I431" s="2">
        <v>0.55300000000000005</v>
      </c>
      <c r="J431" s="2">
        <v>0.36499999999999999</v>
      </c>
      <c r="K431" s="2">
        <v>0.3</v>
      </c>
      <c r="L431" s="2">
        <v>6.7</v>
      </c>
      <c r="M431" s="2">
        <v>21.1</v>
      </c>
      <c r="N431" s="2">
        <v>13.8</v>
      </c>
      <c r="O431" s="2">
        <v>35</v>
      </c>
      <c r="P431" s="2">
        <v>1.9</v>
      </c>
      <c r="Q431" s="2">
        <v>2.1</v>
      </c>
      <c r="R431" s="2">
        <v>16.100000000000001</v>
      </c>
      <c r="S431" s="2">
        <v>27.7</v>
      </c>
      <c r="T431" s="2">
        <v>0.5</v>
      </c>
      <c r="U431" s="2">
        <v>0.4</v>
      </c>
      <c r="V431" s="2">
        <v>1</v>
      </c>
      <c r="W431" s="2">
        <v>9.9000000000000005E-2</v>
      </c>
      <c r="X431" s="2">
        <v>4.3</v>
      </c>
      <c r="Y431" s="2">
        <v>0.8</v>
      </c>
      <c r="Z431" s="2">
        <v>5</v>
      </c>
      <c r="AA431" s="2">
        <v>0.8</v>
      </c>
    </row>
    <row r="432" spans="1:27" x14ac:dyDescent="0.2">
      <c r="A432" t="s">
        <v>181</v>
      </c>
      <c r="B432" s="2">
        <v>24</v>
      </c>
      <c r="C432" t="s">
        <v>80</v>
      </c>
      <c r="D432" s="2" t="s">
        <v>33</v>
      </c>
      <c r="E432" s="2">
        <v>25</v>
      </c>
      <c r="F432" s="2">
        <v>10</v>
      </c>
      <c r="G432" s="2">
        <v>583</v>
      </c>
      <c r="H432" s="2">
        <v>14.8</v>
      </c>
      <c r="I432" s="2">
        <v>0.55500000000000005</v>
      </c>
      <c r="J432" s="2">
        <v>0.33</v>
      </c>
      <c r="K432" s="2">
        <v>0.24299999999999999</v>
      </c>
      <c r="L432" s="2">
        <v>2.8</v>
      </c>
      <c r="M432" s="2">
        <v>12.9</v>
      </c>
      <c r="N432" s="2">
        <v>8.1</v>
      </c>
      <c r="O432" s="2">
        <v>30.7</v>
      </c>
      <c r="P432" s="2">
        <v>2.2000000000000002</v>
      </c>
      <c r="Q432" s="2">
        <v>1.3</v>
      </c>
      <c r="R432" s="2">
        <v>17.399999999999999</v>
      </c>
      <c r="S432" s="2">
        <v>20.100000000000001</v>
      </c>
      <c r="T432" s="2">
        <v>0.6</v>
      </c>
      <c r="U432" s="2">
        <v>0.9</v>
      </c>
      <c r="V432" s="2">
        <v>1.5</v>
      </c>
      <c r="W432" s="2">
        <v>0.126</v>
      </c>
      <c r="X432" s="2">
        <v>-1</v>
      </c>
      <c r="Y432" s="2">
        <v>1.1000000000000001</v>
      </c>
      <c r="Z432" s="2">
        <v>0.1</v>
      </c>
      <c r="AA432" s="2">
        <v>0.3</v>
      </c>
    </row>
    <row r="433" spans="1:27" x14ac:dyDescent="0.2">
      <c r="A433" t="s">
        <v>323</v>
      </c>
      <c r="B433" s="2">
        <v>34</v>
      </c>
      <c r="C433" t="s">
        <v>59</v>
      </c>
      <c r="D433" s="2" t="s">
        <v>52</v>
      </c>
      <c r="E433" s="2">
        <v>23</v>
      </c>
      <c r="F433" s="2">
        <v>4</v>
      </c>
      <c r="G433" s="2">
        <v>285</v>
      </c>
      <c r="H433" s="2">
        <v>12.2</v>
      </c>
      <c r="I433" s="2">
        <v>0.61099999999999999</v>
      </c>
      <c r="J433" s="2">
        <v>0.52300000000000002</v>
      </c>
      <c r="K433" s="2">
        <v>0.128</v>
      </c>
      <c r="L433" s="2">
        <v>3.4</v>
      </c>
      <c r="M433" s="2">
        <v>8.9</v>
      </c>
      <c r="N433" s="2">
        <v>6</v>
      </c>
      <c r="O433" s="2">
        <v>4.3</v>
      </c>
      <c r="P433" s="2">
        <v>1.7</v>
      </c>
      <c r="Q433" s="2">
        <v>1.4</v>
      </c>
      <c r="R433" s="2">
        <v>6.2</v>
      </c>
      <c r="S433" s="2">
        <v>14.4</v>
      </c>
      <c r="T433" s="2">
        <v>0.4</v>
      </c>
      <c r="U433" s="2">
        <v>0.2</v>
      </c>
      <c r="V433" s="2">
        <v>0.6</v>
      </c>
      <c r="W433" s="2">
        <v>9.9000000000000005E-2</v>
      </c>
      <c r="X433" s="2">
        <v>-0.8</v>
      </c>
      <c r="Y433" s="2">
        <v>-0.1</v>
      </c>
      <c r="Z433" s="2">
        <v>-0.9</v>
      </c>
      <c r="AA433" s="2">
        <v>0.1</v>
      </c>
    </row>
    <row r="434" spans="1:27" x14ac:dyDescent="0.2">
      <c r="A434" t="s">
        <v>174</v>
      </c>
      <c r="B434" s="2">
        <v>21</v>
      </c>
      <c r="C434" t="s">
        <v>135</v>
      </c>
      <c r="D434" s="2" t="s">
        <v>52</v>
      </c>
      <c r="E434" s="2">
        <v>16</v>
      </c>
      <c r="F434" s="2">
        <v>14</v>
      </c>
      <c r="G434" s="2">
        <v>489</v>
      </c>
      <c r="H434" s="2">
        <v>13.1</v>
      </c>
      <c r="I434" s="2">
        <v>0.54</v>
      </c>
      <c r="J434" s="2">
        <v>0.432</v>
      </c>
      <c r="K434" s="2">
        <v>0.28399999999999997</v>
      </c>
      <c r="L434" s="2">
        <v>2.5</v>
      </c>
      <c r="M434" s="2">
        <v>9.6</v>
      </c>
      <c r="N434" s="2">
        <v>5.9</v>
      </c>
      <c r="O434" s="2">
        <v>12.8</v>
      </c>
      <c r="P434" s="2">
        <v>1.3</v>
      </c>
      <c r="Q434" s="2">
        <v>0.6</v>
      </c>
      <c r="R434" s="2">
        <v>11</v>
      </c>
      <c r="S434" s="2">
        <v>24.5</v>
      </c>
      <c r="T434" s="2">
        <v>0.2</v>
      </c>
      <c r="U434" s="2">
        <v>0.1</v>
      </c>
      <c r="V434" s="2">
        <v>0.3</v>
      </c>
      <c r="W434" s="2">
        <v>2.9000000000000001E-2</v>
      </c>
      <c r="X434" s="2">
        <v>-0.8</v>
      </c>
      <c r="Y434" s="2">
        <v>-2.2999999999999998</v>
      </c>
      <c r="Z434" s="2">
        <v>-3.2</v>
      </c>
      <c r="AA434" s="2">
        <v>-0.1</v>
      </c>
    </row>
    <row r="435" spans="1:27" x14ac:dyDescent="0.2">
      <c r="A435" t="s">
        <v>31</v>
      </c>
      <c r="B435" s="2">
        <v>26</v>
      </c>
      <c r="C435" t="s">
        <v>32</v>
      </c>
      <c r="D435" s="2" t="s">
        <v>33</v>
      </c>
      <c r="E435" s="2">
        <v>24</v>
      </c>
      <c r="F435" s="2">
        <v>24</v>
      </c>
      <c r="G435" s="2">
        <v>823</v>
      </c>
      <c r="H435" s="2">
        <v>28.6</v>
      </c>
      <c r="I435" s="2">
        <v>0.626</v>
      </c>
      <c r="J435" s="2">
        <v>0.30299999999999999</v>
      </c>
      <c r="K435" s="2">
        <v>0.38600000000000001</v>
      </c>
      <c r="L435" s="2">
        <v>2.5</v>
      </c>
      <c r="M435" s="2">
        <v>13.9</v>
      </c>
      <c r="N435" s="2">
        <v>8.1999999999999993</v>
      </c>
      <c r="O435" s="2">
        <v>31.1</v>
      </c>
      <c r="P435" s="2">
        <v>2.5</v>
      </c>
      <c r="Q435" s="2">
        <v>3</v>
      </c>
      <c r="R435" s="2">
        <v>10</v>
      </c>
      <c r="S435" s="2">
        <v>33.200000000000003</v>
      </c>
      <c r="T435" s="2">
        <v>3.1</v>
      </c>
      <c r="U435" s="2">
        <v>1.7</v>
      </c>
      <c r="V435" s="4">
        <v>4.8</v>
      </c>
      <c r="W435" s="2">
        <v>0.28100000000000003</v>
      </c>
      <c r="X435" s="2">
        <v>7.6</v>
      </c>
      <c r="Y435" s="2">
        <v>2.6</v>
      </c>
      <c r="Z435" s="2">
        <v>10.199999999999999</v>
      </c>
      <c r="AA435" s="2">
        <v>2.6</v>
      </c>
    </row>
    <row r="436" spans="1:27" x14ac:dyDescent="0.2">
      <c r="A436" t="s">
        <v>316</v>
      </c>
      <c r="B436" s="2">
        <v>28</v>
      </c>
      <c r="C436" t="s">
        <v>103</v>
      </c>
      <c r="D436" s="2" t="s">
        <v>52</v>
      </c>
      <c r="E436" s="2">
        <v>20</v>
      </c>
      <c r="F436" s="2">
        <v>0</v>
      </c>
      <c r="G436" s="2">
        <v>327</v>
      </c>
      <c r="H436" s="2">
        <v>12</v>
      </c>
      <c r="I436" s="2">
        <v>0.59199999999999997</v>
      </c>
      <c r="J436" s="2">
        <v>0.48399999999999999</v>
      </c>
      <c r="K436" s="2">
        <v>0.183</v>
      </c>
      <c r="L436" s="2">
        <v>3.2</v>
      </c>
      <c r="M436" s="2">
        <v>8</v>
      </c>
      <c r="N436" s="2">
        <v>5.5</v>
      </c>
      <c r="O436" s="2">
        <v>18.8</v>
      </c>
      <c r="P436" s="2">
        <v>1.2</v>
      </c>
      <c r="Q436" s="2">
        <v>0.3</v>
      </c>
      <c r="R436" s="2">
        <v>11.5</v>
      </c>
      <c r="S436" s="2">
        <v>15.6</v>
      </c>
      <c r="T436" s="2">
        <v>0.5</v>
      </c>
      <c r="U436" s="2">
        <v>0.1</v>
      </c>
      <c r="V436" s="2">
        <v>0.5</v>
      </c>
      <c r="W436" s="2">
        <v>0.08</v>
      </c>
      <c r="X436" s="2">
        <v>-0.5</v>
      </c>
      <c r="Y436" s="2">
        <v>-1.1000000000000001</v>
      </c>
      <c r="Z436" s="2">
        <v>-1.7</v>
      </c>
      <c r="AA436" s="2">
        <v>0</v>
      </c>
    </row>
    <row r="437" spans="1:27" x14ac:dyDescent="0.2">
      <c r="A437" t="s">
        <v>517</v>
      </c>
      <c r="B437" s="2">
        <v>20</v>
      </c>
      <c r="C437" t="s">
        <v>93</v>
      </c>
      <c r="D437" s="2" t="s">
        <v>49</v>
      </c>
      <c r="E437" s="2">
        <v>10</v>
      </c>
      <c r="F437" s="2">
        <v>0</v>
      </c>
      <c r="G437" s="2">
        <v>30</v>
      </c>
      <c r="H437" s="2">
        <v>3.8</v>
      </c>
      <c r="I437" s="2">
        <v>0.28499999999999998</v>
      </c>
      <c r="J437" s="2">
        <v>0.28599999999999998</v>
      </c>
      <c r="K437" s="2">
        <v>0.57099999999999995</v>
      </c>
      <c r="L437" s="2">
        <v>7.3</v>
      </c>
      <c r="M437" s="2">
        <v>21.3</v>
      </c>
      <c r="N437" s="2">
        <v>14.4</v>
      </c>
      <c r="O437" s="2">
        <v>22</v>
      </c>
      <c r="P437" s="2">
        <v>0</v>
      </c>
      <c r="Q437" s="2">
        <v>0</v>
      </c>
      <c r="R437" s="2">
        <v>10.199999999999999</v>
      </c>
      <c r="S437" s="2">
        <v>13.9</v>
      </c>
      <c r="T437" s="2">
        <v>0</v>
      </c>
      <c r="U437" s="2">
        <v>0</v>
      </c>
      <c r="V437" s="2">
        <v>0</v>
      </c>
      <c r="W437" s="2">
        <v>-0.05</v>
      </c>
      <c r="X437" s="2">
        <v>-5.6</v>
      </c>
      <c r="Y437" s="2">
        <v>-1.5</v>
      </c>
      <c r="Z437" s="2">
        <v>-7.1</v>
      </c>
      <c r="AA437" s="2">
        <v>0</v>
      </c>
    </row>
    <row r="438" spans="1:27" x14ac:dyDescent="0.2">
      <c r="A438" t="s">
        <v>278</v>
      </c>
      <c r="B438" s="2">
        <v>29</v>
      </c>
      <c r="C438" t="s">
        <v>75</v>
      </c>
      <c r="D438" s="2" t="s">
        <v>49</v>
      </c>
      <c r="E438" s="2">
        <v>24</v>
      </c>
      <c r="F438" s="2">
        <v>0</v>
      </c>
      <c r="G438" s="2">
        <v>432</v>
      </c>
      <c r="H438" s="2">
        <v>9.1</v>
      </c>
      <c r="I438" s="2">
        <v>0.55000000000000004</v>
      </c>
      <c r="J438" s="2">
        <v>0.67700000000000005</v>
      </c>
      <c r="K438" s="2">
        <v>0.25800000000000001</v>
      </c>
      <c r="L438" s="2">
        <v>3.1</v>
      </c>
      <c r="M438" s="2">
        <v>14.9</v>
      </c>
      <c r="N438" s="2">
        <v>9.1</v>
      </c>
      <c r="O438" s="2">
        <v>6.7</v>
      </c>
      <c r="P438" s="2">
        <v>0.7</v>
      </c>
      <c r="Q438" s="2">
        <v>1.1000000000000001</v>
      </c>
      <c r="R438" s="2">
        <v>11</v>
      </c>
      <c r="S438" s="2">
        <v>15.4</v>
      </c>
      <c r="T438" s="2">
        <v>0.2</v>
      </c>
      <c r="U438" s="2">
        <v>0.3</v>
      </c>
      <c r="V438" s="2">
        <v>0.5</v>
      </c>
      <c r="W438" s="2">
        <v>5.1999999999999998E-2</v>
      </c>
      <c r="X438" s="2">
        <v>-2.2000000000000002</v>
      </c>
      <c r="Y438" s="2">
        <v>-1</v>
      </c>
      <c r="Z438" s="2">
        <v>-3.2</v>
      </c>
      <c r="AA438" s="2">
        <v>-0.1</v>
      </c>
    </row>
    <row r="439" spans="1:27" x14ac:dyDescent="0.2">
      <c r="A439" t="s">
        <v>243</v>
      </c>
      <c r="B439" s="2">
        <v>31</v>
      </c>
      <c r="C439" t="s">
        <v>63</v>
      </c>
      <c r="D439" s="2" t="s">
        <v>33</v>
      </c>
      <c r="E439" s="2">
        <v>23</v>
      </c>
      <c r="F439" s="2">
        <v>0</v>
      </c>
      <c r="G439" s="2">
        <v>492</v>
      </c>
      <c r="H439" s="2">
        <v>13</v>
      </c>
      <c r="I439" s="2">
        <v>0.58599999999999997</v>
      </c>
      <c r="J439" s="2">
        <v>0.61299999999999999</v>
      </c>
      <c r="K439" s="2">
        <v>0.38700000000000001</v>
      </c>
      <c r="L439" s="2">
        <v>0.9</v>
      </c>
      <c r="M439" s="2">
        <v>7.8</v>
      </c>
      <c r="N439" s="2">
        <v>4.5</v>
      </c>
      <c r="O439" s="2">
        <v>18</v>
      </c>
      <c r="P439" s="2">
        <v>1.6</v>
      </c>
      <c r="Q439" s="2">
        <v>1.1000000000000001</v>
      </c>
      <c r="R439" s="2">
        <v>10.1</v>
      </c>
      <c r="S439" s="2">
        <v>15.3</v>
      </c>
      <c r="T439" s="2">
        <v>0.9</v>
      </c>
      <c r="U439" s="2">
        <v>0.4</v>
      </c>
      <c r="V439" s="2">
        <v>1.4</v>
      </c>
      <c r="W439" s="2">
        <v>0.13300000000000001</v>
      </c>
      <c r="X439" s="2">
        <v>-0.1</v>
      </c>
      <c r="Y439" s="2">
        <v>0.2</v>
      </c>
      <c r="Z439" s="2">
        <v>0.1</v>
      </c>
      <c r="AA439" s="2">
        <v>0.3</v>
      </c>
    </row>
    <row r="440" spans="1:27" x14ac:dyDescent="0.2">
      <c r="A440" t="s">
        <v>562</v>
      </c>
      <c r="B440" s="2">
        <v>23</v>
      </c>
      <c r="C440" t="s">
        <v>46</v>
      </c>
      <c r="D440" s="2" t="s">
        <v>49</v>
      </c>
      <c r="E440" s="2">
        <v>2</v>
      </c>
      <c r="F440" s="2">
        <v>0</v>
      </c>
      <c r="G440" s="2">
        <v>4</v>
      </c>
      <c r="H440" s="2">
        <v>18.100000000000001</v>
      </c>
      <c r="I440" s="2">
        <v>0</v>
      </c>
      <c r="J440" s="2">
        <v>1</v>
      </c>
      <c r="K440" s="2">
        <v>0</v>
      </c>
      <c r="L440" s="2">
        <v>0</v>
      </c>
      <c r="M440" s="2">
        <v>26.5</v>
      </c>
      <c r="N440" s="2">
        <v>13.6</v>
      </c>
      <c r="O440" s="2">
        <v>0</v>
      </c>
      <c r="P440" s="2">
        <v>23.8</v>
      </c>
      <c r="Q440" s="2">
        <v>0</v>
      </c>
      <c r="R440" s="2">
        <v>0</v>
      </c>
      <c r="S440" s="2">
        <v>10.5</v>
      </c>
      <c r="T440" s="2">
        <v>0</v>
      </c>
      <c r="U440" s="2">
        <v>0</v>
      </c>
      <c r="V440" s="2">
        <v>0</v>
      </c>
      <c r="W440" s="2">
        <v>8.2000000000000003E-2</v>
      </c>
      <c r="X440" s="2">
        <v>-8</v>
      </c>
      <c r="Y440" s="2">
        <v>18.7</v>
      </c>
      <c r="Z440" s="2">
        <v>10.7</v>
      </c>
      <c r="AA440" s="2">
        <v>0</v>
      </c>
    </row>
    <row r="441" spans="1:27" x14ac:dyDescent="0.2">
      <c r="A441" t="s">
        <v>542</v>
      </c>
      <c r="B441" s="2">
        <v>25</v>
      </c>
      <c r="C441" t="s">
        <v>35</v>
      </c>
      <c r="D441" s="2" t="s">
        <v>52</v>
      </c>
      <c r="E441" s="2">
        <v>6</v>
      </c>
      <c r="F441" s="2">
        <v>0</v>
      </c>
      <c r="G441" s="2">
        <v>17</v>
      </c>
      <c r="H441" s="2">
        <v>6.6</v>
      </c>
      <c r="I441" s="2">
        <v>0.38700000000000001</v>
      </c>
      <c r="J441" s="2">
        <v>1</v>
      </c>
      <c r="K441" s="2">
        <v>0.66700000000000004</v>
      </c>
      <c r="L441" s="2">
        <v>0</v>
      </c>
      <c r="M441" s="2">
        <v>18.7</v>
      </c>
      <c r="N441" s="2">
        <v>9.6999999999999993</v>
      </c>
      <c r="O441" s="2">
        <v>7.4</v>
      </c>
      <c r="P441" s="2">
        <v>0</v>
      </c>
      <c r="Q441" s="2">
        <v>5.5</v>
      </c>
      <c r="R441" s="2">
        <v>0</v>
      </c>
      <c r="S441" s="2">
        <v>10.1</v>
      </c>
      <c r="T441" s="2">
        <v>0</v>
      </c>
      <c r="U441" s="2">
        <v>0</v>
      </c>
      <c r="V441" s="2">
        <v>0</v>
      </c>
      <c r="W441" s="2">
        <v>1E-3</v>
      </c>
      <c r="X441" s="2">
        <v>-2.6</v>
      </c>
      <c r="Y441" s="2">
        <v>0.3</v>
      </c>
      <c r="Z441" s="2">
        <v>-2.2000000000000002</v>
      </c>
      <c r="AA441" s="2">
        <v>0</v>
      </c>
    </row>
    <row r="442" spans="1:27" x14ac:dyDescent="0.2">
      <c r="A442" t="s">
        <v>99</v>
      </c>
      <c r="B442" s="2">
        <v>36</v>
      </c>
      <c r="C442" t="s">
        <v>100</v>
      </c>
      <c r="D442" s="2" t="s">
        <v>33</v>
      </c>
      <c r="E442" s="2">
        <v>19</v>
      </c>
      <c r="F442" s="2">
        <v>19</v>
      </c>
      <c r="G442" s="2">
        <v>583</v>
      </c>
      <c r="H442" s="2">
        <v>22.3</v>
      </c>
      <c r="I442" s="2">
        <v>0.621</v>
      </c>
      <c r="J442" s="2">
        <v>0.6</v>
      </c>
      <c r="K442" s="2">
        <v>0.24399999999999999</v>
      </c>
      <c r="L442" s="2">
        <v>1.7</v>
      </c>
      <c r="M442" s="2">
        <v>15.7</v>
      </c>
      <c r="N442" s="2">
        <v>8.6999999999999993</v>
      </c>
      <c r="O442" s="2">
        <v>34.1</v>
      </c>
      <c r="P442" s="2">
        <v>2.1</v>
      </c>
      <c r="Q442" s="2">
        <v>1.5</v>
      </c>
      <c r="R442" s="2">
        <v>15.1</v>
      </c>
      <c r="S442" s="2">
        <v>29.3</v>
      </c>
      <c r="T442" s="2">
        <v>1.3</v>
      </c>
      <c r="U442" s="2">
        <v>1</v>
      </c>
      <c r="V442" s="2">
        <v>2.2999999999999998</v>
      </c>
      <c r="W442" s="2">
        <v>0.187</v>
      </c>
      <c r="X442" s="2">
        <v>6.5</v>
      </c>
      <c r="Y442" s="2">
        <v>1.1000000000000001</v>
      </c>
      <c r="Z442" s="2">
        <v>7.6</v>
      </c>
      <c r="AA442" s="2">
        <v>1.4</v>
      </c>
    </row>
    <row r="443" spans="1:27" x14ac:dyDescent="0.2">
      <c r="A443" t="s">
        <v>163</v>
      </c>
      <c r="B443" s="2">
        <v>20</v>
      </c>
      <c r="C443" t="s">
        <v>93</v>
      </c>
      <c r="D443" s="2" t="s">
        <v>33</v>
      </c>
      <c r="E443" s="2">
        <v>24</v>
      </c>
      <c r="F443" s="2">
        <v>17</v>
      </c>
      <c r="G443" s="2">
        <v>658</v>
      </c>
      <c r="H443" s="2">
        <v>10.8</v>
      </c>
      <c r="I443" s="2">
        <v>0.49199999999999999</v>
      </c>
      <c r="J443" s="2">
        <v>0.39800000000000002</v>
      </c>
      <c r="K443" s="2">
        <v>0.32400000000000001</v>
      </c>
      <c r="L443" s="2">
        <v>3.1</v>
      </c>
      <c r="M443" s="2">
        <v>7.1</v>
      </c>
      <c r="N443" s="2">
        <v>5.2</v>
      </c>
      <c r="O443" s="2">
        <v>20.8</v>
      </c>
      <c r="P443" s="2">
        <v>1.6</v>
      </c>
      <c r="Q443" s="2">
        <v>1.4</v>
      </c>
      <c r="R443" s="2">
        <v>13.2</v>
      </c>
      <c r="S443" s="2">
        <v>22.2</v>
      </c>
      <c r="T443" s="2">
        <v>-0.2</v>
      </c>
      <c r="U443" s="2">
        <v>0.4</v>
      </c>
      <c r="V443" s="2">
        <v>0.2</v>
      </c>
      <c r="W443" s="2">
        <v>1.4999999999999999E-2</v>
      </c>
      <c r="X443" s="2">
        <v>-2.9</v>
      </c>
      <c r="Y443" s="2">
        <v>-1.4</v>
      </c>
      <c r="Z443" s="2">
        <v>-4.3</v>
      </c>
      <c r="AA443" s="2">
        <v>-0.4</v>
      </c>
    </row>
    <row r="444" spans="1:27" x14ac:dyDescent="0.2">
      <c r="A444" t="s">
        <v>428</v>
      </c>
      <c r="B444" s="2">
        <v>31</v>
      </c>
      <c r="C444" t="s">
        <v>87</v>
      </c>
      <c r="D444" s="2" t="s">
        <v>42</v>
      </c>
      <c r="E444" s="2">
        <v>13</v>
      </c>
      <c r="F444" s="2">
        <v>0</v>
      </c>
      <c r="G444" s="2">
        <v>144</v>
      </c>
      <c r="H444" s="2">
        <v>8.9</v>
      </c>
      <c r="I444" s="2">
        <v>0.55200000000000005</v>
      </c>
      <c r="J444" s="2">
        <v>0</v>
      </c>
      <c r="K444" s="2">
        <v>0.90900000000000003</v>
      </c>
      <c r="L444" s="2">
        <v>13.6</v>
      </c>
      <c r="M444" s="2">
        <v>16.8</v>
      </c>
      <c r="N444" s="2">
        <v>15.2</v>
      </c>
      <c r="O444" s="2">
        <v>12.8</v>
      </c>
      <c r="P444" s="2">
        <v>1</v>
      </c>
      <c r="Q444" s="2">
        <v>1.2</v>
      </c>
      <c r="R444" s="2">
        <v>35.6</v>
      </c>
      <c r="S444" s="2">
        <v>13.7</v>
      </c>
      <c r="T444" s="2">
        <v>-0.1</v>
      </c>
      <c r="U444" s="2">
        <v>0.2</v>
      </c>
      <c r="V444" s="2">
        <v>0.1</v>
      </c>
      <c r="W444" s="2">
        <v>4.1000000000000002E-2</v>
      </c>
      <c r="X444" s="2">
        <v>-4.2</v>
      </c>
      <c r="Y444" s="2">
        <v>1</v>
      </c>
      <c r="Z444" s="2">
        <v>-3.2</v>
      </c>
      <c r="AA444" s="2">
        <v>0</v>
      </c>
    </row>
    <row r="445" spans="1:27" x14ac:dyDescent="0.2">
      <c r="A445" t="s">
        <v>441</v>
      </c>
      <c r="B445" s="2">
        <v>27</v>
      </c>
      <c r="C445" t="s">
        <v>120</v>
      </c>
      <c r="D445" s="2" t="s">
        <v>49</v>
      </c>
      <c r="E445" s="2">
        <v>6</v>
      </c>
      <c r="F445" s="2">
        <v>2</v>
      </c>
      <c r="G445" s="2">
        <v>81</v>
      </c>
      <c r="H445" s="2">
        <v>6.9</v>
      </c>
      <c r="I445" s="2">
        <v>0.52200000000000002</v>
      </c>
      <c r="J445" s="2">
        <v>0.81499999999999995</v>
      </c>
      <c r="K445" s="2">
        <v>0.14799999999999999</v>
      </c>
      <c r="L445" s="2">
        <v>1.4</v>
      </c>
      <c r="M445" s="2">
        <v>12.2</v>
      </c>
      <c r="N445" s="2">
        <v>6.9</v>
      </c>
      <c r="O445" s="2">
        <v>14.4</v>
      </c>
      <c r="P445" s="2">
        <v>3</v>
      </c>
      <c r="Q445" s="2">
        <v>1.2</v>
      </c>
      <c r="R445" s="2">
        <v>25.8</v>
      </c>
      <c r="S445" s="2">
        <v>20.100000000000001</v>
      </c>
      <c r="T445" s="2">
        <v>-0.2</v>
      </c>
      <c r="U445" s="2">
        <v>0</v>
      </c>
      <c r="V445" s="2">
        <v>-0.1</v>
      </c>
      <c r="W445" s="2">
        <v>-6.6000000000000003E-2</v>
      </c>
      <c r="X445" s="2">
        <v>-5.3</v>
      </c>
      <c r="Y445" s="2">
        <v>-0.7</v>
      </c>
      <c r="Z445" s="2">
        <v>-6</v>
      </c>
      <c r="AA445" s="2">
        <v>-0.1</v>
      </c>
    </row>
    <row r="446" spans="1:27" x14ac:dyDescent="0.2">
      <c r="A446" t="s">
        <v>178</v>
      </c>
      <c r="B446" s="2">
        <v>32</v>
      </c>
      <c r="C446" t="s">
        <v>82</v>
      </c>
      <c r="D446" s="2" t="s">
        <v>33</v>
      </c>
      <c r="E446" s="2">
        <v>24</v>
      </c>
      <c r="F446" s="2">
        <v>0</v>
      </c>
      <c r="G446" s="2">
        <v>480</v>
      </c>
      <c r="H446" s="2">
        <v>20.7</v>
      </c>
      <c r="I446" s="2">
        <v>0.59599999999999997</v>
      </c>
      <c r="J446" s="2">
        <v>5.5E-2</v>
      </c>
      <c r="K446" s="2">
        <v>0.11799999999999999</v>
      </c>
      <c r="L446" s="2">
        <v>3.2</v>
      </c>
      <c r="M446" s="2">
        <v>11.6</v>
      </c>
      <c r="N446" s="2">
        <v>7.4</v>
      </c>
      <c r="O446" s="2">
        <v>33</v>
      </c>
      <c r="P446" s="2">
        <v>3.3</v>
      </c>
      <c r="Q446" s="2">
        <v>1.4</v>
      </c>
      <c r="R446" s="2">
        <v>14.4</v>
      </c>
      <c r="S446" s="2">
        <v>24.4</v>
      </c>
      <c r="T446" s="2">
        <v>0.7</v>
      </c>
      <c r="U446" s="2">
        <v>0.4</v>
      </c>
      <c r="V446" s="2">
        <v>1.1000000000000001</v>
      </c>
      <c r="W446" s="2">
        <v>0.112</v>
      </c>
      <c r="X446" s="2">
        <v>1.3</v>
      </c>
      <c r="Y446" s="2">
        <v>0.3</v>
      </c>
      <c r="Z446" s="2">
        <v>1.6</v>
      </c>
      <c r="AA446" s="2">
        <v>0.4</v>
      </c>
    </row>
    <row r="447" spans="1:27" x14ac:dyDescent="0.2">
      <c r="A447" t="s">
        <v>422</v>
      </c>
      <c r="B447" s="2">
        <v>39</v>
      </c>
      <c r="C447" t="s">
        <v>59</v>
      </c>
      <c r="D447" s="2" t="s">
        <v>42</v>
      </c>
      <c r="E447" s="2">
        <v>13</v>
      </c>
      <c r="F447" s="2">
        <v>8</v>
      </c>
      <c r="G447" s="2">
        <v>150</v>
      </c>
      <c r="H447" s="2">
        <v>10.9</v>
      </c>
      <c r="I447" s="2">
        <v>0.505</v>
      </c>
      <c r="J447" s="2">
        <v>5.8999999999999997E-2</v>
      </c>
      <c r="K447" s="2">
        <v>0.17599999999999999</v>
      </c>
      <c r="L447" s="2">
        <v>14.9</v>
      </c>
      <c r="M447" s="2">
        <v>18.399999999999999</v>
      </c>
      <c r="N447" s="2">
        <v>16.600000000000001</v>
      </c>
      <c r="O447" s="2">
        <v>6.8</v>
      </c>
      <c r="P447" s="2">
        <v>1.7</v>
      </c>
      <c r="Q447" s="2">
        <v>2</v>
      </c>
      <c r="R447" s="2">
        <v>19.7</v>
      </c>
      <c r="S447" s="2">
        <v>12.9</v>
      </c>
      <c r="T447" s="2">
        <v>0</v>
      </c>
      <c r="U447" s="2">
        <v>0.1</v>
      </c>
      <c r="V447" s="2">
        <v>0.2</v>
      </c>
      <c r="W447" s="2">
        <v>5.2999999999999999E-2</v>
      </c>
      <c r="X447" s="2">
        <v>-4.0999999999999996</v>
      </c>
      <c r="Y447" s="2">
        <v>-0.4</v>
      </c>
      <c r="Z447" s="2">
        <v>-4.5</v>
      </c>
      <c r="AA447" s="2">
        <v>-0.1</v>
      </c>
    </row>
    <row r="448" spans="1:27" x14ac:dyDescent="0.2">
      <c r="A448" t="s">
        <v>298</v>
      </c>
      <c r="B448" s="2">
        <v>24</v>
      </c>
      <c r="C448" t="s">
        <v>70</v>
      </c>
      <c r="D448" s="2" t="s">
        <v>52</v>
      </c>
      <c r="E448" s="2">
        <v>19</v>
      </c>
      <c r="F448" s="2">
        <v>0</v>
      </c>
      <c r="G448" s="2">
        <v>208</v>
      </c>
      <c r="H448" s="2">
        <v>20.7</v>
      </c>
      <c r="I448" s="2">
        <v>0.68200000000000005</v>
      </c>
      <c r="J448" s="2">
        <v>0.42499999999999999</v>
      </c>
      <c r="K448" s="2">
        <v>0.33300000000000002</v>
      </c>
      <c r="L448" s="2">
        <v>4.0999999999999996</v>
      </c>
      <c r="M448" s="2">
        <v>13.1</v>
      </c>
      <c r="N448" s="2">
        <v>8.6999999999999993</v>
      </c>
      <c r="O448" s="2">
        <v>20</v>
      </c>
      <c r="P448" s="2">
        <v>0.9</v>
      </c>
      <c r="Q448" s="2">
        <v>1.6</v>
      </c>
      <c r="R448" s="2">
        <v>9.9</v>
      </c>
      <c r="S448" s="2">
        <v>22.2</v>
      </c>
      <c r="T448" s="2">
        <v>0.7</v>
      </c>
      <c r="U448" s="2">
        <v>0.1</v>
      </c>
      <c r="V448" s="2">
        <v>0.7</v>
      </c>
      <c r="W448" s="2">
        <v>0.16700000000000001</v>
      </c>
      <c r="X448" s="2">
        <v>4.4000000000000004</v>
      </c>
      <c r="Y448" s="2">
        <v>-1.5</v>
      </c>
      <c r="Z448" s="2">
        <v>2.9</v>
      </c>
      <c r="AA448" s="2">
        <v>0.3</v>
      </c>
    </row>
    <row r="449" spans="1:27" x14ac:dyDescent="0.2">
      <c r="A449" t="s">
        <v>187</v>
      </c>
      <c r="B449" s="2">
        <v>23</v>
      </c>
      <c r="C449" t="s">
        <v>87</v>
      </c>
      <c r="D449" s="2" t="s">
        <v>27</v>
      </c>
      <c r="E449" s="2">
        <v>23</v>
      </c>
      <c r="F449" s="2">
        <v>0</v>
      </c>
      <c r="G449" s="2">
        <v>529</v>
      </c>
      <c r="H449" s="2">
        <v>20.2</v>
      </c>
      <c r="I449" s="2">
        <v>0.55600000000000005</v>
      </c>
      <c r="J449" s="2">
        <v>0.315</v>
      </c>
      <c r="K449" s="2">
        <v>0.20200000000000001</v>
      </c>
      <c r="L449" s="2">
        <v>9.9</v>
      </c>
      <c r="M449" s="2">
        <v>19.5</v>
      </c>
      <c r="N449" s="2">
        <v>14.7</v>
      </c>
      <c r="O449" s="2">
        <v>7.2</v>
      </c>
      <c r="P449" s="4">
        <v>4.2</v>
      </c>
      <c r="Q449" s="2">
        <v>3.9</v>
      </c>
      <c r="R449" s="2">
        <v>7.9</v>
      </c>
      <c r="S449" s="2">
        <v>19.7</v>
      </c>
      <c r="T449" s="2">
        <v>0.8</v>
      </c>
      <c r="U449" s="2">
        <v>1.5</v>
      </c>
      <c r="V449" s="2">
        <v>2.2999999999999998</v>
      </c>
      <c r="W449" s="2">
        <v>0.21</v>
      </c>
      <c r="X449" s="2">
        <v>1.4</v>
      </c>
      <c r="Y449" s="4">
        <v>4</v>
      </c>
      <c r="Z449" s="2">
        <v>5.4</v>
      </c>
      <c r="AA449" s="2">
        <v>1</v>
      </c>
    </row>
    <row r="450" spans="1:27" x14ac:dyDescent="0.2">
      <c r="A450" t="s">
        <v>242</v>
      </c>
      <c r="B450" s="2">
        <v>30</v>
      </c>
      <c r="C450" t="s">
        <v>35</v>
      </c>
      <c r="D450" s="2" t="s">
        <v>49</v>
      </c>
      <c r="E450" s="2">
        <v>24</v>
      </c>
      <c r="F450" s="2">
        <v>24</v>
      </c>
      <c r="G450" s="2">
        <v>644</v>
      </c>
      <c r="H450" s="2">
        <v>10.8</v>
      </c>
      <c r="I450" s="2">
        <v>0.67</v>
      </c>
      <c r="J450" s="2">
        <v>0.61799999999999999</v>
      </c>
      <c r="K450" s="2">
        <v>9.6000000000000002E-2</v>
      </c>
      <c r="L450" s="2">
        <v>2.7</v>
      </c>
      <c r="M450" s="2">
        <v>14.2</v>
      </c>
      <c r="N450" s="2">
        <v>8.6999999999999993</v>
      </c>
      <c r="O450" s="2">
        <v>9.1</v>
      </c>
      <c r="P450" s="2">
        <v>1.5</v>
      </c>
      <c r="Q450" s="2">
        <v>0.7</v>
      </c>
      <c r="R450" s="2">
        <v>15.5</v>
      </c>
      <c r="S450" s="2">
        <v>11.5</v>
      </c>
      <c r="T450" s="2">
        <v>0.7</v>
      </c>
      <c r="U450" s="2">
        <v>0.5</v>
      </c>
      <c r="V450" s="2">
        <v>1.2</v>
      </c>
      <c r="W450" s="2">
        <v>9.2999999999999999E-2</v>
      </c>
      <c r="X450" s="2">
        <v>-1.2</v>
      </c>
      <c r="Y450" s="2">
        <v>-0.1</v>
      </c>
      <c r="Z450" s="2">
        <v>-1.3</v>
      </c>
      <c r="AA450" s="2">
        <v>0.1</v>
      </c>
    </row>
    <row r="451" spans="1:27" x14ac:dyDescent="0.2">
      <c r="A451" t="s">
        <v>489</v>
      </c>
      <c r="B451" s="2">
        <v>21</v>
      </c>
      <c r="C451" t="s">
        <v>120</v>
      </c>
      <c r="D451" s="2" t="s">
        <v>27</v>
      </c>
      <c r="E451" s="2">
        <v>3</v>
      </c>
      <c r="F451" s="2">
        <v>3</v>
      </c>
      <c r="G451" s="2">
        <v>75</v>
      </c>
      <c r="H451" s="2">
        <v>7.3</v>
      </c>
      <c r="I451" s="2">
        <v>0.35399999999999998</v>
      </c>
      <c r="J451" s="2">
        <v>0.66700000000000004</v>
      </c>
      <c r="K451" s="2">
        <v>0.222</v>
      </c>
      <c r="L451" s="2">
        <v>7.5</v>
      </c>
      <c r="M451" s="2">
        <v>14.6</v>
      </c>
      <c r="N451" s="2">
        <v>11.1</v>
      </c>
      <c r="O451" s="2">
        <v>3.5</v>
      </c>
      <c r="P451" s="2">
        <v>3.2</v>
      </c>
      <c r="Q451" s="2">
        <v>5</v>
      </c>
      <c r="R451" s="2">
        <v>9.1999999999999993</v>
      </c>
      <c r="S451" s="2">
        <v>12.2</v>
      </c>
      <c r="T451" s="2">
        <v>-0.1</v>
      </c>
      <c r="U451" s="2">
        <v>0.1</v>
      </c>
      <c r="V451" s="2">
        <v>0</v>
      </c>
      <c r="W451" s="2">
        <v>-6.0000000000000001E-3</v>
      </c>
      <c r="X451" s="2">
        <v>-4.5</v>
      </c>
      <c r="Y451" s="2">
        <v>1.2</v>
      </c>
      <c r="Z451" s="2">
        <v>-3.3</v>
      </c>
      <c r="AA451" s="2">
        <v>0</v>
      </c>
    </row>
    <row r="452" spans="1:27" x14ac:dyDescent="0.2">
      <c r="A452" t="s">
        <v>510</v>
      </c>
      <c r="B452" s="2">
        <v>26</v>
      </c>
      <c r="C452" t="s">
        <v>135</v>
      </c>
      <c r="D452" s="2" t="s">
        <v>52</v>
      </c>
      <c r="E452" s="2">
        <v>2</v>
      </c>
      <c r="F452" s="2">
        <v>0</v>
      </c>
      <c r="G452" s="2">
        <v>20</v>
      </c>
      <c r="H452" s="2">
        <v>7.2</v>
      </c>
      <c r="I452" s="2">
        <v>0.27600000000000002</v>
      </c>
      <c r="J452" s="2">
        <v>0.4</v>
      </c>
      <c r="K452" s="2">
        <v>0.2</v>
      </c>
      <c r="L452" s="2">
        <v>20.7</v>
      </c>
      <c r="M452" s="2">
        <v>22.8</v>
      </c>
      <c r="N452" s="2">
        <v>21.7</v>
      </c>
      <c r="O452" s="2">
        <v>7</v>
      </c>
      <c r="P452" s="2">
        <v>4.8</v>
      </c>
      <c r="Q452" s="2">
        <v>0</v>
      </c>
      <c r="R452" s="2">
        <v>15.5</v>
      </c>
      <c r="S452" s="2">
        <v>26.6</v>
      </c>
      <c r="T452" s="2">
        <v>-0.1</v>
      </c>
      <c r="U452" s="2">
        <v>0</v>
      </c>
      <c r="V452" s="2">
        <v>-0.1</v>
      </c>
      <c r="W452" s="2">
        <v>-0.16900000000000001</v>
      </c>
      <c r="X452" s="2">
        <v>-3.6</v>
      </c>
      <c r="Y452" s="2">
        <v>-1.1000000000000001</v>
      </c>
      <c r="Z452" s="2">
        <v>-4.7</v>
      </c>
      <c r="AA452" s="2">
        <v>0</v>
      </c>
    </row>
    <row r="453" spans="1:27" x14ac:dyDescent="0.2">
      <c r="A453" t="s">
        <v>290</v>
      </c>
      <c r="B453" s="2">
        <v>28</v>
      </c>
      <c r="C453" t="s">
        <v>77</v>
      </c>
      <c r="D453" s="2" t="s">
        <v>52</v>
      </c>
      <c r="E453" s="2">
        <v>23</v>
      </c>
      <c r="F453" s="2">
        <v>11</v>
      </c>
      <c r="G453" s="2">
        <v>484</v>
      </c>
      <c r="H453" s="2">
        <v>10.9</v>
      </c>
      <c r="I453" s="2">
        <v>0.52</v>
      </c>
      <c r="J453" s="2">
        <v>0.36699999999999999</v>
      </c>
      <c r="K453" s="2">
        <v>0.188</v>
      </c>
      <c r="L453" s="2">
        <v>5.5</v>
      </c>
      <c r="M453" s="2">
        <v>11</v>
      </c>
      <c r="N453" s="2">
        <v>8.1999999999999993</v>
      </c>
      <c r="O453" s="2">
        <v>11.6</v>
      </c>
      <c r="P453" s="2">
        <v>2.2000000000000002</v>
      </c>
      <c r="Q453" s="2">
        <v>1.1000000000000001</v>
      </c>
      <c r="R453" s="2">
        <v>8.6</v>
      </c>
      <c r="S453" s="2">
        <v>13.5</v>
      </c>
      <c r="T453" s="2">
        <v>0.4</v>
      </c>
      <c r="U453" s="2">
        <v>0.6</v>
      </c>
      <c r="V453" s="2">
        <v>1</v>
      </c>
      <c r="W453" s="2">
        <v>0.10199999999999999</v>
      </c>
      <c r="X453" s="2">
        <v>-2.4</v>
      </c>
      <c r="Y453" s="2">
        <v>1.2</v>
      </c>
      <c r="Z453" s="2">
        <v>-1.1000000000000001</v>
      </c>
      <c r="AA453" s="2">
        <v>0.1</v>
      </c>
    </row>
    <row r="454" spans="1:27" x14ac:dyDescent="0.2">
      <c r="A454" t="s">
        <v>501</v>
      </c>
      <c r="B454" s="2">
        <v>24</v>
      </c>
      <c r="C454" t="s">
        <v>51</v>
      </c>
      <c r="D454" s="2" t="s">
        <v>52</v>
      </c>
      <c r="E454" s="2">
        <v>7</v>
      </c>
      <c r="F454" s="2">
        <v>0</v>
      </c>
      <c r="G454" s="2">
        <v>30</v>
      </c>
      <c r="H454" s="2">
        <v>9.1</v>
      </c>
      <c r="I454" s="2">
        <v>0.5</v>
      </c>
      <c r="J454" s="2">
        <v>0.33300000000000002</v>
      </c>
      <c r="K454" s="2">
        <v>0</v>
      </c>
      <c r="L454" s="2">
        <v>0</v>
      </c>
      <c r="M454" s="2">
        <v>3.7</v>
      </c>
      <c r="N454" s="2">
        <v>1.9</v>
      </c>
      <c r="O454" s="2">
        <v>19.600000000000001</v>
      </c>
      <c r="P454" s="2">
        <v>3.3</v>
      </c>
      <c r="Q454" s="2">
        <v>3.1</v>
      </c>
      <c r="R454" s="2">
        <v>25</v>
      </c>
      <c r="S454" s="2">
        <v>17.600000000000001</v>
      </c>
      <c r="T454" s="2">
        <v>-0.1</v>
      </c>
      <c r="U454" s="2">
        <v>0</v>
      </c>
      <c r="V454" s="2">
        <v>0</v>
      </c>
      <c r="W454" s="2">
        <v>-1E-3</v>
      </c>
      <c r="X454" s="2">
        <v>-4.2</v>
      </c>
      <c r="Y454" s="2">
        <v>2.1</v>
      </c>
      <c r="Z454" s="2">
        <v>-2.1</v>
      </c>
      <c r="AA454" s="2">
        <v>0</v>
      </c>
    </row>
    <row r="455" spans="1:27" x14ac:dyDescent="0.2">
      <c r="A455" t="s">
        <v>193</v>
      </c>
      <c r="B455" s="2">
        <v>30</v>
      </c>
      <c r="C455" t="s">
        <v>61</v>
      </c>
      <c r="D455" s="2" t="s">
        <v>33</v>
      </c>
      <c r="E455" s="2">
        <v>21</v>
      </c>
      <c r="F455" s="2">
        <v>12</v>
      </c>
      <c r="G455" s="2">
        <v>597</v>
      </c>
      <c r="H455" s="2">
        <v>11.2</v>
      </c>
      <c r="I455" s="2">
        <v>0.52700000000000002</v>
      </c>
      <c r="J455" s="2">
        <v>0.51800000000000002</v>
      </c>
      <c r="K455" s="2">
        <v>0.17</v>
      </c>
      <c r="L455" s="2">
        <v>2.7</v>
      </c>
      <c r="M455" s="2">
        <v>12</v>
      </c>
      <c r="N455" s="2">
        <v>7.4</v>
      </c>
      <c r="O455" s="2">
        <v>15.4</v>
      </c>
      <c r="P455" s="2">
        <v>1.1000000000000001</v>
      </c>
      <c r="Q455" s="2">
        <v>1.3</v>
      </c>
      <c r="R455" s="2">
        <v>12</v>
      </c>
      <c r="S455" s="2">
        <v>19.5</v>
      </c>
      <c r="T455" s="2">
        <v>0.1</v>
      </c>
      <c r="U455" s="2">
        <v>0.5</v>
      </c>
      <c r="V455" s="2">
        <v>0.6</v>
      </c>
      <c r="W455" s="2">
        <v>5.0999999999999997E-2</v>
      </c>
      <c r="X455" s="2">
        <v>-2</v>
      </c>
      <c r="Y455" s="2">
        <v>-1.1000000000000001</v>
      </c>
      <c r="Z455" s="2">
        <v>-3.1</v>
      </c>
      <c r="AA455" s="2">
        <v>-0.2</v>
      </c>
    </row>
    <row r="456" spans="1:27" x14ac:dyDescent="0.2">
      <c r="A456" t="s">
        <v>419</v>
      </c>
      <c r="B456" s="2">
        <v>27</v>
      </c>
      <c r="C456" t="s">
        <v>61</v>
      </c>
      <c r="D456" s="2" t="s">
        <v>42</v>
      </c>
      <c r="E456" s="2">
        <v>10</v>
      </c>
      <c r="F456" s="2">
        <v>0</v>
      </c>
      <c r="G456" s="2">
        <v>115</v>
      </c>
      <c r="H456" s="2">
        <v>15.9</v>
      </c>
      <c r="I456" s="2">
        <v>0.624</v>
      </c>
      <c r="J456" s="2">
        <v>0.60699999999999998</v>
      </c>
      <c r="K456" s="2">
        <v>0.39300000000000002</v>
      </c>
      <c r="L456" s="2">
        <v>5.7</v>
      </c>
      <c r="M456" s="2">
        <v>24.5</v>
      </c>
      <c r="N456" s="2">
        <v>15.1</v>
      </c>
      <c r="O456" s="2">
        <v>4.8</v>
      </c>
      <c r="P456" s="2">
        <v>0.4</v>
      </c>
      <c r="Q456" s="2">
        <v>7.6</v>
      </c>
      <c r="R456" s="2">
        <v>5.7</v>
      </c>
      <c r="S456" s="2">
        <v>13.2</v>
      </c>
      <c r="T456" s="2">
        <v>0.2</v>
      </c>
      <c r="U456" s="2">
        <v>0.2</v>
      </c>
      <c r="V456" s="2">
        <v>0.4</v>
      </c>
      <c r="W456" s="2">
        <v>0.17599999999999999</v>
      </c>
      <c r="X456" s="2">
        <v>-0.9</v>
      </c>
      <c r="Y456" s="2">
        <v>0.9</v>
      </c>
      <c r="Z456" s="2">
        <v>0</v>
      </c>
      <c r="AA456" s="2">
        <v>0.1</v>
      </c>
    </row>
    <row r="457" spans="1:27" x14ac:dyDescent="0.2">
      <c r="A457" t="s">
        <v>337</v>
      </c>
      <c r="B457" s="2">
        <v>19</v>
      </c>
      <c r="C457" t="s">
        <v>59</v>
      </c>
      <c r="D457" s="2" t="s">
        <v>27</v>
      </c>
      <c r="E457" s="2">
        <v>20</v>
      </c>
      <c r="F457" s="2">
        <v>8</v>
      </c>
      <c r="G457" s="2">
        <v>376</v>
      </c>
      <c r="H457" s="2">
        <v>7.5</v>
      </c>
      <c r="I457" s="2">
        <v>0.45700000000000002</v>
      </c>
      <c r="J457" s="2">
        <v>0.67300000000000004</v>
      </c>
      <c r="K457" s="2">
        <v>0.188</v>
      </c>
      <c r="L457" s="2">
        <v>5.0999999999999996</v>
      </c>
      <c r="M457" s="2">
        <v>19.3</v>
      </c>
      <c r="N457" s="2">
        <v>11.9</v>
      </c>
      <c r="O457" s="2">
        <v>7.2</v>
      </c>
      <c r="P457" s="2">
        <v>1.6</v>
      </c>
      <c r="Q457" s="2">
        <v>0.8</v>
      </c>
      <c r="R457" s="2">
        <v>12.8</v>
      </c>
      <c r="S457" s="2">
        <v>14.2</v>
      </c>
      <c r="T457" s="2">
        <v>-0.2</v>
      </c>
      <c r="U457" s="2">
        <v>0.3</v>
      </c>
      <c r="V457" s="2">
        <v>0.1</v>
      </c>
      <c r="W457" s="2">
        <v>1.6E-2</v>
      </c>
      <c r="X457" s="2">
        <v>-4.3</v>
      </c>
      <c r="Y457" s="2">
        <v>-0.3</v>
      </c>
      <c r="Z457" s="2">
        <v>-4.5999999999999996</v>
      </c>
      <c r="AA457" s="2">
        <v>-0.2</v>
      </c>
    </row>
    <row r="458" spans="1:27" x14ac:dyDescent="0.2">
      <c r="A458" t="s">
        <v>214</v>
      </c>
      <c r="B458" s="2">
        <v>32</v>
      </c>
      <c r="C458" t="s">
        <v>75</v>
      </c>
      <c r="D458" s="2" t="s">
        <v>52</v>
      </c>
      <c r="E458" s="2">
        <v>23</v>
      </c>
      <c r="F458" s="2">
        <v>23</v>
      </c>
      <c r="G458" s="2">
        <v>627</v>
      </c>
      <c r="H458" s="2">
        <v>8.8000000000000007</v>
      </c>
      <c r="I458" s="2">
        <v>0.56599999999999995</v>
      </c>
      <c r="J458" s="2">
        <v>0.65700000000000003</v>
      </c>
      <c r="K458" s="2">
        <v>0.219</v>
      </c>
      <c r="L458" s="2">
        <v>0.9</v>
      </c>
      <c r="M458" s="2">
        <v>7.5</v>
      </c>
      <c r="N458" s="2">
        <v>4.2</v>
      </c>
      <c r="O458" s="2">
        <v>7.7</v>
      </c>
      <c r="P458" s="2">
        <v>0.6</v>
      </c>
      <c r="Q458" s="2">
        <v>0</v>
      </c>
      <c r="R458" s="2">
        <v>7.1</v>
      </c>
      <c r="S458" s="2">
        <v>14.4</v>
      </c>
      <c r="T458" s="2">
        <v>0.6</v>
      </c>
      <c r="U458" s="2">
        <v>0.2</v>
      </c>
      <c r="V458" s="2">
        <v>0.8</v>
      </c>
      <c r="W458" s="2">
        <v>0.06</v>
      </c>
      <c r="X458" s="2">
        <v>-2.1</v>
      </c>
      <c r="Y458" s="2">
        <v>-1.4</v>
      </c>
      <c r="Z458" s="2">
        <v>-3.4</v>
      </c>
      <c r="AA458" s="2">
        <v>-0.2</v>
      </c>
    </row>
    <row r="459" spans="1:27" x14ac:dyDescent="0.2">
      <c r="A459" t="s">
        <v>132</v>
      </c>
      <c r="B459" s="2">
        <v>32</v>
      </c>
      <c r="C459" t="s">
        <v>75</v>
      </c>
      <c r="D459" s="2" t="s">
        <v>27</v>
      </c>
      <c r="E459" s="2">
        <v>25</v>
      </c>
      <c r="F459" s="2">
        <v>25</v>
      </c>
      <c r="G459" s="2">
        <v>807</v>
      </c>
      <c r="H459" s="2">
        <v>13.8</v>
      </c>
      <c r="I459" s="2">
        <v>0.54800000000000004</v>
      </c>
      <c r="J459" s="2">
        <v>0.38</v>
      </c>
      <c r="K459" s="2">
        <v>0.192</v>
      </c>
      <c r="L459" s="2">
        <v>3.6</v>
      </c>
      <c r="M459" s="2">
        <v>19.899999999999999</v>
      </c>
      <c r="N459" s="2">
        <v>11.9</v>
      </c>
      <c r="O459" s="2">
        <v>11</v>
      </c>
      <c r="P459" s="2">
        <v>1.2</v>
      </c>
      <c r="Q459" s="2">
        <v>2.5</v>
      </c>
      <c r="R459" s="2">
        <v>8.9</v>
      </c>
      <c r="S459" s="2">
        <v>18.5</v>
      </c>
      <c r="T459" s="2">
        <v>0.7</v>
      </c>
      <c r="U459" s="2">
        <v>0.9</v>
      </c>
      <c r="V459" s="2">
        <v>1.5</v>
      </c>
      <c r="W459" s="2">
        <v>9.0999999999999998E-2</v>
      </c>
      <c r="X459" s="2">
        <v>-0.7</v>
      </c>
      <c r="Y459" s="2">
        <v>0.2</v>
      </c>
      <c r="Z459" s="2">
        <v>-0.6</v>
      </c>
      <c r="AA459" s="2">
        <v>0.3</v>
      </c>
    </row>
    <row r="460" spans="1:27" x14ac:dyDescent="0.2">
      <c r="A460" t="s">
        <v>438</v>
      </c>
      <c r="B460" s="2">
        <v>34</v>
      </c>
      <c r="C460" t="s">
        <v>70</v>
      </c>
      <c r="D460" s="2" t="s">
        <v>49</v>
      </c>
      <c r="E460" s="2">
        <v>6</v>
      </c>
      <c r="F460" s="2">
        <v>1</v>
      </c>
      <c r="G460" s="2">
        <v>67</v>
      </c>
      <c r="H460" s="2">
        <v>14.6</v>
      </c>
      <c r="I460" s="2">
        <v>0.67700000000000005</v>
      </c>
      <c r="J460" s="2">
        <v>0.81799999999999995</v>
      </c>
      <c r="K460" s="2">
        <v>9.0999999999999998E-2</v>
      </c>
      <c r="L460" s="2">
        <v>4.8</v>
      </c>
      <c r="M460" s="2">
        <v>15.7</v>
      </c>
      <c r="N460" s="2">
        <v>10.3</v>
      </c>
      <c r="O460" s="2">
        <v>6</v>
      </c>
      <c r="P460" s="2">
        <v>0.7</v>
      </c>
      <c r="Q460" s="2">
        <v>1.3</v>
      </c>
      <c r="R460" s="2">
        <v>0</v>
      </c>
      <c r="S460" s="2">
        <v>14.3</v>
      </c>
      <c r="T460" s="2">
        <v>0.2</v>
      </c>
      <c r="U460" s="2">
        <v>0</v>
      </c>
      <c r="V460" s="2">
        <v>0.2</v>
      </c>
      <c r="W460" s="2">
        <v>0.14299999999999999</v>
      </c>
      <c r="X460" s="2">
        <v>1.8</v>
      </c>
      <c r="Y460" s="2">
        <v>-1.2</v>
      </c>
      <c r="Z460" s="2">
        <v>0.7</v>
      </c>
      <c r="AA460" s="2">
        <v>0</v>
      </c>
    </row>
    <row r="461" spans="1:27" x14ac:dyDescent="0.2">
      <c r="A461" t="s">
        <v>217</v>
      </c>
      <c r="B461" s="2">
        <v>24</v>
      </c>
      <c r="C461" t="s">
        <v>135</v>
      </c>
      <c r="D461" s="2" t="s">
        <v>27</v>
      </c>
      <c r="E461" s="2">
        <v>24</v>
      </c>
      <c r="F461" s="2">
        <v>24</v>
      </c>
      <c r="G461" s="2">
        <v>720</v>
      </c>
      <c r="H461" s="2">
        <v>10.1</v>
      </c>
      <c r="I461" s="2">
        <v>0.53100000000000003</v>
      </c>
      <c r="J461" s="2">
        <v>0.52400000000000002</v>
      </c>
      <c r="K461" s="2">
        <v>0.13600000000000001</v>
      </c>
      <c r="L461" s="2">
        <v>7.2</v>
      </c>
      <c r="M461" s="2">
        <v>11.1</v>
      </c>
      <c r="N461" s="2">
        <v>9</v>
      </c>
      <c r="O461" s="2">
        <v>9.9</v>
      </c>
      <c r="P461" s="2">
        <v>2.2999999999999998</v>
      </c>
      <c r="Q461" s="2">
        <v>1.1000000000000001</v>
      </c>
      <c r="R461" s="2">
        <v>15.8</v>
      </c>
      <c r="S461" s="2">
        <v>13.8</v>
      </c>
      <c r="T461" s="2">
        <v>0.2</v>
      </c>
      <c r="U461" s="2">
        <v>0.4</v>
      </c>
      <c r="V461" s="2">
        <v>0.6</v>
      </c>
      <c r="W461" s="2">
        <v>0.04</v>
      </c>
      <c r="X461" s="2">
        <v>-2.2000000000000002</v>
      </c>
      <c r="Y461" s="2">
        <v>-0.2</v>
      </c>
      <c r="Z461" s="2">
        <v>-2.4</v>
      </c>
      <c r="AA461" s="2">
        <v>-0.1</v>
      </c>
    </row>
    <row r="462" spans="1:27" x14ac:dyDescent="0.2">
      <c r="A462" t="s">
        <v>71</v>
      </c>
      <c r="B462" s="2">
        <v>26</v>
      </c>
      <c r="C462" t="s">
        <v>72</v>
      </c>
      <c r="D462" s="2" t="s">
        <v>33</v>
      </c>
      <c r="E462" s="2">
        <v>25</v>
      </c>
      <c r="F462" s="2">
        <v>25</v>
      </c>
      <c r="G462" s="2">
        <v>899</v>
      </c>
      <c r="H462" s="2">
        <v>16.7</v>
      </c>
      <c r="I462" s="2">
        <v>0.53600000000000003</v>
      </c>
      <c r="J462" s="2">
        <v>0.5</v>
      </c>
      <c r="K462" s="2">
        <v>0.35799999999999998</v>
      </c>
      <c r="L462" s="2">
        <v>1.7</v>
      </c>
      <c r="M462" s="2">
        <v>10</v>
      </c>
      <c r="N462" s="2">
        <v>5.8</v>
      </c>
      <c r="O462" s="4">
        <v>47.5</v>
      </c>
      <c r="P462" s="2">
        <v>1.7</v>
      </c>
      <c r="Q462" s="2">
        <v>0.3</v>
      </c>
      <c r="R462" s="2">
        <v>18.899999999999999</v>
      </c>
      <c r="S462" s="2">
        <v>27</v>
      </c>
      <c r="T462" s="2">
        <v>1</v>
      </c>
      <c r="U462" s="2">
        <v>0.5</v>
      </c>
      <c r="V462" s="2">
        <v>1.5</v>
      </c>
      <c r="W462" s="2">
        <v>0.08</v>
      </c>
      <c r="X462" s="2">
        <v>1.8</v>
      </c>
      <c r="Y462" s="2">
        <v>-2.5</v>
      </c>
      <c r="Z462" s="2">
        <v>-0.7</v>
      </c>
      <c r="AA462" s="2">
        <v>0.3</v>
      </c>
    </row>
    <row r="463" spans="1:27" x14ac:dyDescent="0.2">
      <c r="A463" t="s">
        <v>259</v>
      </c>
      <c r="B463" s="2">
        <v>24</v>
      </c>
      <c r="C463" t="s">
        <v>100</v>
      </c>
      <c r="D463" s="2" t="s">
        <v>42</v>
      </c>
      <c r="E463" s="2">
        <v>23</v>
      </c>
      <c r="F463" s="2">
        <v>18</v>
      </c>
      <c r="G463" s="2">
        <v>388</v>
      </c>
      <c r="H463" s="2">
        <v>18.399999999999999</v>
      </c>
      <c r="I463" s="2">
        <v>0.60599999999999998</v>
      </c>
      <c r="J463" s="2">
        <v>8.0000000000000002E-3</v>
      </c>
      <c r="K463" s="2">
        <v>0.252</v>
      </c>
      <c r="L463" s="2">
        <v>9.9</v>
      </c>
      <c r="M463" s="2">
        <v>18.8</v>
      </c>
      <c r="N463" s="2">
        <v>14.3</v>
      </c>
      <c r="O463" s="2">
        <v>17.399999999999999</v>
      </c>
      <c r="P463" s="2">
        <v>0.7</v>
      </c>
      <c r="Q463" s="2">
        <v>3.9</v>
      </c>
      <c r="R463" s="2">
        <v>11.3</v>
      </c>
      <c r="S463" s="2">
        <v>17.100000000000001</v>
      </c>
      <c r="T463" s="2">
        <v>0.8</v>
      </c>
      <c r="U463" s="2">
        <v>0.6</v>
      </c>
      <c r="V463" s="2">
        <v>1.4</v>
      </c>
      <c r="W463" s="2">
        <v>0.17799999999999999</v>
      </c>
      <c r="X463" s="2">
        <v>0.8</v>
      </c>
      <c r="Y463" s="2">
        <v>1.4</v>
      </c>
      <c r="Z463" s="2">
        <v>2.2000000000000002</v>
      </c>
      <c r="AA463" s="2">
        <v>0.4</v>
      </c>
    </row>
    <row r="464" spans="1:27" x14ac:dyDescent="0.2">
      <c r="A464" t="s">
        <v>432</v>
      </c>
      <c r="B464" s="2">
        <v>25</v>
      </c>
      <c r="C464" t="s">
        <v>93</v>
      </c>
      <c r="D464" s="2" t="s">
        <v>33</v>
      </c>
      <c r="E464" s="2">
        <v>8</v>
      </c>
      <c r="F464" s="2">
        <v>0</v>
      </c>
      <c r="G464" s="2">
        <v>140</v>
      </c>
      <c r="H464" s="2">
        <v>10.3</v>
      </c>
      <c r="I464" s="2">
        <v>0.45600000000000002</v>
      </c>
      <c r="J464" s="2">
        <v>0.4</v>
      </c>
      <c r="K464" s="2">
        <v>0.46700000000000003</v>
      </c>
      <c r="L464" s="2">
        <v>3.9</v>
      </c>
      <c r="M464" s="2">
        <v>10.7</v>
      </c>
      <c r="N464" s="2">
        <v>7.3</v>
      </c>
      <c r="O464" s="2">
        <v>24.6</v>
      </c>
      <c r="P464" s="2">
        <v>1.7</v>
      </c>
      <c r="Q464" s="2">
        <v>1.3</v>
      </c>
      <c r="R464" s="2">
        <v>12.1</v>
      </c>
      <c r="S464" s="2">
        <v>12.6</v>
      </c>
      <c r="T464" s="2">
        <v>0.1</v>
      </c>
      <c r="U464" s="2">
        <v>0.1</v>
      </c>
      <c r="V464" s="2">
        <v>0.2</v>
      </c>
      <c r="W464" s="2">
        <v>7.3999999999999996E-2</v>
      </c>
      <c r="X464" s="2">
        <v>-3.4</v>
      </c>
      <c r="Y464" s="2">
        <v>0.7</v>
      </c>
      <c r="Z464" s="2">
        <v>-2.7</v>
      </c>
      <c r="AA464" s="2">
        <v>0</v>
      </c>
    </row>
    <row r="465" spans="1:27" x14ac:dyDescent="0.2">
      <c r="A465" t="s">
        <v>246</v>
      </c>
      <c r="B465" s="2">
        <v>23</v>
      </c>
      <c r="C465" t="s">
        <v>59</v>
      </c>
      <c r="D465" s="2" t="s">
        <v>33</v>
      </c>
      <c r="E465" s="2">
        <v>13</v>
      </c>
      <c r="F465" s="2">
        <v>0</v>
      </c>
      <c r="G465" s="2">
        <v>319</v>
      </c>
      <c r="H465" s="2">
        <v>14</v>
      </c>
      <c r="I465" s="2">
        <v>0.53700000000000003</v>
      </c>
      <c r="J465" s="2">
        <v>0.373</v>
      </c>
      <c r="K465" s="2">
        <v>0.13</v>
      </c>
      <c r="L465" s="2">
        <v>4</v>
      </c>
      <c r="M465" s="2">
        <v>9.4</v>
      </c>
      <c r="N465" s="2">
        <v>6.6</v>
      </c>
      <c r="O465" s="2">
        <v>21.3</v>
      </c>
      <c r="P465" s="2">
        <v>1.1000000000000001</v>
      </c>
      <c r="Q465" s="2">
        <v>1.3</v>
      </c>
      <c r="R465" s="2">
        <v>12.8</v>
      </c>
      <c r="S465" s="2">
        <v>26</v>
      </c>
      <c r="T465" s="2">
        <v>0.2</v>
      </c>
      <c r="U465" s="2">
        <v>0.1</v>
      </c>
      <c r="V465" s="2">
        <v>0.3</v>
      </c>
      <c r="W465" s="2">
        <v>4.3999999999999997E-2</v>
      </c>
      <c r="X465" s="2">
        <v>-0.2</v>
      </c>
      <c r="Y465" s="2">
        <v>-2.1</v>
      </c>
      <c r="Z465" s="2">
        <v>-2.2999999999999998</v>
      </c>
      <c r="AA465" s="2">
        <v>0</v>
      </c>
    </row>
    <row r="466" spans="1:27" x14ac:dyDescent="0.2">
      <c r="A466" t="s">
        <v>338</v>
      </c>
      <c r="B466" s="2">
        <v>24</v>
      </c>
      <c r="C466" t="s">
        <v>103</v>
      </c>
      <c r="D466" s="2" t="s">
        <v>27</v>
      </c>
      <c r="E466" s="2">
        <v>11</v>
      </c>
      <c r="F466" s="2">
        <v>0</v>
      </c>
      <c r="G466" s="2">
        <v>199</v>
      </c>
      <c r="H466" s="2">
        <v>11.4</v>
      </c>
      <c r="I466" s="2">
        <v>0.55500000000000005</v>
      </c>
      <c r="J466" s="2">
        <v>0.32900000000000001</v>
      </c>
      <c r="K466" s="2">
        <v>0.42099999999999999</v>
      </c>
      <c r="L466" s="2">
        <v>2.2999999999999998</v>
      </c>
      <c r="M466" s="2">
        <v>20</v>
      </c>
      <c r="N466" s="2">
        <v>10.9</v>
      </c>
      <c r="O466" s="2">
        <v>11.9</v>
      </c>
      <c r="P466" s="2">
        <v>1.2</v>
      </c>
      <c r="Q466" s="2">
        <v>2</v>
      </c>
      <c r="R466" s="2">
        <v>15.1</v>
      </c>
      <c r="S466" s="2">
        <v>23.9</v>
      </c>
      <c r="T466" s="2">
        <v>-0.1</v>
      </c>
      <c r="U466" s="2">
        <v>0.1</v>
      </c>
      <c r="V466" s="2">
        <v>0.1</v>
      </c>
      <c r="W466" s="2">
        <v>2.1999999999999999E-2</v>
      </c>
      <c r="X466" s="2">
        <v>-4.5999999999999996</v>
      </c>
      <c r="Y466" s="2">
        <v>-0.6</v>
      </c>
      <c r="Z466" s="2">
        <v>-5.0999999999999996</v>
      </c>
      <c r="AA466" s="2">
        <v>-0.2</v>
      </c>
    </row>
    <row r="467" spans="1:27" x14ac:dyDescent="0.2">
      <c r="A467" t="s">
        <v>499</v>
      </c>
      <c r="B467" s="2">
        <v>19</v>
      </c>
      <c r="C467" t="s">
        <v>77</v>
      </c>
      <c r="D467" s="2" t="s">
        <v>49</v>
      </c>
      <c r="E467" s="2">
        <v>1</v>
      </c>
      <c r="F467" s="2">
        <v>0</v>
      </c>
      <c r="G467" s="2">
        <v>14</v>
      </c>
      <c r="H467" s="2">
        <v>9.1</v>
      </c>
      <c r="I467" s="2">
        <v>0.47699999999999998</v>
      </c>
      <c r="J467" s="2">
        <v>0.222</v>
      </c>
      <c r="K467" s="2">
        <v>0.111</v>
      </c>
      <c r="L467" s="2">
        <v>7.9</v>
      </c>
      <c r="M467" s="2">
        <v>24.2</v>
      </c>
      <c r="N467" s="2">
        <v>16</v>
      </c>
      <c r="O467" s="2">
        <v>0</v>
      </c>
      <c r="P467" s="2">
        <v>0</v>
      </c>
      <c r="Q467" s="2">
        <v>0</v>
      </c>
      <c r="R467" s="2">
        <v>9.6</v>
      </c>
      <c r="S467" s="2">
        <v>32.200000000000003</v>
      </c>
      <c r="T467" s="2">
        <v>0</v>
      </c>
      <c r="U467" s="2">
        <v>0</v>
      </c>
      <c r="V467" s="2">
        <v>0</v>
      </c>
      <c r="W467" s="2">
        <v>-5.1999999999999998E-2</v>
      </c>
      <c r="X467" s="2">
        <v>-4.7</v>
      </c>
      <c r="Y467" s="2">
        <v>-0.8</v>
      </c>
      <c r="Z467" s="2">
        <v>-5.6</v>
      </c>
      <c r="AA467" s="2">
        <v>0</v>
      </c>
    </row>
    <row r="468" spans="1:27" x14ac:dyDescent="0.2">
      <c r="A468" t="s">
        <v>540</v>
      </c>
      <c r="B468" s="2">
        <v>27</v>
      </c>
      <c r="C468" t="s">
        <v>48</v>
      </c>
      <c r="D468" s="2" t="s">
        <v>52</v>
      </c>
      <c r="E468" s="2">
        <v>2</v>
      </c>
      <c r="F468" s="2">
        <v>0</v>
      </c>
      <c r="G468" s="2">
        <v>5</v>
      </c>
      <c r="H468" s="2">
        <v>-4.3</v>
      </c>
      <c r="I468" s="2">
        <v>0.5</v>
      </c>
      <c r="J468" s="2">
        <v>0.33300000000000002</v>
      </c>
      <c r="K468" s="2">
        <v>0</v>
      </c>
      <c r="L468" s="2">
        <v>0</v>
      </c>
      <c r="M468" s="2">
        <v>0</v>
      </c>
      <c r="N468" s="2">
        <v>0</v>
      </c>
      <c r="O468" s="2">
        <v>0</v>
      </c>
      <c r="P468" s="2">
        <v>0</v>
      </c>
      <c r="Q468" s="2">
        <v>0</v>
      </c>
      <c r="R468" s="2">
        <v>25</v>
      </c>
      <c r="S468" s="2">
        <v>34.6</v>
      </c>
      <c r="T468" s="2">
        <v>0</v>
      </c>
      <c r="U468" s="2">
        <v>0</v>
      </c>
      <c r="V468" s="2">
        <v>0</v>
      </c>
      <c r="W468" s="2">
        <v>-0.26800000000000002</v>
      </c>
      <c r="X468" s="2">
        <v>-9.1999999999999993</v>
      </c>
      <c r="Y468" s="2">
        <v>-5.9</v>
      </c>
      <c r="Z468" s="2">
        <v>-15.1</v>
      </c>
      <c r="AA468" s="2">
        <v>0</v>
      </c>
    </row>
    <row r="469" spans="1:27" x14ac:dyDescent="0.2">
      <c r="A469" t="s">
        <v>497</v>
      </c>
      <c r="B469" s="2">
        <v>21</v>
      </c>
      <c r="C469" t="s">
        <v>46</v>
      </c>
      <c r="D469" s="2" t="s">
        <v>52</v>
      </c>
      <c r="E469" s="2">
        <v>9</v>
      </c>
      <c r="F469" s="2">
        <v>0</v>
      </c>
      <c r="G469" s="2">
        <v>44</v>
      </c>
      <c r="H469" s="2">
        <v>0.4</v>
      </c>
      <c r="I469" s="2">
        <v>0.34899999999999998</v>
      </c>
      <c r="J469" s="2">
        <v>0.5</v>
      </c>
      <c r="K469" s="2">
        <v>0.16700000000000001</v>
      </c>
      <c r="L469" s="2">
        <v>0</v>
      </c>
      <c r="M469" s="2">
        <v>2.4</v>
      </c>
      <c r="N469" s="2">
        <v>1.2</v>
      </c>
      <c r="O469" s="2">
        <v>5.4</v>
      </c>
      <c r="P469" s="2">
        <v>0</v>
      </c>
      <c r="Q469" s="2">
        <v>2</v>
      </c>
      <c r="R469" s="2">
        <v>7.2</v>
      </c>
      <c r="S469" s="2">
        <v>13.3</v>
      </c>
      <c r="T469" s="2">
        <v>-0.1</v>
      </c>
      <c r="U469" s="2">
        <v>0</v>
      </c>
      <c r="V469" s="2">
        <v>-0.1</v>
      </c>
      <c r="W469" s="2">
        <v>-8.5999999999999993E-2</v>
      </c>
      <c r="X469" s="2">
        <v>-7.6</v>
      </c>
      <c r="Y469" s="2">
        <v>-3</v>
      </c>
      <c r="Z469" s="2">
        <v>-10.5</v>
      </c>
      <c r="AA469" s="2">
        <v>-0.1</v>
      </c>
    </row>
    <row r="470" spans="1:27" x14ac:dyDescent="0.2">
      <c r="A470" t="s">
        <v>426</v>
      </c>
      <c r="B470" s="2">
        <v>25</v>
      </c>
      <c r="C470" t="s">
        <v>117</v>
      </c>
      <c r="D470" s="2" t="s">
        <v>42</v>
      </c>
      <c r="E470" s="2">
        <v>15</v>
      </c>
      <c r="F470" s="2">
        <v>0</v>
      </c>
      <c r="G470" s="2">
        <v>152</v>
      </c>
      <c r="H470" s="2">
        <v>9.3000000000000007</v>
      </c>
      <c r="I470" s="2">
        <v>0.48</v>
      </c>
      <c r="J470" s="2">
        <v>0</v>
      </c>
      <c r="K470" s="2">
        <v>0.58599999999999997</v>
      </c>
      <c r="L470" s="2">
        <v>11.6</v>
      </c>
      <c r="M470" s="2">
        <v>15.6</v>
      </c>
      <c r="N470" s="2">
        <v>13.5</v>
      </c>
      <c r="O470" s="2">
        <v>7.3</v>
      </c>
      <c r="P470" s="2">
        <v>2.2999999999999998</v>
      </c>
      <c r="Q470" s="2">
        <v>3.7</v>
      </c>
      <c r="R470" s="2">
        <v>21.5</v>
      </c>
      <c r="S470" s="2">
        <v>12.9</v>
      </c>
      <c r="T470" s="2">
        <v>-0.1</v>
      </c>
      <c r="U470" s="2">
        <v>0.1</v>
      </c>
      <c r="V470" s="2">
        <v>0</v>
      </c>
      <c r="W470" s="2">
        <v>3.0000000000000001E-3</v>
      </c>
      <c r="X470" s="2">
        <v>-6.2</v>
      </c>
      <c r="Y470" s="2">
        <v>-0.1</v>
      </c>
      <c r="Z470" s="2">
        <v>-6.3</v>
      </c>
      <c r="AA470" s="2">
        <v>-0.2</v>
      </c>
    </row>
    <row r="471" spans="1:27" x14ac:dyDescent="0.2">
      <c r="A471" t="s">
        <v>340</v>
      </c>
      <c r="B471" s="2">
        <v>29</v>
      </c>
      <c r="C471" t="s">
        <v>37</v>
      </c>
      <c r="D471" s="2" t="s">
        <v>27</v>
      </c>
      <c r="E471" s="2">
        <v>18</v>
      </c>
      <c r="F471" s="2">
        <v>2</v>
      </c>
      <c r="G471" s="2">
        <v>353</v>
      </c>
      <c r="H471" s="2">
        <v>9.6</v>
      </c>
      <c r="I471" s="2">
        <v>0.504</v>
      </c>
      <c r="J471" s="2">
        <v>0.72499999999999998</v>
      </c>
      <c r="K471" s="2">
        <v>0.154</v>
      </c>
      <c r="L471" s="2">
        <v>4.9000000000000004</v>
      </c>
      <c r="M471" s="2">
        <v>17.8</v>
      </c>
      <c r="N471" s="2">
        <v>11.5</v>
      </c>
      <c r="O471" s="2">
        <v>6.1</v>
      </c>
      <c r="P471" s="2">
        <v>1.4</v>
      </c>
      <c r="Q471" s="2">
        <v>3.2</v>
      </c>
      <c r="R471" s="2">
        <v>9.3000000000000007</v>
      </c>
      <c r="S471" s="2">
        <v>13.1</v>
      </c>
      <c r="T471" s="2">
        <v>0.1</v>
      </c>
      <c r="U471" s="2">
        <v>0.4</v>
      </c>
      <c r="V471" s="2">
        <v>0.5</v>
      </c>
      <c r="W471" s="2">
        <v>6.2E-2</v>
      </c>
      <c r="X471" s="2">
        <v>-1.7</v>
      </c>
      <c r="Y471" s="2">
        <v>-0.6</v>
      </c>
      <c r="Z471" s="2">
        <v>-2.2000000000000002</v>
      </c>
      <c r="AA471" s="2">
        <v>0</v>
      </c>
    </row>
    <row r="472" spans="1:27" x14ac:dyDescent="0.2">
      <c r="A472" t="s">
        <v>205</v>
      </c>
      <c r="B472" s="2">
        <v>24</v>
      </c>
      <c r="C472" t="s">
        <v>117</v>
      </c>
      <c r="D472" s="2" t="s">
        <v>49</v>
      </c>
      <c r="E472" s="2">
        <v>13</v>
      </c>
      <c r="F472" s="2">
        <v>11</v>
      </c>
      <c r="G472" s="2">
        <v>438</v>
      </c>
      <c r="H472" s="2">
        <v>14.7</v>
      </c>
      <c r="I472" s="2">
        <v>0.56799999999999995</v>
      </c>
      <c r="J472" s="2">
        <v>0.56399999999999995</v>
      </c>
      <c r="K472" s="2">
        <v>0.25</v>
      </c>
      <c r="L472" s="2">
        <v>2.4</v>
      </c>
      <c r="M472" s="2">
        <v>12.6</v>
      </c>
      <c r="N472" s="2">
        <v>7.3</v>
      </c>
      <c r="O472" s="2">
        <v>10.8</v>
      </c>
      <c r="P472" s="2">
        <v>1.7</v>
      </c>
      <c r="Q472" s="2">
        <v>1.7</v>
      </c>
      <c r="R472" s="2">
        <v>9.1</v>
      </c>
      <c r="S472" s="2">
        <v>22.2</v>
      </c>
      <c r="T472" s="2">
        <v>0.4</v>
      </c>
      <c r="U472" s="2">
        <v>0.1</v>
      </c>
      <c r="V472" s="2">
        <v>0.6</v>
      </c>
      <c r="W472" s="2">
        <v>6.0999999999999999E-2</v>
      </c>
      <c r="X472" s="2">
        <v>0.5</v>
      </c>
      <c r="Y472" s="2">
        <v>-1.2</v>
      </c>
      <c r="Z472" s="2">
        <v>-0.8</v>
      </c>
      <c r="AA472" s="2">
        <v>0.1</v>
      </c>
    </row>
    <row r="473" spans="1:27" x14ac:dyDescent="0.2">
      <c r="A473" t="s">
        <v>268</v>
      </c>
      <c r="B473" s="2">
        <v>23</v>
      </c>
      <c r="C473" t="s">
        <v>48</v>
      </c>
      <c r="D473" s="2" t="s">
        <v>49</v>
      </c>
      <c r="E473" s="2">
        <v>23</v>
      </c>
      <c r="F473" s="2">
        <v>16</v>
      </c>
      <c r="G473" s="2">
        <v>523</v>
      </c>
      <c r="H473" s="2">
        <v>9</v>
      </c>
      <c r="I473" s="2">
        <v>0.51100000000000001</v>
      </c>
      <c r="J473" s="2">
        <v>0.50700000000000001</v>
      </c>
      <c r="K473" s="2">
        <v>0.16</v>
      </c>
      <c r="L473" s="2">
        <v>4.5</v>
      </c>
      <c r="M473" s="2">
        <v>14.3</v>
      </c>
      <c r="N473" s="2">
        <v>9.1999999999999993</v>
      </c>
      <c r="O473" s="2">
        <v>9.1999999999999993</v>
      </c>
      <c r="P473" s="2">
        <v>0.8</v>
      </c>
      <c r="Q473" s="2">
        <v>0.7</v>
      </c>
      <c r="R473" s="2">
        <v>8.5</v>
      </c>
      <c r="S473" s="2">
        <v>14.5</v>
      </c>
      <c r="T473" s="2">
        <v>0.2</v>
      </c>
      <c r="U473" s="2">
        <v>0.7</v>
      </c>
      <c r="V473" s="2">
        <v>0.8</v>
      </c>
      <c r="W473" s="2">
        <v>7.6999999999999999E-2</v>
      </c>
      <c r="X473" s="2">
        <v>-2.6</v>
      </c>
      <c r="Y473" s="2">
        <v>-0.3</v>
      </c>
      <c r="Z473" s="2">
        <v>-2.9</v>
      </c>
      <c r="AA473" s="2">
        <v>-0.1</v>
      </c>
    </row>
    <row r="474" spans="1:27" x14ac:dyDescent="0.2">
      <c r="A474" t="s">
        <v>451</v>
      </c>
      <c r="B474" s="2">
        <v>33</v>
      </c>
      <c r="C474" t="s">
        <v>57</v>
      </c>
      <c r="D474" s="2" t="s">
        <v>27</v>
      </c>
      <c r="E474" s="2">
        <v>8</v>
      </c>
      <c r="F474" s="2">
        <v>0</v>
      </c>
      <c r="G474" s="2">
        <v>58</v>
      </c>
      <c r="H474" s="2">
        <v>13.7</v>
      </c>
      <c r="I474" s="2">
        <v>0.60099999999999998</v>
      </c>
      <c r="J474" s="2">
        <v>5.2999999999999999E-2</v>
      </c>
      <c r="K474" s="2">
        <v>0.316</v>
      </c>
      <c r="L474" s="2">
        <v>5.9</v>
      </c>
      <c r="M474" s="2">
        <v>25.8</v>
      </c>
      <c r="N474" s="2">
        <v>16.2</v>
      </c>
      <c r="O474" s="2">
        <v>9.6999999999999993</v>
      </c>
      <c r="P474" s="2">
        <v>0</v>
      </c>
      <c r="Q474" s="2">
        <v>3.2</v>
      </c>
      <c r="R474" s="2">
        <v>15.6</v>
      </c>
      <c r="S474" s="2">
        <v>19.100000000000001</v>
      </c>
      <c r="T474" s="2">
        <v>0</v>
      </c>
      <c r="U474" s="2">
        <v>0.1</v>
      </c>
      <c r="V474" s="2">
        <v>0.1</v>
      </c>
      <c r="W474" s="2">
        <v>6.3E-2</v>
      </c>
      <c r="X474" s="2">
        <v>-3.5</v>
      </c>
      <c r="Y474" s="2">
        <v>-1.1000000000000001</v>
      </c>
      <c r="Z474" s="2">
        <v>-4.5999999999999996</v>
      </c>
      <c r="AA474" s="2">
        <v>0</v>
      </c>
    </row>
    <row r="475" spans="1:27" x14ac:dyDescent="0.2">
      <c r="A475" t="s">
        <v>538</v>
      </c>
      <c r="B475" s="2">
        <v>23</v>
      </c>
      <c r="C475" t="s">
        <v>82</v>
      </c>
      <c r="D475" s="2" t="s">
        <v>52</v>
      </c>
      <c r="E475" s="2">
        <v>5</v>
      </c>
      <c r="F475" s="2">
        <v>0</v>
      </c>
      <c r="G475" s="2">
        <v>8</v>
      </c>
      <c r="H475" s="2">
        <v>-15.2</v>
      </c>
      <c r="I475" s="2">
        <v>0.23300000000000001</v>
      </c>
      <c r="J475" s="2">
        <v>0.5</v>
      </c>
      <c r="K475" s="2">
        <v>0.16700000000000001</v>
      </c>
      <c r="L475" s="2">
        <v>0</v>
      </c>
      <c r="M475" s="2">
        <v>0</v>
      </c>
      <c r="N475" s="2">
        <v>0</v>
      </c>
      <c r="O475" s="2">
        <v>16.600000000000001</v>
      </c>
      <c r="P475" s="2">
        <v>0</v>
      </c>
      <c r="Q475" s="2">
        <v>0</v>
      </c>
      <c r="R475" s="2">
        <v>13.4</v>
      </c>
      <c r="S475" s="2">
        <v>40.299999999999997</v>
      </c>
      <c r="T475" s="2">
        <v>-0.1</v>
      </c>
      <c r="U475" s="2">
        <v>0</v>
      </c>
      <c r="V475" s="2">
        <v>-0.1</v>
      </c>
      <c r="W475" s="2">
        <v>-0.57299999999999995</v>
      </c>
      <c r="X475" s="2">
        <v>-22.1</v>
      </c>
      <c r="Y475" s="2">
        <v>-11.6</v>
      </c>
      <c r="Z475" s="2">
        <v>-33.700000000000003</v>
      </c>
      <c r="AA475" s="2">
        <v>-0.1</v>
      </c>
    </row>
    <row r="476" spans="1:27" x14ac:dyDescent="0.2">
      <c r="A476" t="s">
        <v>180</v>
      </c>
      <c r="B476" s="2">
        <v>27</v>
      </c>
      <c r="C476" t="s">
        <v>57</v>
      </c>
      <c r="D476" s="2" t="s">
        <v>52</v>
      </c>
      <c r="E476" s="2">
        <v>24</v>
      </c>
      <c r="F476" s="2">
        <v>2</v>
      </c>
      <c r="G476" s="2">
        <v>441</v>
      </c>
      <c r="H476" s="2">
        <v>22.7</v>
      </c>
      <c r="I476" s="2">
        <v>0.68300000000000005</v>
      </c>
      <c r="J476" s="2">
        <v>0.39300000000000002</v>
      </c>
      <c r="K476" s="2">
        <v>0.253</v>
      </c>
      <c r="L476" s="2">
        <v>3.6</v>
      </c>
      <c r="M476" s="2">
        <v>8.6999999999999993</v>
      </c>
      <c r="N476" s="2">
        <v>6.3</v>
      </c>
      <c r="O476" s="2">
        <v>26.3</v>
      </c>
      <c r="P476" s="2">
        <v>3.2</v>
      </c>
      <c r="Q476" s="2">
        <v>0.2</v>
      </c>
      <c r="R476" s="2">
        <v>12.8</v>
      </c>
      <c r="S476" s="2">
        <v>22.3</v>
      </c>
      <c r="T476" s="2">
        <v>1.6</v>
      </c>
      <c r="U476" s="2">
        <v>0.6</v>
      </c>
      <c r="V476" s="2">
        <v>2.2000000000000002</v>
      </c>
      <c r="W476" s="2">
        <v>0.23899999999999999</v>
      </c>
      <c r="X476" s="2">
        <v>3.7</v>
      </c>
      <c r="Y476" s="2">
        <v>1.2</v>
      </c>
      <c r="Z476" s="2">
        <v>4.9000000000000004</v>
      </c>
      <c r="AA476" s="2">
        <v>0.8</v>
      </c>
    </row>
    <row r="477" spans="1:27" x14ac:dyDescent="0.2">
      <c r="A477" t="s">
        <v>60</v>
      </c>
      <c r="B477" s="2">
        <v>25</v>
      </c>
      <c r="C477" t="s">
        <v>61</v>
      </c>
      <c r="D477" s="2" t="s">
        <v>52</v>
      </c>
      <c r="E477" s="2">
        <v>23</v>
      </c>
      <c r="F477" s="2">
        <v>23</v>
      </c>
      <c r="G477" s="2">
        <v>797</v>
      </c>
      <c r="H477" s="2">
        <v>20.399999999999999</v>
      </c>
      <c r="I477" s="2">
        <v>0.63900000000000001</v>
      </c>
      <c r="J477" s="2">
        <v>0.56699999999999995</v>
      </c>
      <c r="K477" s="2">
        <v>0.219</v>
      </c>
      <c r="L477" s="2">
        <v>1</v>
      </c>
      <c r="M477" s="2">
        <v>15.6</v>
      </c>
      <c r="N477" s="2">
        <v>8.3000000000000007</v>
      </c>
      <c r="O477" s="2">
        <v>24.8</v>
      </c>
      <c r="P477" s="2">
        <v>1.1000000000000001</v>
      </c>
      <c r="Q477" s="2">
        <v>0.2</v>
      </c>
      <c r="R477" s="2">
        <v>11.6</v>
      </c>
      <c r="S477" s="2">
        <v>27</v>
      </c>
      <c r="T477" s="2">
        <v>1.9</v>
      </c>
      <c r="U477" s="2">
        <v>0.8</v>
      </c>
      <c r="V477" s="2">
        <v>2.7</v>
      </c>
      <c r="W477" s="2">
        <v>0.16</v>
      </c>
      <c r="X477" s="2">
        <v>4.7</v>
      </c>
      <c r="Y477" s="2">
        <v>-0.7</v>
      </c>
      <c r="Z477" s="2">
        <v>4</v>
      </c>
      <c r="AA477" s="2">
        <v>1.2</v>
      </c>
    </row>
    <row r="478" spans="1:27" x14ac:dyDescent="0.2">
      <c r="A478" t="s">
        <v>411</v>
      </c>
      <c r="B478" s="2">
        <v>23</v>
      </c>
      <c r="C478" t="s">
        <v>44</v>
      </c>
      <c r="D478" s="2" t="s">
        <v>33</v>
      </c>
      <c r="E478" s="2">
        <v>16</v>
      </c>
      <c r="F478" s="2">
        <v>0</v>
      </c>
      <c r="G478" s="2">
        <v>110</v>
      </c>
      <c r="H478" s="2">
        <v>12.6</v>
      </c>
      <c r="I478" s="2">
        <v>0.59299999999999997</v>
      </c>
      <c r="J478" s="2">
        <v>0.59499999999999997</v>
      </c>
      <c r="K478" s="2">
        <v>0.108</v>
      </c>
      <c r="L478" s="2">
        <v>2.2000000000000002</v>
      </c>
      <c r="M478" s="2">
        <v>10</v>
      </c>
      <c r="N478" s="2">
        <v>6.3</v>
      </c>
      <c r="O478" s="2">
        <v>13.2</v>
      </c>
      <c r="P478" s="2">
        <v>2.7</v>
      </c>
      <c r="Q478" s="2">
        <v>0.9</v>
      </c>
      <c r="R478" s="2">
        <v>15.3</v>
      </c>
      <c r="S478" s="2">
        <v>18.399999999999999</v>
      </c>
      <c r="T478" s="2">
        <v>0.1</v>
      </c>
      <c r="U478" s="2">
        <v>0.1</v>
      </c>
      <c r="V478" s="2">
        <v>0.2</v>
      </c>
      <c r="W478" s="2">
        <v>7.5999999999999998E-2</v>
      </c>
      <c r="X478" s="2">
        <v>-1.8</v>
      </c>
      <c r="Y478" s="2">
        <v>0.2</v>
      </c>
      <c r="Z478" s="2">
        <v>-1.6</v>
      </c>
      <c r="AA478" s="2">
        <v>0</v>
      </c>
    </row>
    <row r="479" spans="1:27" x14ac:dyDescent="0.2">
      <c r="A479" t="s">
        <v>469</v>
      </c>
      <c r="B479" s="2">
        <v>20</v>
      </c>
      <c r="C479" t="s">
        <v>35</v>
      </c>
      <c r="D479" s="2" t="s">
        <v>27</v>
      </c>
      <c r="E479" s="2">
        <v>10</v>
      </c>
      <c r="F479" s="2">
        <v>0</v>
      </c>
      <c r="G479" s="2">
        <v>34</v>
      </c>
      <c r="H479" s="2">
        <v>18.3</v>
      </c>
      <c r="I479" s="2">
        <v>0.72</v>
      </c>
      <c r="J479" s="2">
        <v>0.61499999999999999</v>
      </c>
      <c r="K479" s="2">
        <v>0.154</v>
      </c>
      <c r="L479" s="2">
        <v>3.4</v>
      </c>
      <c r="M479" s="2">
        <v>21.8</v>
      </c>
      <c r="N479" s="2">
        <v>13</v>
      </c>
      <c r="O479" s="2">
        <v>4.8</v>
      </c>
      <c r="P479" s="2">
        <v>0</v>
      </c>
      <c r="Q479" s="2">
        <v>8.1999999999999993</v>
      </c>
      <c r="R479" s="2">
        <v>17.8</v>
      </c>
      <c r="S479" s="2">
        <v>22</v>
      </c>
      <c r="T479" s="2">
        <v>0</v>
      </c>
      <c r="U479" s="2">
        <v>0</v>
      </c>
      <c r="V479" s="2">
        <v>0.1</v>
      </c>
      <c r="W479" s="2">
        <v>9.8000000000000004E-2</v>
      </c>
      <c r="X479" s="2">
        <v>1.3</v>
      </c>
      <c r="Y479" s="2">
        <v>1.3</v>
      </c>
      <c r="Z479" s="2">
        <v>2.6</v>
      </c>
      <c r="AA479" s="2">
        <v>0</v>
      </c>
    </row>
    <row r="480" spans="1:27" x14ac:dyDescent="0.2">
      <c r="A480" t="s">
        <v>97</v>
      </c>
      <c r="B480" s="2">
        <v>24</v>
      </c>
      <c r="C480" t="s">
        <v>82</v>
      </c>
      <c r="D480" s="2" t="s">
        <v>33</v>
      </c>
      <c r="E480" s="2">
        <v>25</v>
      </c>
      <c r="F480" s="2">
        <v>25</v>
      </c>
      <c r="G480" s="2">
        <v>884</v>
      </c>
      <c r="H480" s="2">
        <v>17.5</v>
      </c>
      <c r="I480" s="2">
        <v>0.55800000000000005</v>
      </c>
      <c r="J480" s="2">
        <v>0.59099999999999997</v>
      </c>
      <c r="K480" s="2">
        <v>0.218</v>
      </c>
      <c r="L480" s="2">
        <v>2.4</v>
      </c>
      <c r="M480" s="2">
        <v>8.6999999999999993</v>
      </c>
      <c r="N480" s="2">
        <v>5.5</v>
      </c>
      <c r="O480" s="2">
        <v>33.6</v>
      </c>
      <c r="P480" s="2">
        <v>1.7</v>
      </c>
      <c r="Q480" s="2">
        <v>1.6</v>
      </c>
      <c r="R480" s="2">
        <v>11.1</v>
      </c>
      <c r="S480" s="2">
        <v>21.6</v>
      </c>
      <c r="T480" s="2">
        <v>1.8</v>
      </c>
      <c r="U480" s="2">
        <v>0.3</v>
      </c>
      <c r="V480" s="2">
        <v>2.1</v>
      </c>
      <c r="W480" s="2">
        <v>0.113</v>
      </c>
      <c r="X480" s="2">
        <v>3</v>
      </c>
      <c r="Y480" s="2">
        <v>-1.6</v>
      </c>
      <c r="Z480" s="2">
        <v>1.5</v>
      </c>
      <c r="AA480" s="2">
        <v>0.8</v>
      </c>
    </row>
    <row r="481" spans="1:27" x14ac:dyDescent="0.2">
      <c r="A481" t="s">
        <v>383</v>
      </c>
      <c r="B481" s="2">
        <v>25</v>
      </c>
      <c r="C481" t="s">
        <v>103</v>
      </c>
      <c r="D481" s="2" t="s">
        <v>52</v>
      </c>
      <c r="E481" s="2">
        <v>9</v>
      </c>
      <c r="F481" s="2">
        <v>2</v>
      </c>
      <c r="G481" s="2">
        <v>132</v>
      </c>
      <c r="H481" s="2">
        <v>16.7</v>
      </c>
      <c r="I481" s="2">
        <v>0.70299999999999996</v>
      </c>
      <c r="J481" s="2">
        <v>0.75</v>
      </c>
      <c r="K481" s="2">
        <v>0.114</v>
      </c>
      <c r="L481" s="2">
        <v>3.5</v>
      </c>
      <c r="M481" s="2">
        <v>15</v>
      </c>
      <c r="N481" s="2">
        <v>9.1</v>
      </c>
      <c r="O481" s="2">
        <v>11.9</v>
      </c>
      <c r="P481" s="2">
        <v>1.1000000000000001</v>
      </c>
      <c r="Q481" s="2">
        <v>1.5</v>
      </c>
      <c r="R481" s="2">
        <v>8</v>
      </c>
      <c r="S481" s="2">
        <v>17</v>
      </c>
      <c r="T481" s="2">
        <v>0.3</v>
      </c>
      <c r="U481" s="2">
        <v>0.1</v>
      </c>
      <c r="V481" s="2">
        <v>0.4</v>
      </c>
      <c r="W481" s="2">
        <v>0.14499999999999999</v>
      </c>
      <c r="X481" s="2">
        <v>2.9</v>
      </c>
      <c r="Y481" s="2">
        <v>-1.2</v>
      </c>
      <c r="Z481" s="2">
        <v>1.7</v>
      </c>
      <c r="AA481" s="2">
        <v>0.1</v>
      </c>
    </row>
    <row r="482" spans="1:27" x14ac:dyDescent="0.2">
      <c r="A482" t="s">
        <v>121</v>
      </c>
      <c r="B482" s="2">
        <v>24</v>
      </c>
      <c r="C482" t="s">
        <v>122</v>
      </c>
      <c r="D482" s="2" t="s">
        <v>33</v>
      </c>
      <c r="E482" s="2">
        <v>16</v>
      </c>
      <c r="F482" s="2">
        <v>16</v>
      </c>
      <c r="G482" s="2">
        <v>587</v>
      </c>
      <c r="H482" s="2">
        <v>17.7</v>
      </c>
      <c r="I482" s="2">
        <v>0.51800000000000002</v>
      </c>
      <c r="J482" s="2">
        <v>0.441</v>
      </c>
      <c r="K482" s="2">
        <v>0.23799999999999999</v>
      </c>
      <c r="L482" s="2">
        <v>0.6</v>
      </c>
      <c r="M482" s="2">
        <v>11.6</v>
      </c>
      <c r="N482" s="2">
        <v>5.7</v>
      </c>
      <c r="O482" s="2">
        <v>26.1</v>
      </c>
      <c r="P482" s="2">
        <v>2.7</v>
      </c>
      <c r="Q482" s="2">
        <v>0.9</v>
      </c>
      <c r="R482" s="2">
        <v>7.6</v>
      </c>
      <c r="S482" s="2">
        <v>30.5</v>
      </c>
      <c r="T482" s="2">
        <v>0.4</v>
      </c>
      <c r="U482" s="2">
        <v>0.7</v>
      </c>
      <c r="V482" s="2">
        <v>1</v>
      </c>
      <c r="W482" s="2">
        <v>8.3000000000000004E-2</v>
      </c>
      <c r="X482" s="2">
        <v>1.8</v>
      </c>
      <c r="Y482" s="2">
        <v>0.1</v>
      </c>
      <c r="Z482" s="2">
        <v>1.9</v>
      </c>
      <c r="AA482" s="2">
        <v>0.6</v>
      </c>
    </row>
    <row r="483" spans="1:27" x14ac:dyDescent="0.2">
      <c r="A483" t="s">
        <v>505</v>
      </c>
      <c r="B483" s="2">
        <v>23</v>
      </c>
      <c r="C483" t="s">
        <v>54</v>
      </c>
      <c r="D483" s="2" t="s">
        <v>33</v>
      </c>
      <c r="E483" s="2">
        <v>3</v>
      </c>
      <c r="F483" s="2">
        <v>0</v>
      </c>
      <c r="G483" s="2">
        <v>27</v>
      </c>
      <c r="H483" s="2">
        <v>14.1</v>
      </c>
      <c r="I483" s="2">
        <v>0.66700000000000004</v>
      </c>
      <c r="J483" s="2">
        <v>0.5</v>
      </c>
      <c r="K483" s="2">
        <v>0</v>
      </c>
      <c r="L483" s="2">
        <v>0</v>
      </c>
      <c r="M483" s="2">
        <v>4</v>
      </c>
      <c r="N483" s="2">
        <v>2.1</v>
      </c>
      <c r="O483" s="2">
        <v>20.8</v>
      </c>
      <c r="P483" s="2">
        <v>3.6</v>
      </c>
      <c r="Q483" s="2">
        <v>0</v>
      </c>
      <c r="R483" s="2">
        <v>14.3</v>
      </c>
      <c r="S483" s="2">
        <v>11.4</v>
      </c>
      <c r="T483" s="2">
        <v>0</v>
      </c>
      <c r="U483" s="2">
        <v>0</v>
      </c>
      <c r="V483" s="2">
        <v>0.1</v>
      </c>
      <c r="W483" s="2">
        <v>0.11899999999999999</v>
      </c>
      <c r="X483" s="2">
        <v>0</v>
      </c>
      <c r="Y483" s="2">
        <v>2</v>
      </c>
      <c r="Z483" s="2">
        <v>2</v>
      </c>
      <c r="AA483" s="2">
        <v>0</v>
      </c>
    </row>
    <row r="484" spans="1:27" x14ac:dyDescent="0.2">
      <c r="A484" t="s">
        <v>171</v>
      </c>
      <c r="B484" s="2">
        <v>28</v>
      </c>
      <c r="C484" t="s">
        <v>54</v>
      </c>
      <c r="D484" s="2" t="s">
        <v>33</v>
      </c>
      <c r="E484" s="2">
        <v>23</v>
      </c>
      <c r="F484" s="2">
        <v>23</v>
      </c>
      <c r="G484" s="2">
        <v>742</v>
      </c>
      <c r="H484" s="2">
        <v>16</v>
      </c>
      <c r="I484" s="2">
        <v>0.59799999999999998</v>
      </c>
      <c r="J484" s="2">
        <v>0.55500000000000005</v>
      </c>
      <c r="K484" s="2">
        <v>7.9000000000000001E-2</v>
      </c>
      <c r="L484" s="2">
        <v>2.1</v>
      </c>
      <c r="M484" s="2">
        <v>6.6</v>
      </c>
      <c r="N484" s="2">
        <v>4.4000000000000004</v>
      </c>
      <c r="O484" s="2">
        <v>31.2</v>
      </c>
      <c r="P484" s="2">
        <v>1.8</v>
      </c>
      <c r="Q484" s="2">
        <v>0.2</v>
      </c>
      <c r="R484" s="2">
        <v>9.3000000000000007</v>
      </c>
      <c r="S484" s="2">
        <v>15.4</v>
      </c>
      <c r="T484" s="2">
        <v>1.9</v>
      </c>
      <c r="U484" s="2">
        <v>0.3</v>
      </c>
      <c r="V484" s="2">
        <v>2.2000000000000002</v>
      </c>
      <c r="W484" s="2">
        <v>0.14099999999999999</v>
      </c>
      <c r="X484" s="2">
        <v>2.1</v>
      </c>
      <c r="Y484" s="2">
        <v>-0.7</v>
      </c>
      <c r="Z484" s="2">
        <v>1.3</v>
      </c>
      <c r="AA484" s="2">
        <v>0.6</v>
      </c>
    </row>
    <row r="485" spans="1:27" x14ac:dyDescent="0.2">
      <c r="A485" t="s">
        <v>544</v>
      </c>
      <c r="B485" s="2">
        <v>19</v>
      </c>
      <c r="C485" t="s">
        <v>66</v>
      </c>
      <c r="D485" s="2" t="s">
        <v>27</v>
      </c>
      <c r="E485" s="2">
        <v>1</v>
      </c>
      <c r="F485" s="2">
        <v>0</v>
      </c>
      <c r="G485" s="2">
        <v>5</v>
      </c>
      <c r="H485" s="2">
        <v>16.600000000000001</v>
      </c>
      <c r="I485" s="2">
        <v>1</v>
      </c>
      <c r="J485" s="2">
        <v>0</v>
      </c>
      <c r="K485" s="2">
        <v>0</v>
      </c>
      <c r="L485" s="2">
        <v>0</v>
      </c>
      <c r="M485" s="2">
        <v>22</v>
      </c>
      <c r="N485" s="2">
        <v>10.9</v>
      </c>
      <c r="O485" s="2">
        <v>0</v>
      </c>
      <c r="P485" s="2">
        <v>0</v>
      </c>
      <c r="Q485" s="2">
        <v>0</v>
      </c>
      <c r="R485" s="2">
        <v>0</v>
      </c>
      <c r="S485" s="2">
        <v>8.3000000000000007</v>
      </c>
      <c r="T485" s="2">
        <v>0</v>
      </c>
      <c r="U485" s="2">
        <v>0</v>
      </c>
      <c r="V485" s="2">
        <v>0</v>
      </c>
      <c r="W485" s="2">
        <v>0.14699999999999999</v>
      </c>
      <c r="X485" s="2">
        <v>2.6</v>
      </c>
      <c r="Y485" s="2">
        <v>-1.2</v>
      </c>
      <c r="Z485" s="2">
        <v>1.5</v>
      </c>
      <c r="AA485" s="2">
        <v>0</v>
      </c>
    </row>
    <row r="486" spans="1:27" x14ac:dyDescent="0.2">
      <c r="A486" t="s">
        <v>336</v>
      </c>
      <c r="B486" s="2">
        <v>31</v>
      </c>
      <c r="C486" t="s">
        <v>59</v>
      </c>
      <c r="D486" s="2" t="s">
        <v>33</v>
      </c>
      <c r="E486" s="2">
        <v>13</v>
      </c>
      <c r="F486" s="2">
        <v>6</v>
      </c>
      <c r="G486" s="2">
        <v>283</v>
      </c>
      <c r="H486" s="2">
        <v>8.5</v>
      </c>
      <c r="I486" s="2">
        <v>0.46600000000000003</v>
      </c>
      <c r="J486" s="2">
        <v>0.41699999999999998</v>
      </c>
      <c r="K486" s="2">
        <v>9.7000000000000003E-2</v>
      </c>
      <c r="L486" s="2">
        <v>3.8</v>
      </c>
      <c r="M486" s="2">
        <v>11</v>
      </c>
      <c r="N486" s="2">
        <v>7.2</v>
      </c>
      <c r="O486" s="2">
        <v>26.8</v>
      </c>
      <c r="P486" s="2">
        <v>1.2</v>
      </c>
      <c r="Q486" s="2">
        <v>0</v>
      </c>
      <c r="R486" s="2">
        <v>19.5</v>
      </c>
      <c r="S486" s="2">
        <v>20</v>
      </c>
      <c r="T486" s="2">
        <v>-0.2</v>
      </c>
      <c r="U486" s="2">
        <v>0.1</v>
      </c>
      <c r="V486" s="2">
        <v>-0.1</v>
      </c>
      <c r="W486" s="2">
        <v>-1.7000000000000001E-2</v>
      </c>
      <c r="X486" s="2">
        <v>-3.6</v>
      </c>
      <c r="Y486" s="2">
        <v>-2.1</v>
      </c>
      <c r="Z486" s="2">
        <v>-5.7</v>
      </c>
      <c r="AA486" s="2">
        <v>-0.3</v>
      </c>
    </row>
    <row r="487" spans="1:27" x14ac:dyDescent="0.2">
      <c r="A487" t="s">
        <v>92</v>
      </c>
      <c r="B487" s="2">
        <v>21</v>
      </c>
      <c r="C487" t="s">
        <v>93</v>
      </c>
      <c r="D487" s="2" t="s">
        <v>42</v>
      </c>
      <c r="E487" s="2">
        <v>19</v>
      </c>
      <c r="F487" s="2">
        <v>19</v>
      </c>
      <c r="G487" s="2">
        <v>611</v>
      </c>
      <c r="H487" s="2">
        <v>24.3</v>
      </c>
      <c r="I487" s="2">
        <v>0.59899999999999998</v>
      </c>
      <c r="J487" s="2">
        <v>0.503</v>
      </c>
      <c r="K487" s="2">
        <v>0.19800000000000001</v>
      </c>
      <c r="L487" s="2">
        <v>7.1</v>
      </c>
      <c r="M487" s="2">
        <v>27.4</v>
      </c>
      <c r="N487" s="2">
        <v>17.399999999999999</v>
      </c>
      <c r="O487" s="2">
        <v>20.3</v>
      </c>
      <c r="P487" s="2">
        <v>1.8</v>
      </c>
      <c r="Q487" s="2">
        <v>9.4</v>
      </c>
      <c r="R487" s="2">
        <v>15.4</v>
      </c>
      <c r="S487" s="2">
        <v>30.9</v>
      </c>
      <c r="T487" s="2">
        <v>0.5</v>
      </c>
      <c r="U487" s="2">
        <v>1.2</v>
      </c>
      <c r="V487" s="2">
        <v>1.6</v>
      </c>
      <c r="W487" s="2">
        <v>0.126</v>
      </c>
      <c r="X487" s="2">
        <v>3.7</v>
      </c>
      <c r="Y487" s="2">
        <v>2.6</v>
      </c>
      <c r="Z487" s="2">
        <v>6.3</v>
      </c>
      <c r="AA487" s="2">
        <v>1.3</v>
      </c>
    </row>
    <row r="488" spans="1:27" x14ac:dyDescent="0.2">
      <c r="A488" t="s">
        <v>483</v>
      </c>
      <c r="B488" s="2">
        <v>24</v>
      </c>
      <c r="C488" t="s">
        <v>80</v>
      </c>
      <c r="D488" s="2" t="s">
        <v>52</v>
      </c>
      <c r="E488" s="2">
        <v>3</v>
      </c>
      <c r="F488" s="2">
        <v>0</v>
      </c>
      <c r="G488" s="2">
        <v>45</v>
      </c>
      <c r="H488" s="2">
        <v>3.7</v>
      </c>
      <c r="I488" s="2">
        <v>0.38500000000000001</v>
      </c>
      <c r="J488" s="2">
        <v>0.42099999999999999</v>
      </c>
      <c r="K488" s="2">
        <v>0.21099999999999999</v>
      </c>
      <c r="L488" s="2">
        <v>9.6999999999999993</v>
      </c>
      <c r="M488" s="2">
        <v>15.6</v>
      </c>
      <c r="N488" s="2">
        <v>12.8</v>
      </c>
      <c r="O488" s="2">
        <v>25.6</v>
      </c>
      <c r="P488" s="2">
        <v>0</v>
      </c>
      <c r="Q488" s="2">
        <v>4.0999999999999996</v>
      </c>
      <c r="R488" s="2">
        <v>25.2</v>
      </c>
      <c r="S488" s="2">
        <v>24.8</v>
      </c>
      <c r="T488" s="2">
        <v>-0.2</v>
      </c>
      <c r="U488" s="2">
        <v>0.1</v>
      </c>
      <c r="V488" s="2">
        <v>-0.1</v>
      </c>
      <c r="W488" s="2">
        <v>-0.106</v>
      </c>
      <c r="X488" s="2">
        <v>-7.2</v>
      </c>
      <c r="Y488" s="2">
        <v>-0.2</v>
      </c>
      <c r="Z488" s="2">
        <v>-7.5</v>
      </c>
      <c r="AA488" s="2">
        <v>-0.1</v>
      </c>
    </row>
    <row r="489" spans="1:27" x14ac:dyDescent="0.2">
      <c r="A489" t="s">
        <v>433</v>
      </c>
      <c r="B489" s="2">
        <v>24</v>
      </c>
      <c r="C489" t="s">
        <v>72</v>
      </c>
      <c r="D489" s="2" t="s">
        <v>33</v>
      </c>
      <c r="E489" s="2">
        <v>12</v>
      </c>
      <c r="F489" s="2">
        <v>0</v>
      </c>
      <c r="G489" s="2">
        <v>140</v>
      </c>
      <c r="H489" s="2">
        <v>6.3</v>
      </c>
      <c r="I489" s="2">
        <v>0.42399999999999999</v>
      </c>
      <c r="J489" s="2">
        <v>0.48599999999999999</v>
      </c>
      <c r="K489" s="2">
        <v>0.25700000000000001</v>
      </c>
      <c r="L489" s="2">
        <v>5.2</v>
      </c>
      <c r="M489" s="2">
        <v>11.6</v>
      </c>
      <c r="N489" s="2">
        <v>8.3000000000000007</v>
      </c>
      <c r="O489" s="2">
        <v>15.1</v>
      </c>
      <c r="P489" s="2">
        <v>1.3</v>
      </c>
      <c r="Q489" s="2">
        <v>2.1</v>
      </c>
      <c r="R489" s="2">
        <v>15.2</v>
      </c>
      <c r="S489" s="2">
        <v>13.2</v>
      </c>
      <c r="T489" s="2">
        <v>-0.1</v>
      </c>
      <c r="U489" s="2">
        <v>0.1</v>
      </c>
      <c r="V489" s="2">
        <v>0</v>
      </c>
      <c r="W489" s="2">
        <v>4.0000000000000001E-3</v>
      </c>
      <c r="X489" s="2">
        <v>-5.2</v>
      </c>
      <c r="Y489" s="2">
        <v>-0.2</v>
      </c>
      <c r="Z489" s="2">
        <v>-5.4</v>
      </c>
      <c r="AA489" s="2">
        <v>-0.1</v>
      </c>
    </row>
    <row r="490" spans="1:27" x14ac:dyDescent="0.2">
      <c r="A490" t="s">
        <v>498</v>
      </c>
      <c r="B490" s="2">
        <v>27</v>
      </c>
      <c r="C490" t="s">
        <v>46</v>
      </c>
      <c r="D490" s="2" t="s">
        <v>27</v>
      </c>
      <c r="E490" s="2">
        <v>4</v>
      </c>
      <c r="F490" s="2">
        <v>0</v>
      </c>
      <c r="G490" s="2">
        <v>34</v>
      </c>
      <c r="H490" s="2">
        <v>7.7</v>
      </c>
      <c r="I490" s="2">
        <v>0.64300000000000002</v>
      </c>
      <c r="J490" s="2">
        <v>0.28599999999999998</v>
      </c>
      <c r="K490" s="2">
        <v>0</v>
      </c>
      <c r="L490" s="2">
        <v>9.9</v>
      </c>
      <c r="M490" s="2">
        <v>15.6</v>
      </c>
      <c r="N490" s="2">
        <v>12.8</v>
      </c>
      <c r="O490" s="2">
        <v>0</v>
      </c>
      <c r="P490" s="2">
        <v>0</v>
      </c>
      <c r="Q490" s="2">
        <v>2.6</v>
      </c>
      <c r="R490" s="2">
        <v>22.2</v>
      </c>
      <c r="S490" s="2">
        <v>11.1</v>
      </c>
      <c r="T490" s="2">
        <v>0</v>
      </c>
      <c r="U490" s="2">
        <v>0</v>
      </c>
      <c r="V490" s="2">
        <v>0</v>
      </c>
      <c r="W490" s="2">
        <v>3.1E-2</v>
      </c>
      <c r="X490" s="2">
        <v>-5.3</v>
      </c>
      <c r="Y490" s="2">
        <v>-2.1</v>
      </c>
      <c r="Z490" s="2">
        <v>-7.4</v>
      </c>
      <c r="AA490" s="2">
        <v>0</v>
      </c>
    </row>
    <row r="491" spans="1:27" x14ac:dyDescent="0.2">
      <c r="A491" t="s">
        <v>245</v>
      </c>
      <c r="B491" s="2">
        <v>23</v>
      </c>
      <c r="C491" t="s">
        <v>120</v>
      </c>
      <c r="D491" s="2" t="s">
        <v>42</v>
      </c>
      <c r="E491" s="2">
        <v>17</v>
      </c>
      <c r="F491" s="2">
        <v>17</v>
      </c>
      <c r="G491" s="2">
        <v>495</v>
      </c>
      <c r="H491" s="2">
        <v>21.4</v>
      </c>
      <c r="I491" s="2">
        <v>0.72399999999999998</v>
      </c>
      <c r="J491" s="2">
        <v>0</v>
      </c>
      <c r="K491" s="2">
        <v>0.41699999999999998</v>
      </c>
      <c r="L491" s="2">
        <v>15.5</v>
      </c>
      <c r="M491" s="2">
        <v>26.5</v>
      </c>
      <c r="N491" s="2">
        <v>21.1</v>
      </c>
      <c r="O491" s="2">
        <v>7.5</v>
      </c>
      <c r="P491" s="2">
        <v>0.8</v>
      </c>
      <c r="Q491" s="4">
        <v>9.6</v>
      </c>
      <c r="R491" s="2">
        <v>16.399999999999999</v>
      </c>
      <c r="S491" s="2">
        <v>13</v>
      </c>
      <c r="T491" s="2">
        <v>1.2</v>
      </c>
      <c r="U491" s="2">
        <v>0.5</v>
      </c>
      <c r="V491" s="2">
        <v>1.7</v>
      </c>
      <c r="W491" s="2">
        <v>0.16600000000000001</v>
      </c>
      <c r="X491" s="2">
        <v>1.3</v>
      </c>
      <c r="Y491" s="2">
        <v>1.4</v>
      </c>
      <c r="Z491" s="2">
        <v>2.7</v>
      </c>
      <c r="AA491" s="2">
        <v>0.6</v>
      </c>
    </row>
    <row r="492" spans="1:27" x14ac:dyDescent="0.2">
      <c r="A492" t="s">
        <v>329</v>
      </c>
      <c r="B492" s="2">
        <v>25</v>
      </c>
      <c r="C492" t="s">
        <v>48</v>
      </c>
      <c r="D492" s="2" t="s">
        <v>42</v>
      </c>
      <c r="E492" s="2">
        <v>14</v>
      </c>
      <c r="F492" s="2">
        <v>14</v>
      </c>
      <c r="G492" s="2">
        <v>362</v>
      </c>
      <c r="H492" s="2">
        <v>14.6</v>
      </c>
      <c r="I492" s="2">
        <v>0.59699999999999998</v>
      </c>
      <c r="J492" s="2">
        <v>0.40300000000000002</v>
      </c>
      <c r="K492" s="2">
        <v>0.52800000000000002</v>
      </c>
      <c r="L492" s="2">
        <v>8.3000000000000007</v>
      </c>
      <c r="M492" s="2">
        <v>27.3</v>
      </c>
      <c r="N492" s="2">
        <v>17.399999999999999</v>
      </c>
      <c r="O492" s="2">
        <v>12.9</v>
      </c>
      <c r="P492" s="2">
        <v>1.8</v>
      </c>
      <c r="Q492" s="2">
        <v>2.2000000000000002</v>
      </c>
      <c r="R492" s="2">
        <v>12.8</v>
      </c>
      <c r="S492" s="2">
        <v>12.2</v>
      </c>
      <c r="T492" s="2">
        <v>0.6</v>
      </c>
      <c r="U492" s="2">
        <v>0.7</v>
      </c>
      <c r="V492" s="2">
        <v>1.3</v>
      </c>
      <c r="W492" s="2">
        <v>0.17699999999999999</v>
      </c>
      <c r="X492" s="2">
        <v>-1.6</v>
      </c>
      <c r="Y492" s="2">
        <v>2</v>
      </c>
      <c r="Z492" s="2">
        <v>0.5</v>
      </c>
      <c r="AA492" s="2">
        <v>0.2</v>
      </c>
    </row>
    <row r="493" spans="1:27" x14ac:dyDescent="0.2">
      <c r="A493" t="s">
        <v>402</v>
      </c>
      <c r="B493" s="2">
        <v>23</v>
      </c>
      <c r="C493" t="s">
        <v>75</v>
      </c>
      <c r="D493" s="2" t="s">
        <v>52</v>
      </c>
      <c r="E493" s="2">
        <v>12</v>
      </c>
      <c r="F493" s="2">
        <v>0</v>
      </c>
      <c r="G493" s="2">
        <v>171</v>
      </c>
      <c r="H493" s="2">
        <v>13.7</v>
      </c>
      <c r="I493" s="2">
        <v>0.63</v>
      </c>
      <c r="J493" s="2">
        <v>0.25</v>
      </c>
      <c r="K493" s="2">
        <v>0.33300000000000002</v>
      </c>
      <c r="L493" s="2">
        <v>5.9</v>
      </c>
      <c r="M493" s="2">
        <v>17.899999999999999</v>
      </c>
      <c r="N493" s="2">
        <v>12</v>
      </c>
      <c r="O493" s="2">
        <v>11.3</v>
      </c>
      <c r="P493" s="2">
        <v>2.2999999999999998</v>
      </c>
      <c r="Q493" s="2">
        <v>1.7</v>
      </c>
      <c r="R493" s="2">
        <v>16.2</v>
      </c>
      <c r="S493" s="2">
        <v>12.4</v>
      </c>
      <c r="T493" s="2">
        <v>0.2</v>
      </c>
      <c r="U493" s="2">
        <v>0.2</v>
      </c>
      <c r="V493" s="2">
        <v>0.4</v>
      </c>
      <c r="W493" s="2">
        <v>0.125</v>
      </c>
      <c r="X493" s="2">
        <v>-1.7</v>
      </c>
      <c r="Y493" s="2">
        <v>1.6</v>
      </c>
      <c r="Z493" s="2">
        <v>-0.1</v>
      </c>
      <c r="AA493" s="2">
        <v>0.1</v>
      </c>
    </row>
    <row r="494" spans="1:27" x14ac:dyDescent="0.2">
      <c r="A494" t="s">
        <v>477</v>
      </c>
      <c r="B494" s="2">
        <v>26</v>
      </c>
      <c r="C494" t="s">
        <v>39</v>
      </c>
      <c r="D494" s="2" t="s">
        <v>42</v>
      </c>
      <c r="E494" s="2">
        <v>16</v>
      </c>
      <c r="F494" s="2">
        <v>1</v>
      </c>
      <c r="G494" s="2">
        <v>144</v>
      </c>
      <c r="H494" s="2">
        <v>3.6</v>
      </c>
      <c r="I494" s="2">
        <v>0.312</v>
      </c>
      <c r="J494" s="2">
        <v>0.57099999999999995</v>
      </c>
      <c r="K494" s="2">
        <v>7.0999999999999994E-2</v>
      </c>
      <c r="L494" s="2">
        <v>5.3</v>
      </c>
      <c r="M494" s="2">
        <v>19.2</v>
      </c>
      <c r="N494" s="2">
        <v>12.2</v>
      </c>
      <c r="O494" s="2">
        <v>5.0999999999999996</v>
      </c>
      <c r="P494" s="2">
        <v>1.4</v>
      </c>
      <c r="Q494" s="2">
        <v>1.8</v>
      </c>
      <c r="R494" s="2">
        <v>14.8</v>
      </c>
      <c r="S494" s="2">
        <v>10.199999999999999</v>
      </c>
      <c r="T494" s="2">
        <v>-0.2</v>
      </c>
      <c r="U494" s="2">
        <v>0.2</v>
      </c>
      <c r="V494" s="2">
        <v>0</v>
      </c>
      <c r="W494" s="2">
        <v>-0.01</v>
      </c>
      <c r="X494" s="2">
        <v>-6.5</v>
      </c>
      <c r="Y494" s="2">
        <v>-0.3</v>
      </c>
      <c r="Z494" s="2">
        <v>-6.8</v>
      </c>
      <c r="AA494" s="2">
        <v>-0.2</v>
      </c>
    </row>
    <row r="495" spans="1:27" x14ac:dyDescent="0.2">
      <c r="A495" t="s">
        <v>490</v>
      </c>
      <c r="B495" s="2">
        <v>23</v>
      </c>
      <c r="C495" t="s">
        <v>80</v>
      </c>
      <c r="D495" s="2" t="s">
        <v>33</v>
      </c>
      <c r="E495" s="2">
        <v>13</v>
      </c>
      <c r="F495" s="2">
        <v>0</v>
      </c>
      <c r="G495" s="2">
        <v>40</v>
      </c>
      <c r="H495" s="2">
        <v>2.7</v>
      </c>
      <c r="I495" s="2">
        <v>0.39700000000000002</v>
      </c>
      <c r="J495" s="2">
        <v>0.73299999999999998</v>
      </c>
      <c r="K495" s="2">
        <v>0.4</v>
      </c>
      <c r="L495" s="2">
        <v>0</v>
      </c>
      <c r="M495" s="2">
        <v>5</v>
      </c>
      <c r="N495" s="2">
        <v>2.6</v>
      </c>
      <c r="O495" s="2">
        <v>20.9</v>
      </c>
      <c r="P495" s="2">
        <v>1.1000000000000001</v>
      </c>
      <c r="Q495" s="2">
        <v>0</v>
      </c>
      <c r="R495" s="2">
        <v>18.5</v>
      </c>
      <c r="S495" s="2">
        <v>21.7</v>
      </c>
      <c r="T495" s="2">
        <v>-0.1</v>
      </c>
      <c r="U495" s="2">
        <v>0</v>
      </c>
      <c r="V495" s="2">
        <v>-0.1</v>
      </c>
      <c r="W495" s="2">
        <v>-7.2999999999999995E-2</v>
      </c>
      <c r="X495" s="2">
        <v>-8.6</v>
      </c>
      <c r="Y495" s="2">
        <v>-3</v>
      </c>
      <c r="Z495" s="2">
        <v>-11.7</v>
      </c>
      <c r="AA495" s="2">
        <v>-0.1</v>
      </c>
    </row>
    <row r="496" spans="1:27" x14ac:dyDescent="0.2">
      <c r="A496" t="s">
        <v>206</v>
      </c>
      <c r="B496" s="2">
        <v>20</v>
      </c>
      <c r="C496" t="s">
        <v>117</v>
      </c>
      <c r="D496" s="2" t="s">
        <v>42</v>
      </c>
      <c r="E496" s="2">
        <v>25</v>
      </c>
      <c r="F496" s="2">
        <v>19</v>
      </c>
      <c r="G496" s="2">
        <v>634</v>
      </c>
      <c r="H496" s="2">
        <v>17.399999999999999</v>
      </c>
      <c r="I496" s="2">
        <v>0.57999999999999996</v>
      </c>
      <c r="J496" s="2">
        <v>0</v>
      </c>
      <c r="K496" s="2">
        <v>0.45200000000000001</v>
      </c>
      <c r="L496" s="2">
        <v>15.5</v>
      </c>
      <c r="M496" s="2">
        <v>20</v>
      </c>
      <c r="N496" s="2">
        <v>17.600000000000001</v>
      </c>
      <c r="O496" s="2">
        <v>7.1</v>
      </c>
      <c r="P496" s="2">
        <v>1.3</v>
      </c>
      <c r="Q496" s="2">
        <v>4.5</v>
      </c>
      <c r="R496" s="2">
        <v>12.3</v>
      </c>
      <c r="S496" s="2">
        <v>15.2</v>
      </c>
      <c r="T496" s="2">
        <v>1</v>
      </c>
      <c r="U496" s="2">
        <v>0.4</v>
      </c>
      <c r="V496" s="2">
        <v>1.4</v>
      </c>
      <c r="W496" s="2">
        <v>0.109</v>
      </c>
      <c r="X496" s="2">
        <v>-1.1000000000000001</v>
      </c>
      <c r="Y496" s="2">
        <v>-1.6</v>
      </c>
      <c r="Z496" s="2">
        <v>-2.7</v>
      </c>
      <c r="AA496" s="2">
        <v>-0.1</v>
      </c>
    </row>
    <row r="497" spans="1:27" x14ac:dyDescent="0.2">
      <c r="A497" t="s">
        <v>165</v>
      </c>
      <c r="B497" s="2">
        <v>19</v>
      </c>
      <c r="C497" t="s">
        <v>72</v>
      </c>
      <c r="D497" s="2" t="s">
        <v>49</v>
      </c>
      <c r="E497" s="2">
        <v>26</v>
      </c>
      <c r="F497" s="2">
        <v>24</v>
      </c>
      <c r="G497" s="2">
        <v>623</v>
      </c>
      <c r="H497" s="2">
        <v>10.4</v>
      </c>
      <c r="I497" s="2">
        <v>0.49</v>
      </c>
      <c r="J497" s="2">
        <v>0.433</v>
      </c>
      <c r="K497" s="2">
        <v>0.246</v>
      </c>
      <c r="L497" s="2">
        <v>5</v>
      </c>
      <c r="M497" s="2">
        <v>10.4</v>
      </c>
      <c r="N497" s="2">
        <v>7.7</v>
      </c>
      <c r="O497" s="2">
        <v>7.1</v>
      </c>
      <c r="P497" s="2">
        <v>1.6</v>
      </c>
      <c r="Q497" s="2">
        <v>2.9</v>
      </c>
      <c r="R497" s="2">
        <v>8.9</v>
      </c>
      <c r="S497" s="2">
        <v>21.1</v>
      </c>
      <c r="T497" s="2">
        <v>-0.2</v>
      </c>
      <c r="U497" s="2">
        <v>0.4</v>
      </c>
      <c r="V497" s="2">
        <v>0.2</v>
      </c>
      <c r="W497" s="2">
        <v>1.4999999999999999E-2</v>
      </c>
      <c r="X497" s="2">
        <v>-3.4</v>
      </c>
      <c r="Y497" s="2">
        <v>-1.3</v>
      </c>
      <c r="Z497" s="2">
        <v>-4.7</v>
      </c>
      <c r="AA497" s="2">
        <v>-0.4</v>
      </c>
    </row>
    <row r="498" spans="1:27" x14ac:dyDescent="0.2">
      <c r="A498" t="s">
        <v>296</v>
      </c>
      <c r="B498" s="2">
        <v>27</v>
      </c>
      <c r="C498" t="s">
        <v>93</v>
      </c>
      <c r="D498" s="2" t="s">
        <v>42</v>
      </c>
      <c r="E498" s="2">
        <v>24</v>
      </c>
      <c r="F498" s="2">
        <v>4</v>
      </c>
      <c r="G498" s="2">
        <v>341</v>
      </c>
      <c r="H498" s="2">
        <v>15.1</v>
      </c>
      <c r="I498" s="2">
        <v>0.58799999999999997</v>
      </c>
      <c r="J498" s="2">
        <v>0.34300000000000003</v>
      </c>
      <c r="K498" s="2">
        <v>0.30499999999999999</v>
      </c>
      <c r="L498" s="2">
        <v>8.9</v>
      </c>
      <c r="M498" s="2">
        <v>16.3</v>
      </c>
      <c r="N498" s="2">
        <v>12.6</v>
      </c>
      <c r="O498" s="2">
        <v>18.100000000000001</v>
      </c>
      <c r="P498" s="2">
        <v>1.6</v>
      </c>
      <c r="Q498" s="2">
        <v>3.1</v>
      </c>
      <c r="R498" s="2">
        <v>15</v>
      </c>
      <c r="S498" s="2">
        <v>17.600000000000001</v>
      </c>
      <c r="T498" s="2">
        <v>0.5</v>
      </c>
      <c r="U498" s="2">
        <v>0.3</v>
      </c>
      <c r="V498" s="2">
        <v>0.9</v>
      </c>
      <c r="W498" s="2">
        <v>0.125</v>
      </c>
      <c r="X498" s="2">
        <v>-1.1000000000000001</v>
      </c>
      <c r="Y498" s="2">
        <v>1.2</v>
      </c>
      <c r="Z498" s="2">
        <v>0.1</v>
      </c>
      <c r="AA498" s="2">
        <v>0.2</v>
      </c>
    </row>
    <row r="499" spans="1:27" x14ac:dyDescent="0.2">
      <c r="A499" t="s">
        <v>274</v>
      </c>
      <c r="B499" s="2">
        <v>22</v>
      </c>
      <c r="C499" t="s">
        <v>80</v>
      </c>
      <c r="D499" s="2" t="s">
        <v>42</v>
      </c>
      <c r="E499" s="2">
        <v>14</v>
      </c>
      <c r="F499" s="2">
        <v>9</v>
      </c>
      <c r="G499" s="2">
        <v>281</v>
      </c>
      <c r="H499" s="2">
        <v>19.8</v>
      </c>
      <c r="I499" s="2">
        <v>0.65300000000000002</v>
      </c>
      <c r="J499" s="2">
        <v>9.5000000000000001E-2</v>
      </c>
      <c r="K499" s="2">
        <v>0.314</v>
      </c>
      <c r="L499" s="2">
        <v>16.7</v>
      </c>
      <c r="M499" s="2">
        <v>19.3</v>
      </c>
      <c r="N499" s="2">
        <v>18</v>
      </c>
      <c r="O499" s="2">
        <v>5.5</v>
      </c>
      <c r="P499" s="2">
        <v>2</v>
      </c>
      <c r="Q499" s="2">
        <v>4.5999999999999996</v>
      </c>
      <c r="R499" s="2">
        <v>16.100000000000001</v>
      </c>
      <c r="S499" s="2">
        <v>20.399999999999999</v>
      </c>
      <c r="T499" s="2">
        <v>0.5</v>
      </c>
      <c r="U499" s="2">
        <v>0.5</v>
      </c>
      <c r="V499" s="2">
        <v>1.1000000000000001</v>
      </c>
      <c r="W499" s="2">
        <v>0.18099999999999999</v>
      </c>
      <c r="X499" s="2">
        <v>0</v>
      </c>
      <c r="Y499" s="2">
        <v>0.6</v>
      </c>
      <c r="Z499" s="2">
        <v>0.6</v>
      </c>
      <c r="AA499" s="2">
        <v>0.2</v>
      </c>
    </row>
    <row r="500" spans="1:27" x14ac:dyDescent="0.2">
      <c r="A500" t="s">
        <v>85</v>
      </c>
      <c r="B500" s="2">
        <v>29</v>
      </c>
      <c r="C500" t="s">
        <v>70</v>
      </c>
      <c r="D500" s="2" t="s">
        <v>49</v>
      </c>
      <c r="E500" s="2">
        <v>22</v>
      </c>
      <c r="F500" s="2">
        <v>22</v>
      </c>
      <c r="G500" s="2">
        <v>733</v>
      </c>
      <c r="H500" s="2">
        <v>17</v>
      </c>
      <c r="I500" s="2">
        <v>0.63600000000000001</v>
      </c>
      <c r="J500" s="2">
        <v>0.48299999999999998</v>
      </c>
      <c r="K500" s="2">
        <v>0.214</v>
      </c>
      <c r="L500" s="2">
        <v>0.7</v>
      </c>
      <c r="M500" s="2">
        <v>13.2</v>
      </c>
      <c r="N500" s="2">
        <v>7</v>
      </c>
      <c r="O500" s="2">
        <v>19.100000000000001</v>
      </c>
      <c r="P500" s="2">
        <v>1.1000000000000001</v>
      </c>
      <c r="Q500" s="2">
        <v>0.7</v>
      </c>
      <c r="R500" s="2">
        <v>13.9</v>
      </c>
      <c r="S500" s="2">
        <v>25.4</v>
      </c>
      <c r="T500" s="2">
        <v>0.9</v>
      </c>
      <c r="U500" s="2">
        <v>0.2</v>
      </c>
      <c r="V500" s="2">
        <v>1.1000000000000001</v>
      </c>
      <c r="W500" s="2">
        <v>7.2999999999999995E-2</v>
      </c>
      <c r="X500" s="2">
        <v>1.9</v>
      </c>
      <c r="Y500" s="2">
        <v>-1.9</v>
      </c>
      <c r="Z500" s="2">
        <v>0</v>
      </c>
      <c r="AA500" s="2">
        <v>0.4</v>
      </c>
    </row>
    <row r="501" spans="1:27" x14ac:dyDescent="0.2">
      <c r="A501" t="s">
        <v>471</v>
      </c>
      <c r="B501" s="2">
        <v>24</v>
      </c>
      <c r="C501" t="s">
        <v>46</v>
      </c>
      <c r="D501" s="2" t="s">
        <v>27</v>
      </c>
      <c r="E501" s="2">
        <v>15</v>
      </c>
      <c r="F501" s="2">
        <v>0</v>
      </c>
      <c r="G501" s="2">
        <v>75</v>
      </c>
      <c r="H501" s="2">
        <v>4.3</v>
      </c>
      <c r="I501" s="2">
        <v>0.39300000000000002</v>
      </c>
      <c r="J501" s="2">
        <v>0.36399999999999999</v>
      </c>
      <c r="K501" s="2">
        <v>0.22700000000000001</v>
      </c>
      <c r="L501" s="2">
        <v>3</v>
      </c>
      <c r="M501" s="2">
        <v>7.1</v>
      </c>
      <c r="N501" s="2">
        <v>5.0999999999999996</v>
      </c>
      <c r="O501" s="2">
        <v>5.0999999999999996</v>
      </c>
      <c r="P501" s="2">
        <v>0.6</v>
      </c>
      <c r="Q501" s="2">
        <v>2.4</v>
      </c>
      <c r="R501" s="2">
        <v>4</v>
      </c>
      <c r="S501" s="2">
        <v>14.1</v>
      </c>
      <c r="T501" s="2">
        <v>-0.1</v>
      </c>
      <c r="U501" s="2">
        <v>0</v>
      </c>
      <c r="V501" s="2">
        <v>-0.1</v>
      </c>
      <c r="W501" s="2">
        <v>-4.2999999999999997E-2</v>
      </c>
      <c r="X501" s="2">
        <v>-6.4</v>
      </c>
      <c r="Y501" s="2">
        <v>-2.2999999999999998</v>
      </c>
      <c r="Z501" s="2">
        <v>-8.6999999999999993</v>
      </c>
      <c r="AA501" s="2">
        <v>-0.1</v>
      </c>
    </row>
    <row r="502" spans="1:27" x14ac:dyDescent="0.2">
      <c r="A502" t="s">
        <v>248</v>
      </c>
      <c r="B502" s="2">
        <v>23</v>
      </c>
      <c r="C502" t="s">
        <v>103</v>
      </c>
      <c r="D502" s="2" t="s">
        <v>49</v>
      </c>
      <c r="E502" s="2">
        <v>21</v>
      </c>
      <c r="F502" s="2">
        <v>7</v>
      </c>
      <c r="G502" s="2">
        <v>459</v>
      </c>
      <c r="H502" s="2">
        <v>11.1</v>
      </c>
      <c r="I502" s="2">
        <v>0.50700000000000001</v>
      </c>
      <c r="J502" s="2">
        <v>0.41499999999999998</v>
      </c>
      <c r="K502" s="2">
        <v>0.27700000000000002</v>
      </c>
      <c r="L502" s="2">
        <v>5.6</v>
      </c>
      <c r="M502" s="2">
        <v>18.899999999999999</v>
      </c>
      <c r="N502" s="2">
        <v>12</v>
      </c>
      <c r="O502" s="2">
        <v>7.9</v>
      </c>
      <c r="P502" s="2">
        <v>2.2000000000000002</v>
      </c>
      <c r="Q502" s="2">
        <v>1.5</v>
      </c>
      <c r="R502" s="2">
        <v>9.6</v>
      </c>
      <c r="S502" s="2">
        <v>19.3</v>
      </c>
      <c r="T502" s="2">
        <v>0</v>
      </c>
      <c r="U502" s="2">
        <v>0.4</v>
      </c>
      <c r="V502" s="2">
        <v>0.4</v>
      </c>
      <c r="W502" s="2">
        <v>3.7999999999999999E-2</v>
      </c>
      <c r="X502" s="2">
        <v>-3.6</v>
      </c>
      <c r="Y502" s="2">
        <v>-0.3</v>
      </c>
      <c r="Z502" s="2">
        <v>-3.9</v>
      </c>
      <c r="AA502" s="2">
        <v>-0.2</v>
      </c>
    </row>
    <row r="503" spans="1:27" x14ac:dyDescent="0.2">
      <c r="A503" t="s">
        <v>300</v>
      </c>
      <c r="B503" s="2">
        <v>24</v>
      </c>
      <c r="C503" t="s">
        <v>117</v>
      </c>
      <c r="D503" s="2" t="s">
        <v>27</v>
      </c>
      <c r="E503" s="2">
        <v>6</v>
      </c>
      <c r="F503" s="2">
        <v>6</v>
      </c>
      <c r="G503" s="2">
        <v>186</v>
      </c>
      <c r="H503" s="2">
        <v>19.899999999999999</v>
      </c>
      <c r="I503" s="2">
        <v>0.52100000000000002</v>
      </c>
      <c r="J503" s="2">
        <v>5.8000000000000003E-2</v>
      </c>
      <c r="K503" s="2">
        <v>0.57699999999999996</v>
      </c>
      <c r="L503" s="2">
        <v>8.9</v>
      </c>
      <c r="M503" s="2">
        <v>19.399999999999999</v>
      </c>
      <c r="N503" s="2">
        <v>13.9</v>
      </c>
      <c r="O503" s="2">
        <v>30.6</v>
      </c>
      <c r="P503" s="2">
        <v>1.1000000000000001</v>
      </c>
      <c r="Q503" s="2">
        <v>3.5</v>
      </c>
      <c r="R503" s="2">
        <v>14.4</v>
      </c>
      <c r="S503" s="2">
        <v>34.700000000000003</v>
      </c>
      <c r="T503" s="2">
        <v>0</v>
      </c>
      <c r="U503" s="2">
        <v>0.1</v>
      </c>
      <c r="V503" s="2">
        <v>0.1</v>
      </c>
      <c r="W503" s="2">
        <v>2.8000000000000001E-2</v>
      </c>
      <c r="X503" s="2">
        <v>0.5</v>
      </c>
      <c r="Y503" s="2">
        <v>-1.7</v>
      </c>
      <c r="Z503" s="2">
        <v>-1.2</v>
      </c>
      <c r="AA503" s="2">
        <v>0</v>
      </c>
    </row>
  </sheetData>
  <sortState xmlns:xlrd2="http://schemas.microsoft.com/office/spreadsheetml/2017/richdata2" ref="A2:AA503">
    <sortCondition ref="A1:A503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B49D4-F36B-7D44-89C9-38F4A9EAD364}">
  <dimension ref="A1:W504"/>
  <sheetViews>
    <sheetView workbookViewId="0">
      <selection sqref="A1:A1048576"/>
    </sheetView>
  </sheetViews>
  <sheetFormatPr baseColWidth="10" defaultRowHeight="16" x14ac:dyDescent="0.2"/>
  <sheetData>
    <row r="1" spans="1:23" x14ac:dyDescent="0.2">
      <c r="A1" s="1"/>
      <c r="B1" s="1"/>
      <c r="C1" s="1"/>
      <c r="D1" s="1"/>
      <c r="E1" s="1"/>
      <c r="F1" s="1"/>
      <c r="G1" s="1"/>
      <c r="H1" s="20" t="s">
        <v>589</v>
      </c>
      <c r="I1" s="20"/>
      <c r="J1" s="20"/>
      <c r="K1" s="20"/>
      <c r="L1" s="20"/>
      <c r="M1" s="20" t="s">
        <v>590</v>
      </c>
      <c r="N1" s="20"/>
      <c r="O1" s="20" t="s">
        <v>591</v>
      </c>
      <c r="P1" s="20"/>
      <c r="Q1" s="20" t="s">
        <v>592</v>
      </c>
      <c r="R1" s="20"/>
      <c r="S1" s="20" t="s">
        <v>593</v>
      </c>
      <c r="T1" s="20"/>
      <c r="U1" s="20" t="s">
        <v>594</v>
      </c>
      <c r="V1" s="20"/>
      <c r="W1" s="20"/>
    </row>
    <row r="2" spans="1:23" x14ac:dyDescent="0.2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595</v>
      </c>
      <c r="I2" s="1" t="s">
        <v>596</v>
      </c>
      <c r="J2" s="1" t="s">
        <v>597</v>
      </c>
      <c r="K2" s="1" t="s">
        <v>598</v>
      </c>
      <c r="L2" s="1" t="s">
        <v>599</v>
      </c>
      <c r="M2" s="1" t="s">
        <v>600</v>
      </c>
      <c r="N2" s="1" t="s">
        <v>601</v>
      </c>
      <c r="O2" s="1" t="s">
        <v>602</v>
      </c>
      <c r="P2" s="1" t="s">
        <v>603</v>
      </c>
      <c r="Q2" s="1" t="s">
        <v>604</v>
      </c>
      <c r="R2" s="1" t="s">
        <v>605</v>
      </c>
      <c r="S2" s="1" t="s">
        <v>604</v>
      </c>
      <c r="T2" s="1" t="s">
        <v>605</v>
      </c>
      <c r="U2" s="1" t="s">
        <v>606</v>
      </c>
      <c r="V2" s="1" t="s">
        <v>607</v>
      </c>
      <c r="W2" s="1" t="s">
        <v>608</v>
      </c>
    </row>
    <row r="3" spans="1:23" x14ac:dyDescent="0.2">
      <c r="A3" t="s">
        <v>244</v>
      </c>
      <c r="B3" s="2">
        <v>25</v>
      </c>
      <c r="C3" t="s">
        <v>35</v>
      </c>
      <c r="D3" s="2" t="s">
        <v>52</v>
      </c>
      <c r="E3" s="2">
        <v>23</v>
      </c>
      <c r="F3" s="2">
        <v>3</v>
      </c>
      <c r="G3" s="2">
        <v>488</v>
      </c>
      <c r="H3" s="2">
        <v>9</v>
      </c>
      <c r="I3" s="2">
        <v>90</v>
      </c>
      <c r="J3" s="2">
        <v>1</v>
      </c>
      <c r="K3" s="2">
        <v>0</v>
      </c>
      <c r="L3" s="2">
        <v>0</v>
      </c>
      <c r="M3" s="6">
        <v>5.0999999999999996</v>
      </c>
      <c r="N3" s="6">
        <v>7.2</v>
      </c>
      <c r="O3" s="2">
        <v>8</v>
      </c>
      <c r="P3" s="2">
        <v>4</v>
      </c>
      <c r="Q3" s="2">
        <v>28</v>
      </c>
      <c r="R3" s="2">
        <v>2</v>
      </c>
      <c r="S3" s="2">
        <v>0</v>
      </c>
      <c r="T3" s="2">
        <v>7</v>
      </c>
      <c r="U3" s="2">
        <v>60</v>
      </c>
      <c r="V3" s="2">
        <v>0</v>
      </c>
      <c r="W3" s="2">
        <v>0</v>
      </c>
    </row>
    <row r="4" spans="1:23" x14ac:dyDescent="0.2">
      <c r="A4" t="s">
        <v>273</v>
      </c>
      <c r="B4" s="2">
        <v>29</v>
      </c>
      <c r="C4" t="s">
        <v>46</v>
      </c>
      <c r="D4" s="2" t="s">
        <v>27</v>
      </c>
      <c r="E4" s="2">
        <v>11</v>
      </c>
      <c r="F4" s="2">
        <v>10</v>
      </c>
      <c r="G4" s="2">
        <v>326</v>
      </c>
      <c r="H4" s="2">
        <v>0</v>
      </c>
      <c r="I4" s="2">
        <v>0</v>
      </c>
      <c r="J4" s="2">
        <v>0</v>
      </c>
      <c r="K4" s="2">
        <v>92</v>
      </c>
      <c r="L4" s="2">
        <v>8</v>
      </c>
      <c r="M4" s="6">
        <v>10.8</v>
      </c>
      <c r="N4" s="6">
        <v>12.3</v>
      </c>
      <c r="O4" s="2">
        <v>7</v>
      </c>
      <c r="P4" s="2">
        <v>4</v>
      </c>
      <c r="Q4" s="2">
        <v>12</v>
      </c>
      <c r="R4" s="2">
        <v>2</v>
      </c>
      <c r="S4" s="2">
        <v>21</v>
      </c>
      <c r="T4" s="2">
        <v>3</v>
      </c>
      <c r="U4" s="2">
        <v>92</v>
      </c>
      <c r="V4" s="2">
        <v>6</v>
      </c>
      <c r="W4" s="2">
        <v>7</v>
      </c>
    </row>
    <row r="5" spans="1:23" x14ac:dyDescent="0.2">
      <c r="A5" t="s">
        <v>384</v>
      </c>
      <c r="B5" s="2">
        <v>28</v>
      </c>
      <c r="C5" t="s">
        <v>87</v>
      </c>
      <c r="D5" s="2" t="s">
        <v>33</v>
      </c>
      <c r="E5" s="2">
        <v>15</v>
      </c>
      <c r="F5" s="2">
        <v>0</v>
      </c>
      <c r="G5" s="2">
        <v>145</v>
      </c>
      <c r="H5" s="2">
        <v>100</v>
      </c>
      <c r="I5" s="2">
        <v>0</v>
      </c>
      <c r="J5" s="2">
        <v>0</v>
      </c>
      <c r="K5" s="2">
        <v>0</v>
      </c>
      <c r="L5" s="2">
        <v>0</v>
      </c>
      <c r="M5" s="6">
        <v>14.1</v>
      </c>
      <c r="N5" s="6">
        <v>8.5</v>
      </c>
      <c r="O5" s="2">
        <v>3</v>
      </c>
      <c r="P5" s="2">
        <v>2</v>
      </c>
      <c r="Q5" s="2">
        <v>4</v>
      </c>
      <c r="R5" s="2">
        <v>0</v>
      </c>
      <c r="S5" s="2">
        <v>2</v>
      </c>
      <c r="T5" s="2">
        <v>1</v>
      </c>
      <c r="U5" s="2">
        <v>48</v>
      </c>
      <c r="V5" s="2">
        <v>1</v>
      </c>
      <c r="W5" s="2">
        <v>0</v>
      </c>
    </row>
    <row r="6" spans="1:23" x14ac:dyDescent="0.2">
      <c r="A6" t="s">
        <v>398</v>
      </c>
      <c r="B6" s="2">
        <v>25</v>
      </c>
      <c r="C6" t="s">
        <v>82</v>
      </c>
      <c r="D6" s="2" t="s">
        <v>49</v>
      </c>
      <c r="E6" s="2">
        <v>6</v>
      </c>
      <c r="F6" s="2">
        <v>6</v>
      </c>
      <c r="G6" s="2">
        <v>136</v>
      </c>
      <c r="H6" s="2">
        <v>0</v>
      </c>
      <c r="I6" s="2">
        <v>3</v>
      </c>
      <c r="J6" s="2">
        <v>95</v>
      </c>
      <c r="K6" s="2">
        <v>2</v>
      </c>
      <c r="L6" s="2">
        <v>0</v>
      </c>
      <c r="M6" s="6">
        <v>0.6</v>
      </c>
      <c r="N6" s="6">
        <v>5.3</v>
      </c>
      <c r="O6" s="2">
        <v>1</v>
      </c>
      <c r="P6" s="2">
        <v>2</v>
      </c>
      <c r="Q6" s="2">
        <v>16</v>
      </c>
      <c r="R6" s="2">
        <v>1</v>
      </c>
      <c r="S6" s="2">
        <v>4</v>
      </c>
      <c r="T6" s="2">
        <v>2</v>
      </c>
      <c r="U6" s="2">
        <v>14</v>
      </c>
      <c r="V6" s="2">
        <v>1</v>
      </c>
      <c r="W6" s="2">
        <v>3</v>
      </c>
    </row>
    <row r="7" spans="1:23" x14ac:dyDescent="0.2">
      <c r="A7" t="s">
        <v>215</v>
      </c>
      <c r="B7" s="2">
        <v>26</v>
      </c>
      <c r="C7" t="s">
        <v>32</v>
      </c>
      <c r="D7" s="2" t="s">
        <v>52</v>
      </c>
      <c r="E7" s="2">
        <v>24</v>
      </c>
      <c r="F7" s="2">
        <v>8</v>
      </c>
      <c r="G7" s="2">
        <v>489</v>
      </c>
      <c r="H7" s="2">
        <v>0</v>
      </c>
      <c r="I7" s="2">
        <v>19</v>
      </c>
      <c r="J7" s="2">
        <v>64</v>
      </c>
      <c r="K7" s="2">
        <v>16</v>
      </c>
      <c r="L7" s="2">
        <v>1</v>
      </c>
      <c r="M7" s="6">
        <v>13.6</v>
      </c>
      <c r="N7" s="6">
        <v>2</v>
      </c>
      <c r="O7" s="2">
        <v>14</v>
      </c>
      <c r="P7" s="2">
        <v>5</v>
      </c>
      <c r="Q7" s="2">
        <v>19</v>
      </c>
      <c r="R7" s="2">
        <v>1</v>
      </c>
      <c r="S7" s="2">
        <v>6</v>
      </c>
      <c r="T7" s="2">
        <v>0</v>
      </c>
      <c r="U7" s="2">
        <v>88</v>
      </c>
      <c r="V7" s="2">
        <v>1</v>
      </c>
      <c r="W7" s="2">
        <v>16</v>
      </c>
    </row>
    <row r="8" spans="1:23" x14ac:dyDescent="0.2">
      <c r="A8" t="s">
        <v>484</v>
      </c>
      <c r="B8" s="2">
        <v>25</v>
      </c>
      <c r="C8" t="s">
        <v>32</v>
      </c>
      <c r="D8" s="2" t="s">
        <v>52</v>
      </c>
      <c r="E8" s="2">
        <v>11</v>
      </c>
      <c r="F8" s="2">
        <v>0</v>
      </c>
      <c r="G8" s="2">
        <v>40</v>
      </c>
      <c r="H8" s="2">
        <v>69</v>
      </c>
      <c r="I8" s="2">
        <v>31</v>
      </c>
      <c r="J8" s="2">
        <v>0</v>
      </c>
      <c r="K8" s="2">
        <v>0</v>
      </c>
      <c r="L8" s="2">
        <v>0</v>
      </c>
      <c r="M8" s="6">
        <v>17.3</v>
      </c>
      <c r="N8" s="6">
        <v>5.0999999999999996</v>
      </c>
      <c r="O8" s="2">
        <v>0</v>
      </c>
      <c r="P8" s="2">
        <v>0</v>
      </c>
      <c r="Q8" s="2">
        <v>3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0</v>
      </c>
    </row>
    <row r="9" spans="1:23" x14ac:dyDescent="0.2">
      <c r="A9" t="s">
        <v>511</v>
      </c>
      <c r="B9" s="2">
        <v>22</v>
      </c>
      <c r="C9" t="s">
        <v>70</v>
      </c>
      <c r="D9" s="2" t="s">
        <v>42</v>
      </c>
      <c r="E9" s="2">
        <v>3</v>
      </c>
      <c r="F9" s="2">
        <v>0</v>
      </c>
      <c r="G9" s="2">
        <v>14</v>
      </c>
      <c r="H9" s="2">
        <v>0</v>
      </c>
      <c r="I9" s="2">
        <v>0</v>
      </c>
      <c r="J9" s="2">
        <v>0</v>
      </c>
      <c r="K9" s="2">
        <v>0</v>
      </c>
      <c r="L9" s="2">
        <v>100</v>
      </c>
      <c r="M9" s="7">
        <v>-24.1</v>
      </c>
      <c r="N9" s="7">
        <v>-21.3</v>
      </c>
      <c r="O9" s="2">
        <v>0</v>
      </c>
      <c r="P9" s="2">
        <v>1</v>
      </c>
      <c r="Q9" s="2">
        <v>1</v>
      </c>
      <c r="R9" s="2">
        <v>0</v>
      </c>
      <c r="S9" s="2">
        <v>0</v>
      </c>
      <c r="T9" s="2">
        <v>0</v>
      </c>
      <c r="U9" s="2">
        <v>2</v>
      </c>
      <c r="V9" s="2">
        <v>0</v>
      </c>
      <c r="W9" s="2">
        <v>1</v>
      </c>
    </row>
    <row r="10" spans="1:23" x14ac:dyDescent="0.2">
      <c r="A10" t="s">
        <v>461</v>
      </c>
      <c r="B10" s="2">
        <v>21</v>
      </c>
      <c r="C10" t="s">
        <v>122</v>
      </c>
      <c r="D10" s="2" t="s">
        <v>42</v>
      </c>
      <c r="E10" s="2">
        <v>14</v>
      </c>
      <c r="F10" s="2">
        <v>0</v>
      </c>
      <c r="G10" s="2">
        <v>90</v>
      </c>
      <c r="H10" s="2">
        <v>0</v>
      </c>
      <c r="I10" s="2">
        <v>0</v>
      </c>
      <c r="J10" s="2">
        <v>0</v>
      </c>
      <c r="K10" s="2">
        <v>0</v>
      </c>
      <c r="L10" s="2">
        <v>100</v>
      </c>
      <c r="M10" s="6">
        <v>5.9</v>
      </c>
      <c r="N10" s="6">
        <v>11.7</v>
      </c>
      <c r="O10" s="2">
        <v>3</v>
      </c>
      <c r="P10" s="2">
        <v>0</v>
      </c>
      <c r="Q10" s="2">
        <v>11</v>
      </c>
      <c r="R10" s="2">
        <v>3</v>
      </c>
      <c r="S10" s="2">
        <v>2</v>
      </c>
      <c r="T10" s="2">
        <v>0</v>
      </c>
      <c r="U10" s="2">
        <v>0</v>
      </c>
      <c r="V10" s="2">
        <v>1</v>
      </c>
      <c r="W10" s="2">
        <v>3</v>
      </c>
    </row>
    <row r="11" spans="1:23" x14ac:dyDescent="0.2">
      <c r="A11" t="s">
        <v>507</v>
      </c>
      <c r="B11" s="2">
        <v>20</v>
      </c>
      <c r="C11" t="s">
        <v>35</v>
      </c>
      <c r="D11" s="2" t="s">
        <v>52</v>
      </c>
      <c r="E11" s="2">
        <v>5</v>
      </c>
      <c r="F11" s="2">
        <v>0</v>
      </c>
      <c r="G11" s="2">
        <v>11</v>
      </c>
      <c r="H11" s="2">
        <v>50</v>
      </c>
      <c r="I11" s="2">
        <v>28</v>
      </c>
      <c r="J11" s="2">
        <v>22</v>
      </c>
      <c r="K11" s="2">
        <v>0</v>
      </c>
      <c r="L11" s="2">
        <v>0</v>
      </c>
      <c r="M11" s="6">
        <v>32</v>
      </c>
      <c r="N11" s="6">
        <v>31.5</v>
      </c>
      <c r="O11" s="2">
        <v>1</v>
      </c>
      <c r="P11" s="2">
        <v>1</v>
      </c>
      <c r="Q11" s="2">
        <v>0</v>
      </c>
      <c r="R11" s="2">
        <v>0</v>
      </c>
      <c r="S11" s="2">
        <v>0</v>
      </c>
      <c r="T11" s="2">
        <v>0</v>
      </c>
      <c r="U11" s="2">
        <v>3</v>
      </c>
      <c r="V11" s="2">
        <v>0</v>
      </c>
      <c r="W11" s="2">
        <v>1</v>
      </c>
    </row>
    <row r="12" spans="1:23" x14ac:dyDescent="0.2">
      <c r="A12" t="s">
        <v>301</v>
      </c>
      <c r="B12" s="2">
        <v>22</v>
      </c>
      <c r="C12" t="s">
        <v>32</v>
      </c>
      <c r="D12" s="2" t="s">
        <v>52</v>
      </c>
      <c r="E12" s="2">
        <v>24</v>
      </c>
      <c r="F12" s="2">
        <v>0</v>
      </c>
      <c r="G12" s="2">
        <v>383</v>
      </c>
      <c r="H12" s="2">
        <v>7</v>
      </c>
      <c r="I12" s="2">
        <v>53</v>
      </c>
      <c r="J12" s="2">
        <v>32</v>
      </c>
      <c r="K12" s="2">
        <v>7</v>
      </c>
      <c r="L12" s="2">
        <v>1</v>
      </c>
      <c r="M12" s="6">
        <v>9.8000000000000007</v>
      </c>
      <c r="N12" s="7">
        <v>-3.8</v>
      </c>
      <c r="O12" s="2">
        <v>12</v>
      </c>
      <c r="P12" s="2">
        <v>5</v>
      </c>
      <c r="Q12" s="2">
        <v>26</v>
      </c>
      <c r="R12" s="2">
        <v>1</v>
      </c>
      <c r="S12" s="2">
        <v>6</v>
      </c>
      <c r="T12" s="2">
        <v>9</v>
      </c>
      <c r="U12" s="2">
        <v>102</v>
      </c>
      <c r="V12" s="2">
        <v>2</v>
      </c>
      <c r="W12" s="2">
        <v>9</v>
      </c>
    </row>
    <row r="13" spans="1:23" x14ac:dyDescent="0.2">
      <c r="A13" t="s">
        <v>255</v>
      </c>
      <c r="B13" s="2">
        <v>38</v>
      </c>
      <c r="C13" t="s">
        <v>39</v>
      </c>
      <c r="D13" s="2" t="s">
        <v>42</v>
      </c>
      <c r="E13" s="2">
        <v>19</v>
      </c>
      <c r="F13" s="2">
        <v>18</v>
      </c>
      <c r="G13" s="2">
        <v>532</v>
      </c>
      <c r="H13" s="2">
        <v>0</v>
      </c>
      <c r="I13" s="2">
        <v>0</v>
      </c>
      <c r="J13" s="2">
        <v>0</v>
      </c>
      <c r="K13" s="2">
        <v>40</v>
      </c>
      <c r="L13" s="2">
        <v>61</v>
      </c>
      <c r="M13" s="6">
        <v>10.6</v>
      </c>
      <c r="N13" s="6">
        <v>1.5</v>
      </c>
      <c r="O13" s="2">
        <v>12</v>
      </c>
      <c r="P13" s="2">
        <v>3</v>
      </c>
      <c r="Q13" s="2">
        <v>22</v>
      </c>
      <c r="R13" s="2">
        <v>2</v>
      </c>
      <c r="S13" s="2">
        <v>4</v>
      </c>
      <c r="T13" s="2">
        <v>0</v>
      </c>
      <c r="U13" s="2">
        <v>114</v>
      </c>
      <c r="V13" s="2">
        <v>2</v>
      </c>
      <c r="W13" s="2">
        <v>1</v>
      </c>
    </row>
    <row r="14" spans="1:23" x14ac:dyDescent="0.2">
      <c r="A14" t="s">
        <v>388</v>
      </c>
      <c r="B14" s="2">
        <v>33</v>
      </c>
      <c r="C14" t="s">
        <v>61</v>
      </c>
      <c r="D14" s="2" t="s">
        <v>52</v>
      </c>
      <c r="E14" s="2">
        <v>12</v>
      </c>
      <c r="F14" s="2">
        <v>0</v>
      </c>
      <c r="G14" s="2">
        <v>181</v>
      </c>
      <c r="H14" s="2">
        <v>13</v>
      </c>
      <c r="I14" s="2">
        <v>37</v>
      </c>
      <c r="J14" s="2">
        <v>45</v>
      </c>
      <c r="K14" s="2">
        <v>6</v>
      </c>
      <c r="L14" s="2">
        <v>0</v>
      </c>
      <c r="M14" s="6">
        <v>17.3</v>
      </c>
      <c r="N14" s="6">
        <v>16.600000000000001</v>
      </c>
      <c r="O14" s="2">
        <v>1</v>
      </c>
      <c r="P14" s="2">
        <v>1</v>
      </c>
      <c r="Q14" s="2">
        <v>4</v>
      </c>
      <c r="R14" s="2">
        <v>0</v>
      </c>
      <c r="S14" s="2">
        <v>3</v>
      </c>
      <c r="T14" s="2">
        <v>2</v>
      </c>
      <c r="U14" s="2">
        <v>34</v>
      </c>
      <c r="V14" s="2">
        <v>0</v>
      </c>
      <c r="W14" s="2">
        <v>0</v>
      </c>
    </row>
    <row r="15" spans="1:23" x14ac:dyDescent="0.2">
      <c r="A15" t="s">
        <v>349</v>
      </c>
      <c r="B15" s="2">
        <v>30</v>
      </c>
      <c r="C15" t="s">
        <v>32</v>
      </c>
      <c r="D15" s="2" t="s">
        <v>52</v>
      </c>
      <c r="E15" s="2">
        <v>16</v>
      </c>
      <c r="F15" s="2">
        <v>0</v>
      </c>
      <c r="G15" s="2">
        <v>320</v>
      </c>
      <c r="H15" s="2">
        <v>29</v>
      </c>
      <c r="I15" s="2">
        <v>46</v>
      </c>
      <c r="J15" s="2">
        <v>25</v>
      </c>
      <c r="K15" s="2">
        <v>0</v>
      </c>
      <c r="L15" s="2">
        <v>0</v>
      </c>
      <c r="M15" s="6">
        <v>9.1999999999999993</v>
      </c>
      <c r="N15" s="7">
        <v>-4.4000000000000004</v>
      </c>
      <c r="O15" s="2">
        <v>8</v>
      </c>
      <c r="P15" s="2">
        <v>2</v>
      </c>
      <c r="Q15" s="2">
        <v>14</v>
      </c>
      <c r="R15" s="2">
        <v>2</v>
      </c>
      <c r="S15" s="2">
        <v>3</v>
      </c>
      <c r="T15" s="2">
        <v>8</v>
      </c>
      <c r="U15" s="2">
        <v>93</v>
      </c>
      <c r="V15" s="2">
        <v>1</v>
      </c>
      <c r="W15" s="2">
        <v>7</v>
      </c>
    </row>
    <row r="16" spans="1:23" x14ac:dyDescent="0.2">
      <c r="A16" t="s">
        <v>556</v>
      </c>
      <c r="B16" s="2">
        <v>24</v>
      </c>
      <c r="C16" t="s">
        <v>32</v>
      </c>
      <c r="D16" s="2" t="s">
        <v>52</v>
      </c>
      <c r="E16" s="2">
        <v>4</v>
      </c>
      <c r="F16" s="2">
        <v>0</v>
      </c>
      <c r="G16" s="2">
        <v>7</v>
      </c>
      <c r="H16" s="2">
        <v>0</v>
      </c>
      <c r="I16" s="2">
        <v>0</v>
      </c>
      <c r="J16" s="2">
        <v>100</v>
      </c>
      <c r="K16" s="2">
        <v>0</v>
      </c>
      <c r="L16" s="2">
        <v>0</v>
      </c>
      <c r="M16" s="6">
        <v>23.3</v>
      </c>
      <c r="N16" s="6">
        <v>11</v>
      </c>
      <c r="O16" s="2">
        <v>0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0</v>
      </c>
      <c r="V16" s="2">
        <v>0</v>
      </c>
      <c r="W16" s="2">
        <v>0</v>
      </c>
    </row>
    <row r="17" spans="1:23" x14ac:dyDescent="0.2">
      <c r="A17" t="s">
        <v>450</v>
      </c>
      <c r="B17" s="2">
        <v>31</v>
      </c>
      <c r="C17" t="s">
        <v>37</v>
      </c>
      <c r="D17" s="2" t="s">
        <v>42</v>
      </c>
      <c r="E17" s="2">
        <v>19</v>
      </c>
      <c r="F17" s="2">
        <v>2</v>
      </c>
      <c r="G17" s="2">
        <v>135</v>
      </c>
      <c r="H17" s="2">
        <v>0</v>
      </c>
      <c r="I17" s="2">
        <v>0</v>
      </c>
      <c r="J17" s="2">
        <v>0</v>
      </c>
      <c r="K17" s="2">
        <v>0</v>
      </c>
      <c r="L17" s="2">
        <v>100</v>
      </c>
      <c r="M17" s="7">
        <v>-16.899999999999999</v>
      </c>
      <c r="N17" s="7">
        <v>-22.7</v>
      </c>
      <c r="O17" s="2">
        <v>1</v>
      </c>
      <c r="P17" s="2">
        <v>1</v>
      </c>
      <c r="Q17" s="2">
        <v>7</v>
      </c>
      <c r="R17" s="2">
        <v>3</v>
      </c>
      <c r="S17" s="2">
        <v>2</v>
      </c>
      <c r="T17" s="2">
        <v>0</v>
      </c>
      <c r="U17" s="2">
        <v>43</v>
      </c>
      <c r="V17" s="2">
        <v>0</v>
      </c>
      <c r="W17" s="2">
        <v>2</v>
      </c>
    </row>
    <row r="18" spans="1:23" x14ac:dyDescent="0.2">
      <c r="A18" t="s">
        <v>550</v>
      </c>
      <c r="B18" s="5">
        <v>25</v>
      </c>
      <c r="C18" t="s">
        <v>32</v>
      </c>
      <c r="D18" s="5" t="s">
        <v>27</v>
      </c>
      <c r="E18" s="5">
        <v>1</v>
      </c>
      <c r="F18" s="5">
        <v>0</v>
      </c>
      <c r="G18" s="5">
        <v>2</v>
      </c>
      <c r="H18" s="5">
        <v>0</v>
      </c>
      <c r="I18" s="5">
        <v>0</v>
      </c>
      <c r="J18" s="5">
        <v>0</v>
      </c>
      <c r="K18" s="5">
        <v>0</v>
      </c>
      <c r="L18" s="5">
        <v>100</v>
      </c>
      <c r="M18" s="8">
        <v>100</v>
      </c>
      <c r="N18" s="8">
        <v>87.7</v>
      </c>
      <c r="O18" s="5">
        <v>0</v>
      </c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</row>
    <row r="19" spans="1:23" x14ac:dyDescent="0.2">
      <c r="A19" t="s">
        <v>222</v>
      </c>
      <c r="B19" s="2">
        <v>19</v>
      </c>
      <c r="C19" t="s">
        <v>114</v>
      </c>
      <c r="D19" s="2" t="s">
        <v>42</v>
      </c>
      <c r="E19" s="2">
        <v>20</v>
      </c>
      <c r="F19" s="2">
        <v>20</v>
      </c>
      <c r="G19" s="2">
        <v>536</v>
      </c>
      <c r="H19" s="2">
        <v>0</v>
      </c>
      <c r="I19" s="2">
        <v>0</v>
      </c>
      <c r="J19" s="2">
        <v>0</v>
      </c>
      <c r="K19" s="2">
        <v>12</v>
      </c>
      <c r="L19" s="2">
        <v>89</v>
      </c>
      <c r="M19" s="7">
        <v>-21.9</v>
      </c>
      <c r="N19" s="7">
        <v>-12.2</v>
      </c>
      <c r="O19" s="2">
        <v>11</v>
      </c>
      <c r="P19" s="2">
        <v>11</v>
      </c>
      <c r="Q19" s="2">
        <v>38</v>
      </c>
      <c r="R19" s="2">
        <v>4</v>
      </c>
      <c r="S19" s="2">
        <v>20</v>
      </c>
      <c r="T19" s="2">
        <v>1</v>
      </c>
      <c r="U19" s="2">
        <v>91</v>
      </c>
      <c r="V19" s="2">
        <v>0</v>
      </c>
      <c r="W19" s="2">
        <v>11</v>
      </c>
    </row>
    <row r="20" spans="1:23" x14ac:dyDescent="0.2">
      <c r="A20" t="s">
        <v>522</v>
      </c>
      <c r="B20" s="2">
        <v>25</v>
      </c>
      <c r="C20" t="s">
        <v>75</v>
      </c>
      <c r="D20" s="2" t="s">
        <v>52</v>
      </c>
      <c r="E20" s="2">
        <v>1</v>
      </c>
      <c r="F20" s="2">
        <v>0</v>
      </c>
      <c r="G20" s="2">
        <v>4</v>
      </c>
      <c r="H20" s="2">
        <v>0</v>
      </c>
      <c r="I20" s="2">
        <v>100</v>
      </c>
      <c r="J20" s="2">
        <v>0</v>
      </c>
      <c r="K20" s="2">
        <v>0</v>
      </c>
      <c r="L20" s="2">
        <v>0</v>
      </c>
      <c r="M20" s="6">
        <v>71.400000000000006</v>
      </c>
      <c r="N20" s="6">
        <v>75.2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3</v>
      </c>
      <c r="V20" s="2">
        <v>0</v>
      </c>
      <c r="W20" s="2">
        <v>0</v>
      </c>
    </row>
    <row r="21" spans="1:23" x14ac:dyDescent="0.2">
      <c r="A21" t="s">
        <v>90</v>
      </c>
      <c r="B21" s="2">
        <v>22</v>
      </c>
      <c r="C21" t="s">
        <v>87</v>
      </c>
      <c r="D21" s="2" t="s">
        <v>42</v>
      </c>
      <c r="E21" s="2">
        <v>25</v>
      </c>
      <c r="F21" s="2">
        <v>25</v>
      </c>
      <c r="G21" s="2">
        <v>776</v>
      </c>
      <c r="H21" s="2">
        <v>0</v>
      </c>
      <c r="I21" s="2">
        <v>0</v>
      </c>
      <c r="J21" s="2">
        <v>0</v>
      </c>
      <c r="K21" s="2">
        <v>0</v>
      </c>
      <c r="L21" s="2">
        <v>100</v>
      </c>
      <c r="M21" s="6">
        <v>8.8000000000000007</v>
      </c>
      <c r="N21" s="6">
        <v>5.7</v>
      </c>
      <c r="O21" s="2">
        <v>21</v>
      </c>
      <c r="P21" s="2">
        <v>21</v>
      </c>
      <c r="Q21" s="2">
        <v>39</v>
      </c>
      <c r="R21" s="2">
        <v>10</v>
      </c>
      <c r="S21" s="2">
        <v>55</v>
      </c>
      <c r="T21" s="2">
        <v>7</v>
      </c>
      <c r="U21" s="2">
        <v>322</v>
      </c>
      <c r="V21" s="2">
        <v>15</v>
      </c>
      <c r="W21" s="2">
        <v>35</v>
      </c>
    </row>
    <row r="22" spans="1:23" x14ac:dyDescent="0.2">
      <c r="A22" t="s">
        <v>158</v>
      </c>
      <c r="B22" s="2">
        <v>22</v>
      </c>
      <c r="C22" t="s">
        <v>87</v>
      </c>
      <c r="D22" s="2" t="s">
        <v>49</v>
      </c>
      <c r="E22" s="2">
        <v>25</v>
      </c>
      <c r="F22" s="2">
        <v>2</v>
      </c>
      <c r="G22" s="2">
        <v>675</v>
      </c>
      <c r="H22" s="2">
        <v>0</v>
      </c>
      <c r="I22" s="2">
        <v>15</v>
      </c>
      <c r="J22" s="2">
        <v>68</v>
      </c>
      <c r="K22" s="2">
        <v>17</v>
      </c>
      <c r="L22" s="2">
        <v>0</v>
      </c>
      <c r="M22" s="6">
        <v>8.6999999999999993</v>
      </c>
      <c r="N22" s="6">
        <v>4.5999999999999996</v>
      </c>
      <c r="O22" s="2">
        <v>14</v>
      </c>
      <c r="P22" s="2">
        <v>15</v>
      </c>
      <c r="Q22" s="2">
        <v>22</v>
      </c>
      <c r="R22" s="2">
        <v>7</v>
      </c>
      <c r="S22" s="2">
        <v>47</v>
      </c>
      <c r="T22" s="2">
        <v>3</v>
      </c>
      <c r="U22" s="2">
        <v>130</v>
      </c>
      <c r="V22" s="2">
        <v>7</v>
      </c>
      <c r="W22" s="2">
        <v>13</v>
      </c>
    </row>
    <row r="23" spans="1:23" x14ac:dyDescent="0.2">
      <c r="A23" t="s">
        <v>195</v>
      </c>
      <c r="B23" s="2">
        <v>27</v>
      </c>
      <c r="C23" t="s">
        <v>77</v>
      </c>
      <c r="D23" s="2" t="s">
        <v>52</v>
      </c>
      <c r="E23" s="2">
        <v>24</v>
      </c>
      <c r="F23" s="2">
        <v>7</v>
      </c>
      <c r="G23" s="2">
        <v>576</v>
      </c>
      <c r="H23" s="2">
        <v>0</v>
      </c>
      <c r="I23" s="2">
        <v>8</v>
      </c>
      <c r="J23" s="2">
        <v>70</v>
      </c>
      <c r="K23" s="2">
        <v>22</v>
      </c>
      <c r="L23" s="2">
        <v>0</v>
      </c>
      <c r="M23" s="6">
        <v>2.2000000000000002</v>
      </c>
      <c r="N23" s="6">
        <v>2.1</v>
      </c>
      <c r="O23" s="2">
        <v>7</v>
      </c>
      <c r="P23" s="2">
        <v>6</v>
      </c>
      <c r="Q23" s="2">
        <v>19</v>
      </c>
      <c r="R23" s="2">
        <v>2</v>
      </c>
      <c r="S23" s="2">
        <v>16</v>
      </c>
      <c r="T23" s="2">
        <v>2</v>
      </c>
      <c r="U23" s="2">
        <v>76</v>
      </c>
      <c r="V23" s="2">
        <v>3</v>
      </c>
      <c r="W23" s="2">
        <v>7</v>
      </c>
    </row>
    <row r="24" spans="1:23" x14ac:dyDescent="0.2">
      <c r="A24" t="s">
        <v>284</v>
      </c>
      <c r="B24" s="2">
        <v>31</v>
      </c>
      <c r="C24" t="s">
        <v>122</v>
      </c>
      <c r="D24" s="2" t="s">
        <v>42</v>
      </c>
      <c r="E24" s="2">
        <v>19</v>
      </c>
      <c r="F24" s="2">
        <v>12</v>
      </c>
      <c r="G24" s="2">
        <v>380</v>
      </c>
      <c r="H24" s="2">
        <v>0</v>
      </c>
      <c r="I24" s="2">
        <v>0</v>
      </c>
      <c r="J24" s="2">
        <v>0</v>
      </c>
      <c r="K24" s="2">
        <v>0</v>
      </c>
      <c r="L24" s="2">
        <v>100</v>
      </c>
      <c r="M24" s="7">
        <v>-12.9</v>
      </c>
      <c r="N24" s="7">
        <v>-12.5</v>
      </c>
      <c r="O24" s="2">
        <v>10</v>
      </c>
      <c r="P24" s="2">
        <v>8</v>
      </c>
      <c r="Q24" s="2">
        <v>24</v>
      </c>
      <c r="R24" s="2">
        <v>10</v>
      </c>
      <c r="S24" s="2">
        <v>25</v>
      </c>
      <c r="T24" s="2">
        <v>0</v>
      </c>
      <c r="U24" s="2">
        <v>23</v>
      </c>
      <c r="V24" s="2">
        <v>7</v>
      </c>
      <c r="W24" s="2">
        <v>15</v>
      </c>
    </row>
    <row r="25" spans="1:23" x14ac:dyDescent="0.2">
      <c r="A25" t="s">
        <v>361</v>
      </c>
      <c r="B25" s="2">
        <v>23</v>
      </c>
      <c r="C25" t="s">
        <v>35</v>
      </c>
      <c r="D25" s="2" t="s">
        <v>52</v>
      </c>
      <c r="E25" s="2">
        <v>23</v>
      </c>
      <c r="F25" s="2">
        <v>15</v>
      </c>
      <c r="G25" s="2">
        <v>407</v>
      </c>
      <c r="H25" s="2">
        <v>0</v>
      </c>
      <c r="I25" s="2">
        <v>53</v>
      </c>
      <c r="J25" s="2">
        <v>39</v>
      </c>
      <c r="K25" s="2">
        <v>8</v>
      </c>
      <c r="L25" s="2">
        <v>0</v>
      </c>
      <c r="M25" s="6">
        <v>8.3000000000000007</v>
      </c>
      <c r="N25" s="6">
        <v>11.5</v>
      </c>
      <c r="O25" s="2">
        <v>17</v>
      </c>
      <c r="P25" s="2">
        <v>7</v>
      </c>
      <c r="Q25" s="2">
        <v>25</v>
      </c>
      <c r="R25" s="2">
        <v>6</v>
      </c>
      <c r="S25" s="2">
        <v>4</v>
      </c>
      <c r="T25" s="2">
        <v>3</v>
      </c>
      <c r="U25" s="2">
        <v>81</v>
      </c>
      <c r="V25" s="2">
        <v>0</v>
      </c>
      <c r="W25" s="2">
        <v>4</v>
      </c>
    </row>
    <row r="26" spans="1:23" x14ac:dyDescent="0.2">
      <c r="A26" t="s">
        <v>356</v>
      </c>
      <c r="B26" s="2">
        <v>25</v>
      </c>
      <c r="C26" t="s">
        <v>82</v>
      </c>
      <c r="D26" s="2" t="s">
        <v>52</v>
      </c>
      <c r="E26" s="2">
        <v>11</v>
      </c>
      <c r="F26" s="2">
        <v>11</v>
      </c>
      <c r="G26" s="2">
        <v>272</v>
      </c>
      <c r="H26" s="2">
        <v>3</v>
      </c>
      <c r="I26" s="2">
        <v>94</v>
      </c>
      <c r="J26" s="2">
        <v>3</v>
      </c>
      <c r="K26" s="2">
        <v>0</v>
      </c>
      <c r="L26" s="2">
        <v>0</v>
      </c>
      <c r="M26" s="7">
        <v>-2</v>
      </c>
      <c r="N26" s="6">
        <v>2.8</v>
      </c>
      <c r="O26" s="2">
        <v>9</v>
      </c>
      <c r="P26" s="2">
        <v>7</v>
      </c>
      <c r="Q26" s="2">
        <v>10</v>
      </c>
      <c r="R26" s="2">
        <v>1</v>
      </c>
      <c r="S26" s="2">
        <v>6</v>
      </c>
      <c r="T26" s="2">
        <v>4</v>
      </c>
      <c r="U26" s="2">
        <v>116</v>
      </c>
      <c r="V26" s="2">
        <v>0</v>
      </c>
      <c r="W26" s="2">
        <v>4</v>
      </c>
    </row>
    <row r="27" spans="1:23" x14ac:dyDescent="0.2">
      <c r="A27" t="s">
        <v>137</v>
      </c>
      <c r="B27" s="2">
        <v>29</v>
      </c>
      <c r="C27" t="s">
        <v>100</v>
      </c>
      <c r="D27" s="2" t="s">
        <v>49</v>
      </c>
      <c r="E27" s="2">
        <v>20</v>
      </c>
      <c r="F27" s="2">
        <v>20</v>
      </c>
      <c r="G27" s="2">
        <v>572</v>
      </c>
      <c r="H27" s="2">
        <v>0</v>
      </c>
      <c r="I27" s="2">
        <v>8</v>
      </c>
      <c r="J27" s="2">
        <v>69</v>
      </c>
      <c r="K27" s="2">
        <v>23</v>
      </c>
      <c r="L27" s="2">
        <v>0</v>
      </c>
      <c r="M27" s="6">
        <v>5.5</v>
      </c>
      <c r="N27" s="6">
        <v>1.4</v>
      </c>
      <c r="O27" s="2">
        <v>4</v>
      </c>
      <c r="P27" s="2">
        <v>16</v>
      </c>
      <c r="Q27" s="2">
        <v>20</v>
      </c>
      <c r="R27" s="2">
        <v>2</v>
      </c>
      <c r="S27" s="2">
        <v>43</v>
      </c>
      <c r="T27" s="2">
        <v>3</v>
      </c>
      <c r="U27" s="2">
        <v>116</v>
      </c>
      <c r="V27" s="2">
        <v>12</v>
      </c>
      <c r="W27" s="2">
        <v>24</v>
      </c>
    </row>
    <row r="28" spans="1:23" x14ac:dyDescent="0.2">
      <c r="A28" t="s">
        <v>134</v>
      </c>
      <c r="B28" s="2">
        <v>25</v>
      </c>
      <c r="C28" t="s">
        <v>135</v>
      </c>
      <c r="D28" s="2" t="s">
        <v>52</v>
      </c>
      <c r="E28" s="2">
        <v>21</v>
      </c>
      <c r="F28" s="2">
        <v>21</v>
      </c>
      <c r="G28" s="2">
        <v>636</v>
      </c>
      <c r="H28" s="2">
        <v>61</v>
      </c>
      <c r="I28" s="2">
        <v>37</v>
      </c>
      <c r="J28" s="2">
        <v>2</v>
      </c>
      <c r="K28" s="2">
        <v>0</v>
      </c>
      <c r="L28" s="2">
        <v>0</v>
      </c>
      <c r="M28" s="7">
        <v>-11.4</v>
      </c>
      <c r="N28" s="7">
        <v>-4</v>
      </c>
      <c r="O28" s="2">
        <v>29</v>
      </c>
      <c r="P28" s="2">
        <v>16</v>
      </c>
      <c r="Q28" s="2">
        <v>23</v>
      </c>
      <c r="R28" s="2">
        <v>2</v>
      </c>
      <c r="S28" s="2">
        <v>25</v>
      </c>
      <c r="T28" s="2">
        <v>3</v>
      </c>
      <c r="U28" s="2">
        <v>226</v>
      </c>
      <c r="V28" s="2">
        <v>5</v>
      </c>
      <c r="W28" s="2">
        <v>24</v>
      </c>
    </row>
    <row r="29" spans="1:23" x14ac:dyDescent="0.2">
      <c r="A29" t="s">
        <v>212</v>
      </c>
      <c r="B29" s="2">
        <v>21</v>
      </c>
      <c r="C29" t="s">
        <v>48</v>
      </c>
      <c r="D29" s="2" t="s">
        <v>33</v>
      </c>
      <c r="E29" s="4">
        <v>27</v>
      </c>
      <c r="F29" s="2">
        <v>1</v>
      </c>
      <c r="G29" s="2">
        <v>655</v>
      </c>
      <c r="H29" s="2">
        <v>38</v>
      </c>
      <c r="I29" s="2">
        <v>57</v>
      </c>
      <c r="J29" s="2">
        <v>5</v>
      </c>
      <c r="K29" s="2">
        <v>0</v>
      </c>
      <c r="L29" s="2">
        <v>0</v>
      </c>
      <c r="M29" s="6">
        <v>1.1000000000000001</v>
      </c>
      <c r="N29" s="7">
        <v>-4.5</v>
      </c>
      <c r="O29" s="2">
        <v>33</v>
      </c>
      <c r="P29" s="2">
        <v>19</v>
      </c>
      <c r="Q29" s="2">
        <v>23</v>
      </c>
      <c r="R29" s="2">
        <v>7</v>
      </c>
      <c r="S29" s="2">
        <v>27</v>
      </c>
      <c r="T29" s="2">
        <v>9</v>
      </c>
      <c r="U29" s="2">
        <v>250</v>
      </c>
      <c r="V29" s="2">
        <v>7</v>
      </c>
      <c r="W29" s="2">
        <v>14</v>
      </c>
    </row>
    <row r="30" spans="1:23" x14ac:dyDescent="0.2">
      <c r="A30" t="s">
        <v>40</v>
      </c>
      <c r="B30" s="2">
        <v>31</v>
      </c>
      <c r="C30" t="s">
        <v>41</v>
      </c>
      <c r="D30" s="2" t="s">
        <v>42</v>
      </c>
      <c r="E30" s="2">
        <v>23</v>
      </c>
      <c r="F30" s="2">
        <v>23</v>
      </c>
      <c r="G30" s="2">
        <v>813</v>
      </c>
      <c r="H30" s="2">
        <v>0</v>
      </c>
      <c r="I30" s="2">
        <v>0</v>
      </c>
      <c r="J30" s="2">
        <v>0</v>
      </c>
      <c r="K30" s="2">
        <v>4</v>
      </c>
      <c r="L30" s="2">
        <v>96</v>
      </c>
      <c r="M30" s="7">
        <v>-2.6</v>
      </c>
      <c r="N30" s="6">
        <v>1.9</v>
      </c>
      <c r="O30" s="2">
        <v>19</v>
      </c>
      <c r="P30" s="2">
        <v>18</v>
      </c>
      <c r="Q30" s="2">
        <v>30</v>
      </c>
      <c r="R30" s="2">
        <v>5</v>
      </c>
      <c r="S30" s="2">
        <v>85</v>
      </c>
      <c r="T30" s="2">
        <v>4</v>
      </c>
      <c r="U30" s="2">
        <v>190</v>
      </c>
      <c r="V30" s="2">
        <v>23</v>
      </c>
      <c r="W30" s="2">
        <v>21</v>
      </c>
    </row>
    <row r="31" spans="1:23" x14ac:dyDescent="0.2">
      <c r="A31" t="s">
        <v>50</v>
      </c>
      <c r="B31" s="2">
        <v>23</v>
      </c>
      <c r="C31" t="s">
        <v>51</v>
      </c>
      <c r="D31" s="2" t="s">
        <v>52</v>
      </c>
      <c r="E31" s="2">
        <v>23</v>
      </c>
      <c r="F31" s="2">
        <v>23</v>
      </c>
      <c r="G31" s="2">
        <v>836</v>
      </c>
      <c r="H31" s="2">
        <v>1</v>
      </c>
      <c r="I31" s="2">
        <v>69</v>
      </c>
      <c r="J31" s="2">
        <v>30</v>
      </c>
      <c r="K31" s="2">
        <v>0</v>
      </c>
      <c r="L31" s="2">
        <v>0</v>
      </c>
      <c r="M31" s="6">
        <v>3.9</v>
      </c>
      <c r="N31" s="6">
        <v>0.1</v>
      </c>
      <c r="O31" s="2">
        <v>33</v>
      </c>
      <c r="P31" s="2">
        <v>26</v>
      </c>
      <c r="Q31" s="2">
        <v>18</v>
      </c>
      <c r="R31" s="2">
        <v>4</v>
      </c>
      <c r="S31" s="2">
        <v>53</v>
      </c>
      <c r="T31" s="2">
        <v>2</v>
      </c>
      <c r="U31" s="2">
        <v>229</v>
      </c>
      <c r="V31" s="2">
        <v>15</v>
      </c>
      <c r="W31" s="2">
        <v>17</v>
      </c>
    </row>
    <row r="32" spans="1:23" x14ac:dyDescent="0.2">
      <c r="A32" t="s">
        <v>414</v>
      </c>
      <c r="B32" s="2">
        <v>32</v>
      </c>
      <c r="C32" t="s">
        <v>114</v>
      </c>
      <c r="D32" s="2" t="s">
        <v>27</v>
      </c>
      <c r="E32" s="2">
        <v>17</v>
      </c>
      <c r="F32" s="2">
        <v>0</v>
      </c>
      <c r="G32" s="2">
        <v>131</v>
      </c>
      <c r="H32" s="2">
        <v>0</v>
      </c>
      <c r="I32" s="2">
        <v>0</v>
      </c>
      <c r="J32" s="2">
        <v>0</v>
      </c>
      <c r="K32" s="2">
        <v>97</v>
      </c>
      <c r="L32" s="2">
        <v>3</v>
      </c>
      <c r="M32" s="7">
        <v>-0.7</v>
      </c>
      <c r="N32" s="6">
        <v>17.399999999999999</v>
      </c>
      <c r="O32" s="2">
        <v>2</v>
      </c>
      <c r="P32" s="2">
        <v>1</v>
      </c>
      <c r="Q32" s="2">
        <v>5</v>
      </c>
      <c r="R32" s="2">
        <v>1</v>
      </c>
      <c r="S32" s="2">
        <v>7</v>
      </c>
      <c r="T32" s="2">
        <v>2</v>
      </c>
      <c r="U32" s="2">
        <v>15</v>
      </c>
      <c r="V32" s="2">
        <v>2</v>
      </c>
      <c r="W32" s="2">
        <v>3</v>
      </c>
    </row>
    <row r="33" spans="1:23" x14ac:dyDescent="0.2">
      <c r="A33" t="s">
        <v>386</v>
      </c>
      <c r="B33" s="2">
        <v>24</v>
      </c>
      <c r="C33" t="s">
        <v>117</v>
      </c>
      <c r="D33" s="2" t="s">
        <v>52</v>
      </c>
      <c r="E33" s="2">
        <v>14</v>
      </c>
      <c r="F33" s="2">
        <v>0</v>
      </c>
      <c r="G33" s="2">
        <v>138</v>
      </c>
      <c r="H33" s="2">
        <v>20</v>
      </c>
      <c r="I33" s="2">
        <v>57</v>
      </c>
      <c r="J33" s="2">
        <v>20</v>
      </c>
      <c r="K33" s="2">
        <v>3</v>
      </c>
      <c r="L33" s="2">
        <v>0</v>
      </c>
      <c r="M33" s="7">
        <v>-15.8</v>
      </c>
      <c r="N33" s="7">
        <v>-4</v>
      </c>
      <c r="O33" s="2">
        <v>2</v>
      </c>
      <c r="P33" s="2">
        <v>2</v>
      </c>
      <c r="Q33" s="2">
        <v>6</v>
      </c>
      <c r="R33" s="2">
        <v>0</v>
      </c>
      <c r="S33" s="2">
        <v>3</v>
      </c>
      <c r="T33" s="2">
        <v>0</v>
      </c>
      <c r="U33" s="2">
        <v>20</v>
      </c>
      <c r="V33" s="2">
        <v>1</v>
      </c>
      <c r="W33" s="2">
        <v>5</v>
      </c>
    </row>
    <row r="34" spans="1:23" x14ac:dyDescent="0.2">
      <c r="A34" t="s">
        <v>463</v>
      </c>
      <c r="B34" s="2">
        <v>22</v>
      </c>
      <c r="C34" t="s">
        <v>44</v>
      </c>
      <c r="D34" s="2" t="s">
        <v>42</v>
      </c>
      <c r="E34" s="2">
        <v>11</v>
      </c>
      <c r="F34" s="2">
        <v>0</v>
      </c>
      <c r="G34" s="2">
        <v>97</v>
      </c>
      <c r="H34" s="2">
        <v>0</v>
      </c>
      <c r="I34" s="2">
        <v>0</v>
      </c>
      <c r="J34" s="2">
        <v>0</v>
      </c>
      <c r="K34" s="2">
        <v>0</v>
      </c>
      <c r="L34" s="2">
        <v>100</v>
      </c>
      <c r="M34" s="7">
        <v>-23.6</v>
      </c>
      <c r="N34" s="7">
        <v>-33</v>
      </c>
      <c r="O34" s="2">
        <v>5</v>
      </c>
      <c r="P34" s="2">
        <v>2</v>
      </c>
      <c r="Q34" s="2">
        <v>12</v>
      </c>
      <c r="R34" s="2">
        <v>2</v>
      </c>
      <c r="S34" s="2">
        <v>2</v>
      </c>
      <c r="T34" s="2">
        <v>0</v>
      </c>
      <c r="U34" s="2">
        <v>14</v>
      </c>
      <c r="V34" s="2">
        <v>0</v>
      </c>
      <c r="W34" s="2">
        <v>2</v>
      </c>
    </row>
    <row r="35" spans="1:23" x14ac:dyDescent="0.2">
      <c r="A35" t="s">
        <v>494</v>
      </c>
      <c r="B35" s="2">
        <v>22</v>
      </c>
      <c r="C35" t="s">
        <v>41</v>
      </c>
      <c r="D35" s="2" t="s">
        <v>49</v>
      </c>
      <c r="E35" s="2">
        <v>8</v>
      </c>
      <c r="F35" s="2">
        <v>0</v>
      </c>
      <c r="G35" s="2">
        <v>61</v>
      </c>
      <c r="H35" s="2">
        <v>0</v>
      </c>
      <c r="I35" s="2">
        <v>0</v>
      </c>
      <c r="J35" s="2">
        <v>56</v>
      </c>
      <c r="K35" s="2">
        <v>45</v>
      </c>
      <c r="L35" s="2">
        <v>0</v>
      </c>
      <c r="M35" s="7">
        <v>-39.200000000000003</v>
      </c>
      <c r="N35" s="7">
        <v>-38.1</v>
      </c>
      <c r="O35" s="2">
        <v>0</v>
      </c>
      <c r="P35" s="2">
        <v>1</v>
      </c>
      <c r="Q35" s="2">
        <v>0</v>
      </c>
      <c r="R35" s="2">
        <v>1</v>
      </c>
      <c r="S35" s="2">
        <v>2</v>
      </c>
      <c r="T35" s="2">
        <v>0</v>
      </c>
      <c r="U35" s="2">
        <v>3</v>
      </c>
      <c r="V35" s="2">
        <v>1</v>
      </c>
      <c r="W35" s="2">
        <v>1</v>
      </c>
    </row>
    <row r="36" spans="1:23" x14ac:dyDescent="0.2">
      <c r="A36" t="s">
        <v>430</v>
      </c>
      <c r="B36" s="2">
        <v>22</v>
      </c>
      <c r="C36" t="s">
        <v>75</v>
      </c>
      <c r="D36" s="2" t="s">
        <v>49</v>
      </c>
      <c r="E36" s="2">
        <v>6</v>
      </c>
      <c r="F36" s="2">
        <v>1</v>
      </c>
      <c r="G36" s="2">
        <v>90</v>
      </c>
      <c r="H36" s="2">
        <v>0</v>
      </c>
      <c r="I36" s="2">
        <v>7</v>
      </c>
      <c r="J36" s="2">
        <v>75</v>
      </c>
      <c r="K36" s="2">
        <v>17</v>
      </c>
      <c r="L36" s="2">
        <v>0</v>
      </c>
      <c r="M36" s="7">
        <v>-9.6999999999999993</v>
      </c>
      <c r="N36" s="7">
        <v>-6.6</v>
      </c>
      <c r="O36" s="2">
        <v>5</v>
      </c>
      <c r="P36" s="2">
        <v>3</v>
      </c>
      <c r="Q36" s="2">
        <v>3</v>
      </c>
      <c r="R36" s="2">
        <v>1</v>
      </c>
      <c r="S36" s="2">
        <v>4</v>
      </c>
      <c r="T36" s="2">
        <v>4</v>
      </c>
      <c r="U36" s="2">
        <v>35</v>
      </c>
      <c r="V36" s="2">
        <v>1</v>
      </c>
      <c r="W36" s="2">
        <v>5</v>
      </c>
    </row>
    <row r="37" spans="1:23" x14ac:dyDescent="0.2">
      <c r="A37" t="s">
        <v>148</v>
      </c>
      <c r="B37" s="2">
        <v>26</v>
      </c>
      <c r="C37" t="s">
        <v>41</v>
      </c>
      <c r="D37" s="2" t="s">
        <v>52</v>
      </c>
      <c r="E37" s="2">
        <v>19</v>
      </c>
      <c r="F37" s="2">
        <v>19</v>
      </c>
      <c r="G37" s="2">
        <v>641</v>
      </c>
      <c r="H37" s="2">
        <v>37</v>
      </c>
      <c r="I37" s="2">
        <v>58</v>
      </c>
      <c r="J37" s="2">
        <v>5</v>
      </c>
      <c r="K37" s="2">
        <v>0</v>
      </c>
      <c r="L37" s="2">
        <v>0</v>
      </c>
      <c r="M37" s="7">
        <v>-2.4</v>
      </c>
      <c r="N37" s="6">
        <v>1.6</v>
      </c>
      <c r="O37" s="2">
        <v>26</v>
      </c>
      <c r="P37" s="2">
        <v>13</v>
      </c>
      <c r="Q37" s="2">
        <v>26</v>
      </c>
      <c r="R37" s="2">
        <v>2</v>
      </c>
      <c r="S37" s="2">
        <v>28</v>
      </c>
      <c r="T37" s="2">
        <v>11</v>
      </c>
      <c r="U37" s="2">
        <v>217</v>
      </c>
      <c r="V37" s="2">
        <v>12</v>
      </c>
      <c r="W37" s="2">
        <v>6</v>
      </c>
    </row>
    <row r="38" spans="1:23" x14ac:dyDescent="0.2">
      <c r="A38" t="s">
        <v>149</v>
      </c>
      <c r="B38" s="2">
        <v>25</v>
      </c>
      <c r="C38" t="s">
        <v>70</v>
      </c>
      <c r="D38" s="2" t="s">
        <v>52</v>
      </c>
      <c r="E38" s="2">
        <v>25</v>
      </c>
      <c r="F38" s="2">
        <v>12</v>
      </c>
      <c r="G38" s="2">
        <v>748</v>
      </c>
      <c r="H38" s="2">
        <v>13</v>
      </c>
      <c r="I38" s="2">
        <v>60</v>
      </c>
      <c r="J38" s="2">
        <v>27</v>
      </c>
      <c r="K38" s="2">
        <v>0</v>
      </c>
      <c r="L38" s="2">
        <v>0</v>
      </c>
      <c r="M38" s="7">
        <v>-6.7</v>
      </c>
      <c r="N38" s="7">
        <v>-9.6</v>
      </c>
      <c r="O38" s="2">
        <v>20</v>
      </c>
      <c r="P38" s="2">
        <v>8</v>
      </c>
      <c r="Q38" s="2">
        <v>33</v>
      </c>
      <c r="R38" s="2">
        <v>2</v>
      </c>
      <c r="S38" s="2">
        <v>20</v>
      </c>
      <c r="T38" s="2">
        <v>3</v>
      </c>
      <c r="U38" s="2">
        <v>280</v>
      </c>
      <c r="V38" s="2">
        <v>5</v>
      </c>
      <c r="W38" s="2">
        <v>22</v>
      </c>
    </row>
    <row r="39" spans="1:23" x14ac:dyDescent="0.2">
      <c r="A39" t="s">
        <v>125</v>
      </c>
      <c r="B39" s="2">
        <v>27</v>
      </c>
      <c r="C39" t="s">
        <v>61</v>
      </c>
      <c r="D39" s="2" t="s">
        <v>42</v>
      </c>
      <c r="E39" s="2">
        <v>23</v>
      </c>
      <c r="F39" s="2">
        <v>23</v>
      </c>
      <c r="G39" s="2">
        <v>799</v>
      </c>
      <c r="H39" s="2">
        <v>0</v>
      </c>
      <c r="I39" s="2">
        <v>0</v>
      </c>
      <c r="J39" s="2">
        <v>0</v>
      </c>
      <c r="K39" s="2">
        <v>0</v>
      </c>
      <c r="L39" s="2">
        <v>100</v>
      </c>
      <c r="M39" s="6">
        <v>4.8</v>
      </c>
      <c r="N39" s="6">
        <v>4.3</v>
      </c>
      <c r="O39" s="2">
        <v>23</v>
      </c>
      <c r="P39" s="2">
        <v>10</v>
      </c>
      <c r="Q39" s="2">
        <v>24</v>
      </c>
      <c r="R39" s="2">
        <v>6</v>
      </c>
      <c r="S39" s="2">
        <v>41</v>
      </c>
      <c r="T39" s="2">
        <v>1</v>
      </c>
      <c r="U39" s="2">
        <v>299</v>
      </c>
      <c r="V39" s="2">
        <v>7</v>
      </c>
      <c r="W39" s="2">
        <v>18</v>
      </c>
    </row>
    <row r="40" spans="1:23" x14ac:dyDescent="0.2">
      <c r="A40" t="s">
        <v>532</v>
      </c>
      <c r="B40" s="2">
        <v>24</v>
      </c>
      <c r="C40" t="s">
        <v>39</v>
      </c>
      <c r="D40" s="2" t="s">
        <v>52</v>
      </c>
      <c r="E40" s="2">
        <v>5</v>
      </c>
      <c r="F40" s="2">
        <v>0</v>
      </c>
      <c r="G40" s="2">
        <v>34</v>
      </c>
      <c r="H40" s="2">
        <v>0</v>
      </c>
      <c r="I40" s="2">
        <v>30</v>
      </c>
      <c r="J40" s="2">
        <v>70</v>
      </c>
      <c r="K40" s="2">
        <v>0</v>
      </c>
      <c r="L40" s="2">
        <v>0</v>
      </c>
      <c r="M40" s="7">
        <v>-13.2</v>
      </c>
      <c r="N40" s="7">
        <v>-23.6</v>
      </c>
      <c r="O40" s="2">
        <v>0</v>
      </c>
      <c r="P40" s="2">
        <v>0</v>
      </c>
      <c r="Q40" s="2">
        <v>1</v>
      </c>
      <c r="R40" s="2">
        <v>0</v>
      </c>
      <c r="S40" s="2">
        <v>1</v>
      </c>
      <c r="T40" s="2">
        <v>0</v>
      </c>
      <c r="U40" s="2">
        <v>5</v>
      </c>
      <c r="V40" s="2">
        <v>0</v>
      </c>
      <c r="W40" s="2">
        <v>1</v>
      </c>
    </row>
    <row r="41" spans="1:23" x14ac:dyDescent="0.2">
      <c r="A41" t="s">
        <v>371</v>
      </c>
      <c r="B41" s="2">
        <v>23</v>
      </c>
      <c r="C41" t="s">
        <v>82</v>
      </c>
      <c r="D41" s="2" t="s">
        <v>52</v>
      </c>
      <c r="E41" s="2">
        <v>13</v>
      </c>
      <c r="F41" s="2">
        <v>5</v>
      </c>
      <c r="G41" s="2">
        <v>272</v>
      </c>
      <c r="H41" s="2">
        <v>2</v>
      </c>
      <c r="I41" s="2">
        <v>89</v>
      </c>
      <c r="J41" s="2">
        <v>9</v>
      </c>
      <c r="K41" s="2">
        <v>0</v>
      </c>
      <c r="L41" s="2">
        <v>0</v>
      </c>
      <c r="M41" s="7">
        <v>-3.7</v>
      </c>
      <c r="N41" s="6">
        <v>0.5</v>
      </c>
      <c r="O41" s="2">
        <v>3</v>
      </c>
      <c r="P41" s="2">
        <v>2</v>
      </c>
      <c r="Q41" s="2">
        <v>25</v>
      </c>
      <c r="R41" s="2">
        <v>0</v>
      </c>
      <c r="S41" s="2">
        <v>0</v>
      </c>
      <c r="T41" s="2">
        <v>4</v>
      </c>
      <c r="U41" s="2">
        <v>39</v>
      </c>
      <c r="V41" s="2">
        <v>0</v>
      </c>
      <c r="W41" s="2">
        <v>5</v>
      </c>
    </row>
    <row r="42" spans="1:23" x14ac:dyDescent="0.2">
      <c r="A42" t="s">
        <v>347</v>
      </c>
      <c r="B42" s="2">
        <v>28</v>
      </c>
      <c r="C42" t="s">
        <v>103</v>
      </c>
      <c r="D42" s="2" t="s">
        <v>33</v>
      </c>
      <c r="E42" s="2">
        <v>18</v>
      </c>
      <c r="F42" s="2">
        <v>13</v>
      </c>
      <c r="G42" s="2">
        <v>425</v>
      </c>
      <c r="H42" s="2">
        <v>58</v>
      </c>
      <c r="I42" s="2">
        <v>42</v>
      </c>
      <c r="J42" s="2">
        <v>0</v>
      </c>
      <c r="K42" s="2">
        <v>0</v>
      </c>
      <c r="L42" s="2">
        <v>0</v>
      </c>
      <c r="M42" s="7">
        <v>-1.7</v>
      </c>
      <c r="N42" s="6">
        <v>4.3</v>
      </c>
      <c r="O42" s="2">
        <v>27</v>
      </c>
      <c r="P42" s="2">
        <v>8</v>
      </c>
      <c r="Q42" s="2">
        <v>20</v>
      </c>
      <c r="R42" s="2">
        <v>5</v>
      </c>
      <c r="S42" s="2">
        <v>4</v>
      </c>
      <c r="T42" s="2">
        <v>6</v>
      </c>
      <c r="U42" s="2">
        <v>291</v>
      </c>
      <c r="V42" s="2">
        <v>2</v>
      </c>
      <c r="W42" s="2">
        <v>1</v>
      </c>
    </row>
    <row r="43" spans="1:23" x14ac:dyDescent="0.2">
      <c r="A43" t="s">
        <v>94</v>
      </c>
      <c r="B43" s="2">
        <v>22</v>
      </c>
      <c r="C43" t="s">
        <v>82</v>
      </c>
      <c r="D43" s="2" t="s">
        <v>52</v>
      </c>
      <c r="E43" s="2">
        <v>25</v>
      </c>
      <c r="F43" s="2">
        <v>20</v>
      </c>
      <c r="G43" s="2">
        <v>818</v>
      </c>
      <c r="H43" s="2">
        <v>0</v>
      </c>
      <c r="I43" s="2">
        <v>28</v>
      </c>
      <c r="J43" s="2">
        <v>71</v>
      </c>
      <c r="K43" s="2">
        <v>1</v>
      </c>
      <c r="L43" s="2">
        <v>0</v>
      </c>
      <c r="M43" s="7">
        <v>-3.1</v>
      </c>
      <c r="N43" s="6">
        <v>3.3</v>
      </c>
      <c r="O43" s="2">
        <v>16</v>
      </c>
      <c r="P43" s="2">
        <v>25</v>
      </c>
      <c r="Q43" s="2">
        <v>34</v>
      </c>
      <c r="R43" s="2">
        <v>10</v>
      </c>
      <c r="S43" s="2">
        <v>64</v>
      </c>
      <c r="T43" s="2">
        <v>4</v>
      </c>
      <c r="U43" s="2">
        <v>106</v>
      </c>
      <c r="V43" s="2">
        <v>12</v>
      </c>
      <c r="W43" s="2">
        <v>24</v>
      </c>
    </row>
    <row r="44" spans="1:23" x14ac:dyDescent="0.2">
      <c r="A44" t="s">
        <v>192</v>
      </c>
      <c r="B44" s="2">
        <v>20</v>
      </c>
      <c r="C44" t="s">
        <v>114</v>
      </c>
      <c r="D44" s="2" t="s">
        <v>49</v>
      </c>
      <c r="E44" s="2">
        <v>21</v>
      </c>
      <c r="F44" s="2">
        <v>21</v>
      </c>
      <c r="G44" s="2">
        <v>726</v>
      </c>
      <c r="H44" s="2">
        <v>0</v>
      </c>
      <c r="I44" s="2">
        <v>13</v>
      </c>
      <c r="J44" s="2">
        <v>73</v>
      </c>
      <c r="K44" s="2">
        <v>14</v>
      </c>
      <c r="L44" s="2">
        <v>0</v>
      </c>
      <c r="M44" s="7">
        <v>-18</v>
      </c>
      <c r="N44" s="7">
        <v>-6.8</v>
      </c>
      <c r="O44" s="2">
        <v>21</v>
      </c>
      <c r="P44" s="2">
        <v>12</v>
      </c>
      <c r="Q44" s="2">
        <v>16</v>
      </c>
      <c r="R44" s="2">
        <v>3</v>
      </c>
      <c r="S44" s="2">
        <v>35</v>
      </c>
      <c r="T44" s="2">
        <v>1</v>
      </c>
      <c r="U44" s="2">
        <v>154</v>
      </c>
      <c r="V44" s="2">
        <v>8</v>
      </c>
      <c r="W44" s="2">
        <v>17</v>
      </c>
    </row>
    <row r="45" spans="1:23" x14ac:dyDescent="0.2">
      <c r="A45" t="s">
        <v>372</v>
      </c>
      <c r="B45" s="2">
        <v>21</v>
      </c>
      <c r="C45" t="s">
        <v>93</v>
      </c>
      <c r="D45" s="2" t="s">
        <v>52</v>
      </c>
      <c r="E45" s="2">
        <v>19</v>
      </c>
      <c r="F45" s="2">
        <v>0</v>
      </c>
      <c r="G45" s="2">
        <v>212</v>
      </c>
      <c r="H45" s="2">
        <v>16</v>
      </c>
      <c r="I45" s="2">
        <v>72</v>
      </c>
      <c r="J45" s="2">
        <v>12</v>
      </c>
      <c r="K45" s="2">
        <v>0</v>
      </c>
      <c r="L45" s="2">
        <v>0</v>
      </c>
      <c r="M45" s="7">
        <v>-1.1000000000000001</v>
      </c>
      <c r="N45" s="6">
        <v>1.5</v>
      </c>
      <c r="O45" s="2">
        <v>14</v>
      </c>
      <c r="P45" s="2">
        <v>3</v>
      </c>
      <c r="Q45" s="2">
        <v>6</v>
      </c>
      <c r="R45" s="2">
        <v>0</v>
      </c>
      <c r="S45" s="2">
        <v>10</v>
      </c>
      <c r="T45" s="2">
        <v>3</v>
      </c>
      <c r="U45" s="2">
        <v>66</v>
      </c>
      <c r="V45" s="2">
        <v>1</v>
      </c>
      <c r="W45" s="2">
        <v>5</v>
      </c>
    </row>
    <row r="46" spans="1:23" x14ac:dyDescent="0.2">
      <c r="A46" t="s">
        <v>152</v>
      </c>
      <c r="B46" s="2">
        <v>29</v>
      </c>
      <c r="C46" t="s">
        <v>35</v>
      </c>
      <c r="D46" s="2" t="s">
        <v>27</v>
      </c>
      <c r="E46" s="2">
        <v>23</v>
      </c>
      <c r="F46" s="2">
        <v>1</v>
      </c>
      <c r="G46" s="2">
        <v>555</v>
      </c>
      <c r="H46" s="2">
        <v>0</v>
      </c>
      <c r="I46" s="2">
        <v>0</v>
      </c>
      <c r="J46" s="2">
        <v>0</v>
      </c>
      <c r="K46" s="2">
        <v>91</v>
      </c>
      <c r="L46" s="2">
        <v>9</v>
      </c>
      <c r="M46" s="7">
        <v>-3.7</v>
      </c>
      <c r="N46" s="7">
        <v>-8.6999999999999993</v>
      </c>
      <c r="O46" s="2">
        <v>10</v>
      </c>
      <c r="P46" s="2">
        <v>8</v>
      </c>
      <c r="Q46" s="2">
        <v>21</v>
      </c>
      <c r="R46" s="2">
        <v>3</v>
      </c>
      <c r="S46" s="2">
        <v>14</v>
      </c>
      <c r="T46" s="2">
        <v>1</v>
      </c>
      <c r="U46" s="2">
        <v>97</v>
      </c>
      <c r="V46" s="2">
        <v>7</v>
      </c>
      <c r="W46" s="2">
        <v>14</v>
      </c>
    </row>
    <row r="47" spans="1:23" x14ac:dyDescent="0.2">
      <c r="A47" t="s">
        <v>303</v>
      </c>
      <c r="B47" s="2">
        <v>32</v>
      </c>
      <c r="C47" t="s">
        <v>72</v>
      </c>
      <c r="D47" s="2" t="s">
        <v>52</v>
      </c>
      <c r="E47" s="2">
        <v>11</v>
      </c>
      <c r="F47" s="2">
        <v>0</v>
      </c>
      <c r="G47" s="2">
        <v>277</v>
      </c>
      <c r="H47" s="2">
        <v>1</v>
      </c>
      <c r="I47" s="2">
        <v>96</v>
      </c>
      <c r="J47" s="2">
        <v>3</v>
      </c>
      <c r="K47" s="2">
        <v>0</v>
      </c>
      <c r="L47" s="2">
        <v>0</v>
      </c>
      <c r="M47" s="6">
        <v>0.5</v>
      </c>
      <c r="N47" s="6">
        <v>3.5</v>
      </c>
      <c r="O47" s="2">
        <v>14</v>
      </c>
      <c r="P47" s="2">
        <v>0</v>
      </c>
      <c r="Q47" s="2">
        <v>16</v>
      </c>
      <c r="R47" s="2">
        <v>3</v>
      </c>
      <c r="S47" s="2">
        <v>4</v>
      </c>
      <c r="T47" s="2">
        <v>3</v>
      </c>
      <c r="U47" s="2">
        <v>57</v>
      </c>
      <c r="V47" s="2">
        <v>0</v>
      </c>
      <c r="W47" s="2">
        <v>2</v>
      </c>
    </row>
    <row r="48" spans="1:23" x14ac:dyDescent="0.2">
      <c r="A48" t="s">
        <v>456</v>
      </c>
      <c r="B48" s="2">
        <v>25</v>
      </c>
      <c r="C48" t="s">
        <v>54</v>
      </c>
      <c r="D48" s="2" t="s">
        <v>27</v>
      </c>
      <c r="E48" s="2">
        <v>7</v>
      </c>
      <c r="F48" s="2">
        <v>0</v>
      </c>
      <c r="G48" s="2">
        <v>37</v>
      </c>
      <c r="H48" s="2">
        <v>0</v>
      </c>
      <c r="I48" s="2">
        <v>0</v>
      </c>
      <c r="J48" s="2">
        <v>0</v>
      </c>
      <c r="K48" s="2">
        <v>38</v>
      </c>
      <c r="L48" s="2">
        <v>62</v>
      </c>
      <c r="M48" s="6">
        <v>6.4</v>
      </c>
      <c r="N48" s="6">
        <v>7.4</v>
      </c>
      <c r="O48" s="2">
        <v>2</v>
      </c>
      <c r="P48" s="2">
        <v>1</v>
      </c>
      <c r="Q48" s="2">
        <v>0</v>
      </c>
      <c r="R48" s="2">
        <v>0</v>
      </c>
      <c r="S48" s="2">
        <v>4</v>
      </c>
      <c r="T48" s="2">
        <v>0</v>
      </c>
      <c r="U48" s="2">
        <v>3</v>
      </c>
      <c r="V48" s="2">
        <v>2</v>
      </c>
      <c r="W48" s="2">
        <v>0</v>
      </c>
    </row>
    <row r="49" spans="1:23" x14ac:dyDescent="0.2">
      <c r="A49" t="s">
        <v>368</v>
      </c>
      <c r="B49" s="2">
        <v>24</v>
      </c>
      <c r="C49" t="s">
        <v>77</v>
      </c>
      <c r="D49" s="2" t="s">
        <v>33</v>
      </c>
      <c r="E49" s="2">
        <v>10</v>
      </c>
      <c r="F49" s="2">
        <v>0</v>
      </c>
      <c r="G49" s="2">
        <v>104</v>
      </c>
      <c r="H49" s="2">
        <v>100</v>
      </c>
      <c r="I49" s="2">
        <v>0</v>
      </c>
      <c r="J49" s="2">
        <v>0</v>
      </c>
      <c r="K49" s="2">
        <v>0</v>
      </c>
      <c r="L49" s="2">
        <v>0</v>
      </c>
      <c r="M49" s="7">
        <v>-18.3</v>
      </c>
      <c r="N49" s="7">
        <v>-21.2</v>
      </c>
      <c r="O49" s="2">
        <v>7</v>
      </c>
      <c r="P49" s="2">
        <v>4</v>
      </c>
      <c r="Q49" s="2">
        <v>11</v>
      </c>
      <c r="R49" s="2">
        <v>0</v>
      </c>
      <c r="S49" s="2">
        <v>6</v>
      </c>
      <c r="T49" s="2">
        <v>0</v>
      </c>
      <c r="U49" s="2">
        <v>23</v>
      </c>
      <c r="V49" s="2">
        <v>1</v>
      </c>
      <c r="W49" s="2">
        <v>3</v>
      </c>
    </row>
    <row r="50" spans="1:23" x14ac:dyDescent="0.2">
      <c r="A50" t="s">
        <v>182</v>
      </c>
      <c r="B50" s="2">
        <v>31</v>
      </c>
      <c r="C50" t="s">
        <v>54</v>
      </c>
      <c r="D50" s="2" t="s">
        <v>52</v>
      </c>
      <c r="E50" s="2">
        <v>15</v>
      </c>
      <c r="F50" s="2">
        <v>15</v>
      </c>
      <c r="G50" s="2">
        <v>502</v>
      </c>
      <c r="H50" s="2">
        <v>8</v>
      </c>
      <c r="I50" s="2">
        <v>73</v>
      </c>
      <c r="J50" s="2">
        <v>19</v>
      </c>
      <c r="K50" s="2">
        <v>0</v>
      </c>
      <c r="L50" s="2">
        <v>0</v>
      </c>
      <c r="M50" s="7">
        <v>-4.4000000000000004</v>
      </c>
      <c r="N50" s="7">
        <v>-6.6</v>
      </c>
      <c r="O50" s="2">
        <v>13</v>
      </c>
      <c r="P50" s="2">
        <v>17</v>
      </c>
      <c r="Q50" s="2">
        <v>29</v>
      </c>
      <c r="R50" s="2">
        <v>0</v>
      </c>
      <c r="S50" s="2">
        <v>15</v>
      </c>
      <c r="T50" s="2">
        <v>5</v>
      </c>
      <c r="U50" s="2">
        <v>123</v>
      </c>
      <c r="V50" s="2">
        <v>3</v>
      </c>
      <c r="W50" s="2">
        <v>7</v>
      </c>
    </row>
    <row r="51" spans="1:23" x14ac:dyDescent="0.2">
      <c r="A51" t="s">
        <v>523</v>
      </c>
      <c r="B51" s="2">
        <v>25</v>
      </c>
      <c r="C51" t="s">
        <v>32</v>
      </c>
      <c r="D51" s="2" t="s">
        <v>42</v>
      </c>
      <c r="E51" s="2">
        <v>5</v>
      </c>
      <c r="F51" s="2">
        <v>0</v>
      </c>
      <c r="G51" s="2">
        <v>18</v>
      </c>
      <c r="H51" s="2">
        <v>0</v>
      </c>
      <c r="I51" s="2">
        <v>0</v>
      </c>
      <c r="J51" s="2">
        <v>0</v>
      </c>
      <c r="K51" s="2">
        <v>0</v>
      </c>
      <c r="L51" s="2">
        <v>100</v>
      </c>
      <c r="M51" s="6">
        <v>50.4</v>
      </c>
      <c r="N51" s="6">
        <v>38.5</v>
      </c>
      <c r="O51" s="2">
        <v>0</v>
      </c>
      <c r="P51" s="2">
        <v>0</v>
      </c>
      <c r="Q51" s="2">
        <v>1</v>
      </c>
      <c r="R51" s="2">
        <v>0</v>
      </c>
      <c r="S51" s="2">
        <v>1</v>
      </c>
      <c r="T51" s="2">
        <v>0</v>
      </c>
      <c r="U51" s="2">
        <v>5</v>
      </c>
      <c r="V51" s="2">
        <v>0</v>
      </c>
      <c r="W51" s="2">
        <v>0</v>
      </c>
    </row>
    <row r="52" spans="1:23" x14ac:dyDescent="0.2">
      <c r="A52" t="s">
        <v>247</v>
      </c>
      <c r="B52" s="2">
        <v>21</v>
      </c>
      <c r="C52" t="s">
        <v>100</v>
      </c>
      <c r="D52" s="2" t="s">
        <v>52</v>
      </c>
      <c r="E52" s="2">
        <v>23</v>
      </c>
      <c r="F52" s="2">
        <v>8</v>
      </c>
      <c r="G52" s="2">
        <v>572</v>
      </c>
      <c r="H52" s="2">
        <v>7</v>
      </c>
      <c r="I52" s="2">
        <v>47</v>
      </c>
      <c r="J52" s="2">
        <v>41</v>
      </c>
      <c r="K52" s="2">
        <v>6</v>
      </c>
      <c r="L52" s="2">
        <v>0</v>
      </c>
      <c r="M52" s="6">
        <v>3.4</v>
      </c>
      <c r="N52" s="7">
        <v>-2.8</v>
      </c>
      <c r="O52" s="2">
        <v>13</v>
      </c>
      <c r="P52" s="2">
        <v>11</v>
      </c>
      <c r="Q52" s="2">
        <v>19</v>
      </c>
      <c r="R52" s="2">
        <v>1</v>
      </c>
      <c r="S52" s="2">
        <v>12</v>
      </c>
      <c r="T52" s="2">
        <v>13</v>
      </c>
      <c r="U52" s="2">
        <v>198</v>
      </c>
      <c r="V52" s="2">
        <v>3</v>
      </c>
      <c r="W52" s="2">
        <v>10</v>
      </c>
    </row>
    <row r="53" spans="1:23" x14ac:dyDescent="0.2">
      <c r="A53" t="s">
        <v>177</v>
      </c>
      <c r="B53" s="2">
        <v>23</v>
      </c>
      <c r="C53" t="s">
        <v>117</v>
      </c>
      <c r="D53" s="2" t="s">
        <v>52</v>
      </c>
      <c r="E53" s="2">
        <v>23</v>
      </c>
      <c r="F53" s="2">
        <v>10</v>
      </c>
      <c r="G53" s="2">
        <v>633</v>
      </c>
      <c r="H53" s="2">
        <v>2</v>
      </c>
      <c r="I53" s="2">
        <v>54</v>
      </c>
      <c r="J53" s="2">
        <v>39</v>
      </c>
      <c r="K53" s="2">
        <v>5</v>
      </c>
      <c r="L53" s="2">
        <v>0</v>
      </c>
      <c r="M53" s="7">
        <v>-8.6</v>
      </c>
      <c r="N53" s="6">
        <v>7.5</v>
      </c>
      <c r="O53" s="2">
        <v>18</v>
      </c>
      <c r="P53" s="2">
        <v>12</v>
      </c>
      <c r="Q53" s="2">
        <v>21</v>
      </c>
      <c r="R53" s="2">
        <v>3</v>
      </c>
      <c r="S53" s="2">
        <v>20</v>
      </c>
      <c r="T53" s="2">
        <v>4</v>
      </c>
      <c r="U53" s="2">
        <v>191</v>
      </c>
      <c r="V53" s="2">
        <v>1</v>
      </c>
      <c r="W53" s="2">
        <v>13</v>
      </c>
    </row>
    <row r="54" spans="1:23" x14ac:dyDescent="0.2">
      <c r="A54" t="s">
        <v>251</v>
      </c>
      <c r="B54" s="2">
        <v>28</v>
      </c>
      <c r="C54" t="s">
        <v>80</v>
      </c>
      <c r="D54" s="2" t="s">
        <v>27</v>
      </c>
      <c r="E54" s="2">
        <v>24</v>
      </c>
      <c r="F54" s="2">
        <v>15</v>
      </c>
      <c r="G54" s="2">
        <v>444</v>
      </c>
      <c r="H54" s="2">
        <v>0</v>
      </c>
      <c r="I54" s="2">
        <v>0</v>
      </c>
      <c r="J54" s="2">
        <v>43</v>
      </c>
      <c r="K54" s="2">
        <v>57</v>
      </c>
      <c r="L54" s="2">
        <v>0</v>
      </c>
      <c r="M54" s="6">
        <v>15.1</v>
      </c>
      <c r="N54" s="6">
        <v>10.199999999999999</v>
      </c>
      <c r="O54" s="2">
        <v>4</v>
      </c>
      <c r="P54" s="2">
        <v>3</v>
      </c>
      <c r="Q54" s="2">
        <v>26</v>
      </c>
      <c r="R54" s="2">
        <v>2</v>
      </c>
      <c r="S54" s="2">
        <v>13</v>
      </c>
      <c r="T54" s="2">
        <v>1</v>
      </c>
      <c r="U54" s="2">
        <v>59</v>
      </c>
      <c r="V54" s="2">
        <v>9</v>
      </c>
      <c r="W54" s="2">
        <v>7</v>
      </c>
    </row>
    <row r="55" spans="1:23" x14ac:dyDescent="0.2">
      <c r="A55" t="s">
        <v>116</v>
      </c>
      <c r="B55" s="2">
        <v>27</v>
      </c>
      <c r="C55" t="s">
        <v>117</v>
      </c>
      <c r="D55" s="2" t="s">
        <v>49</v>
      </c>
      <c r="E55" s="2">
        <v>18</v>
      </c>
      <c r="F55" s="2">
        <v>18</v>
      </c>
      <c r="G55" s="2">
        <v>595</v>
      </c>
      <c r="H55" s="2">
        <v>0</v>
      </c>
      <c r="I55" s="2">
        <v>7</v>
      </c>
      <c r="J55" s="2">
        <v>66</v>
      </c>
      <c r="K55" s="2">
        <v>27</v>
      </c>
      <c r="L55" s="2">
        <v>0</v>
      </c>
      <c r="M55" s="7">
        <v>-11.2</v>
      </c>
      <c r="N55" s="6">
        <v>2</v>
      </c>
      <c r="O55" s="2">
        <v>28</v>
      </c>
      <c r="P55" s="2">
        <v>26</v>
      </c>
      <c r="Q55" s="2">
        <v>22</v>
      </c>
      <c r="R55" s="2">
        <v>13</v>
      </c>
      <c r="S55" s="2">
        <v>26</v>
      </c>
      <c r="T55" s="2">
        <v>1</v>
      </c>
      <c r="U55" s="2">
        <v>224</v>
      </c>
      <c r="V55" s="2">
        <v>4</v>
      </c>
      <c r="W55" s="2">
        <v>21</v>
      </c>
    </row>
    <row r="56" spans="1:23" x14ac:dyDescent="0.2">
      <c r="A56" t="s">
        <v>95</v>
      </c>
      <c r="B56" s="2">
        <v>22</v>
      </c>
      <c r="C56" t="s">
        <v>59</v>
      </c>
      <c r="D56" s="2" t="s">
        <v>49</v>
      </c>
      <c r="E56" s="2">
        <v>20</v>
      </c>
      <c r="F56" s="2">
        <v>20</v>
      </c>
      <c r="G56" s="2">
        <v>688</v>
      </c>
      <c r="H56" s="2">
        <v>0</v>
      </c>
      <c r="I56" s="2">
        <v>0</v>
      </c>
      <c r="J56" s="2">
        <v>68</v>
      </c>
      <c r="K56" s="2">
        <v>29</v>
      </c>
      <c r="L56" s="2">
        <v>4</v>
      </c>
      <c r="M56" s="7">
        <v>-7.3</v>
      </c>
      <c r="N56" s="7">
        <v>-3.6</v>
      </c>
      <c r="O56" s="2">
        <v>22</v>
      </c>
      <c r="P56" s="2">
        <v>20</v>
      </c>
      <c r="Q56" s="2">
        <v>20</v>
      </c>
      <c r="R56" s="2">
        <v>9</v>
      </c>
      <c r="S56" s="2">
        <v>26</v>
      </c>
      <c r="T56" s="2">
        <v>3</v>
      </c>
      <c r="U56" s="2">
        <v>166</v>
      </c>
      <c r="V56" s="2">
        <v>6</v>
      </c>
      <c r="W56" s="2">
        <v>17</v>
      </c>
    </row>
    <row r="57" spans="1:23" x14ac:dyDescent="0.2">
      <c r="A57" t="s">
        <v>514</v>
      </c>
      <c r="B57" s="2">
        <v>25</v>
      </c>
      <c r="C57" t="s">
        <v>63</v>
      </c>
      <c r="D57" s="2" t="s">
        <v>33</v>
      </c>
      <c r="E57" s="2">
        <v>5</v>
      </c>
      <c r="F57" s="2">
        <v>0</v>
      </c>
      <c r="G57" s="2">
        <v>21</v>
      </c>
      <c r="H57" s="2">
        <v>100</v>
      </c>
      <c r="I57" s="2">
        <v>0</v>
      </c>
      <c r="J57" s="2">
        <v>0</v>
      </c>
      <c r="K57" s="2">
        <v>0</v>
      </c>
      <c r="L57" s="2">
        <v>0</v>
      </c>
      <c r="M57" s="7">
        <v>-36.4</v>
      </c>
      <c r="N57" s="7">
        <v>-43.8</v>
      </c>
      <c r="O57" s="2">
        <v>1</v>
      </c>
      <c r="P57" s="2">
        <v>1</v>
      </c>
      <c r="Q57" s="2">
        <v>0</v>
      </c>
      <c r="R57" s="2">
        <v>0</v>
      </c>
      <c r="S57" s="2">
        <v>1</v>
      </c>
      <c r="T57" s="2">
        <v>0</v>
      </c>
      <c r="U57" s="2">
        <v>6</v>
      </c>
      <c r="V57" s="2">
        <v>0</v>
      </c>
      <c r="W57" s="2">
        <v>2</v>
      </c>
    </row>
    <row r="58" spans="1:23" x14ac:dyDescent="0.2">
      <c r="A58" t="s">
        <v>297</v>
      </c>
      <c r="B58" s="2">
        <v>21</v>
      </c>
      <c r="C58" t="s">
        <v>120</v>
      </c>
      <c r="D58" s="2" t="s">
        <v>49</v>
      </c>
      <c r="E58" s="2">
        <v>17</v>
      </c>
      <c r="F58" s="2">
        <v>0</v>
      </c>
      <c r="G58" s="2">
        <v>283</v>
      </c>
      <c r="H58" s="2">
        <v>0</v>
      </c>
      <c r="I58" s="2">
        <v>4</v>
      </c>
      <c r="J58" s="2">
        <v>75</v>
      </c>
      <c r="K58" s="2">
        <v>21</v>
      </c>
      <c r="L58" s="2">
        <v>0</v>
      </c>
      <c r="M58" s="7">
        <v>-22.7</v>
      </c>
      <c r="N58" s="7">
        <v>-17.8</v>
      </c>
      <c r="O58" s="2">
        <v>12</v>
      </c>
      <c r="P58" s="2">
        <v>6</v>
      </c>
      <c r="Q58" s="2">
        <v>6</v>
      </c>
      <c r="R58" s="2">
        <v>1</v>
      </c>
      <c r="S58" s="2">
        <v>6</v>
      </c>
      <c r="T58" s="2">
        <v>0</v>
      </c>
      <c r="U58" s="2">
        <v>41</v>
      </c>
      <c r="V58" s="2">
        <v>3</v>
      </c>
      <c r="W58" s="2">
        <v>5</v>
      </c>
    </row>
    <row r="59" spans="1:23" x14ac:dyDescent="0.2">
      <c r="A59" t="s">
        <v>527</v>
      </c>
      <c r="B59" s="2">
        <v>20</v>
      </c>
      <c r="C59" t="s">
        <v>41</v>
      </c>
      <c r="D59" s="2" t="s">
        <v>52</v>
      </c>
      <c r="E59" s="2">
        <v>7</v>
      </c>
      <c r="F59" s="2">
        <v>0</v>
      </c>
      <c r="G59" s="2">
        <v>18</v>
      </c>
      <c r="H59" s="2">
        <v>52</v>
      </c>
      <c r="I59" s="2">
        <v>48</v>
      </c>
      <c r="J59" s="2">
        <v>0</v>
      </c>
      <c r="K59" s="2">
        <v>0</v>
      </c>
      <c r="L59" s="2">
        <v>0</v>
      </c>
      <c r="M59" s="7">
        <v>-52.8</v>
      </c>
      <c r="N59" s="7">
        <v>-50.4</v>
      </c>
      <c r="O59" s="2">
        <v>0</v>
      </c>
      <c r="P59" s="2">
        <v>0</v>
      </c>
      <c r="Q59" s="2">
        <v>1</v>
      </c>
      <c r="R59" s="2">
        <v>0</v>
      </c>
      <c r="S59" s="2">
        <v>1</v>
      </c>
      <c r="T59" s="2">
        <v>0</v>
      </c>
      <c r="U59" s="2">
        <v>4</v>
      </c>
      <c r="V59" s="2">
        <v>0</v>
      </c>
      <c r="W59" s="2">
        <v>1</v>
      </c>
    </row>
    <row r="60" spans="1:23" x14ac:dyDescent="0.2">
      <c r="A60" t="s">
        <v>185</v>
      </c>
      <c r="B60" s="2">
        <v>36</v>
      </c>
      <c r="C60" t="s">
        <v>35</v>
      </c>
      <c r="D60" s="2" t="s">
        <v>42</v>
      </c>
      <c r="E60" s="2">
        <v>24</v>
      </c>
      <c r="F60" s="2">
        <v>24</v>
      </c>
      <c r="G60" s="2">
        <v>784</v>
      </c>
      <c r="H60" s="2">
        <v>0</v>
      </c>
      <c r="I60" s="2">
        <v>0</v>
      </c>
      <c r="J60" s="2">
        <v>0</v>
      </c>
      <c r="K60" s="2">
        <v>0</v>
      </c>
      <c r="L60" s="2">
        <v>100</v>
      </c>
      <c r="M60" s="6">
        <v>0.3</v>
      </c>
      <c r="N60" s="7">
        <v>-1.7</v>
      </c>
      <c r="O60" s="2">
        <v>5</v>
      </c>
      <c r="P60" s="2">
        <v>8</v>
      </c>
      <c r="Q60" s="2">
        <v>33</v>
      </c>
      <c r="R60" s="2">
        <v>12</v>
      </c>
      <c r="S60" s="2">
        <v>18</v>
      </c>
      <c r="T60" s="2">
        <v>2</v>
      </c>
      <c r="U60" s="2">
        <v>99</v>
      </c>
      <c r="V60" s="2">
        <v>4</v>
      </c>
      <c r="W60" s="2">
        <v>3</v>
      </c>
    </row>
    <row r="61" spans="1:23" x14ac:dyDescent="0.2">
      <c r="A61" t="s">
        <v>391</v>
      </c>
      <c r="B61" s="2">
        <v>26</v>
      </c>
      <c r="C61" t="s">
        <v>66</v>
      </c>
      <c r="D61" s="2" t="s">
        <v>42</v>
      </c>
      <c r="E61" s="2">
        <v>16</v>
      </c>
      <c r="F61" s="2">
        <v>2</v>
      </c>
      <c r="G61" s="2">
        <v>143</v>
      </c>
      <c r="H61" s="2">
        <v>0</v>
      </c>
      <c r="I61" s="2">
        <v>0</v>
      </c>
      <c r="J61" s="2">
        <v>0</v>
      </c>
      <c r="K61" s="2">
        <v>0</v>
      </c>
      <c r="L61" s="2">
        <v>100</v>
      </c>
      <c r="M61" s="7">
        <v>-6.3</v>
      </c>
      <c r="N61" s="7">
        <v>-1.3</v>
      </c>
      <c r="O61" s="2">
        <v>6</v>
      </c>
      <c r="P61" s="2">
        <v>1</v>
      </c>
      <c r="Q61" s="2">
        <v>12</v>
      </c>
      <c r="R61" s="2">
        <v>3</v>
      </c>
      <c r="S61" s="2">
        <v>4</v>
      </c>
      <c r="T61" s="2">
        <v>0</v>
      </c>
      <c r="U61" s="2">
        <v>40</v>
      </c>
      <c r="V61" s="2">
        <v>0</v>
      </c>
      <c r="W61" s="2">
        <v>6</v>
      </c>
    </row>
    <row r="62" spans="1:23" x14ac:dyDescent="0.2">
      <c r="A62" t="s">
        <v>549</v>
      </c>
      <c r="B62" s="2">
        <v>22</v>
      </c>
      <c r="C62" t="s">
        <v>135</v>
      </c>
      <c r="D62" s="2" t="s">
        <v>52</v>
      </c>
      <c r="E62" s="2">
        <v>1</v>
      </c>
      <c r="F62" s="2">
        <v>0</v>
      </c>
      <c r="G62" s="2">
        <v>3</v>
      </c>
      <c r="H62" s="2">
        <v>23</v>
      </c>
      <c r="I62" s="2">
        <v>77</v>
      </c>
      <c r="J62" s="2">
        <v>0</v>
      </c>
      <c r="K62" s="2">
        <v>0</v>
      </c>
      <c r="L62" s="2">
        <v>0</v>
      </c>
      <c r="M62" s="6">
        <v>180</v>
      </c>
      <c r="N62" s="6">
        <v>190</v>
      </c>
      <c r="O62" s="2">
        <v>0</v>
      </c>
      <c r="P62" s="2">
        <v>0</v>
      </c>
      <c r="Q62" s="2">
        <v>0</v>
      </c>
      <c r="R62" s="2">
        <v>0</v>
      </c>
      <c r="S62" s="2">
        <v>0</v>
      </c>
      <c r="T62" s="2">
        <v>0</v>
      </c>
      <c r="U62" s="2">
        <v>2</v>
      </c>
      <c r="V62" s="2">
        <v>0</v>
      </c>
      <c r="W62" s="2">
        <v>0</v>
      </c>
    </row>
    <row r="63" spans="1:23" x14ac:dyDescent="0.2">
      <c r="A63" t="s">
        <v>131</v>
      </c>
      <c r="B63" s="2">
        <v>32</v>
      </c>
      <c r="C63" t="s">
        <v>100</v>
      </c>
      <c r="D63" s="2" t="s">
        <v>52</v>
      </c>
      <c r="E63" s="2">
        <v>24</v>
      </c>
      <c r="F63" s="2">
        <v>4</v>
      </c>
      <c r="G63" s="2">
        <v>574</v>
      </c>
      <c r="H63" s="2">
        <v>42</v>
      </c>
      <c r="I63" s="2">
        <v>37</v>
      </c>
      <c r="J63" s="2">
        <v>22</v>
      </c>
      <c r="K63" s="2">
        <v>0</v>
      </c>
      <c r="L63" s="2">
        <v>0</v>
      </c>
      <c r="M63" s="6">
        <v>6.4</v>
      </c>
      <c r="N63" s="6">
        <v>2.9</v>
      </c>
      <c r="O63" s="2">
        <v>13</v>
      </c>
      <c r="P63" s="2">
        <v>10</v>
      </c>
      <c r="Q63" s="2">
        <v>19</v>
      </c>
      <c r="R63" s="2">
        <v>3</v>
      </c>
      <c r="S63" s="2">
        <v>8</v>
      </c>
      <c r="T63" s="2">
        <v>0</v>
      </c>
      <c r="U63" s="2">
        <v>83</v>
      </c>
      <c r="V63" s="2">
        <v>4</v>
      </c>
      <c r="W63" s="2">
        <v>14</v>
      </c>
    </row>
    <row r="64" spans="1:23" x14ac:dyDescent="0.2">
      <c r="A64" t="s">
        <v>74</v>
      </c>
      <c r="B64" s="2">
        <v>23</v>
      </c>
      <c r="C64" t="s">
        <v>75</v>
      </c>
      <c r="D64" s="2" t="s">
        <v>33</v>
      </c>
      <c r="E64" s="2">
        <v>22</v>
      </c>
      <c r="F64" s="2">
        <v>22</v>
      </c>
      <c r="G64" s="2">
        <v>789</v>
      </c>
      <c r="H64" s="2">
        <v>92</v>
      </c>
      <c r="I64" s="2">
        <v>8</v>
      </c>
      <c r="J64" s="2">
        <v>0</v>
      </c>
      <c r="K64" s="2">
        <v>0</v>
      </c>
      <c r="L64" s="2">
        <v>0</v>
      </c>
      <c r="M64" s="7">
        <v>-2.6</v>
      </c>
      <c r="N64" s="6">
        <v>2.6</v>
      </c>
      <c r="O64" s="2">
        <v>56</v>
      </c>
      <c r="P64" s="2">
        <v>33</v>
      </c>
      <c r="Q64" s="2">
        <v>26</v>
      </c>
      <c r="R64" s="2">
        <v>5</v>
      </c>
      <c r="S64" s="2">
        <v>44</v>
      </c>
      <c r="T64" s="2">
        <v>2</v>
      </c>
      <c r="U64" s="2">
        <v>500</v>
      </c>
      <c r="V64" s="2">
        <v>11</v>
      </c>
      <c r="W64" s="2">
        <v>29</v>
      </c>
    </row>
    <row r="65" spans="1:23" x14ac:dyDescent="0.2">
      <c r="A65" t="s">
        <v>462</v>
      </c>
      <c r="B65" s="2">
        <v>22</v>
      </c>
      <c r="C65" t="s">
        <v>48</v>
      </c>
      <c r="D65" s="2" t="s">
        <v>49</v>
      </c>
      <c r="E65" s="2">
        <v>17</v>
      </c>
      <c r="F65" s="2">
        <v>0</v>
      </c>
      <c r="G65" s="2">
        <v>93</v>
      </c>
      <c r="H65" s="2">
        <v>0</v>
      </c>
      <c r="I65" s="2">
        <v>9</v>
      </c>
      <c r="J65" s="2">
        <v>80</v>
      </c>
      <c r="K65" s="2">
        <v>11</v>
      </c>
      <c r="L65" s="2">
        <v>0</v>
      </c>
      <c r="M65" s="7">
        <v>-10.1</v>
      </c>
      <c r="N65" s="7">
        <v>-14.5</v>
      </c>
      <c r="O65" s="2">
        <v>0</v>
      </c>
      <c r="P65" s="2">
        <v>1</v>
      </c>
      <c r="Q65" s="2">
        <v>2</v>
      </c>
      <c r="R65" s="2">
        <v>0</v>
      </c>
      <c r="S65" s="2">
        <v>0</v>
      </c>
      <c r="T65" s="2">
        <v>0</v>
      </c>
      <c r="U65" s="2">
        <v>3</v>
      </c>
      <c r="V65" s="2">
        <v>0</v>
      </c>
      <c r="W65" s="2">
        <v>1</v>
      </c>
    </row>
    <row r="66" spans="1:23" x14ac:dyDescent="0.2">
      <c r="A66" t="s">
        <v>257</v>
      </c>
      <c r="B66" s="2">
        <v>29</v>
      </c>
      <c r="C66" t="s">
        <v>122</v>
      </c>
      <c r="D66" s="2" t="s">
        <v>49</v>
      </c>
      <c r="E66" s="2">
        <v>20</v>
      </c>
      <c r="F66" s="2">
        <v>15</v>
      </c>
      <c r="G66" s="2">
        <v>582</v>
      </c>
      <c r="H66" s="2">
        <v>0</v>
      </c>
      <c r="I66" s="2">
        <v>28</v>
      </c>
      <c r="J66" s="2">
        <v>66</v>
      </c>
      <c r="K66" s="2">
        <v>6</v>
      </c>
      <c r="L66" s="2">
        <v>0</v>
      </c>
      <c r="M66" s="7">
        <v>-10.9</v>
      </c>
      <c r="N66" s="7">
        <v>-13.3</v>
      </c>
      <c r="O66" s="2">
        <v>6</v>
      </c>
      <c r="P66" s="2">
        <v>18</v>
      </c>
      <c r="Q66" s="2">
        <v>14</v>
      </c>
      <c r="R66" s="2">
        <v>5</v>
      </c>
      <c r="S66" s="2">
        <v>20</v>
      </c>
      <c r="T66" s="2">
        <v>9</v>
      </c>
      <c r="U66" s="2">
        <v>115</v>
      </c>
      <c r="V66" s="2">
        <v>2</v>
      </c>
      <c r="W66" s="2">
        <v>6</v>
      </c>
    </row>
    <row r="67" spans="1:23" x14ac:dyDescent="0.2">
      <c r="A67" t="s">
        <v>516</v>
      </c>
      <c r="B67" s="2">
        <v>19</v>
      </c>
      <c r="C67" t="s">
        <v>77</v>
      </c>
      <c r="D67" s="2" t="s">
        <v>52</v>
      </c>
      <c r="E67" s="2">
        <v>1</v>
      </c>
      <c r="F67" s="2">
        <v>0</v>
      </c>
      <c r="G67" s="2">
        <v>18</v>
      </c>
      <c r="H67" s="2">
        <v>0</v>
      </c>
      <c r="I67" s="2">
        <v>100</v>
      </c>
      <c r="J67" s="2">
        <v>0</v>
      </c>
      <c r="K67" s="2">
        <v>0</v>
      </c>
      <c r="L67" s="2">
        <v>0</v>
      </c>
      <c r="M67" s="6">
        <v>18.8</v>
      </c>
      <c r="N67" s="6">
        <v>18</v>
      </c>
      <c r="O67" s="2">
        <v>1</v>
      </c>
      <c r="P67" s="2">
        <v>0</v>
      </c>
      <c r="Q67" s="2">
        <v>0</v>
      </c>
      <c r="R67" s="2">
        <v>0</v>
      </c>
      <c r="S67" s="2">
        <v>0</v>
      </c>
      <c r="T67" s="2">
        <v>0</v>
      </c>
      <c r="U67" s="2">
        <v>0</v>
      </c>
      <c r="V67" s="2">
        <v>0</v>
      </c>
      <c r="W67" s="2">
        <v>1</v>
      </c>
    </row>
    <row r="68" spans="1:23" x14ac:dyDescent="0.2">
      <c r="A68" t="s">
        <v>390</v>
      </c>
      <c r="B68" s="2">
        <v>25</v>
      </c>
      <c r="C68" t="s">
        <v>41</v>
      </c>
      <c r="D68" s="2" t="s">
        <v>49</v>
      </c>
      <c r="E68" s="2">
        <v>17</v>
      </c>
      <c r="F68" s="2">
        <v>8</v>
      </c>
      <c r="G68" s="2">
        <v>339</v>
      </c>
      <c r="H68" s="2">
        <v>0</v>
      </c>
      <c r="I68" s="2">
        <v>23</v>
      </c>
      <c r="J68" s="2">
        <v>54</v>
      </c>
      <c r="K68" s="2">
        <v>23</v>
      </c>
      <c r="L68" s="2">
        <v>0</v>
      </c>
      <c r="M68" s="7">
        <v>-2.9</v>
      </c>
      <c r="N68" s="6">
        <v>0.3</v>
      </c>
      <c r="O68" s="2">
        <v>2</v>
      </c>
      <c r="P68" s="2">
        <v>4</v>
      </c>
      <c r="Q68" s="2">
        <v>17</v>
      </c>
      <c r="R68" s="2">
        <v>1</v>
      </c>
      <c r="S68" s="2">
        <v>6</v>
      </c>
      <c r="T68" s="2">
        <v>0</v>
      </c>
      <c r="U68" s="2">
        <v>31</v>
      </c>
      <c r="V68" s="2">
        <v>0</v>
      </c>
      <c r="W68" s="2">
        <v>3</v>
      </c>
    </row>
    <row r="69" spans="1:23" x14ac:dyDescent="0.2">
      <c r="A69" t="s">
        <v>482</v>
      </c>
      <c r="B69" s="2">
        <v>24</v>
      </c>
      <c r="C69" t="s">
        <v>80</v>
      </c>
      <c r="D69" s="2" t="s">
        <v>52</v>
      </c>
      <c r="E69" s="2">
        <v>3</v>
      </c>
      <c r="F69" s="2">
        <v>0</v>
      </c>
      <c r="G69" s="2">
        <v>46</v>
      </c>
      <c r="H69" s="2">
        <v>56</v>
      </c>
      <c r="I69" s="2">
        <v>43</v>
      </c>
      <c r="J69" s="2">
        <v>1</v>
      </c>
      <c r="K69" s="2">
        <v>0</v>
      </c>
      <c r="L69" s="2">
        <v>0</v>
      </c>
      <c r="M69" s="6">
        <v>21.4</v>
      </c>
      <c r="N69" s="6">
        <v>13.2</v>
      </c>
      <c r="O69" s="2">
        <v>1</v>
      </c>
      <c r="P69" s="2">
        <v>0</v>
      </c>
      <c r="Q69" s="2">
        <v>3</v>
      </c>
      <c r="R69" s="2">
        <v>0</v>
      </c>
      <c r="S69" s="2">
        <v>3</v>
      </c>
      <c r="T69" s="2">
        <v>0</v>
      </c>
      <c r="U69" s="2">
        <v>17</v>
      </c>
      <c r="V69" s="2">
        <v>2</v>
      </c>
      <c r="W69" s="2">
        <v>0</v>
      </c>
    </row>
    <row r="70" spans="1:23" x14ac:dyDescent="0.2">
      <c r="A70" t="s">
        <v>107</v>
      </c>
      <c r="B70" s="2">
        <v>23</v>
      </c>
      <c r="C70" t="s">
        <v>103</v>
      </c>
      <c r="D70" s="2" t="s">
        <v>52</v>
      </c>
      <c r="E70" s="2">
        <v>17</v>
      </c>
      <c r="F70" s="2">
        <v>17</v>
      </c>
      <c r="G70" s="2">
        <v>568</v>
      </c>
      <c r="H70" s="2">
        <v>10</v>
      </c>
      <c r="I70" s="2">
        <v>63</v>
      </c>
      <c r="J70" s="2">
        <v>26</v>
      </c>
      <c r="K70" s="2">
        <v>0</v>
      </c>
      <c r="L70" s="2">
        <v>0</v>
      </c>
      <c r="M70" s="7">
        <v>-6.4</v>
      </c>
      <c r="N70" s="7">
        <v>-3.9</v>
      </c>
      <c r="O70" s="2">
        <v>15</v>
      </c>
      <c r="P70" s="2">
        <v>22</v>
      </c>
      <c r="Q70" s="2">
        <v>19</v>
      </c>
      <c r="R70" s="2">
        <v>5</v>
      </c>
      <c r="S70" s="2">
        <v>52</v>
      </c>
      <c r="T70" s="2">
        <v>5</v>
      </c>
      <c r="U70" s="2">
        <v>139</v>
      </c>
      <c r="V70" s="2">
        <v>12</v>
      </c>
      <c r="W70" s="2">
        <v>23</v>
      </c>
    </row>
    <row r="71" spans="1:23" x14ac:dyDescent="0.2">
      <c r="A71" t="s">
        <v>409</v>
      </c>
      <c r="B71" s="2">
        <v>20</v>
      </c>
      <c r="C71" t="s">
        <v>87</v>
      </c>
      <c r="D71" s="2" t="s">
        <v>49</v>
      </c>
      <c r="E71" s="2">
        <v>8</v>
      </c>
      <c r="F71" s="2">
        <v>0</v>
      </c>
      <c r="G71" s="2">
        <v>79</v>
      </c>
      <c r="H71" s="2">
        <v>0</v>
      </c>
      <c r="I71" s="2">
        <v>0</v>
      </c>
      <c r="J71" s="2">
        <v>68</v>
      </c>
      <c r="K71" s="2">
        <v>29</v>
      </c>
      <c r="L71" s="2">
        <v>3</v>
      </c>
      <c r="M71" s="7">
        <v>-8</v>
      </c>
      <c r="N71" s="7">
        <v>-15.7</v>
      </c>
      <c r="O71" s="2">
        <v>0</v>
      </c>
      <c r="P71" s="2">
        <v>0</v>
      </c>
      <c r="Q71" s="2">
        <v>3</v>
      </c>
      <c r="R71" s="2">
        <v>2</v>
      </c>
      <c r="S71" s="2">
        <v>8</v>
      </c>
      <c r="T71" s="2">
        <v>0</v>
      </c>
      <c r="U71" s="2">
        <v>10</v>
      </c>
      <c r="V71" s="2">
        <v>2</v>
      </c>
      <c r="W71" s="2">
        <v>5</v>
      </c>
    </row>
    <row r="72" spans="1:23" x14ac:dyDescent="0.2">
      <c r="A72" t="s">
        <v>102</v>
      </c>
      <c r="B72" s="2">
        <v>28</v>
      </c>
      <c r="C72" t="s">
        <v>103</v>
      </c>
      <c r="D72" s="2" t="s">
        <v>27</v>
      </c>
      <c r="E72" s="2">
        <v>23</v>
      </c>
      <c r="F72" s="2">
        <v>23</v>
      </c>
      <c r="G72" s="2">
        <v>755</v>
      </c>
      <c r="H72" s="2">
        <v>0</v>
      </c>
      <c r="I72" s="2">
        <v>2</v>
      </c>
      <c r="J72" s="2">
        <v>22</v>
      </c>
      <c r="K72" s="2">
        <v>54</v>
      </c>
      <c r="L72" s="2">
        <v>22</v>
      </c>
      <c r="M72" s="7">
        <v>-3.4</v>
      </c>
      <c r="N72" s="6">
        <v>2.9</v>
      </c>
      <c r="O72" s="2">
        <v>12</v>
      </c>
      <c r="P72" s="2">
        <v>9</v>
      </c>
      <c r="Q72" s="2">
        <v>20</v>
      </c>
      <c r="R72" s="2">
        <v>1</v>
      </c>
      <c r="S72" s="2">
        <v>25</v>
      </c>
      <c r="T72" s="2">
        <v>6</v>
      </c>
      <c r="U72" s="2">
        <v>163</v>
      </c>
      <c r="V72" s="2">
        <v>6</v>
      </c>
      <c r="W72" s="2">
        <v>17</v>
      </c>
    </row>
    <row r="73" spans="1:23" x14ac:dyDescent="0.2">
      <c r="A73" t="s">
        <v>276</v>
      </c>
      <c r="B73" s="2">
        <v>30</v>
      </c>
      <c r="C73" t="s">
        <v>44</v>
      </c>
      <c r="D73" s="2" t="s">
        <v>33</v>
      </c>
      <c r="E73" s="2">
        <v>19</v>
      </c>
      <c r="F73" s="2">
        <v>0</v>
      </c>
      <c r="G73" s="2">
        <v>332</v>
      </c>
      <c r="H73" s="2">
        <v>59</v>
      </c>
      <c r="I73" s="2">
        <v>41</v>
      </c>
      <c r="J73" s="2">
        <v>0</v>
      </c>
      <c r="K73" s="2">
        <v>0</v>
      </c>
      <c r="L73" s="2">
        <v>0</v>
      </c>
      <c r="M73" s="6">
        <v>8.3000000000000007</v>
      </c>
      <c r="N73" s="6">
        <v>2.4</v>
      </c>
      <c r="O73" s="2">
        <v>7</v>
      </c>
      <c r="P73" s="2">
        <v>1</v>
      </c>
      <c r="Q73" s="2">
        <v>23</v>
      </c>
      <c r="R73" s="2">
        <v>1</v>
      </c>
      <c r="S73" s="2">
        <v>4</v>
      </c>
      <c r="T73" s="2">
        <v>1</v>
      </c>
      <c r="U73" s="2">
        <v>146</v>
      </c>
      <c r="V73" s="2">
        <v>2</v>
      </c>
      <c r="W73" s="2">
        <v>1</v>
      </c>
    </row>
    <row r="74" spans="1:23" x14ac:dyDescent="0.2">
      <c r="A74" t="s">
        <v>211</v>
      </c>
      <c r="B74" s="2">
        <v>30</v>
      </c>
      <c r="C74" t="s">
        <v>57</v>
      </c>
      <c r="D74" s="2" t="s">
        <v>49</v>
      </c>
      <c r="E74" s="2">
        <v>19</v>
      </c>
      <c r="F74" s="2">
        <v>0</v>
      </c>
      <c r="G74" s="2">
        <v>465</v>
      </c>
      <c r="H74" s="2">
        <v>0</v>
      </c>
      <c r="I74" s="2">
        <v>9</v>
      </c>
      <c r="J74" s="2">
        <v>82</v>
      </c>
      <c r="K74" s="2">
        <v>9</v>
      </c>
      <c r="L74" s="2">
        <v>0</v>
      </c>
      <c r="M74" s="6">
        <v>17.7</v>
      </c>
      <c r="N74" s="6">
        <v>11.5</v>
      </c>
      <c r="O74" s="2">
        <v>18</v>
      </c>
      <c r="P74" s="2">
        <v>6</v>
      </c>
      <c r="Q74" s="2">
        <v>13</v>
      </c>
      <c r="R74" s="2">
        <v>0</v>
      </c>
      <c r="S74" s="2">
        <v>21</v>
      </c>
      <c r="T74" s="2">
        <v>1</v>
      </c>
      <c r="U74" s="2">
        <v>192</v>
      </c>
      <c r="V74" s="2">
        <v>4</v>
      </c>
      <c r="W74" s="2">
        <v>8</v>
      </c>
    </row>
    <row r="75" spans="1:23" x14ac:dyDescent="0.2">
      <c r="A75" t="s">
        <v>229</v>
      </c>
      <c r="B75" s="2">
        <v>19</v>
      </c>
      <c r="C75" t="s">
        <v>114</v>
      </c>
      <c r="D75" s="2" t="s">
        <v>33</v>
      </c>
      <c r="E75" s="2">
        <v>22</v>
      </c>
      <c r="F75" s="2">
        <v>14</v>
      </c>
      <c r="G75" s="2">
        <v>630</v>
      </c>
      <c r="H75" s="2">
        <v>100</v>
      </c>
      <c r="I75" s="2">
        <v>0</v>
      </c>
      <c r="J75" s="2">
        <v>0</v>
      </c>
      <c r="K75" s="2">
        <v>0</v>
      </c>
      <c r="L75" s="2">
        <v>0</v>
      </c>
      <c r="M75" s="7">
        <v>-21.4</v>
      </c>
      <c r="N75" s="7">
        <v>-13.6</v>
      </c>
      <c r="O75" s="2">
        <v>20</v>
      </c>
      <c r="P75" s="2">
        <v>12</v>
      </c>
      <c r="Q75" s="2">
        <v>39</v>
      </c>
      <c r="R75" s="2">
        <v>5</v>
      </c>
      <c r="S75" s="2">
        <v>6</v>
      </c>
      <c r="T75" s="2">
        <v>4</v>
      </c>
      <c r="U75" s="2">
        <v>219</v>
      </c>
      <c r="V75" s="2">
        <v>2</v>
      </c>
      <c r="W75" s="2">
        <v>9</v>
      </c>
    </row>
    <row r="76" spans="1:23" x14ac:dyDescent="0.2">
      <c r="A76" t="s">
        <v>263</v>
      </c>
      <c r="B76" s="2">
        <v>21</v>
      </c>
      <c r="C76" t="s">
        <v>32</v>
      </c>
      <c r="D76" s="2" t="s">
        <v>52</v>
      </c>
      <c r="E76" s="2">
        <v>24</v>
      </c>
      <c r="F76" s="2">
        <v>13</v>
      </c>
      <c r="G76" s="2">
        <v>635</v>
      </c>
      <c r="H76" s="2">
        <v>10</v>
      </c>
      <c r="I76" s="2">
        <v>54</v>
      </c>
      <c r="J76" s="2">
        <v>33</v>
      </c>
      <c r="K76" s="2">
        <v>4</v>
      </c>
      <c r="L76" s="2">
        <v>0</v>
      </c>
      <c r="M76" s="6">
        <v>11.4</v>
      </c>
      <c r="N76" s="7">
        <v>-2.2000000000000002</v>
      </c>
      <c r="O76" s="2">
        <v>7</v>
      </c>
      <c r="P76" s="2">
        <v>5</v>
      </c>
      <c r="Q76" s="2">
        <v>24</v>
      </c>
      <c r="R76" s="2">
        <v>1</v>
      </c>
      <c r="S76" s="2">
        <v>4</v>
      </c>
      <c r="T76" s="2">
        <v>2</v>
      </c>
      <c r="U76" s="2">
        <v>129</v>
      </c>
      <c r="V76" s="2">
        <v>3</v>
      </c>
      <c r="W76" s="2">
        <v>13</v>
      </c>
    </row>
    <row r="77" spans="1:23" x14ac:dyDescent="0.2">
      <c r="A77" t="s">
        <v>387</v>
      </c>
      <c r="B77" s="2">
        <v>24</v>
      </c>
      <c r="C77" t="s">
        <v>93</v>
      </c>
      <c r="D77" s="2" t="s">
        <v>42</v>
      </c>
      <c r="E77" s="2">
        <v>15</v>
      </c>
      <c r="F77" s="2">
        <v>0</v>
      </c>
      <c r="G77" s="2">
        <v>158</v>
      </c>
      <c r="H77" s="2">
        <v>0</v>
      </c>
      <c r="I77" s="2">
        <v>0</v>
      </c>
      <c r="J77" s="2">
        <v>0</v>
      </c>
      <c r="K77" s="2">
        <v>0</v>
      </c>
      <c r="L77" s="2">
        <v>100</v>
      </c>
      <c r="M77" s="7">
        <v>-2.7</v>
      </c>
      <c r="N77" s="7">
        <v>-0.4</v>
      </c>
      <c r="O77" s="2">
        <v>2</v>
      </c>
      <c r="P77" s="2">
        <v>6</v>
      </c>
      <c r="Q77" s="2">
        <v>14</v>
      </c>
      <c r="R77" s="2">
        <v>1</v>
      </c>
      <c r="S77" s="2">
        <v>9</v>
      </c>
      <c r="T77" s="2">
        <v>0</v>
      </c>
      <c r="U77" s="2">
        <v>19</v>
      </c>
      <c r="V77" s="2">
        <v>5</v>
      </c>
      <c r="W77" s="2">
        <v>4</v>
      </c>
    </row>
    <row r="78" spans="1:23" x14ac:dyDescent="0.2">
      <c r="A78" t="s">
        <v>269</v>
      </c>
      <c r="B78" s="2">
        <v>22</v>
      </c>
      <c r="C78" t="s">
        <v>32</v>
      </c>
      <c r="D78" s="2" t="s">
        <v>42</v>
      </c>
      <c r="E78" s="2">
        <v>10</v>
      </c>
      <c r="F78" s="2">
        <v>10</v>
      </c>
      <c r="G78" s="2">
        <v>265</v>
      </c>
      <c r="H78" s="2">
        <v>0</v>
      </c>
      <c r="I78" s="2">
        <v>0</v>
      </c>
      <c r="J78" s="2">
        <v>0</v>
      </c>
      <c r="K78" s="2">
        <v>0</v>
      </c>
      <c r="L78" s="2">
        <v>100</v>
      </c>
      <c r="M78" s="6">
        <v>16.899999999999999</v>
      </c>
      <c r="N78" s="6">
        <v>5.9</v>
      </c>
      <c r="O78" s="2">
        <v>3</v>
      </c>
      <c r="P78" s="2">
        <v>15</v>
      </c>
      <c r="Q78" s="2">
        <v>9</v>
      </c>
      <c r="R78" s="2">
        <v>3</v>
      </c>
      <c r="S78" s="2">
        <v>24</v>
      </c>
      <c r="T78" s="2">
        <v>0</v>
      </c>
      <c r="U78" s="2">
        <v>43</v>
      </c>
      <c r="V78" s="2">
        <v>6</v>
      </c>
      <c r="W78" s="2">
        <v>6</v>
      </c>
    </row>
    <row r="79" spans="1:23" x14ac:dyDescent="0.2">
      <c r="A79" t="s">
        <v>207</v>
      </c>
      <c r="B79" s="2">
        <v>32</v>
      </c>
      <c r="C79" t="s">
        <v>66</v>
      </c>
      <c r="D79" s="2" t="s">
        <v>27</v>
      </c>
      <c r="E79" s="2">
        <v>23</v>
      </c>
      <c r="F79" s="2">
        <v>0</v>
      </c>
      <c r="G79" s="2">
        <v>413</v>
      </c>
      <c r="H79" s="2">
        <v>0</v>
      </c>
      <c r="I79" s="2">
        <v>0</v>
      </c>
      <c r="J79" s="2">
        <v>4</v>
      </c>
      <c r="K79" s="2">
        <v>94</v>
      </c>
      <c r="L79" s="2">
        <v>2</v>
      </c>
      <c r="M79" s="7">
        <v>-6.9</v>
      </c>
      <c r="N79" s="7">
        <v>-2.6</v>
      </c>
      <c r="O79" s="2">
        <v>4</v>
      </c>
      <c r="P79" s="2">
        <v>7</v>
      </c>
      <c r="Q79" s="2">
        <v>19</v>
      </c>
      <c r="R79" s="2">
        <v>3</v>
      </c>
      <c r="S79" s="2">
        <v>23</v>
      </c>
      <c r="T79" s="2">
        <v>2</v>
      </c>
      <c r="U79" s="2">
        <v>31</v>
      </c>
      <c r="V79" s="2">
        <v>4</v>
      </c>
      <c r="W79" s="2">
        <v>9</v>
      </c>
    </row>
    <row r="80" spans="1:23" x14ac:dyDescent="0.2">
      <c r="A80" t="s">
        <v>445</v>
      </c>
      <c r="B80" s="2">
        <v>27</v>
      </c>
      <c r="C80" t="s">
        <v>70</v>
      </c>
      <c r="D80" s="2" t="s">
        <v>52</v>
      </c>
      <c r="E80" s="2">
        <v>12</v>
      </c>
      <c r="F80" s="2">
        <v>0</v>
      </c>
      <c r="G80" s="2">
        <v>50</v>
      </c>
      <c r="H80" s="2">
        <v>19</v>
      </c>
      <c r="I80" s="2">
        <v>81</v>
      </c>
      <c r="J80" s="2">
        <v>0</v>
      </c>
      <c r="K80" s="2">
        <v>0</v>
      </c>
      <c r="L80" s="2">
        <v>0</v>
      </c>
      <c r="M80" s="6">
        <v>10.199999999999999</v>
      </c>
      <c r="N80" s="6">
        <v>13.9</v>
      </c>
      <c r="O80" s="2">
        <v>0</v>
      </c>
      <c r="P80" s="2">
        <v>1</v>
      </c>
      <c r="Q80" s="2">
        <v>3</v>
      </c>
      <c r="R80" s="2">
        <v>0</v>
      </c>
      <c r="S80" s="2">
        <v>4</v>
      </c>
      <c r="T80" s="2">
        <v>1</v>
      </c>
      <c r="U80" s="2">
        <v>8</v>
      </c>
      <c r="V80" s="2">
        <v>2</v>
      </c>
      <c r="W80" s="2">
        <v>1</v>
      </c>
    </row>
    <row r="81" spans="1:23" x14ac:dyDescent="0.2">
      <c r="A81" t="s">
        <v>548</v>
      </c>
      <c r="B81" s="2">
        <v>21</v>
      </c>
      <c r="C81" t="s">
        <v>35</v>
      </c>
      <c r="D81" s="2" t="s">
        <v>49</v>
      </c>
      <c r="E81" s="2">
        <v>3</v>
      </c>
      <c r="F81" s="2">
        <v>0</v>
      </c>
      <c r="G81" s="2">
        <v>6</v>
      </c>
      <c r="H81" s="2">
        <v>0</v>
      </c>
      <c r="I81" s="2">
        <v>0</v>
      </c>
      <c r="J81" s="2">
        <v>0</v>
      </c>
      <c r="K81" s="2">
        <v>100</v>
      </c>
      <c r="L81" s="2">
        <v>0</v>
      </c>
      <c r="M81" s="6">
        <v>25.3</v>
      </c>
      <c r="N81" s="6">
        <v>24.5</v>
      </c>
      <c r="O81" s="2">
        <v>0</v>
      </c>
      <c r="P81" s="2">
        <v>1</v>
      </c>
      <c r="Q81" s="2">
        <v>0</v>
      </c>
      <c r="R81" s="2">
        <v>0</v>
      </c>
      <c r="S81" s="2">
        <v>0</v>
      </c>
      <c r="T81" s="2">
        <v>0</v>
      </c>
      <c r="U81" s="2">
        <v>2</v>
      </c>
      <c r="V81" s="2">
        <v>0</v>
      </c>
      <c r="W81" s="2">
        <v>0</v>
      </c>
    </row>
    <row r="82" spans="1:23" x14ac:dyDescent="0.2">
      <c r="A82" t="s">
        <v>196</v>
      </c>
      <c r="B82" s="2">
        <v>39</v>
      </c>
      <c r="C82" t="s">
        <v>93</v>
      </c>
      <c r="D82" s="2" t="s">
        <v>33</v>
      </c>
      <c r="E82" s="2">
        <v>24</v>
      </c>
      <c r="F82" s="2">
        <v>24</v>
      </c>
      <c r="G82" s="2">
        <v>693</v>
      </c>
      <c r="H82" s="2">
        <v>100</v>
      </c>
      <c r="I82" s="2">
        <v>0</v>
      </c>
      <c r="J82" s="2">
        <v>0</v>
      </c>
      <c r="K82" s="2">
        <v>0</v>
      </c>
      <c r="L82" s="2">
        <v>0</v>
      </c>
      <c r="M82" s="6">
        <v>1.8</v>
      </c>
      <c r="N82" s="6">
        <v>10.3</v>
      </c>
      <c r="O82" s="2">
        <v>31</v>
      </c>
      <c r="P82" s="2">
        <v>9</v>
      </c>
      <c r="Q82" s="2">
        <v>22</v>
      </c>
      <c r="R82" s="2">
        <v>1</v>
      </c>
      <c r="S82" s="2">
        <v>5</v>
      </c>
      <c r="T82" s="2">
        <v>0</v>
      </c>
      <c r="U82" s="2">
        <v>498</v>
      </c>
      <c r="V82" s="2">
        <v>0</v>
      </c>
      <c r="W82" s="2">
        <v>2</v>
      </c>
    </row>
    <row r="83" spans="1:23" x14ac:dyDescent="0.2">
      <c r="A83" t="s">
        <v>138</v>
      </c>
      <c r="B83" s="2">
        <v>23</v>
      </c>
      <c r="C83" t="s">
        <v>46</v>
      </c>
      <c r="D83" s="2" t="s">
        <v>52</v>
      </c>
      <c r="E83" s="2">
        <v>22</v>
      </c>
      <c r="F83" s="2">
        <v>22</v>
      </c>
      <c r="G83" s="2">
        <v>774</v>
      </c>
      <c r="H83" s="2">
        <v>6</v>
      </c>
      <c r="I83" s="2">
        <v>86</v>
      </c>
      <c r="J83" s="2">
        <v>8</v>
      </c>
      <c r="K83" s="2">
        <v>0</v>
      </c>
      <c r="L83" s="2">
        <v>0</v>
      </c>
      <c r="M83" s="6">
        <v>11.1</v>
      </c>
      <c r="N83" s="6">
        <v>32.4</v>
      </c>
      <c r="O83" s="2">
        <v>16</v>
      </c>
      <c r="P83" s="2">
        <v>6</v>
      </c>
      <c r="Q83" s="2">
        <v>26</v>
      </c>
      <c r="R83" s="2">
        <v>6</v>
      </c>
      <c r="S83" s="2">
        <v>39</v>
      </c>
      <c r="T83" s="2">
        <v>2</v>
      </c>
      <c r="U83" s="2">
        <v>96</v>
      </c>
      <c r="V83" s="2">
        <v>6</v>
      </c>
      <c r="W83" s="2">
        <v>15</v>
      </c>
    </row>
    <row r="84" spans="1:23" x14ac:dyDescent="0.2">
      <c r="A84" t="s">
        <v>440</v>
      </c>
      <c r="B84" s="2">
        <v>24</v>
      </c>
      <c r="C84" t="s">
        <v>41</v>
      </c>
      <c r="D84" s="2" t="s">
        <v>42</v>
      </c>
      <c r="E84" s="2">
        <v>14</v>
      </c>
      <c r="F84" s="2">
        <v>0</v>
      </c>
      <c r="G84" s="2">
        <v>138</v>
      </c>
      <c r="H84" s="2">
        <v>0</v>
      </c>
      <c r="I84" s="2">
        <v>0</v>
      </c>
      <c r="J84" s="2">
        <v>0</v>
      </c>
      <c r="K84" s="2">
        <v>0</v>
      </c>
      <c r="L84" s="2">
        <v>100</v>
      </c>
      <c r="M84" s="7">
        <v>-3.3</v>
      </c>
      <c r="N84" s="7">
        <v>-0.1</v>
      </c>
      <c r="O84" s="2">
        <v>0</v>
      </c>
      <c r="P84" s="2">
        <v>3</v>
      </c>
      <c r="Q84" s="2">
        <v>13</v>
      </c>
      <c r="R84" s="2">
        <v>0</v>
      </c>
      <c r="S84" s="2">
        <v>1</v>
      </c>
      <c r="T84" s="2">
        <v>1</v>
      </c>
      <c r="U84" s="2">
        <v>9</v>
      </c>
      <c r="V84" s="2">
        <v>0</v>
      </c>
      <c r="W84" s="2">
        <v>3</v>
      </c>
    </row>
    <row r="85" spans="1:23" x14ac:dyDescent="0.2">
      <c r="A85" t="s">
        <v>172</v>
      </c>
      <c r="B85" s="2">
        <v>33</v>
      </c>
      <c r="C85" t="s">
        <v>117</v>
      </c>
      <c r="D85" s="2" t="s">
        <v>33</v>
      </c>
      <c r="E85" s="2">
        <v>13</v>
      </c>
      <c r="F85" s="2">
        <v>13</v>
      </c>
      <c r="G85" s="2">
        <v>439</v>
      </c>
      <c r="H85" s="2">
        <v>97</v>
      </c>
      <c r="I85" s="2">
        <v>3</v>
      </c>
      <c r="J85" s="2">
        <v>0</v>
      </c>
      <c r="K85" s="2">
        <v>0</v>
      </c>
      <c r="L85" s="2">
        <v>0</v>
      </c>
      <c r="M85" s="7">
        <v>-10.3</v>
      </c>
      <c r="N85" s="6">
        <v>3.1</v>
      </c>
      <c r="O85" s="2">
        <v>11</v>
      </c>
      <c r="P85" s="2">
        <v>7</v>
      </c>
      <c r="Q85" s="2">
        <v>14</v>
      </c>
      <c r="R85" s="2">
        <v>1</v>
      </c>
      <c r="S85" s="2">
        <v>16</v>
      </c>
      <c r="T85" s="2">
        <v>1</v>
      </c>
      <c r="U85" s="2">
        <v>117</v>
      </c>
      <c r="V85" s="2">
        <v>5</v>
      </c>
      <c r="W85" s="2">
        <v>11</v>
      </c>
    </row>
    <row r="86" spans="1:23" x14ac:dyDescent="0.2">
      <c r="A86" t="s">
        <v>183</v>
      </c>
      <c r="B86" s="2">
        <v>30</v>
      </c>
      <c r="C86" t="s">
        <v>72</v>
      </c>
      <c r="D86" s="2" t="s">
        <v>42</v>
      </c>
      <c r="E86" s="2">
        <v>26</v>
      </c>
      <c r="F86" s="2">
        <v>26</v>
      </c>
      <c r="G86" s="2">
        <v>593</v>
      </c>
      <c r="H86" s="2">
        <v>0</v>
      </c>
      <c r="I86" s="2">
        <v>0</v>
      </c>
      <c r="J86" s="2">
        <v>0</v>
      </c>
      <c r="K86" s="2">
        <v>0</v>
      </c>
      <c r="L86" s="2">
        <v>100</v>
      </c>
      <c r="M86" s="6">
        <v>2.5</v>
      </c>
      <c r="N86" s="6">
        <v>8.9</v>
      </c>
      <c r="O86" s="2">
        <v>6</v>
      </c>
      <c r="P86" s="2">
        <v>4</v>
      </c>
      <c r="Q86" s="2">
        <v>30</v>
      </c>
      <c r="R86" s="2">
        <v>6</v>
      </c>
      <c r="S86" s="2">
        <v>27</v>
      </c>
      <c r="T86" s="2">
        <v>7</v>
      </c>
      <c r="U86" s="2">
        <v>82</v>
      </c>
      <c r="V86" s="2">
        <v>6</v>
      </c>
      <c r="W86" s="2">
        <v>24</v>
      </c>
    </row>
    <row r="87" spans="1:23" x14ac:dyDescent="0.2">
      <c r="A87" t="s">
        <v>110</v>
      </c>
      <c r="B87" s="2">
        <v>24</v>
      </c>
      <c r="C87" t="s">
        <v>70</v>
      </c>
      <c r="D87" s="2" t="s">
        <v>52</v>
      </c>
      <c r="E87" s="2">
        <v>23</v>
      </c>
      <c r="F87" s="2">
        <v>23</v>
      </c>
      <c r="G87" s="2">
        <v>751</v>
      </c>
      <c r="H87" s="2">
        <v>36</v>
      </c>
      <c r="I87" s="2">
        <v>60</v>
      </c>
      <c r="J87" s="2">
        <v>4</v>
      </c>
      <c r="K87" s="2">
        <v>0</v>
      </c>
      <c r="L87" s="2">
        <v>0</v>
      </c>
      <c r="M87" s="7">
        <v>-2.7</v>
      </c>
      <c r="N87" s="6">
        <v>1.1000000000000001</v>
      </c>
      <c r="O87" s="2">
        <v>26</v>
      </c>
      <c r="P87" s="2">
        <v>13</v>
      </c>
      <c r="Q87" s="2">
        <v>27</v>
      </c>
      <c r="R87" s="2">
        <v>5</v>
      </c>
      <c r="S87" s="2">
        <v>28</v>
      </c>
      <c r="T87" s="2">
        <v>3</v>
      </c>
      <c r="U87" s="2">
        <v>274</v>
      </c>
      <c r="V87" s="2">
        <v>6</v>
      </c>
      <c r="W87" s="2">
        <v>13</v>
      </c>
    </row>
    <row r="88" spans="1:23" x14ac:dyDescent="0.2">
      <c r="A88" t="s">
        <v>225</v>
      </c>
      <c r="B88" s="2">
        <v>29</v>
      </c>
      <c r="C88" t="s">
        <v>59</v>
      </c>
      <c r="D88" s="2" t="s">
        <v>49</v>
      </c>
      <c r="E88" s="2">
        <v>24</v>
      </c>
      <c r="F88" s="2">
        <v>5</v>
      </c>
      <c r="G88" s="2">
        <v>629</v>
      </c>
      <c r="H88" s="2">
        <v>0</v>
      </c>
      <c r="I88" s="2">
        <v>28</v>
      </c>
      <c r="J88" s="2">
        <v>62</v>
      </c>
      <c r="K88" s="2">
        <v>9</v>
      </c>
      <c r="L88" s="2">
        <v>1</v>
      </c>
      <c r="M88" s="7">
        <v>-1.6</v>
      </c>
      <c r="N88" s="6">
        <v>9.4</v>
      </c>
      <c r="O88" s="2">
        <v>11</v>
      </c>
      <c r="P88" s="2">
        <v>10</v>
      </c>
      <c r="Q88" s="2">
        <v>17</v>
      </c>
      <c r="R88" s="2">
        <v>0</v>
      </c>
      <c r="S88" s="2">
        <v>13</v>
      </c>
      <c r="T88" s="2">
        <v>7</v>
      </c>
      <c r="U88" s="2">
        <v>148</v>
      </c>
      <c r="V88" s="2">
        <v>0</v>
      </c>
      <c r="W88" s="2">
        <v>5</v>
      </c>
    </row>
    <row r="89" spans="1:23" x14ac:dyDescent="0.2">
      <c r="A89" t="s">
        <v>406</v>
      </c>
      <c r="B89" s="2">
        <v>20</v>
      </c>
      <c r="C89" t="s">
        <v>120</v>
      </c>
      <c r="D89" s="2" t="s">
        <v>52</v>
      </c>
      <c r="E89" s="2">
        <v>16</v>
      </c>
      <c r="F89" s="2">
        <v>7</v>
      </c>
      <c r="G89" s="2">
        <v>299</v>
      </c>
      <c r="H89" s="2">
        <v>0</v>
      </c>
      <c r="I89" s="2">
        <v>15</v>
      </c>
      <c r="J89" s="2">
        <v>82</v>
      </c>
      <c r="K89" s="2">
        <v>4</v>
      </c>
      <c r="L89" s="2">
        <v>0</v>
      </c>
      <c r="M89" s="7">
        <v>-22</v>
      </c>
      <c r="N89" s="7">
        <v>-17.100000000000001</v>
      </c>
      <c r="O89" s="2">
        <v>3</v>
      </c>
      <c r="P89" s="2">
        <v>6</v>
      </c>
      <c r="Q89" s="2">
        <v>9</v>
      </c>
      <c r="R89" s="2">
        <v>0</v>
      </c>
      <c r="S89" s="2">
        <v>4</v>
      </c>
      <c r="T89" s="2">
        <v>1</v>
      </c>
      <c r="U89" s="2">
        <v>48</v>
      </c>
      <c r="V89" s="2">
        <v>0</v>
      </c>
      <c r="W89" s="2">
        <v>4</v>
      </c>
    </row>
    <row r="90" spans="1:23" x14ac:dyDescent="0.2">
      <c r="A90" t="s">
        <v>466</v>
      </c>
      <c r="B90" s="2">
        <v>22</v>
      </c>
      <c r="C90" t="s">
        <v>37</v>
      </c>
      <c r="D90" s="2" t="s">
        <v>52</v>
      </c>
      <c r="E90" s="2">
        <v>16</v>
      </c>
      <c r="F90" s="2">
        <v>0</v>
      </c>
      <c r="G90" s="2">
        <v>82</v>
      </c>
      <c r="H90" s="2">
        <v>0</v>
      </c>
      <c r="I90" s="2">
        <v>73</v>
      </c>
      <c r="J90" s="2">
        <v>27</v>
      </c>
      <c r="K90" s="2">
        <v>0</v>
      </c>
      <c r="L90" s="2">
        <v>0</v>
      </c>
      <c r="M90" s="7">
        <v>-11.7</v>
      </c>
      <c r="N90" s="7">
        <v>-16.2</v>
      </c>
      <c r="O90" s="2">
        <v>4</v>
      </c>
      <c r="P90" s="2">
        <v>0</v>
      </c>
      <c r="Q90" s="2">
        <v>4</v>
      </c>
      <c r="R90" s="2">
        <v>0</v>
      </c>
      <c r="S90" s="2">
        <v>0</v>
      </c>
      <c r="T90" s="2">
        <v>1</v>
      </c>
      <c r="U90" s="2">
        <v>12</v>
      </c>
      <c r="V90" s="2">
        <v>0</v>
      </c>
      <c r="W90" s="2">
        <v>3</v>
      </c>
    </row>
    <row r="91" spans="1:23" x14ac:dyDescent="0.2">
      <c r="A91" t="s">
        <v>308</v>
      </c>
      <c r="B91" s="2">
        <v>24</v>
      </c>
      <c r="C91" t="s">
        <v>48</v>
      </c>
      <c r="D91" s="2" t="s">
        <v>33</v>
      </c>
      <c r="E91" s="2">
        <v>24</v>
      </c>
      <c r="F91" s="2">
        <v>0</v>
      </c>
      <c r="G91" s="2">
        <v>265</v>
      </c>
      <c r="H91" s="2">
        <v>100</v>
      </c>
      <c r="I91" s="2">
        <v>0</v>
      </c>
      <c r="J91" s="2">
        <v>0</v>
      </c>
      <c r="K91" s="2">
        <v>0</v>
      </c>
      <c r="L91" s="2">
        <v>0</v>
      </c>
      <c r="M91" s="6">
        <v>1.8</v>
      </c>
      <c r="N91" s="7">
        <v>-2</v>
      </c>
      <c r="O91" s="2">
        <v>17</v>
      </c>
      <c r="P91" s="2">
        <v>9</v>
      </c>
      <c r="Q91" s="2">
        <v>13</v>
      </c>
      <c r="R91" s="2">
        <v>1</v>
      </c>
      <c r="S91" s="2">
        <v>12</v>
      </c>
      <c r="T91" s="2">
        <v>2</v>
      </c>
      <c r="U91" s="2">
        <v>109</v>
      </c>
      <c r="V91" s="2">
        <v>3</v>
      </c>
      <c r="W91" s="2">
        <v>4</v>
      </c>
    </row>
    <row r="92" spans="1:23" x14ac:dyDescent="0.2">
      <c r="A92" t="s">
        <v>566</v>
      </c>
      <c r="B92" s="2">
        <v>25</v>
      </c>
      <c r="C92" t="s">
        <v>75</v>
      </c>
      <c r="D92" s="2" t="s">
        <v>49</v>
      </c>
      <c r="E92" s="2">
        <v>2</v>
      </c>
      <c r="F92" s="2">
        <v>0</v>
      </c>
      <c r="G92" s="2">
        <v>13</v>
      </c>
      <c r="H92" s="2">
        <v>0</v>
      </c>
      <c r="I92" s="2">
        <v>0</v>
      </c>
      <c r="J92" s="2">
        <v>0</v>
      </c>
      <c r="K92" s="2">
        <v>74</v>
      </c>
      <c r="L92" s="2">
        <v>26</v>
      </c>
      <c r="M92" s="6">
        <v>37</v>
      </c>
      <c r="N92" s="6">
        <v>41</v>
      </c>
      <c r="O92" s="2">
        <v>0</v>
      </c>
      <c r="P92" s="2">
        <v>0</v>
      </c>
      <c r="Q92" s="2">
        <v>1</v>
      </c>
      <c r="R92" s="2">
        <v>0</v>
      </c>
      <c r="S92" s="2">
        <v>0</v>
      </c>
      <c r="T92" s="2">
        <v>0</v>
      </c>
      <c r="U92" s="2">
        <v>3</v>
      </c>
      <c r="V92" s="2">
        <v>0</v>
      </c>
      <c r="W92" s="2">
        <v>0</v>
      </c>
    </row>
    <row r="93" spans="1:23" x14ac:dyDescent="0.2">
      <c r="A93" t="s">
        <v>496</v>
      </c>
      <c r="B93" s="2">
        <v>24</v>
      </c>
      <c r="C93" t="s">
        <v>80</v>
      </c>
      <c r="D93" s="2" t="s">
        <v>42</v>
      </c>
      <c r="E93" s="2">
        <v>7</v>
      </c>
      <c r="F93" s="2">
        <v>0</v>
      </c>
      <c r="G93" s="2">
        <v>21</v>
      </c>
      <c r="H93" s="2">
        <v>0</v>
      </c>
      <c r="I93" s="2">
        <v>0</v>
      </c>
      <c r="J93" s="2">
        <v>46</v>
      </c>
      <c r="K93" s="2">
        <v>29</v>
      </c>
      <c r="L93" s="2">
        <v>25</v>
      </c>
      <c r="M93" s="6">
        <v>16</v>
      </c>
      <c r="N93" s="6">
        <v>7.4</v>
      </c>
      <c r="O93" s="2">
        <v>0</v>
      </c>
      <c r="P93" s="2">
        <v>0</v>
      </c>
      <c r="Q93" s="2">
        <v>3</v>
      </c>
      <c r="R93" s="2">
        <v>0</v>
      </c>
      <c r="S93" s="2">
        <v>2</v>
      </c>
      <c r="T93" s="2">
        <v>0</v>
      </c>
      <c r="U93" s="2">
        <v>0</v>
      </c>
      <c r="V93" s="2">
        <v>0</v>
      </c>
      <c r="W93" s="2">
        <v>0</v>
      </c>
    </row>
    <row r="94" spans="1:23" x14ac:dyDescent="0.2">
      <c r="A94" t="s">
        <v>536</v>
      </c>
      <c r="B94" s="2">
        <v>25</v>
      </c>
      <c r="C94" t="s">
        <v>54</v>
      </c>
      <c r="D94" s="2" t="s">
        <v>33</v>
      </c>
      <c r="E94" s="2">
        <v>1</v>
      </c>
      <c r="F94" s="2">
        <v>0</v>
      </c>
      <c r="G94" s="2">
        <v>3</v>
      </c>
      <c r="H94" s="2">
        <v>28</v>
      </c>
      <c r="I94" s="2">
        <v>73</v>
      </c>
      <c r="J94" s="2">
        <v>0</v>
      </c>
      <c r="K94" s="2">
        <v>0</v>
      </c>
      <c r="L94" s="2">
        <v>0</v>
      </c>
      <c r="M94" s="6">
        <v>19</v>
      </c>
      <c r="N94" s="6">
        <v>19.899999999999999</v>
      </c>
      <c r="O94" s="2">
        <v>0</v>
      </c>
      <c r="P94" s="2">
        <v>0</v>
      </c>
      <c r="Q94" s="2">
        <v>0</v>
      </c>
      <c r="R94" s="2">
        <v>0</v>
      </c>
      <c r="S94" s="2">
        <v>0</v>
      </c>
      <c r="T94" s="2">
        <v>0</v>
      </c>
      <c r="U94" s="2">
        <v>0</v>
      </c>
      <c r="V94" s="2">
        <v>0</v>
      </c>
      <c r="W94" s="2">
        <v>0</v>
      </c>
    </row>
    <row r="95" spans="1:23" x14ac:dyDescent="0.2">
      <c r="A95" t="s">
        <v>123</v>
      </c>
      <c r="B95" s="2">
        <v>26</v>
      </c>
      <c r="C95" t="s">
        <v>120</v>
      </c>
      <c r="D95" s="2" t="s">
        <v>52</v>
      </c>
      <c r="E95" s="2">
        <v>23</v>
      </c>
      <c r="F95" s="2">
        <v>21</v>
      </c>
      <c r="G95" s="2">
        <v>641</v>
      </c>
      <c r="H95" s="2">
        <v>15</v>
      </c>
      <c r="I95" s="2">
        <v>78</v>
      </c>
      <c r="J95" s="2">
        <v>6</v>
      </c>
      <c r="K95" s="2">
        <v>0</v>
      </c>
      <c r="L95" s="2">
        <v>0</v>
      </c>
      <c r="M95" s="7">
        <v>-3.7</v>
      </c>
      <c r="N95" s="6">
        <v>13.8</v>
      </c>
      <c r="O95" s="2">
        <v>20</v>
      </c>
      <c r="P95" s="2">
        <v>24</v>
      </c>
      <c r="Q95" s="2">
        <v>23</v>
      </c>
      <c r="R95" s="2">
        <v>4</v>
      </c>
      <c r="S95" s="2">
        <v>40</v>
      </c>
      <c r="T95" s="2">
        <v>4</v>
      </c>
      <c r="U95" s="2">
        <v>180</v>
      </c>
      <c r="V95" s="2">
        <v>8</v>
      </c>
      <c r="W95" s="2">
        <v>25</v>
      </c>
    </row>
    <row r="96" spans="1:23" x14ac:dyDescent="0.2">
      <c r="A96" t="s">
        <v>224</v>
      </c>
      <c r="B96" s="2">
        <v>25</v>
      </c>
      <c r="C96" t="s">
        <v>114</v>
      </c>
      <c r="D96" s="2" t="s">
        <v>49</v>
      </c>
      <c r="E96" s="2">
        <v>19</v>
      </c>
      <c r="F96" s="2">
        <v>0</v>
      </c>
      <c r="G96" s="2">
        <v>525</v>
      </c>
      <c r="H96" s="2">
        <v>0</v>
      </c>
      <c r="I96" s="2">
        <v>1</v>
      </c>
      <c r="J96" s="2">
        <v>38</v>
      </c>
      <c r="K96" s="2">
        <v>61</v>
      </c>
      <c r="L96" s="2">
        <v>0</v>
      </c>
      <c r="M96" s="7">
        <v>-14</v>
      </c>
      <c r="N96" s="6">
        <v>3.9</v>
      </c>
      <c r="O96" s="2">
        <v>8</v>
      </c>
      <c r="P96" s="2">
        <v>6</v>
      </c>
      <c r="Q96" s="2">
        <v>17</v>
      </c>
      <c r="R96" s="2">
        <v>2</v>
      </c>
      <c r="S96" s="2">
        <v>11</v>
      </c>
      <c r="T96" s="2">
        <v>3</v>
      </c>
      <c r="U96" s="2">
        <v>66</v>
      </c>
      <c r="V96" s="2">
        <v>1</v>
      </c>
      <c r="W96" s="2">
        <v>11</v>
      </c>
    </row>
    <row r="97" spans="1:23" x14ac:dyDescent="0.2">
      <c r="A97" t="s">
        <v>485</v>
      </c>
      <c r="B97" s="2">
        <v>33</v>
      </c>
      <c r="C97" t="s">
        <v>48</v>
      </c>
      <c r="D97" s="2" t="s">
        <v>33</v>
      </c>
      <c r="E97" s="2">
        <v>13</v>
      </c>
      <c r="F97" s="2">
        <v>0</v>
      </c>
      <c r="G97" s="2">
        <v>46</v>
      </c>
      <c r="H97" s="2">
        <v>22</v>
      </c>
      <c r="I97" s="2">
        <v>78</v>
      </c>
      <c r="J97" s="2">
        <v>0</v>
      </c>
      <c r="K97" s="2">
        <v>0</v>
      </c>
      <c r="L97" s="2">
        <v>0</v>
      </c>
      <c r="M97" s="6">
        <v>2</v>
      </c>
      <c r="N97" s="7">
        <v>-1.4</v>
      </c>
      <c r="O97" s="2">
        <v>1</v>
      </c>
      <c r="P97" s="2">
        <v>1</v>
      </c>
      <c r="Q97" s="2">
        <v>1</v>
      </c>
      <c r="R97" s="2">
        <v>0</v>
      </c>
      <c r="S97" s="2">
        <v>0</v>
      </c>
      <c r="T97" s="2">
        <v>0</v>
      </c>
      <c r="U97" s="2">
        <v>25</v>
      </c>
      <c r="V97" s="2">
        <v>0</v>
      </c>
      <c r="W97" s="2">
        <v>1</v>
      </c>
    </row>
    <row r="98" spans="1:23" x14ac:dyDescent="0.2">
      <c r="A98" t="s">
        <v>415</v>
      </c>
      <c r="B98" s="2">
        <v>24</v>
      </c>
      <c r="C98" t="s">
        <v>57</v>
      </c>
      <c r="D98" s="2" t="s">
        <v>33</v>
      </c>
      <c r="E98" s="2">
        <v>16</v>
      </c>
      <c r="F98" s="2">
        <v>0</v>
      </c>
      <c r="G98" s="2">
        <v>151</v>
      </c>
      <c r="H98" s="2">
        <v>78</v>
      </c>
      <c r="I98" s="2">
        <v>22</v>
      </c>
      <c r="J98" s="2">
        <v>0</v>
      </c>
      <c r="K98" s="2">
        <v>0</v>
      </c>
      <c r="L98" s="2">
        <v>0</v>
      </c>
      <c r="M98" s="6">
        <v>9.8000000000000007</v>
      </c>
      <c r="N98" s="7">
        <v>-1</v>
      </c>
      <c r="O98" s="2">
        <v>5</v>
      </c>
      <c r="P98" s="2">
        <v>3</v>
      </c>
      <c r="Q98" s="2">
        <v>5</v>
      </c>
      <c r="R98" s="2">
        <v>0</v>
      </c>
      <c r="S98" s="2">
        <v>2</v>
      </c>
      <c r="T98" s="2">
        <v>0</v>
      </c>
      <c r="U98" s="2">
        <v>54</v>
      </c>
      <c r="V98" s="2">
        <v>1</v>
      </c>
      <c r="W98" s="2">
        <v>4</v>
      </c>
    </row>
    <row r="99" spans="1:23" x14ac:dyDescent="0.2">
      <c r="A99" t="s">
        <v>534</v>
      </c>
      <c r="B99" s="2">
        <v>21</v>
      </c>
      <c r="C99" t="s">
        <v>103</v>
      </c>
      <c r="D99" s="2" t="s">
        <v>52</v>
      </c>
      <c r="E99" s="2">
        <v>5</v>
      </c>
      <c r="F99" s="2">
        <v>0</v>
      </c>
      <c r="G99" s="2">
        <v>10</v>
      </c>
      <c r="H99" s="2">
        <v>0</v>
      </c>
      <c r="I99" s="2">
        <v>38</v>
      </c>
      <c r="J99" s="2">
        <v>62</v>
      </c>
      <c r="K99" s="2">
        <v>0</v>
      </c>
      <c r="L99" s="2">
        <v>0</v>
      </c>
      <c r="M99" s="7">
        <v>-3</v>
      </c>
      <c r="N99" s="6">
        <v>1.4</v>
      </c>
      <c r="O99" s="2">
        <v>0</v>
      </c>
      <c r="P99" s="2">
        <v>0</v>
      </c>
      <c r="Q99" s="2">
        <v>0</v>
      </c>
      <c r="R99" s="2">
        <v>0</v>
      </c>
      <c r="S99" s="2">
        <v>1</v>
      </c>
      <c r="T99" s="2">
        <v>0</v>
      </c>
      <c r="U99" s="2">
        <v>0</v>
      </c>
      <c r="V99" s="2">
        <v>0</v>
      </c>
      <c r="W99" s="2">
        <v>1</v>
      </c>
    </row>
    <row r="100" spans="1:23" x14ac:dyDescent="0.2">
      <c r="A100" t="s">
        <v>533</v>
      </c>
      <c r="B100" s="2">
        <v>24</v>
      </c>
      <c r="C100" t="s">
        <v>66</v>
      </c>
      <c r="D100" s="2" t="s">
        <v>52</v>
      </c>
      <c r="E100" s="2">
        <v>4</v>
      </c>
      <c r="F100" s="2">
        <v>0</v>
      </c>
      <c r="G100" s="2">
        <v>33</v>
      </c>
      <c r="H100" s="2">
        <v>33</v>
      </c>
      <c r="I100" s="2">
        <v>67</v>
      </c>
      <c r="J100" s="2">
        <v>0</v>
      </c>
      <c r="K100" s="2">
        <v>0</v>
      </c>
      <c r="L100" s="2">
        <v>0</v>
      </c>
      <c r="M100" s="6">
        <v>16</v>
      </c>
      <c r="N100" s="6">
        <v>21.7</v>
      </c>
      <c r="O100" s="2">
        <v>1</v>
      </c>
      <c r="P100" s="2">
        <v>3</v>
      </c>
      <c r="Q100" s="2">
        <v>1</v>
      </c>
      <c r="R100" s="2">
        <v>0</v>
      </c>
      <c r="S100" s="2">
        <v>1</v>
      </c>
      <c r="T100" s="2">
        <v>0</v>
      </c>
      <c r="U100" s="2">
        <v>7</v>
      </c>
      <c r="V100" s="2">
        <v>1</v>
      </c>
      <c r="W100" s="2">
        <v>2</v>
      </c>
    </row>
    <row r="101" spans="1:23" x14ac:dyDescent="0.2">
      <c r="A101" t="s">
        <v>157</v>
      </c>
      <c r="B101" s="2">
        <v>28</v>
      </c>
      <c r="C101" t="s">
        <v>41</v>
      </c>
      <c r="D101" s="2" t="s">
        <v>33</v>
      </c>
      <c r="E101" s="2">
        <v>23</v>
      </c>
      <c r="F101" s="2">
        <v>10</v>
      </c>
      <c r="G101" s="2">
        <v>629</v>
      </c>
      <c r="H101" s="2">
        <v>100</v>
      </c>
      <c r="I101" s="2">
        <v>0</v>
      </c>
      <c r="J101" s="2">
        <v>0</v>
      </c>
      <c r="K101" s="2">
        <v>0</v>
      </c>
      <c r="L101" s="2">
        <v>0</v>
      </c>
      <c r="M101" s="6">
        <v>4.7</v>
      </c>
      <c r="N101" s="6">
        <v>17.399999999999999</v>
      </c>
      <c r="O101" s="2">
        <v>24</v>
      </c>
      <c r="P101" s="2">
        <v>8</v>
      </c>
      <c r="Q101" s="2">
        <v>20</v>
      </c>
      <c r="R101" s="2">
        <v>6</v>
      </c>
      <c r="S101" s="2">
        <v>21</v>
      </c>
      <c r="T101" s="2">
        <v>8</v>
      </c>
      <c r="U101" s="2">
        <v>276</v>
      </c>
      <c r="V101" s="2">
        <v>4</v>
      </c>
      <c r="W101" s="2">
        <v>8</v>
      </c>
    </row>
    <row r="102" spans="1:23" x14ac:dyDescent="0.2">
      <c r="A102" t="s">
        <v>554</v>
      </c>
      <c r="B102" s="2">
        <v>22</v>
      </c>
      <c r="C102" t="s">
        <v>51</v>
      </c>
      <c r="D102" s="2" t="s">
        <v>33</v>
      </c>
      <c r="E102" s="2">
        <v>3</v>
      </c>
      <c r="F102" s="2">
        <v>0</v>
      </c>
      <c r="G102" s="2">
        <v>13</v>
      </c>
      <c r="H102" s="2">
        <v>100</v>
      </c>
      <c r="I102" s="2">
        <v>0</v>
      </c>
      <c r="J102" s="2">
        <v>0</v>
      </c>
      <c r="K102" s="2">
        <v>0</v>
      </c>
      <c r="L102" s="2">
        <v>0</v>
      </c>
      <c r="M102" s="6">
        <v>28.2</v>
      </c>
      <c r="N102" s="6">
        <v>24.7</v>
      </c>
      <c r="O102" s="2">
        <v>1</v>
      </c>
      <c r="P102" s="2">
        <v>2</v>
      </c>
      <c r="Q102" s="2">
        <v>1</v>
      </c>
      <c r="R102" s="2">
        <v>0</v>
      </c>
      <c r="S102" s="2">
        <v>1</v>
      </c>
      <c r="T102" s="2">
        <v>0</v>
      </c>
      <c r="U102" s="2">
        <v>7</v>
      </c>
      <c r="V102" s="2">
        <v>0</v>
      </c>
      <c r="W102" s="2">
        <v>0</v>
      </c>
    </row>
    <row r="103" spans="1:23" x14ac:dyDescent="0.2">
      <c r="A103" t="s">
        <v>209</v>
      </c>
      <c r="B103" s="2">
        <v>25</v>
      </c>
      <c r="C103" t="s">
        <v>135</v>
      </c>
      <c r="D103" s="2" t="s">
        <v>33</v>
      </c>
      <c r="E103" s="2">
        <v>22</v>
      </c>
      <c r="F103" s="2">
        <v>0</v>
      </c>
      <c r="G103" s="2">
        <v>378</v>
      </c>
      <c r="H103" s="2">
        <v>77</v>
      </c>
      <c r="I103" s="2">
        <v>23</v>
      </c>
      <c r="J103" s="2">
        <v>0</v>
      </c>
      <c r="K103" s="2">
        <v>0</v>
      </c>
      <c r="L103" s="2">
        <v>0</v>
      </c>
      <c r="M103" s="6">
        <v>4.4000000000000004</v>
      </c>
      <c r="N103" s="6">
        <v>20.9</v>
      </c>
      <c r="O103" s="2">
        <v>19</v>
      </c>
      <c r="P103" s="2">
        <v>14</v>
      </c>
      <c r="Q103" s="2">
        <v>13</v>
      </c>
      <c r="R103" s="2">
        <v>2</v>
      </c>
      <c r="S103" s="2">
        <v>29</v>
      </c>
      <c r="T103" s="2">
        <v>2</v>
      </c>
      <c r="U103" s="2">
        <v>143</v>
      </c>
      <c r="V103" s="2">
        <v>9</v>
      </c>
      <c r="W103" s="2">
        <v>15</v>
      </c>
    </row>
    <row r="104" spans="1:23" x14ac:dyDescent="0.2">
      <c r="A104" t="s">
        <v>330</v>
      </c>
      <c r="B104" s="2">
        <v>22</v>
      </c>
      <c r="C104" t="s">
        <v>70</v>
      </c>
      <c r="D104" s="2" t="s">
        <v>52</v>
      </c>
      <c r="E104" s="2">
        <v>25</v>
      </c>
      <c r="F104" s="2">
        <v>0</v>
      </c>
      <c r="G104" s="2">
        <v>337</v>
      </c>
      <c r="H104" s="2">
        <v>1</v>
      </c>
      <c r="I104" s="2">
        <v>28</v>
      </c>
      <c r="J104" s="2">
        <v>66</v>
      </c>
      <c r="K104" s="2">
        <v>5</v>
      </c>
      <c r="L104" s="2">
        <v>0</v>
      </c>
      <c r="M104" s="7">
        <v>-11.5</v>
      </c>
      <c r="N104" s="7">
        <v>-11.7</v>
      </c>
      <c r="O104" s="2">
        <v>10</v>
      </c>
      <c r="P104" s="2">
        <v>5</v>
      </c>
      <c r="Q104" s="2">
        <v>18</v>
      </c>
      <c r="R104" s="2">
        <v>0</v>
      </c>
      <c r="S104" s="2">
        <v>13</v>
      </c>
      <c r="T104" s="2">
        <v>1</v>
      </c>
      <c r="U104" s="2">
        <v>59</v>
      </c>
      <c r="V104" s="2">
        <v>2</v>
      </c>
      <c r="W104" s="2">
        <v>5</v>
      </c>
    </row>
    <row r="105" spans="1:23" x14ac:dyDescent="0.2">
      <c r="A105" t="s">
        <v>184</v>
      </c>
      <c r="B105" s="2">
        <v>23</v>
      </c>
      <c r="C105" t="s">
        <v>41</v>
      </c>
      <c r="D105" s="2" t="s">
        <v>49</v>
      </c>
      <c r="E105" s="2">
        <v>24</v>
      </c>
      <c r="F105" s="2">
        <v>12</v>
      </c>
      <c r="G105" s="2">
        <v>583</v>
      </c>
      <c r="H105" s="2">
        <v>0</v>
      </c>
      <c r="I105" s="2">
        <v>40</v>
      </c>
      <c r="J105" s="2">
        <v>51</v>
      </c>
      <c r="K105" s="2">
        <v>9</v>
      </c>
      <c r="L105" s="2">
        <v>0</v>
      </c>
      <c r="M105" s="7">
        <v>-2.8</v>
      </c>
      <c r="N105" s="6">
        <v>0.7</v>
      </c>
      <c r="O105" s="2">
        <v>8</v>
      </c>
      <c r="P105" s="2">
        <v>0</v>
      </c>
      <c r="Q105" s="2">
        <v>21</v>
      </c>
      <c r="R105" s="2">
        <v>4</v>
      </c>
      <c r="S105" s="2">
        <v>9</v>
      </c>
      <c r="T105" s="2">
        <v>1</v>
      </c>
      <c r="U105" s="2">
        <v>65</v>
      </c>
      <c r="V105" s="2">
        <v>2</v>
      </c>
      <c r="W105" s="2">
        <v>11</v>
      </c>
    </row>
    <row r="106" spans="1:23" x14ac:dyDescent="0.2">
      <c r="A106" t="s">
        <v>64</v>
      </c>
      <c r="B106" s="2">
        <v>34</v>
      </c>
      <c r="C106" t="s">
        <v>35</v>
      </c>
      <c r="D106" s="2" t="s">
        <v>33</v>
      </c>
      <c r="E106" s="2">
        <v>21</v>
      </c>
      <c r="F106" s="2">
        <v>21</v>
      </c>
      <c r="G106" s="2">
        <v>763</v>
      </c>
      <c r="H106" s="2">
        <v>100</v>
      </c>
      <c r="I106" s="2">
        <v>0</v>
      </c>
      <c r="J106" s="2">
        <v>0</v>
      </c>
      <c r="K106" s="2">
        <v>0</v>
      </c>
      <c r="L106" s="2">
        <v>0</v>
      </c>
      <c r="M106" s="7">
        <v>-2.2000000000000002</v>
      </c>
      <c r="N106" s="7">
        <v>-8.8000000000000007</v>
      </c>
      <c r="O106" s="2">
        <v>46</v>
      </c>
      <c r="P106" s="2">
        <v>13</v>
      </c>
      <c r="Q106" s="2">
        <v>22</v>
      </c>
      <c r="R106" s="2">
        <v>0</v>
      </c>
      <c r="S106" s="2">
        <v>56</v>
      </c>
      <c r="T106" s="2">
        <v>3</v>
      </c>
      <c r="U106" s="2">
        <v>380</v>
      </c>
      <c r="V106" s="2">
        <v>7</v>
      </c>
      <c r="W106" s="2">
        <v>18</v>
      </c>
    </row>
    <row r="107" spans="1:23" x14ac:dyDescent="0.2">
      <c r="A107" t="s">
        <v>486</v>
      </c>
      <c r="B107" s="2">
        <v>32</v>
      </c>
      <c r="C107" t="s">
        <v>54</v>
      </c>
      <c r="D107" s="2" t="s">
        <v>52</v>
      </c>
      <c r="E107" s="2">
        <v>4</v>
      </c>
      <c r="F107" s="2">
        <v>0</v>
      </c>
      <c r="G107" s="2">
        <v>37</v>
      </c>
      <c r="H107" s="2">
        <v>0</v>
      </c>
      <c r="I107" s="2">
        <v>70</v>
      </c>
      <c r="J107" s="2">
        <v>30</v>
      </c>
      <c r="K107" s="2">
        <v>0</v>
      </c>
      <c r="L107" s="2">
        <v>0</v>
      </c>
      <c r="M107" s="7">
        <v>-1</v>
      </c>
      <c r="N107" s="7">
        <v>-0.2</v>
      </c>
      <c r="O107" s="2">
        <v>1</v>
      </c>
      <c r="P107" s="2">
        <v>1</v>
      </c>
      <c r="Q107" s="2">
        <v>0</v>
      </c>
      <c r="R107" s="2">
        <v>1</v>
      </c>
      <c r="S107" s="2">
        <v>2</v>
      </c>
      <c r="T107" s="2">
        <v>0</v>
      </c>
      <c r="U107" s="2">
        <v>10</v>
      </c>
      <c r="V107" s="2">
        <v>0</v>
      </c>
      <c r="W107" s="2">
        <v>0</v>
      </c>
    </row>
    <row r="108" spans="1:23" x14ac:dyDescent="0.2">
      <c r="A108" t="s">
        <v>155</v>
      </c>
      <c r="B108" s="2">
        <v>26</v>
      </c>
      <c r="C108" t="s">
        <v>63</v>
      </c>
      <c r="D108" s="2" t="s">
        <v>42</v>
      </c>
      <c r="E108" s="2">
        <v>24</v>
      </c>
      <c r="F108" s="2">
        <v>12</v>
      </c>
      <c r="G108" s="2">
        <v>500</v>
      </c>
      <c r="H108" s="2">
        <v>0</v>
      </c>
      <c r="I108" s="2">
        <v>0</v>
      </c>
      <c r="J108" s="2">
        <v>0</v>
      </c>
      <c r="K108" s="2">
        <v>1</v>
      </c>
      <c r="L108" s="2">
        <v>99</v>
      </c>
      <c r="M108" s="6">
        <v>2.1</v>
      </c>
      <c r="N108" s="7">
        <v>-7.7</v>
      </c>
      <c r="O108" s="2">
        <v>5</v>
      </c>
      <c r="P108" s="2">
        <v>8</v>
      </c>
      <c r="Q108" s="2">
        <v>38</v>
      </c>
      <c r="R108" s="2">
        <v>7</v>
      </c>
      <c r="S108" s="2">
        <v>33</v>
      </c>
      <c r="T108" s="2">
        <v>2</v>
      </c>
      <c r="U108" s="2">
        <v>71</v>
      </c>
      <c r="V108" s="2">
        <v>12</v>
      </c>
      <c r="W108" s="2">
        <v>11</v>
      </c>
    </row>
    <row r="109" spans="1:23" x14ac:dyDescent="0.2">
      <c r="A109" t="s">
        <v>380</v>
      </c>
      <c r="B109" s="2">
        <v>32</v>
      </c>
      <c r="C109" t="s">
        <v>117</v>
      </c>
      <c r="D109" s="2" t="s">
        <v>42</v>
      </c>
      <c r="E109" s="2">
        <v>18</v>
      </c>
      <c r="F109" s="2">
        <v>7</v>
      </c>
      <c r="G109" s="2">
        <v>257</v>
      </c>
      <c r="H109" s="2">
        <v>0</v>
      </c>
      <c r="I109" s="2">
        <v>0</v>
      </c>
      <c r="J109" s="2">
        <v>0</v>
      </c>
      <c r="K109" s="2">
        <v>0</v>
      </c>
      <c r="L109" s="2">
        <v>100</v>
      </c>
      <c r="M109" s="7">
        <v>-12.2</v>
      </c>
      <c r="N109" s="6">
        <v>0.2</v>
      </c>
      <c r="O109" s="2">
        <v>6</v>
      </c>
      <c r="P109" s="2">
        <v>1</v>
      </c>
      <c r="Q109" s="2">
        <v>15</v>
      </c>
      <c r="R109" s="2">
        <v>4</v>
      </c>
      <c r="S109" s="2">
        <v>4</v>
      </c>
      <c r="T109" s="2">
        <v>2</v>
      </c>
      <c r="U109" s="2">
        <v>51</v>
      </c>
      <c r="V109" s="2">
        <v>0</v>
      </c>
      <c r="W109" s="2">
        <v>2</v>
      </c>
    </row>
    <row r="110" spans="1:23" x14ac:dyDescent="0.2">
      <c r="A110" t="s">
        <v>560</v>
      </c>
      <c r="B110" s="2">
        <v>23</v>
      </c>
      <c r="C110" t="s">
        <v>75</v>
      </c>
      <c r="D110" s="2" t="s">
        <v>33</v>
      </c>
      <c r="E110" s="2">
        <v>2</v>
      </c>
      <c r="F110" s="2">
        <v>0</v>
      </c>
      <c r="G110" s="2">
        <v>5</v>
      </c>
      <c r="H110" s="2">
        <v>100</v>
      </c>
      <c r="I110" s="2">
        <v>0</v>
      </c>
      <c r="J110" s="2">
        <v>0</v>
      </c>
      <c r="K110" s="2">
        <v>0</v>
      </c>
      <c r="L110" s="2">
        <v>0</v>
      </c>
      <c r="M110" s="7">
        <v>-45.8</v>
      </c>
      <c r="N110" s="7">
        <v>-42.4</v>
      </c>
      <c r="O110" s="2">
        <v>0</v>
      </c>
      <c r="P110" s="2">
        <v>0</v>
      </c>
      <c r="Q110" s="2">
        <v>0</v>
      </c>
      <c r="R110" s="2">
        <v>0</v>
      </c>
      <c r="S110" s="2">
        <v>0</v>
      </c>
      <c r="T110" s="2">
        <v>0</v>
      </c>
      <c r="U110" s="2">
        <v>0</v>
      </c>
      <c r="V110" s="2">
        <v>0</v>
      </c>
      <c r="W110" s="2">
        <v>0</v>
      </c>
    </row>
    <row r="111" spans="1:23" x14ac:dyDescent="0.2">
      <c r="A111" t="s">
        <v>431</v>
      </c>
      <c r="B111" s="2">
        <v>27</v>
      </c>
      <c r="C111" t="s">
        <v>59</v>
      </c>
      <c r="D111" s="2" t="s">
        <v>52</v>
      </c>
      <c r="E111" s="2">
        <v>3</v>
      </c>
      <c r="F111" s="2">
        <v>0</v>
      </c>
      <c r="G111" s="2">
        <v>61</v>
      </c>
      <c r="H111" s="2">
        <v>0</v>
      </c>
      <c r="I111" s="2">
        <v>5</v>
      </c>
      <c r="J111" s="2">
        <v>46</v>
      </c>
      <c r="K111" s="2">
        <v>40</v>
      </c>
      <c r="L111" s="2">
        <v>10</v>
      </c>
      <c r="M111" s="7">
        <v>-6</v>
      </c>
      <c r="N111" s="7">
        <v>-0.3</v>
      </c>
      <c r="O111" s="2">
        <v>0</v>
      </c>
      <c r="P111" s="2">
        <v>2</v>
      </c>
      <c r="Q111" s="2">
        <v>3</v>
      </c>
      <c r="R111" s="2">
        <v>0</v>
      </c>
      <c r="S111" s="2">
        <v>1</v>
      </c>
      <c r="T111" s="2">
        <v>1</v>
      </c>
      <c r="U111" s="2">
        <v>8</v>
      </c>
      <c r="V111" s="2">
        <v>0</v>
      </c>
      <c r="W111" s="2">
        <v>0</v>
      </c>
    </row>
    <row r="112" spans="1:23" x14ac:dyDescent="0.2">
      <c r="A112" t="s">
        <v>429</v>
      </c>
      <c r="B112" s="2">
        <v>30</v>
      </c>
      <c r="C112" t="s">
        <v>46</v>
      </c>
      <c r="D112" s="2" t="s">
        <v>42</v>
      </c>
      <c r="E112" s="2">
        <v>10</v>
      </c>
      <c r="F112" s="2">
        <v>3</v>
      </c>
      <c r="G112" s="2">
        <v>136</v>
      </c>
      <c r="H112" s="2">
        <v>0</v>
      </c>
      <c r="I112" s="2">
        <v>0</v>
      </c>
      <c r="J112" s="2">
        <v>0</v>
      </c>
      <c r="K112" s="2">
        <v>0</v>
      </c>
      <c r="L112" s="2">
        <v>100</v>
      </c>
      <c r="M112" s="7">
        <v>-14.9</v>
      </c>
      <c r="N112" s="7">
        <v>-19.5</v>
      </c>
      <c r="O112" s="2">
        <v>8</v>
      </c>
      <c r="P112" s="2">
        <v>2</v>
      </c>
      <c r="Q112" s="2">
        <v>7</v>
      </c>
      <c r="R112" s="2">
        <v>1</v>
      </c>
      <c r="S112" s="2">
        <v>3</v>
      </c>
      <c r="T112" s="2">
        <v>1</v>
      </c>
      <c r="U112" s="2">
        <v>25</v>
      </c>
      <c r="V112" s="2">
        <v>0</v>
      </c>
      <c r="W112" s="2">
        <v>5</v>
      </c>
    </row>
    <row r="113" spans="1:23" x14ac:dyDescent="0.2">
      <c r="A113" t="s">
        <v>476</v>
      </c>
      <c r="B113" s="2">
        <v>20</v>
      </c>
      <c r="C113" t="s">
        <v>103</v>
      </c>
      <c r="D113" s="2" t="s">
        <v>49</v>
      </c>
      <c r="E113" s="2">
        <v>3</v>
      </c>
      <c r="F113" s="2">
        <v>0</v>
      </c>
      <c r="G113" s="2">
        <v>26</v>
      </c>
      <c r="H113" s="2">
        <v>0</v>
      </c>
      <c r="I113" s="2">
        <v>2</v>
      </c>
      <c r="J113" s="2">
        <v>55</v>
      </c>
      <c r="K113" s="2">
        <v>28</v>
      </c>
      <c r="L113" s="2">
        <v>15</v>
      </c>
      <c r="M113" s="7">
        <v>-9.5</v>
      </c>
      <c r="N113" s="7">
        <v>-5.3</v>
      </c>
      <c r="O113" s="2">
        <v>1</v>
      </c>
      <c r="P113" s="2">
        <v>2</v>
      </c>
      <c r="Q113" s="2">
        <v>1</v>
      </c>
      <c r="R113" s="2">
        <v>0</v>
      </c>
      <c r="S113" s="2">
        <v>0</v>
      </c>
      <c r="T113" s="2">
        <v>0</v>
      </c>
      <c r="U113" s="2">
        <v>2</v>
      </c>
      <c r="V113" s="2">
        <v>0</v>
      </c>
      <c r="W113" s="2">
        <v>1</v>
      </c>
    </row>
    <row r="114" spans="1:23" x14ac:dyDescent="0.2">
      <c r="A114" t="s">
        <v>83</v>
      </c>
      <c r="B114" s="2">
        <v>25</v>
      </c>
      <c r="C114" t="s">
        <v>57</v>
      </c>
      <c r="D114" s="2" t="s">
        <v>33</v>
      </c>
      <c r="E114" s="2">
        <v>24</v>
      </c>
      <c r="F114" s="2">
        <v>24</v>
      </c>
      <c r="G114" s="2">
        <v>728</v>
      </c>
      <c r="H114" s="2">
        <v>100</v>
      </c>
      <c r="I114" s="2">
        <v>0</v>
      </c>
      <c r="J114" s="2">
        <v>0</v>
      </c>
      <c r="K114" s="2">
        <v>0</v>
      </c>
      <c r="L114" s="2">
        <v>0</v>
      </c>
      <c r="M114" s="6">
        <v>8.9</v>
      </c>
      <c r="N114" s="7">
        <v>-4.4000000000000004</v>
      </c>
      <c r="O114" s="2">
        <v>32</v>
      </c>
      <c r="P114" s="2">
        <v>15</v>
      </c>
      <c r="Q114" s="2">
        <v>26</v>
      </c>
      <c r="R114" s="2">
        <v>3</v>
      </c>
      <c r="S114" s="2">
        <v>32</v>
      </c>
      <c r="T114" s="2">
        <v>5</v>
      </c>
      <c r="U114" s="2">
        <v>359</v>
      </c>
      <c r="V114" s="2">
        <v>6</v>
      </c>
      <c r="W114" s="2">
        <v>15</v>
      </c>
    </row>
    <row r="115" spans="1:23" x14ac:dyDescent="0.2">
      <c r="A115" t="s">
        <v>535</v>
      </c>
      <c r="B115" s="2">
        <v>25</v>
      </c>
      <c r="C115" t="s">
        <v>93</v>
      </c>
      <c r="D115" s="2" t="s">
        <v>52</v>
      </c>
      <c r="E115" s="2">
        <v>1</v>
      </c>
      <c r="F115" s="2">
        <v>0</v>
      </c>
      <c r="G115" s="2">
        <v>8</v>
      </c>
      <c r="H115" s="2">
        <v>82</v>
      </c>
      <c r="I115" s="2">
        <v>18</v>
      </c>
      <c r="J115" s="2">
        <v>0</v>
      </c>
      <c r="K115" s="2">
        <v>0</v>
      </c>
      <c r="L115" s="2">
        <v>0</v>
      </c>
      <c r="M115" s="2">
        <v>0</v>
      </c>
      <c r="N115" s="6">
        <v>2.2999999999999998</v>
      </c>
      <c r="O115" s="2">
        <v>0</v>
      </c>
      <c r="P115" s="2">
        <v>0</v>
      </c>
      <c r="Q115" s="2">
        <v>0</v>
      </c>
      <c r="R115" s="2">
        <v>0</v>
      </c>
      <c r="S115" s="2">
        <v>1</v>
      </c>
      <c r="T115" s="2">
        <v>0</v>
      </c>
      <c r="U115" s="2">
        <v>5</v>
      </c>
      <c r="V115" s="2">
        <v>0</v>
      </c>
      <c r="W115" s="2">
        <v>0</v>
      </c>
    </row>
    <row r="116" spans="1:23" x14ac:dyDescent="0.2">
      <c r="A116" t="s">
        <v>370</v>
      </c>
      <c r="B116" s="2">
        <v>23</v>
      </c>
      <c r="C116" t="s">
        <v>72</v>
      </c>
      <c r="D116" s="2" t="s">
        <v>27</v>
      </c>
      <c r="E116" s="2">
        <v>14</v>
      </c>
      <c r="F116" s="2">
        <v>1</v>
      </c>
      <c r="G116" s="2">
        <v>204</v>
      </c>
      <c r="H116" s="2">
        <v>0</v>
      </c>
      <c r="I116" s="2">
        <v>0</v>
      </c>
      <c r="J116" s="2">
        <v>4</v>
      </c>
      <c r="K116" s="2">
        <v>91</v>
      </c>
      <c r="L116" s="2">
        <v>5</v>
      </c>
      <c r="M116" s="7">
        <v>-14.2</v>
      </c>
      <c r="N116" s="7">
        <v>-14.3</v>
      </c>
      <c r="O116" s="2">
        <v>7</v>
      </c>
      <c r="P116" s="2">
        <v>4</v>
      </c>
      <c r="Q116" s="2">
        <v>8</v>
      </c>
      <c r="R116" s="2">
        <v>1</v>
      </c>
      <c r="S116" s="2">
        <v>5</v>
      </c>
      <c r="T116" s="2">
        <v>1</v>
      </c>
      <c r="U116" s="2">
        <v>44</v>
      </c>
      <c r="V116" s="2">
        <v>1</v>
      </c>
      <c r="W116" s="2">
        <v>1</v>
      </c>
    </row>
    <row r="117" spans="1:23" x14ac:dyDescent="0.2">
      <c r="A117" t="s">
        <v>249</v>
      </c>
      <c r="B117" s="2">
        <v>26</v>
      </c>
      <c r="C117" t="s">
        <v>66</v>
      </c>
      <c r="D117" s="2" t="s">
        <v>33</v>
      </c>
      <c r="E117" s="2">
        <v>26</v>
      </c>
      <c r="F117" s="2">
        <v>13</v>
      </c>
      <c r="G117" s="2">
        <v>707</v>
      </c>
      <c r="H117" s="2">
        <v>97</v>
      </c>
      <c r="I117" s="2">
        <v>3</v>
      </c>
      <c r="J117" s="2">
        <v>0</v>
      </c>
      <c r="K117" s="2">
        <v>0</v>
      </c>
      <c r="L117" s="2">
        <v>0</v>
      </c>
      <c r="M117" s="7">
        <v>-3.6</v>
      </c>
      <c r="N117" s="6">
        <v>3.4</v>
      </c>
      <c r="O117" s="2">
        <v>31</v>
      </c>
      <c r="P117" s="2">
        <v>10</v>
      </c>
      <c r="Q117" s="2">
        <v>29</v>
      </c>
      <c r="R117" s="2">
        <v>5</v>
      </c>
      <c r="S117" s="2">
        <v>10</v>
      </c>
      <c r="T117" s="2">
        <v>16</v>
      </c>
      <c r="U117" s="2">
        <v>315</v>
      </c>
      <c r="V117" s="2">
        <v>4</v>
      </c>
      <c r="W117" s="2">
        <v>12</v>
      </c>
    </row>
    <row r="118" spans="1:23" x14ac:dyDescent="0.2">
      <c r="A118" t="s">
        <v>488</v>
      </c>
      <c r="B118" s="2">
        <v>23</v>
      </c>
      <c r="C118" t="s">
        <v>103</v>
      </c>
      <c r="D118" s="2" t="s">
        <v>42</v>
      </c>
      <c r="E118" s="2">
        <v>3</v>
      </c>
      <c r="F118" s="2">
        <v>0</v>
      </c>
      <c r="G118" s="2">
        <v>44</v>
      </c>
      <c r="H118" s="2">
        <v>0</v>
      </c>
      <c r="I118" s="2">
        <v>0</v>
      </c>
      <c r="J118" s="2">
        <v>0</v>
      </c>
      <c r="K118" s="2">
        <v>0</v>
      </c>
      <c r="L118" s="2">
        <v>100</v>
      </c>
      <c r="M118" s="7">
        <v>-4.5999999999999996</v>
      </c>
      <c r="N118" s="7">
        <v>-0.2</v>
      </c>
      <c r="O118" s="2">
        <v>0</v>
      </c>
      <c r="P118" s="2">
        <v>0</v>
      </c>
      <c r="Q118" s="2">
        <v>3</v>
      </c>
      <c r="R118" s="2">
        <v>0</v>
      </c>
      <c r="S118" s="2">
        <v>3</v>
      </c>
      <c r="T118" s="2">
        <v>0</v>
      </c>
      <c r="U118" s="2">
        <v>8</v>
      </c>
      <c r="V118" s="2">
        <v>0</v>
      </c>
      <c r="W118" s="2">
        <v>0</v>
      </c>
    </row>
    <row r="119" spans="1:23" x14ac:dyDescent="0.2">
      <c r="A119" t="s">
        <v>36</v>
      </c>
      <c r="B119" s="2">
        <v>27</v>
      </c>
      <c r="C119" t="s">
        <v>37</v>
      </c>
      <c r="D119" s="2" t="s">
        <v>33</v>
      </c>
      <c r="E119" s="2">
        <v>26</v>
      </c>
      <c r="F119" s="2">
        <v>26</v>
      </c>
      <c r="G119" s="4">
        <v>968</v>
      </c>
      <c r="H119" s="2">
        <v>94</v>
      </c>
      <c r="I119" s="2">
        <v>6</v>
      </c>
      <c r="J119" s="2">
        <v>0</v>
      </c>
      <c r="K119" s="2">
        <v>0</v>
      </c>
      <c r="L119" s="2">
        <v>0</v>
      </c>
      <c r="M119" s="6">
        <v>3.3</v>
      </c>
      <c r="N119" s="7">
        <v>-0.7</v>
      </c>
      <c r="O119" s="2">
        <v>39</v>
      </c>
      <c r="P119" s="2">
        <v>40</v>
      </c>
      <c r="Q119" s="2">
        <v>18</v>
      </c>
      <c r="R119" s="2">
        <v>6</v>
      </c>
      <c r="S119" s="2">
        <v>75</v>
      </c>
      <c r="T119" s="2">
        <v>16</v>
      </c>
      <c r="U119" s="2">
        <v>387</v>
      </c>
      <c r="V119" s="2">
        <v>11</v>
      </c>
      <c r="W119" s="2">
        <v>26</v>
      </c>
    </row>
    <row r="120" spans="1:23" x14ac:dyDescent="0.2">
      <c r="A120" t="s">
        <v>160</v>
      </c>
      <c r="B120" s="2">
        <v>27</v>
      </c>
      <c r="C120" t="s">
        <v>72</v>
      </c>
      <c r="D120" s="2" t="s">
        <v>49</v>
      </c>
      <c r="E120" s="2">
        <v>15</v>
      </c>
      <c r="F120" s="2">
        <v>2</v>
      </c>
      <c r="G120" s="2">
        <v>417</v>
      </c>
      <c r="H120" s="2">
        <v>0</v>
      </c>
      <c r="I120" s="2">
        <v>0</v>
      </c>
      <c r="J120" s="2">
        <v>67</v>
      </c>
      <c r="K120" s="2">
        <v>34</v>
      </c>
      <c r="L120" s="2">
        <v>0</v>
      </c>
      <c r="M120" s="6">
        <v>1</v>
      </c>
      <c r="N120" s="6">
        <v>4.8</v>
      </c>
      <c r="O120" s="2">
        <v>9</v>
      </c>
      <c r="P120" s="2">
        <v>4</v>
      </c>
      <c r="Q120" s="2">
        <v>17</v>
      </c>
      <c r="R120" s="2">
        <v>2</v>
      </c>
      <c r="S120" s="2">
        <v>24</v>
      </c>
      <c r="T120" s="2">
        <v>4</v>
      </c>
      <c r="U120" s="2">
        <v>45</v>
      </c>
      <c r="V120" s="2">
        <v>7</v>
      </c>
      <c r="W120" s="2">
        <v>12</v>
      </c>
    </row>
    <row r="121" spans="1:23" x14ac:dyDescent="0.2">
      <c r="A121" t="s">
        <v>389</v>
      </c>
      <c r="B121" s="2">
        <v>26</v>
      </c>
      <c r="C121" t="s">
        <v>100</v>
      </c>
      <c r="D121" s="2" t="s">
        <v>52</v>
      </c>
      <c r="E121" s="2">
        <v>6</v>
      </c>
      <c r="F121" s="2">
        <v>2</v>
      </c>
      <c r="G121" s="2">
        <v>121</v>
      </c>
      <c r="H121" s="2">
        <v>52</v>
      </c>
      <c r="I121" s="2">
        <v>38</v>
      </c>
      <c r="J121" s="2">
        <v>10</v>
      </c>
      <c r="K121" s="2">
        <v>0</v>
      </c>
      <c r="L121" s="2">
        <v>0</v>
      </c>
      <c r="M121" s="6">
        <v>14.4</v>
      </c>
      <c r="N121" s="6">
        <v>10.8</v>
      </c>
      <c r="O121" s="2">
        <v>2</v>
      </c>
      <c r="P121" s="2">
        <v>3</v>
      </c>
      <c r="Q121" s="2">
        <v>6</v>
      </c>
      <c r="R121" s="2">
        <v>1</v>
      </c>
      <c r="S121" s="2">
        <v>1</v>
      </c>
      <c r="T121" s="2">
        <v>1</v>
      </c>
      <c r="U121" s="2">
        <v>38</v>
      </c>
      <c r="V121" s="2">
        <v>0</v>
      </c>
      <c r="W121" s="2">
        <v>1</v>
      </c>
    </row>
    <row r="122" spans="1:23" x14ac:dyDescent="0.2">
      <c r="A122" t="s">
        <v>348</v>
      </c>
      <c r="B122" s="2">
        <v>28</v>
      </c>
      <c r="C122" t="s">
        <v>57</v>
      </c>
      <c r="D122" s="2" t="s">
        <v>27</v>
      </c>
      <c r="E122" s="2">
        <v>17</v>
      </c>
      <c r="F122" s="2">
        <v>9</v>
      </c>
      <c r="G122" s="2">
        <v>376</v>
      </c>
      <c r="H122" s="2">
        <v>0</v>
      </c>
      <c r="I122" s="2">
        <v>0</v>
      </c>
      <c r="J122" s="2">
        <v>27</v>
      </c>
      <c r="K122" s="2">
        <v>66</v>
      </c>
      <c r="L122" s="2">
        <v>7</v>
      </c>
      <c r="M122" s="6">
        <v>10.199999999999999</v>
      </c>
      <c r="N122" s="7">
        <v>-0.7</v>
      </c>
      <c r="O122" s="2">
        <v>1</v>
      </c>
      <c r="P122" s="2">
        <v>1</v>
      </c>
      <c r="Q122" s="2">
        <v>12</v>
      </c>
      <c r="R122" s="2">
        <v>2</v>
      </c>
      <c r="S122" s="2">
        <v>6</v>
      </c>
      <c r="T122" s="2">
        <v>3</v>
      </c>
      <c r="U122" s="2">
        <v>63</v>
      </c>
      <c r="V122" s="2">
        <v>2</v>
      </c>
      <c r="W122" s="2">
        <v>4</v>
      </c>
    </row>
    <row r="123" spans="1:23" x14ac:dyDescent="0.2">
      <c r="A123" t="s">
        <v>199</v>
      </c>
      <c r="B123" s="2">
        <v>26</v>
      </c>
      <c r="C123" t="s">
        <v>135</v>
      </c>
      <c r="D123" s="2" t="s">
        <v>42</v>
      </c>
      <c r="E123" s="2">
        <v>17</v>
      </c>
      <c r="F123" s="2">
        <v>17</v>
      </c>
      <c r="G123" s="2">
        <v>513</v>
      </c>
      <c r="H123" s="2">
        <v>0</v>
      </c>
      <c r="I123" s="2">
        <v>0</v>
      </c>
      <c r="J123" s="2">
        <v>0</v>
      </c>
      <c r="K123" s="2">
        <v>0</v>
      </c>
      <c r="L123" s="2">
        <v>100</v>
      </c>
      <c r="M123" s="7">
        <v>-11.9</v>
      </c>
      <c r="N123" s="7">
        <v>-4.2</v>
      </c>
      <c r="O123" s="2">
        <v>8</v>
      </c>
      <c r="P123" s="2">
        <v>13</v>
      </c>
      <c r="Q123" s="2">
        <v>24</v>
      </c>
      <c r="R123" s="2">
        <v>6</v>
      </c>
      <c r="S123" s="2">
        <v>10</v>
      </c>
      <c r="T123" s="2">
        <v>1</v>
      </c>
      <c r="U123" s="2">
        <v>53</v>
      </c>
      <c r="V123" s="2">
        <v>5</v>
      </c>
      <c r="W123" s="2">
        <v>7</v>
      </c>
    </row>
    <row r="124" spans="1:23" x14ac:dyDescent="0.2">
      <c r="A124" t="s">
        <v>449</v>
      </c>
      <c r="B124" s="2">
        <v>36</v>
      </c>
      <c r="C124" t="s">
        <v>46</v>
      </c>
      <c r="D124" s="2" t="s">
        <v>42</v>
      </c>
      <c r="E124" s="2">
        <v>10</v>
      </c>
      <c r="F124" s="2">
        <v>0</v>
      </c>
      <c r="G124" s="2">
        <v>98</v>
      </c>
      <c r="H124" s="2">
        <v>0</v>
      </c>
      <c r="I124" s="2">
        <v>0</v>
      </c>
      <c r="J124" s="2">
        <v>0</v>
      </c>
      <c r="K124" s="2">
        <v>0</v>
      </c>
      <c r="L124" s="2">
        <v>100</v>
      </c>
      <c r="M124" s="7">
        <v>-10.9</v>
      </c>
      <c r="N124" s="7">
        <v>-14.5</v>
      </c>
      <c r="O124" s="2">
        <v>2</v>
      </c>
      <c r="P124" s="2">
        <v>4</v>
      </c>
      <c r="Q124" s="2">
        <v>5</v>
      </c>
      <c r="R124" s="2">
        <v>3</v>
      </c>
      <c r="S124" s="2">
        <v>5</v>
      </c>
      <c r="T124" s="2">
        <v>0</v>
      </c>
      <c r="U124" s="2">
        <v>17</v>
      </c>
      <c r="V124" s="2">
        <v>2</v>
      </c>
      <c r="W124" s="2">
        <v>2</v>
      </c>
    </row>
    <row r="125" spans="1:23" x14ac:dyDescent="0.2">
      <c r="A125" t="s">
        <v>285</v>
      </c>
      <c r="B125" s="2">
        <v>28</v>
      </c>
      <c r="C125" t="s">
        <v>117</v>
      </c>
      <c r="D125" s="2" t="s">
        <v>33</v>
      </c>
      <c r="E125" s="2">
        <v>9</v>
      </c>
      <c r="F125" s="2">
        <v>9</v>
      </c>
      <c r="G125" s="2">
        <v>295</v>
      </c>
      <c r="H125" s="2">
        <v>28</v>
      </c>
      <c r="I125" s="2">
        <v>73</v>
      </c>
      <c r="J125" s="2">
        <v>0</v>
      </c>
      <c r="K125" s="2">
        <v>0</v>
      </c>
      <c r="L125" s="2">
        <v>0</v>
      </c>
      <c r="M125" s="7">
        <v>-16.5</v>
      </c>
      <c r="N125" s="7">
        <v>-5.6</v>
      </c>
      <c r="O125" s="2">
        <v>20</v>
      </c>
      <c r="P125" s="2">
        <v>10</v>
      </c>
      <c r="Q125" s="2">
        <v>11</v>
      </c>
      <c r="R125" s="2">
        <v>1</v>
      </c>
      <c r="S125" s="2">
        <v>16</v>
      </c>
      <c r="T125" s="2">
        <v>0</v>
      </c>
      <c r="U125" s="2">
        <v>141</v>
      </c>
      <c r="V125" s="2">
        <v>5</v>
      </c>
      <c r="W125" s="2">
        <v>9</v>
      </c>
    </row>
    <row r="126" spans="1:23" x14ac:dyDescent="0.2">
      <c r="A126" t="s">
        <v>407</v>
      </c>
      <c r="B126" s="2">
        <v>32</v>
      </c>
      <c r="C126" t="s">
        <v>35</v>
      </c>
      <c r="D126" s="2" t="s">
        <v>33</v>
      </c>
      <c r="E126" s="2">
        <v>18</v>
      </c>
      <c r="F126" s="2">
        <v>2</v>
      </c>
      <c r="G126" s="2">
        <v>287</v>
      </c>
      <c r="H126" s="2">
        <v>84</v>
      </c>
      <c r="I126" s="2">
        <v>16</v>
      </c>
      <c r="J126" s="2">
        <v>0</v>
      </c>
      <c r="K126" s="2">
        <v>0</v>
      </c>
      <c r="L126" s="2">
        <v>0</v>
      </c>
      <c r="M126" s="7">
        <v>-4.3</v>
      </c>
      <c r="N126" s="7">
        <v>-6.8</v>
      </c>
      <c r="O126" s="2">
        <v>3</v>
      </c>
      <c r="P126" s="2">
        <v>4</v>
      </c>
      <c r="Q126" s="2">
        <v>8</v>
      </c>
      <c r="R126" s="2">
        <v>1</v>
      </c>
      <c r="S126" s="2">
        <v>4</v>
      </c>
      <c r="T126" s="2">
        <v>3</v>
      </c>
      <c r="U126" s="2">
        <v>71</v>
      </c>
      <c r="V126" s="2">
        <v>0</v>
      </c>
      <c r="W126" s="2">
        <v>4</v>
      </c>
    </row>
    <row r="127" spans="1:23" x14ac:dyDescent="0.2">
      <c r="A127" t="s">
        <v>88</v>
      </c>
      <c r="B127" s="2">
        <v>35</v>
      </c>
      <c r="C127" t="s">
        <v>37</v>
      </c>
      <c r="D127" s="2" t="s">
        <v>49</v>
      </c>
      <c r="E127" s="2">
        <v>21</v>
      </c>
      <c r="F127" s="2">
        <v>21</v>
      </c>
      <c r="G127" s="2">
        <v>747</v>
      </c>
      <c r="H127" s="2">
        <v>0</v>
      </c>
      <c r="I127" s="2">
        <v>4</v>
      </c>
      <c r="J127" s="2">
        <v>84</v>
      </c>
      <c r="K127" s="2">
        <v>12</v>
      </c>
      <c r="L127" s="2">
        <v>0</v>
      </c>
      <c r="M127" s="6">
        <v>3.9</v>
      </c>
      <c r="N127" s="6">
        <v>1</v>
      </c>
      <c r="O127" s="2">
        <v>17</v>
      </c>
      <c r="P127" s="2">
        <v>14</v>
      </c>
      <c r="Q127" s="2">
        <v>20</v>
      </c>
      <c r="R127" s="2">
        <v>3</v>
      </c>
      <c r="S127" s="2">
        <v>76</v>
      </c>
      <c r="T127" s="2">
        <v>7</v>
      </c>
      <c r="U127" s="2">
        <v>205</v>
      </c>
      <c r="V127" s="2">
        <v>24</v>
      </c>
      <c r="W127" s="2">
        <v>14</v>
      </c>
    </row>
    <row r="128" spans="1:23" x14ac:dyDescent="0.2">
      <c r="A128" t="s">
        <v>169</v>
      </c>
      <c r="B128" s="2">
        <v>24</v>
      </c>
      <c r="C128" t="s">
        <v>135</v>
      </c>
      <c r="D128" s="2" t="s">
        <v>49</v>
      </c>
      <c r="E128" s="2">
        <v>24</v>
      </c>
      <c r="F128" s="2">
        <v>12</v>
      </c>
      <c r="G128" s="2">
        <v>638</v>
      </c>
      <c r="H128" s="2">
        <v>0</v>
      </c>
      <c r="I128" s="2">
        <v>36</v>
      </c>
      <c r="J128" s="2">
        <v>45</v>
      </c>
      <c r="K128" s="2">
        <v>19</v>
      </c>
      <c r="L128" s="2">
        <v>1</v>
      </c>
      <c r="M128" s="7">
        <v>-9.1999999999999993</v>
      </c>
      <c r="N128" s="6">
        <v>0.8</v>
      </c>
      <c r="O128" s="2">
        <v>28</v>
      </c>
      <c r="P128" s="2">
        <v>11</v>
      </c>
      <c r="Q128" s="2">
        <v>35</v>
      </c>
      <c r="R128" s="2">
        <v>4</v>
      </c>
      <c r="S128" s="2">
        <v>42</v>
      </c>
      <c r="T128" s="2">
        <v>1</v>
      </c>
      <c r="U128" s="2">
        <v>176</v>
      </c>
      <c r="V128" s="2">
        <v>11</v>
      </c>
      <c r="W128" s="2">
        <v>17</v>
      </c>
    </row>
    <row r="129" spans="1:23" x14ac:dyDescent="0.2">
      <c r="A129" t="s">
        <v>112</v>
      </c>
      <c r="B129" s="2">
        <v>31</v>
      </c>
      <c r="C129" t="s">
        <v>103</v>
      </c>
      <c r="D129" s="2" t="s">
        <v>33</v>
      </c>
      <c r="E129" s="2">
        <v>22</v>
      </c>
      <c r="F129" s="2">
        <v>22</v>
      </c>
      <c r="G129" s="2">
        <v>746</v>
      </c>
      <c r="H129" s="2">
        <v>100</v>
      </c>
      <c r="I129" s="2">
        <v>0</v>
      </c>
      <c r="J129" s="2">
        <v>0</v>
      </c>
      <c r="K129" s="2">
        <v>0</v>
      </c>
      <c r="L129" s="2">
        <v>0</v>
      </c>
      <c r="M129" s="7">
        <v>-0.1</v>
      </c>
      <c r="N129" s="6">
        <v>12.2</v>
      </c>
      <c r="O129" s="2">
        <v>34</v>
      </c>
      <c r="P129" s="2">
        <v>10</v>
      </c>
      <c r="Q129" s="2">
        <v>23</v>
      </c>
      <c r="R129" s="2">
        <v>4</v>
      </c>
      <c r="S129" s="2">
        <v>26</v>
      </c>
      <c r="T129" s="2">
        <v>13</v>
      </c>
      <c r="U129" s="2">
        <v>360</v>
      </c>
      <c r="V129" s="2">
        <v>7</v>
      </c>
      <c r="W129" s="2">
        <v>24</v>
      </c>
    </row>
    <row r="130" spans="1:23" x14ac:dyDescent="0.2">
      <c r="A130" t="s">
        <v>256</v>
      </c>
      <c r="B130" s="2">
        <v>20</v>
      </c>
      <c r="C130" t="s">
        <v>63</v>
      </c>
      <c r="D130" s="2" t="s">
        <v>42</v>
      </c>
      <c r="E130" s="2">
        <v>20</v>
      </c>
      <c r="F130" s="2">
        <v>13</v>
      </c>
      <c r="G130" s="2">
        <v>470</v>
      </c>
      <c r="H130" s="2">
        <v>0</v>
      </c>
      <c r="I130" s="2">
        <v>0</v>
      </c>
      <c r="J130" s="2">
        <v>0</v>
      </c>
      <c r="K130" s="2">
        <v>0</v>
      </c>
      <c r="L130" s="2">
        <v>100</v>
      </c>
      <c r="M130" s="6">
        <v>10.3</v>
      </c>
      <c r="N130" s="6">
        <v>6.1</v>
      </c>
      <c r="O130" s="2">
        <v>10</v>
      </c>
      <c r="P130" s="2">
        <v>4</v>
      </c>
      <c r="Q130" s="2">
        <v>33</v>
      </c>
      <c r="R130" s="2">
        <v>8</v>
      </c>
      <c r="S130" s="2">
        <v>26</v>
      </c>
      <c r="T130" s="2">
        <v>0</v>
      </c>
      <c r="U130" s="2">
        <v>123</v>
      </c>
      <c r="V130" s="2">
        <v>5</v>
      </c>
      <c r="W130" s="2">
        <v>14</v>
      </c>
    </row>
    <row r="131" spans="1:23" x14ac:dyDescent="0.2">
      <c r="A131" t="s">
        <v>188</v>
      </c>
      <c r="B131" s="2">
        <v>27</v>
      </c>
      <c r="C131" t="s">
        <v>77</v>
      </c>
      <c r="D131" s="2" t="s">
        <v>49</v>
      </c>
      <c r="E131" s="2">
        <v>25</v>
      </c>
      <c r="F131" s="2">
        <v>25</v>
      </c>
      <c r="G131" s="2">
        <v>625</v>
      </c>
      <c r="H131" s="2">
        <v>0</v>
      </c>
      <c r="I131" s="2">
        <v>1</v>
      </c>
      <c r="J131" s="2">
        <v>6</v>
      </c>
      <c r="K131" s="2">
        <v>92</v>
      </c>
      <c r="L131" s="2">
        <v>2</v>
      </c>
      <c r="M131" s="6">
        <v>0.3</v>
      </c>
      <c r="N131" s="7">
        <v>-1.8</v>
      </c>
      <c r="O131" s="2">
        <v>9</v>
      </c>
      <c r="P131" s="2">
        <v>10</v>
      </c>
      <c r="Q131" s="2">
        <v>26</v>
      </c>
      <c r="R131" s="2">
        <v>5</v>
      </c>
      <c r="S131" s="2">
        <v>19</v>
      </c>
      <c r="T131" s="2">
        <v>8</v>
      </c>
      <c r="U131" s="2">
        <v>57</v>
      </c>
      <c r="V131" s="2">
        <v>7</v>
      </c>
      <c r="W131" s="2">
        <v>14</v>
      </c>
    </row>
    <row r="132" spans="1:23" x14ac:dyDescent="0.2">
      <c r="A132" t="s">
        <v>108</v>
      </c>
      <c r="B132" s="2">
        <v>30</v>
      </c>
      <c r="C132" t="s">
        <v>39</v>
      </c>
      <c r="D132" s="2" t="s">
        <v>52</v>
      </c>
      <c r="E132" s="2">
        <v>24</v>
      </c>
      <c r="F132" s="2">
        <v>24</v>
      </c>
      <c r="G132" s="2">
        <v>827</v>
      </c>
      <c r="H132" s="2">
        <v>8</v>
      </c>
      <c r="I132" s="2">
        <v>84</v>
      </c>
      <c r="J132" s="2">
        <v>8</v>
      </c>
      <c r="K132" s="2">
        <v>0</v>
      </c>
      <c r="L132" s="2">
        <v>0</v>
      </c>
      <c r="M132" s="6">
        <v>11.5</v>
      </c>
      <c r="N132" s="6">
        <v>5.6</v>
      </c>
      <c r="O132" s="2">
        <v>28</v>
      </c>
      <c r="P132" s="2">
        <v>5</v>
      </c>
      <c r="Q132" s="2">
        <v>35</v>
      </c>
      <c r="R132" s="2">
        <v>2</v>
      </c>
      <c r="S132" s="2">
        <v>20</v>
      </c>
      <c r="T132" s="2">
        <v>5</v>
      </c>
      <c r="U132" s="2">
        <v>287</v>
      </c>
      <c r="V132" s="2">
        <v>3</v>
      </c>
      <c r="W132" s="2">
        <v>13</v>
      </c>
    </row>
    <row r="133" spans="1:23" x14ac:dyDescent="0.2">
      <c r="A133" t="s">
        <v>194</v>
      </c>
      <c r="B133" s="2">
        <v>26</v>
      </c>
      <c r="C133" t="s">
        <v>80</v>
      </c>
      <c r="D133" s="2" t="s">
        <v>52</v>
      </c>
      <c r="E133" s="2">
        <v>17</v>
      </c>
      <c r="F133" s="2">
        <v>16</v>
      </c>
      <c r="G133" s="2">
        <v>481</v>
      </c>
      <c r="H133" s="2">
        <v>3</v>
      </c>
      <c r="I133" s="2">
        <v>70</v>
      </c>
      <c r="J133" s="2">
        <v>27</v>
      </c>
      <c r="K133" s="2">
        <v>0</v>
      </c>
      <c r="L133" s="2">
        <v>0</v>
      </c>
      <c r="M133" s="6">
        <v>6.6</v>
      </c>
      <c r="N133" s="7">
        <v>-3.4</v>
      </c>
      <c r="O133" s="2">
        <v>21</v>
      </c>
      <c r="P133" s="2">
        <v>8</v>
      </c>
      <c r="Q133" s="2">
        <v>21</v>
      </c>
      <c r="R133" s="2">
        <v>5</v>
      </c>
      <c r="S133" s="2">
        <v>12</v>
      </c>
      <c r="T133" s="2">
        <v>0</v>
      </c>
      <c r="U133" s="2">
        <v>164</v>
      </c>
      <c r="V133" s="2">
        <v>3</v>
      </c>
      <c r="W133" s="2">
        <v>15</v>
      </c>
    </row>
    <row r="134" spans="1:23" x14ac:dyDescent="0.2">
      <c r="A134" t="s">
        <v>53</v>
      </c>
      <c r="B134" s="2">
        <v>28</v>
      </c>
      <c r="C134" t="s">
        <v>54</v>
      </c>
      <c r="D134" s="2" t="s">
        <v>52</v>
      </c>
      <c r="E134" s="2">
        <v>23</v>
      </c>
      <c r="F134" s="2">
        <v>23</v>
      </c>
      <c r="G134" s="2">
        <v>851</v>
      </c>
      <c r="H134" s="2">
        <v>1</v>
      </c>
      <c r="I134" s="2">
        <v>30</v>
      </c>
      <c r="J134" s="2">
        <v>60</v>
      </c>
      <c r="K134" s="2">
        <v>9</v>
      </c>
      <c r="L134" s="2">
        <v>0</v>
      </c>
      <c r="M134" s="7">
        <v>-2.5</v>
      </c>
      <c r="N134" s="7">
        <v>-7.2</v>
      </c>
      <c r="O134" s="2">
        <v>21</v>
      </c>
      <c r="P134" s="2">
        <v>22</v>
      </c>
      <c r="Q134" s="2">
        <v>20</v>
      </c>
      <c r="R134" s="2">
        <v>7</v>
      </c>
      <c r="S134" s="2">
        <v>62</v>
      </c>
      <c r="T134" s="2">
        <v>8</v>
      </c>
      <c r="U134" s="2">
        <v>376</v>
      </c>
      <c r="V134" s="2">
        <v>9</v>
      </c>
      <c r="W134" s="2">
        <v>24</v>
      </c>
    </row>
    <row r="135" spans="1:23" x14ac:dyDescent="0.2">
      <c r="A135" t="s">
        <v>282</v>
      </c>
      <c r="B135" s="2">
        <v>24</v>
      </c>
      <c r="C135" t="s">
        <v>93</v>
      </c>
      <c r="D135" s="2" t="s">
        <v>52</v>
      </c>
      <c r="E135" s="2">
        <v>9</v>
      </c>
      <c r="F135" s="2">
        <v>0</v>
      </c>
      <c r="G135" s="2">
        <v>216</v>
      </c>
      <c r="H135" s="2">
        <v>0</v>
      </c>
      <c r="I135" s="2">
        <v>76</v>
      </c>
      <c r="J135" s="2">
        <v>24</v>
      </c>
      <c r="K135" s="2">
        <v>0</v>
      </c>
      <c r="L135" s="2">
        <v>0</v>
      </c>
      <c r="M135" s="7">
        <v>-15.3</v>
      </c>
      <c r="N135" s="7">
        <v>-16.2</v>
      </c>
      <c r="O135" s="2">
        <v>10</v>
      </c>
      <c r="P135" s="2">
        <v>4</v>
      </c>
      <c r="Q135" s="2">
        <v>11</v>
      </c>
      <c r="R135" s="2">
        <v>0</v>
      </c>
      <c r="S135" s="2">
        <v>10</v>
      </c>
      <c r="T135" s="2">
        <v>0</v>
      </c>
      <c r="U135" s="2">
        <v>64</v>
      </c>
      <c r="V135" s="2">
        <v>5</v>
      </c>
      <c r="W135" s="2">
        <v>6</v>
      </c>
    </row>
    <row r="136" spans="1:23" x14ac:dyDescent="0.2">
      <c r="A136" t="s">
        <v>150</v>
      </c>
      <c r="B136" s="2">
        <v>29</v>
      </c>
      <c r="C136" t="s">
        <v>87</v>
      </c>
      <c r="D136" s="2" t="s">
        <v>49</v>
      </c>
      <c r="E136" s="2">
        <v>25</v>
      </c>
      <c r="F136" s="2">
        <v>25</v>
      </c>
      <c r="G136" s="2">
        <v>782</v>
      </c>
      <c r="H136" s="2">
        <v>0</v>
      </c>
      <c r="I136" s="2">
        <v>34</v>
      </c>
      <c r="J136" s="2">
        <v>66</v>
      </c>
      <c r="K136" s="2">
        <v>0</v>
      </c>
      <c r="L136" s="2">
        <v>0</v>
      </c>
      <c r="M136" s="6">
        <v>9.9</v>
      </c>
      <c r="N136" s="6">
        <v>8.8000000000000007</v>
      </c>
      <c r="O136" s="2">
        <v>13</v>
      </c>
      <c r="P136" s="2">
        <v>4</v>
      </c>
      <c r="Q136" s="2">
        <v>33</v>
      </c>
      <c r="R136" s="2">
        <v>5</v>
      </c>
      <c r="S136" s="2">
        <v>15</v>
      </c>
      <c r="T136" s="2">
        <v>8</v>
      </c>
      <c r="U136" s="2">
        <v>95</v>
      </c>
      <c r="V136" s="2">
        <v>3</v>
      </c>
      <c r="W136" s="2">
        <v>15</v>
      </c>
    </row>
    <row r="137" spans="1:23" x14ac:dyDescent="0.2">
      <c r="A137" t="s">
        <v>404</v>
      </c>
      <c r="B137" s="2">
        <v>23</v>
      </c>
      <c r="C137" t="s">
        <v>32</v>
      </c>
      <c r="D137" s="2" t="s">
        <v>49</v>
      </c>
      <c r="E137" s="2">
        <v>21</v>
      </c>
      <c r="F137" s="2">
        <v>0</v>
      </c>
      <c r="G137" s="2">
        <v>177</v>
      </c>
      <c r="H137" s="2">
        <v>0</v>
      </c>
      <c r="I137" s="2">
        <v>0</v>
      </c>
      <c r="J137" s="2">
        <v>13</v>
      </c>
      <c r="K137" s="2">
        <v>44</v>
      </c>
      <c r="L137" s="2">
        <v>43</v>
      </c>
      <c r="M137" s="7">
        <v>-1.2</v>
      </c>
      <c r="N137" s="7">
        <v>-15.9</v>
      </c>
      <c r="O137" s="2">
        <v>3</v>
      </c>
      <c r="P137" s="2">
        <v>2</v>
      </c>
      <c r="Q137" s="2">
        <v>11</v>
      </c>
      <c r="R137" s="2">
        <v>1</v>
      </c>
      <c r="S137" s="2">
        <v>1</v>
      </c>
      <c r="T137" s="2">
        <v>1</v>
      </c>
      <c r="U137" s="2">
        <v>37</v>
      </c>
      <c r="V137" s="2">
        <v>0</v>
      </c>
      <c r="W137" s="2">
        <v>3</v>
      </c>
    </row>
    <row r="138" spans="1:23" x14ac:dyDescent="0.2">
      <c r="A138" t="s">
        <v>78</v>
      </c>
      <c r="B138" s="2">
        <v>28</v>
      </c>
      <c r="C138" t="s">
        <v>37</v>
      </c>
      <c r="D138" s="2" t="s">
        <v>42</v>
      </c>
      <c r="E138" s="2">
        <v>24</v>
      </c>
      <c r="F138" s="2">
        <v>24</v>
      </c>
      <c r="G138" s="2">
        <v>859</v>
      </c>
      <c r="H138" s="2">
        <v>0</v>
      </c>
      <c r="I138" s="2">
        <v>0</v>
      </c>
      <c r="J138" s="2">
        <v>0</v>
      </c>
      <c r="K138" s="2">
        <v>1</v>
      </c>
      <c r="L138" s="2">
        <v>99</v>
      </c>
      <c r="M138" s="6">
        <v>6.3</v>
      </c>
      <c r="N138" s="6">
        <v>9</v>
      </c>
      <c r="O138" s="2">
        <v>24</v>
      </c>
      <c r="P138" s="2">
        <v>28</v>
      </c>
      <c r="Q138" s="2">
        <v>32</v>
      </c>
      <c r="R138" s="2">
        <v>18</v>
      </c>
      <c r="S138" s="2">
        <v>51</v>
      </c>
      <c r="T138" s="2">
        <v>3</v>
      </c>
      <c r="U138" s="2">
        <v>341</v>
      </c>
      <c r="V138" s="2">
        <v>11</v>
      </c>
      <c r="W138" s="2">
        <v>19</v>
      </c>
    </row>
    <row r="139" spans="1:23" x14ac:dyDescent="0.2">
      <c r="A139" t="s">
        <v>552</v>
      </c>
      <c r="B139" s="2">
        <v>21</v>
      </c>
      <c r="C139" t="s">
        <v>72</v>
      </c>
      <c r="D139" s="2" t="s">
        <v>49</v>
      </c>
      <c r="E139" s="2">
        <v>2</v>
      </c>
      <c r="F139" s="2">
        <v>0</v>
      </c>
      <c r="G139" s="2">
        <v>11</v>
      </c>
      <c r="H139" s="2">
        <v>0</v>
      </c>
      <c r="I139" s="2">
        <v>0</v>
      </c>
      <c r="J139" s="2">
        <v>78</v>
      </c>
      <c r="K139" s="2">
        <v>22</v>
      </c>
      <c r="L139" s="2">
        <v>0</v>
      </c>
      <c r="M139" s="7">
        <v>-20.8</v>
      </c>
      <c r="N139" s="7">
        <v>-18.8</v>
      </c>
      <c r="O139" s="2">
        <v>0</v>
      </c>
      <c r="P139" s="2">
        <v>0</v>
      </c>
      <c r="Q139" s="2">
        <v>1</v>
      </c>
      <c r="R139" s="2">
        <v>0</v>
      </c>
      <c r="S139" s="2">
        <v>1</v>
      </c>
      <c r="T139" s="2">
        <v>0</v>
      </c>
      <c r="U139" s="2">
        <v>0</v>
      </c>
      <c r="V139" s="2">
        <v>0</v>
      </c>
      <c r="W139" s="2">
        <v>0</v>
      </c>
    </row>
    <row r="140" spans="1:23" x14ac:dyDescent="0.2">
      <c r="A140" t="s">
        <v>339</v>
      </c>
      <c r="B140" s="2">
        <v>20</v>
      </c>
      <c r="C140" t="s">
        <v>135</v>
      </c>
      <c r="D140" s="2" t="s">
        <v>42</v>
      </c>
      <c r="E140" s="2">
        <v>17</v>
      </c>
      <c r="F140" s="2">
        <v>6</v>
      </c>
      <c r="G140" s="2">
        <v>289</v>
      </c>
      <c r="H140" s="2">
        <v>0</v>
      </c>
      <c r="I140" s="2">
        <v>0</v>
      </c>
      <c r="J140" s="2">
        <v>0</v>
      </c>
      <c r="K140" s="2">
        <v>0</v>
      </c>
      <c r="L140" s="2">
        <v>100</v>
      </c>
      <c r="M140" s="7">
        <v>-9.1999999999999993</v>
      </c>
      <c r="N140" s="6">
        <v>0.4</v>
      </c>
      <c r="O140" s="2">
        <v>6</v>
      </c>
      <c r="P140" s="2">
        <v>6</v>
      </c>
      <c r="Q140" s="2">
        <v>40</v>
      </c>
      <c r="R140" s="2">
        <v>4</v>
      </c>
      <c r="S140" s="2">
        <v>13</v>
      </c>
      <c r="T140" s="2">
        <v>1</v>
      </c>
      <c r="U140" s="2">
        <v>11</v>
      </c>
      <c r="V140" s="2">
        <v>4</v>
      </c>
      <c r="W140" s="2">
        <v>8</v>
      </c>
    </row>
    <row r="141" spans="1:23" x14ac:dyDescent="0.2">
      <c r="A141" t="s">
        <v>56</v>
      </c>
      <c r="B141" s="2">
        <v>28</v>
      </c>
      <c r="C141" t="s">
        <v>57</v>
      </c>
      <c r="D141" s="2" t="s">
        <v>52</v>
      </c>
      <c r="E141" s="2">
        <v>24</v>
      </c>
      <c r="F141" s="2">
        <v>24</v>
      </c>
      <c r="G141" s="2">
        <v>765</v>
      </c>
      <c r="H141" s="2">
        <v>42</v>
      </c>
      <c r="I141" s="2">
        <v>58</v>
      </c>
      <c r="J141" s="2">
        <v>0</v>
      </c>
      <c r="K141" s="2">
        <v>0</v>
      </c>
      <c r="L141" s="2">
        <v>0</v>
      </c>
      <c r="M141" s="6">
        <v>11</v>
      </c>
      <c r="N141" s="6">
        <v>0.7</v>
      </c>
      <c r="O141" s="2">
        <v>21</v>
      </c>
      <c r="P141" s="2">
        <v>23</v>
      </c>
      <c r="Q141" s="2">
        <v>22</v>
      </c>
      <c r="R141" s="2">
        <v>6</v>
      </c>
      <c r="S141" s="2">
        <v>32</v>
      </c>
      <c r="T141" s="2">
        <v>4</v>
      </c>
      <c r="U141" s="2">
        <v>265</v>
      </c>
      <c r="V141" s="2">
        <v>8</v>
      </c>
      <c r="W141" s="2">
        <v>16</v>
      </c>
    </row>
    <row r="142" spans="1:23" x14ac:dyDescent="0.2">
      <c r="A142" t="s">
        <v>234</v>
      </c>
      <c r="B142" s="2">
        <v>28</v>
      </c>
      <c r="C142" t="s">
        <v>51</v>
      </c>
      <c r="D142" s="2" t="s">
        <v>52</v>
      </c>
      <c r="E142" s="2">
        <v>23</v>
      </c>
      <c r="F142" s="2">
        <v>2</v>
      </c>
      <c r="G142" s="2">
        <v>579</v>
      </c>
      <c r="H142" s="2">
        <v>66</v>
      </c>
      <c r="I142" s="2">
        <v>34</v>
      </c>
      <c r="J142" s="2">
        <v>0</v>
      </c>
      <c r="K142" s="2">
        <v>0</v>
      </c>
      <c r="L142" s="2">
        <v>0</v>
      </c>
      <c r="M142" s="6">
        <v>3.8</v>
      </c>
      <c r="N142" s="7">
        <v>-0.1</v>
      </c>
      <c r="O142" s="2">
        <v>24</v>
      </c>
      <c r="P142" s="2">
        <v>13</v>
      </c>
      <c r="Q142" s="2">
        <v>17</v>
      </c>
      <c r="R142" s="2">
        <v>1</v>
      </c>
      <c r="S142" s="2">
        <v>4</v>
      </c>
      <c r="T142" s="2">
        <v>6</v>
      </c>
      <c r="U142" s="2">
        <v>197</v>
      </c>
      <c r="V142" s="2">
        <v>0</v>
      </c>
      <c r="W142" s="2">
        <v>8</v>
      </c>
    </row>
    <row r="143" spans="1:23" x14ac:dyDescent="0.2">
      <c r="A143" t="s">
        <v>261</v>
      </c>
      <c r="B143" s="2">
        <v>31</v>
      </c>
      <c r="C143" t="s">
        <v>103</v>
      </c>
      <c r="D143" s="2" t="s">
        <v>27</v>
      </c>
      <c r="E143" s="2">
        <v>16</v>
      </c>
      <c r="F143" s="2">
        <v>16</v>
      </c>
      <c r="G143" s="2">
        <v>466</v>
      </c>
      <c r="H143" s="2">
        <v>0</v>
      </c>
      <c r="I143" s="2">
        <v>3</v>
      </c>
      <c r="J143" s="2">
        <v>55</v>
      </c>
      <c r="K143" s="2">
        <v>41</v>
      </c>
      <c r="L143" s="2">
        <v>1</v>
      </c>
      <c r="M143" s="6">
        <v>5</v>
      </c>
      <c r="N143" s="6">
        <v>15.6</v>
      </c>
      <c r="O143" s="2">
        <v>9</v>
      </c>
      <c r="P143" s="2">
        <v>3</v>
      </c>
      <c r="Q143" s="2">
        <v>26</v>
      </c>
      <c r="R143" s="2">
        <v>2</v>
      </c>
      <c r="S143" s="2">
        <v>6</v>
      </c>
      <c r="T143" s="2">
        <v>2</v>
      </c>
      <c r="U143" s="2">
        <v>67</v>
      </c>
      <c r="V143" s="2">
        <v>2</v>
      </c>
      <c r="W143" s="2">
        <v>7</v>
      </c>
    </row>
    <row r="144" spans="1:23" x14ac:dyDescent="0.2">
      <c r="A144" t="s">
        <v>382</v>
      </c>
      <c r="B144" s="2">
        <v>33</v>
      </c>
      <c r="C144" t="s">
        <v>37</v>
      </c>
      <c r="D144" s="2" t="s">
        <v>49</v>
      </c>
      <c r="E144" s="2">
        <v>19</v>
      </c>
      <c r="F144" s="2">
        <v>2</v>
      </c>
      <c r="G144" s="2">
        <v>155</v>
      </c>
      <c r="H144" s="2">
        <v>0</v>
      </c>
      <c r="I144" s="2">
        <v>2</v>
      </c>
      <c r="J144" s="2">
        <v>67</v>
      </c>
      <c r="K144" s="2">
        <v>31</v>
      </c>
      <c r="L144" s="2">
        <v>0</v>
      </c>
      <c r="M144" s="6">
        <v>10.6</v>
      </c>
      <c r="N144" s="6">
        <v>8.1</v>
      </c>
      <c r="O144" s="2">
        <v>1</v>
      </c>
      <c r="P144" s="2">
        <v>0</v>
      </c>
      <c r="Q144" s="2">
        <v>10</v>
      </c>
      <c r="R144" s="2">
        <v>1</v>
      </c>
      <c r="S144" s="2">
        <v>2</v>
      </c>
      <c r="T144" s="2">
        <v>0</v>
      </c>
      <c r="U144" s="2">
        <v>6</v>
      </c>
      <c r="V144" s="2">
        <v>0</v>
      </c>
      <c r="W144" s="2">
        <v>1</v>
      </c>
    </row>
    <row r="145" spans="1:23" x14ac:dyDescent="0.2">
      <c r="A145" t="s">
        <v>240</v>
      </c>
      <c r="B145" s="2">
        <v>34</v>
      </c>
      <c r="C145" t="s">
        <v>100</v>
      </c>
      <c r="D145" s="2" t="s">
        <v>27</v>
      </c>
      <c r="E145" s="2">
        <v>22</v>
      </c>
      <c r="F145" s="2">
        <v>21</v>
      </c>
      <c r="G145" s="2">
        <v>629</v>
      </c>
      <c r="H145" s="2">
        <v>0</v>
      </c>
      <c r="I145" s="2">
        <v>0</v>
      </c>
      <c r="J145" s="2">
        <v>11</v>
      </c>
      <c r="K145" s="2">
        <v>73</v>
      </c>
      <c r="L145" s="2">
        <v>16</v>
      </c>
      <c r="M145" s="6">
        <v>6.8</v>
      </c>
      <c r="N145" s="6">
        <v>4.3</v>
      </c>
      <c r="O145" s="2">
        <v>45</v>
      </c>
      <c r="P145" s="2">
        <v>3</v>
      </c>
      <c r="Q145" s="2">
        <v>44</v>
      </c>
      <c r="R145" s="2">
        <v>5</v>
      </c>
      <c r="S145" s="2">
        <v>14</v>
      </c>
      <c r="T145" s="2">
        <v>8</v>
      </c>
      <c r="U145" s="2">
        <v>320</v>
      </c>
      <c r="V145" s="2">
        <v>7</v>
      </c>
      <c r="W145" s="2">
        <v>5</v>
      </c>
    </row>
    <row r="146" spans="1:23" x14ac:dyDescent="0.2">
      <c r="A146" t="s">
        <v>353</v>
      </c>
      <c r="B146" s="2">
        <v>27</v>
      </c>
      <c r="C146" t="s">
        <v>120</v>
      </c>
      <c r="D146" s="2" t="s">
        <v>42</v>
      </c>
      <c r="E146" s="2">
        <v>20</v>
      </c>
      <c r="F146" s="2">
        <v>0</v>
      </c>
      <c r="G146" s="2">
        <v>271</v>
      </c>
      <c r="H146" s="2">
        <v>0</v>
      </c>
      <c r="I146" s="2">
        <v>0</v>
      </c>
      <c r="J146" s="2">
        <v>0</v>
      </c>
      <c r="K146" s="2">
        <v>20</v>
      </c>
      <c r="L146" s="2">
        <v>80</v>
      </c>
      <c r="M146" s="7">
        <v>-5.4</v>
      </c>
      <c r="N146" s="6">
        <v>5.6</v>
      </c>
      <c r="O146" s="2">
        <v>6</v>
      </c>
      <c r="P146" s="2">
        <v>5</v>
      </c>
      <c r="Q146" s="2">
        <v>17</v>
      </c>
      <c r="R146" s="2">
        <v>2</v>
      </c>
      <c r="S146" s="2">
        <v>12</v>
      </c>
      <c r="T146" s="2">
        <v>0</v>
      </c>
      <c r="U146" s="2">
        <v>60</v>
      </c>
      <c r="V146" s="2">
        <v>0</v>
      </c>
      <c r="W146" s="2">
        <v>6</v>
      </c>
    </row>
    <row r="147" spans="1:23" x14ac:dyDescent="0.2">
      <c r="A147" t="s">
        <v>467</v>
      </c>
      <c r="B147" s="2">
        <v>25</v>
      </c>
      <c r="C147" t="s">
        <v>39</v>
      </c>
      <c r="D147" s="2" t="s">
        <v>27</v>
      </c>
      <c r="E147" s="2">
        <v>7</v>
      </c>
      <c r="F147" s="2">
        <v>0</v>
      </c>
      <c r="G147" s="2">
        <v>81</v>
      </c>
      <c r="H147" s="2">
        <v>0</v>
      </c>
      <c r="I147" s="2">
        <v>0</v>
      </c>
      <c r="J147" s="2">
        <v>35</v>
      </c>
      <c r="K147" s="2">
        <v>60</v>
      </c>
      <c r="L147" s="2">
        <v>5</v>
      </c>
      <c r="M147" s="7">
        <v>-1.7</v>
      </c>
      <c r="N147" s="7">
        <v>-12.3</v>
      </c>
      <c r="O147" s="2">
        <v>1</v>
      </c>
      <c r="P147" s="2">
        <v>2</v>
      </c>
      <c r="Q147" s="2">
        <v>4</v>
      </c>
      <c r="R147" s="2">
        <v>0</v>
      </c>
      <c r="S147" s="2">
        <v>3</v>
      </c>
      <c r="T147" s="2">
        <v>1</v>
      </c>
      <c r="U147" s="2">
        <v>10</v>
      </c>
      <c r="V147" s="2">
        <v>0</v>
      </c>
      <c r="W147" s="2">
        <v>1</v>
      </c>
    </row>
    <row r="148" spans="1:23" x14ac:dyDescent="0.2">
      <c r="A148" t="s">
        <v>400</v>
      </c>
      <c r="B148" s="2">
        <v>27</v>
      </c>
      <c r="C148" t="s">
        <v>61</v>
      </c>
      <c r="D148" s="2" t="s">
        <v>52</v>
      </c>
      <c r="E148" s="2">
        <v>10</v>
      </c>
      <c r="F148" s="2">
        <v>0</v>
      </c>
      <c r="G148" s="2">
        <v>174</v>
      </c>
      <c r="H148" s="2">
        <v>53</v>
      </c>
      <c r="I148" s="2">
        <v>47</v>
      </c>
      <c r="J148" s="2">
        <v>0</v>
      </c>
      <c r="K148" s="2">
        <v>0</v>
      </c>
      <c r="L148" s="2">
        <v>0</v>
      </c>
      <c r="M148" s="6">
        <v>10.6</v>
      </c>
      <c r="N148" s="6">
        <v>8.4</v>
      </c>
      <c r="O148" s="2">
        <v>6</v>
      </c>
      <c r="P148" s="2">
        <v>3</v>
      </c>
      <c r="Q148" s="2">
        <v>9</v>
      </c>
      <c r="R148" s="2">
        <v>0</v>
      </c>
      <c r="S148" s="2">
        <v>0</v>
      </c>
      <c r="T148" s="2">
        <v>4</v>
      </c>
      <c r="U148" s="2">
        <v>40</v>
      </c>
      <c r="V148" s="2">
        <v>0</v>
      </c>
      <c r="W148" s="2">
        <v>1</v>
      </c>
    </row>
    <row r="149" spans="1:23" x14ac:dyDescent="0.2">
      <c r="A149" t="s">
        <v>198</v>
      </c>
      <c r="B149" s="2">
        <v>30</v>
      </c>
      <c r="C149" t="s">
        <v>61</v>
      </c>
      <c r="D149" s="2" t="s">
        <v>49</v>
      </c>
      <c r="E149" s="2">
        <v>22</v>
      </c>
      <c r="F149" s="2">
        <v>11</v>
      </c>
      <c r="G149" s="2">
        <v>496</v>
      </c>
      <c r="H149" s="2">
        <v>0</v>
      </c>
      <c r="I149" s="2">
        <v>34</v>
      </c>
      <c r="J149" s="2">
        <v>53</v>
      </c>
      <c r="K149" s="2">
        <v>13</v>
      </c>
      <c r="L149" s="2">
        <v>1</v>
      </c>
      <c r="M149" s="6">
        <v>7.3</v>
      </c>
      <c r="N149" s="6">
        <v>6.8</v>
      </c>
      <c r="O149" s="2">
        <v>11</v>
      </c>
      <c r="P149" s="2">
        <v>6</v>
      </c>
      <c r="Q149" s="2">
        <v>26</v>
      </c>
      <c r="R149" s="2">
        <v>1</v>
      </c>
      <c r="S149" s="2">
        <v>7</v>
      </c>
      <c r="T149" s="2">
        <v>3</v>
      </c>
      <c r="U149" s="2">
        <v>118</v>
      </c>
      <c r="V149" s="2">
        <v>1</v>
      </c>
      <c r="W149" s="2">
        <v>13</v>
      </c>
    </row>
    <row r="150" spans="1:23" x14ac:dyDescent="0.2">
      <c r="A150" t="s">
        <v>447</v>
      </c>
      <c r="B150" s="2">
        <v>28</v>
      </c>
      <c r="C150" t="s">
        <v>135</v>
      </c>
      <c r="D150" s="2" t="s">
        <v>42</v>
      </c>
      <c r="E150" s="2">
        <v>13</v>
      </c>
      <c r="F150" s="2">
        <v>0</v>
      </c>
      <c r="G150" s="2">
        <v>83</v>
      </c>
      <c r="H150" s="2">
        <v>0</v>
      </c>
      <c r="I150" s="2">
        <v>0</v>
      </c>
      <c r="J150" s="2">
        <v>0</v>
      </c>
      <c r="K150" s="2">
        <v>2</v>
      </c>
      <c r="L150" s="2">
        <v>98</v>
      </c>
      <c r="M150" s="7">
        <v>-16.8</v>
      </c>
      <c r="N150" s="7">
        <v>-7.8</v>
      </c>
      <c r="O150" s="2">
        <v>0</v>
      </c>
      <c r="P150" s="2">
        <v>1</v>
      </c>
      <c r="Q150" s="2">
        <v>8</v>
      </c>
      <c r="R150" s="2">
        <v>0</v>
      </c>
      <c r="S150" s="2">
        <v>0</v>
      </c>
      <c r="T150" s="2">
        <v>0</v>
      </c>
      <c r="U150" s="2">
        <v>7</v>
      </c>
      <c r="V150" s="2">
        <v>0</v>
      </c>
      <c r="W150" s="2">
        <v>0</v>
      </c>
    </row>
    <row r="151" spans="1:23" x14ac:dyDescent="0.2">
      <c r="A151" t="s">
        <v>434</v>
      </c>
      <c r="B151" s="2">
        <v>33</v>
      </c>
      <c r="C151" t="s">
        <v>63</v>
      </c>
      <c r="D151" s="2" t="s">
        <v>42</v>
      </c>
      <c r="E151" s="2">
        <v>19</v>
      </c>
      <c r="F151" s="2">
        <v>0</v>
      </c>
      <c r="G151" s="2">
        <v>154</v>
      </c>
      <c r="H151" s="2">
        <v>0</v>
      </c>
      <c r="I151" s="2">
        <v>0</v>
      </c>
      <c r="J151" s="2">
        <v>0</v>
      </c>
      <c r="K151" s="2">
        <v>1</v>
      </c>
      <c r="L151" s="2">
        <v>99</v>
      </c>
      <c r="M151" s="6">
        <v>7.5</v>
      </c>
      <c r="N151" s="6">
        <v>1.1000000000000001</v>
      </c>
      <c r="O151" s="2">
        <v>0</v>
      </c>
      <c r="P151" s="2">
        <v>2</v>
      </c>
      <c r="Q151" s="2">
        <v>15</v>
      </c>
      <c r="R151" s="2">
        <v>3</v>
      </c>
      <c r="S151" s="2">
        <v>7</v>
      </c>
      <c r="T151" s="2">
        <v>2</v>
      </c>
      <c r="U151" s="2">
        <v>33</v>
      </c>
      <c r="V151" s="2">
        <v>0</v>
      </c>
      <c r="W151" s="2">
        <v>1</v>
      </c>
    </row>
    <row r="152" spans="1:23" x14ac:dyDescent="0.2">
      <c r="A152" t="s">
        <v>146</v>
      </c>
      <c r="B152" s="2">
        <v>21</v>
      </c>
      <c r="C152" t="s">
        <v>72</v>
      </c>
      <c r="D152" s="2" t="s">
        <v>52</v>
      </c>
      <c r="E152" s="2">
        <v>24</v>
      </c>
      <c r="F152" s="2">
        <v>24</v>
      </c>
      <c r="G152" s="2">
        <v>811</v>
      </c>
      <c r="H152" s="2">
        <v>0</v>
      </c>
      <c r="I152" s="2">
        <v>67</v>
      </c>
      <c r="J152" s="2">
        <v>33</v>
      </c>
      <c r="K152" s="2">
        <v>0</v>
      </c>
      <c r="L152" s="2">
        <v>0</v>
      </c>
      <c r="M152" s="7">
        <v>-1.8</v>
      </c>
      <c r="N152" s="6">
        <v>1.3</v>
      </c>
      <c r="O152" s="2">
        <v>29</v>
      </c>
      <c r="P152" s="2">
        <v>9</v>
      </c>
      <c r="Q152" s="2">
        <v>30</v>
      </c>
      <c r="R152" s="2">
        <v>3</v>
      </c>
      <c r="S152" s="2">
        <v>17</v>
      </c>
      <c r="T152" s="2">
        <v>7</v>
      </c>
      <c r="U152" s="2">
        <v>187</v>
      </c>
      <c r="V152" s="2">
        <v>2</v>
      </c>
      <c r="W152" s="2">
        <v>13</v>
      </c>
    </row>
    <row r="153" spans="1:23" x14ac:dyDescent="0.2">
      <c r="A153" t="s">
        <v>487</v>
      </c>
      <c r="B153" s="2">
        <v>24</v>
      </c>
      <c r="C153" t="s">
        <v>70</v>
      </c>
      <c r="D153" s="2" t="s">
        <v>27</v>
      </c>
      <c r="E153" s="2">
        <v>6</v>
      </c>
      <c r="F153" s="2">
        <v>0</v>
      </c>
      <c r="G153" s="2">
        <v>31</v>
      </c>
      <c r="H153" s="2">
        <v>0</v>
      </c>
      <c r="I153" s="2">
        <v>0</v>
      </c>
      <c r="J153" s="2">
        <v>0</v>
      </c>
      <c r="K153" s="2">
        <v>0</v>
      </c>
      <c r="L153" s="2">
        <v>100</v>
      </c>
      <c r="M153" s="6">
        <v>11.6</v>
      </c>
      <c r="N153" s="6">
        <v>15.1</v>
      </c>
      <c r="O153" s="2">
        <v>0</v>
      </c>
      <c r="P153" s="2">
        <v>1</v>
      </c>
      <c r="Q153" s="2">
        <v>2</v>
      </c>
      <c r="R153" s="2">
        <v>1</v>
      </c>
      <c r="S153" s="2">
        <v>1</v>
      </c>
      <c r="T153" s="2">
        <v>0</v>
      </c>
      <c r="U153" s="2">
        <v>9</v>
      </c>
      <c r="V153" s="2">
        <v>0</v>
      </c>
      <c r="W153" s="2">
        <v>0</v>
      </c>
    </row>
    <row r="154" spans="1:23" x14ac:dyDescent="0.2">
      <c r="A154" t="s">
        <v>408</v>
      </c>
      <c r="B154" s="2">
        <v>30</v>
      </c>
      <c r="C154" t="s">
        <v>117</v>
      </c>
      <c r="D154" s="2" t="s">
        <v>33</v>
      </c>
      <c r="E154" s="2">
        <v>7</v>
      </c>
      <c r="F154" s="2">
        <v>3</v>
      </c>
      <c r="G154" s="2">
        <v>144</v>
      </c>
      <c r="H154" s="2">
        <v>61</v>
      </c>
      <c r="I154" s="2">
        <v>39</v>
      </c>
      <c r="J154" s="2">
        <v>0</v>
      </c>
      <c r="K154" s="2">
        <v>0</v>
      </c>
      <c r="L154" s="2">
        <v>0</v>
      </c>
      <c r="M154" s="7">
        <v>-4.9000000000000004</v>
      </c>
      <c r="N154" s="6">
        <v>8.4</v>
      </c>
      <c r="O154" s="2">
        <v>16</v>
      </c>
      <c r="P154" s="2">
        <v>3</v>
      </c>
      <c r="Q154" s="2">
        <v>4</v>
      </c>
      <c r="R154" s="2">
        <v>1</v>
      </c>
      <c r="S154" s="2">
        <v>1</v>
      </c>
      <c r="T154" s="2">
        <v>1</v>
      </c>
      <c r="U154" s="2">
        <v>109</v>
      </c>
      <c r="V154" s="2">
        <v>0</v>
      </c>
      <c r="W154" s="2">
        <v>4</v>
      </c>
    </row>
    <row r="155" spans="1:23" x14ac:dyDescent="0.2">
      <c r="A155" t="s">
        <v>458</v>
      </c>
      <c r="B155" s="2">
        <v>24</v>
      </c>
      <c r="C155" t="s">
        <v>82</v>
      </c>
      <c r="D155" s="2" t="s">
        <v>27</v>
      </c>
      <c r="E155" s="2">
        <v>15</v>
      </c>
      <c r="F155" s="2">
        <v>1</v>
      </c>
      <c r="G155" s="2">
        <v>111</v>
      </c>
      <c r="H155" s="2">
        <v>0</v>
      </c>
      <c r="I155" s="2">
        <v>4</v>
      </c>
      <c r="J155" s="2">
        <v>46</v>
      </c>
      <c r="K155" s="2">
        <v>50</v>
      </c>
      <c r="L155" s="2">
        <v>0</v>
      </c>
      <c r="M155" s="7">
        <v>-14.3</v>
      </c>
      <c r="N155" s="7">
        <v>-11.3</v>
      </c>
      <c r="O155" s="2">
        <v>4</v>
      </c>
      <c r="P155" s="2">
        <v>0</v>
      </c>
      <c r="Q155" s="2">
        <v>10</v>
      </c>
      <c r="R155" s="2">
        <v>0</v>
      </c>
      <c r="S155" s="2">
        <v>3</v>
      </c>
      <c r="T155" s="2">
        <v>1</v>
      </c>
      <c r="U155" s="2">
        <v>16</v>
      </c>
      <c r="V155" s="2">
        <v>1</v>
      </c>
      <c r="W155" s="2">
        <v>2</v>
      </c>
    </row>
    <row r="156" spans="1:23" x14ac:dyDescent="0.2">
      <c r="A156" t="s">
        <v>367</v>
      </c>
      <c r="B156" s="2">
        <v>36</v>
      </c>
      <c r="C156" t="s">
        <v>122</v>
      </c>
      <c r="D156" s="2" t="s">
        <v>52</v>
      </c>
      <c r="E156" s="2">
        <v>16</v>
      </c>
      <c r="F156" s="2">
        <v>1</v>
      </c>
      <c r="G156" s="2">
        <v>264</v>
      </c>
      <c r="H156" s="2">
        <v>1</v>
      </c>
      <c r="I156" s="2">
        <v>64</v>
      </c>
      <c r="J156" s="2">
        <v>34</v>
      </c>
      <c r="K156" s="2">
        <v>0</v>
      </c>
      <c r="L156" s="2">
        <v>0</v>
      </c>
      <c r="M156" s="7">
        <v>-5.0999999999999996</v>
      </c>
      <c r="N156" s="7">
        <v>-0.5</v>
      </c>
      <c r="O156" s="2">
        <v>7</v>
      </c>
      <c r="P156" s="2">
        <v>4</v>
      </c>
      <c r="Q156" s="2">
        <v>8</v>
      </c>
      <c r="R156" s="2">
        <v>1</v>
      </c>
      <c r="S156" s="2">
        <v>10</v>
      </c>
      <c r="T156" s="2">
        <v>0</v>
      </c>
      <c r="U156" s="2">
        <v>53</v>
      </c>
      <c r="V156" s="2">
        <v>1</v>
      </c>
      <c r="W156" s="2">
        <v>9</v>
      </c>
    </row>
    <row r="157" spans="1:23" x14ac:dyDescent="0.2">
      <c r="A157" t="s">
        <v>96</v>
      </c>
      <c r="B157" s="2">
        <v>23</v>
      </c>
      <c r="C157" t="s">
        <v>57</v>
      </c>
      <c r="D157" s="2" t="s">
        <v>27</v>
      </c>
      <c r="E157" s="2">
        <v>24</v>
      </c>
      <c r="F157" s="2">
        <v>24</v>
      </c>
      <c r="G157" s="2">
        <v>736</v>
      </c>
      <c r="H157" s="2">
        <v>0</v>
      </c>
      <c r="I157" s="2">
        <v>0</v>
      </c>
      <c r="J157" s="2">
        <v>0</v>
      </c>
      <c r="K157" s="2">
        <v>51</v>
      </c>
      <c r="L157" s="2">
        <v>50</v>
      </c>
      <c r="M157" s="6">
        <v>14.1</v>
      </c>
      <c r="N157" s="6">
        <v>8.6999999999999993</v>
      </c>
      <c r="O157" s="2">
        <v>17</v>
      </c>
      <c r="P157" s="2">
        <v>18</v>
      </c>
      <c r="Q157" s="2">
        <v>36</v>
      </c>
      <c r="R157" s="2">
        <v>3</v>
      </c>
      <c r="S157" s="2">
        <v>52</v>
      </c>
      <c r="T157" s="2">
        <v>4</v>
      </c>
      <c r="U157" s="2">
        <v>165</v>
      </c>
      <c r="V157" s="2">
        <v>16</v>
      </c>
      <c r="W157" s="2">
        <v>24</v>
      </c>
    </row>
    <row r="158" spans="1:23" x14ac:dyDescent="0.2">
      <c r="A158" t="s">
        <v>47</v>
      </c>
      <c r="B158" s="2">
        <v>23</v>
      </c>
      <c r="C158" t="s">
        <v>48</v>
      </c>
      <c r="D158" s="2" t="s">
        <v>49</v>
      </c>
      <c r="E158" s="2">
        <v>25</v>
      </c>
      <c r="F158" s="2">
        <v>25</v>
      </c>
      <c r="G158" s="2">
        <v>829</v>
      </c>
      <c r="H158" s="2">
        <v>0</v>
      </c>
      <c r="I158" s="2">
        <v>0</v>
      </c>
      <c r="J158" s="2">
        <v>47</v>
      </c>
      <c r="K158" s="2">
        <v>53</v>
      </c>
      <c r="L158" s="2">
        <v>0</v>
      </c>
      <c r="M158" s="6">
        <v>7.6</v>
      </c>
      <c r="N158" s="6">
        <v>11.8</v>
      </c>
      <c r="O158" s="2">
        <v>27</v>
      </c>
      <c r="P158" s="2">
        <v>21</v>
      </c>
      <c r="Q158" s="2">
        <v>30</v>
      </c>
      <c r="R158" s="2">
        <v>4</v>
      </c>
      <c r="S158" s="2">
        <v>61</v>
      </c>
      <c r="T158" s="2">
        <v>9</v>
      </c>
      <c r="U158" s="2">
        <v>343</v>
      </c>
      <c r="V158" s="2">
        <v>9</v>
      </c>
      <c r="W158" s="2">
        <v>30</v>
      </c>
    </row>
    <row r="159" spans="1:23" x14ac:dyDescent="0.2">
      <c r="A159" t="s">
        <v>127</v>
      </c>
      <c r="B159" s="2">
        <v>30</v>
      </c>
      <c r="C159" t="s">
        <v>87</v>
      </c>
      <c r="D159" s="2" t="s">
        <v>33</v>
      </c>
      <c r="E159" s="2">
        <v>23</v>
      </c>
      <c r="F159" s="2">
        <v>23</v>
      </c>
      <c r="G159" s="2">
        <v>808</v>
      </c>
      <c r="H159" s="2">
        <v>96</v>
      </c>
      <c r="I159" s="2">
        <v>4</v>
      </c>
      <c r="J159" s="2">
        <v>0</v>
      </c>
      <c r="K159" s="2">
        <v>0</v>
      </c>
      <c r="L159" s="2">
        <v>0</v>
      </c>
      <c r="M159" s="6">
        <v>7.5</v>
      </c>
      <c r="N159" s="6">
        <v>2.4</v>
      </c>
      <c r="O159" s="2">
        <v>20</v>
      </c>
      <c r="P159" s="2">
        <v>7</v>
      </c>
      <c r="Q159" s="2">
        <v>24</v>
      </c>
      <c r="R159" s="2">
        <v>4</v>
      </c>
      <c r="S159" s="2">
        <v>23</v>
      </c>
      <c r="T159" s="2">
        <v>4</v>
      </c>
      <c r="U159" s="2">
        <v>317</v>
      </c>
      <c r="V159" s="2">
        <v>4</v>
      </c>
      <c r="W159" s="2">
        <v>11</v>
      </c>
    </row>
    <row r="160" spans="1:23" x14ac:dyDescent="0.2">
      <c r="A160" t="s">
        <v>351</v>
      </c>
      <c r="B160" s="2">
        <v>28</v>
      </c>
      <c r="C160" t="s">
        <v>41</v>
      </c>
      <c r="D160" s="2" t="s">
        <v>33</v>
      </c>
      <c r="E160" s="2">
        <v>24</v>
      </c>
      <c r="F160" s="2">
        <v>3</v>
      </c>
      <c r="G160" s="2">
        <v>454</v>
      </c>
      <c r="H160" s="2">
        <v>57</v>
      </c>
      <c r="I160" s="2">
        <v>43</v>
      </c>
      <c r="J160" s="2">
        <v>0</v>
      </c>
      <c r="K160" s="2">
        <v>0</v>
      </c>
      <c r="L160" s="2">
        <v>0</v>
      </c>
      <c r="M160" s="7">
        <v>-1.4</v>
      </c>
      <c r="N160" s="6">
        <v>2.9</v>
      </c>
      <c r="O160" s="2">
        <v>8</v>
      </c>
      <c r="P160" s="2">
        <v>2</v>
      </c>
      <c r="Q160" s="2">
        <v>26</v>
      </c>
      <c r="R160" s="2">
        <v>1</v>
      </c>
      <c r="S160" s="2">
        <v>4</v>
      </c>
      <c r="T160" s="2">
        <v>4</v>
      </c>
      <c r="U160" s="2">
        <v>49</v>
      </c>
      <c r="V160" s="2">
        <v>0</v>
      </c>
      <c r="W160" s="2">
        <v>4</v>
      </c>
    </row>
    <row r="161" spans="1:23" x14ac:dyDescent="0.2">
      <c r="A161" t="s">
        <v>521</v>
      </c>
      <c r="B161" s="2">
        <v>38</v>
      </c>
      <c r="C161" t="s">
        <v>66</v>
      </c>
      <c r="D161" s="2" t="s">
        <v>52</v>
      </c>
      <c r="E161" s="2">
        <v>8</v>
      </c>
      <c r="F161" s="2">
        <v>0</v>
      </c>
      <c r="G161" s="2">
        <v>31</v>
      </c>
      <c r="H161" s="2">
        <v>11</v>
      </c>
      <c r="I161" s="2">
        <v>67</v>
      </c>
      <c r="J161" s="2">
        <v>22</v>
      </c>
      <c r="K161" s="2">
        <v>0</v>
      </c>
      <c r="L161" s="2">
        <v>0</v>
      </c>
      <c r="M161" s="6">
        <v>2.9</v>
      </c>
      <c r="N161" s="6">
        <v>8.3000000000000007</v>
      </c>
      <c r="O161" s="2">
        <v>0</v>
      </c>
      <c r="P161" s="2">
        <v>1</v>
      </c>
      <c r="Q161" s="2">
        <v>4</v>
      </c>
      <c r="R161" s="2">
        <v>0</v>
      </c>
      <c r="S161" s="2">
        <v>0</v>
      </c>
      <c r="T161" s="2">
        <v>0</v>
      </c>
      <c r="U161" s="2">
        <v>13</v>
      </c>
      <c r="V161" s="2">
        <v>0</v>
      </c>
      <c r="W161" s="2">
        <v>0</v>
      </c>
    </row>
    <row r="162" spans="1:23" x14ac:dyDescent="0.2">
      <c r="A162" t="s">
        <v>280</v>
      </c>
      <c r="B162" s="2">
        <v>28</v>
      </c>
      <c r="C162" t="s">
        <v>72</v>
      </c>
      <c r="D162" s="2" t="s">
        <v>52</v>
      </c>
      <c r="E162" s="2">
        <v>19</v>
      </c>
      <c r="F162" s="2">
        <v>1</v>
      </c>
      <c r="G162" s="2">
        <v>343</v>
      </c>
      <c r="H162" s="2">
        <v>7</v>
      </c>
      <c r="I162" s="2">
        <v>75</v>
      </c>
      <c r="J162" s="2">
        <v>19</v>
      </c>
      <c r="K162" s="2">
        <v>0</v>
      </c>
      <c r="L162" s="2">
        <v>0</v>
      </c>
      <c r="M162" s="7">
        <v>-9.3000000000000007</v>
      </c>
      <c r="N162" s="7">
        <v>-9.6</v>
      </c>
      <c r="O162" s="2">
        <v>5</v>
      </c>
      <c r="P162" s="2">
        <v>2</v>
      </c>
      <c r="Q162" s="2">
        <v>17</v>
      </c>
      <c r="R162" s="2">
        <v>1</v>
      </c>
      <c r="S162" s="2">
        <v>12</v>
      </c>
      <c r="T162" s="2">
        <v>6</v>
      </c>
      <c r="U162" s="2">
        <v>61</v>
      </c>
      <c r="V162" s="2">
        <v>2</v>
      </c>
      <c r="W162" s="2">
        <v>2</v>
      </c>
    </row>
    <row r="163" spans="1:23" x14ac:dyDescent="0.2">
      <c r="A163" t="s">
        <v>378</v>
      </c>
      <c r="B163" s="2">
        <v>30</v>
      </c>
      <c r="C163" t="s">
        <v>48</v>
      </c>
      <c r="D163" s="2" t="s">
        <v>52</v>
      </c>
      <c r="E163" s="2">
        <v>17</v>
      </c>
      <c r="F163" s="2">
        <v>2</v>
      </c>
      <c r="G163" s="2">
        <v>282</v>
      </c>
      <c r="H163" s="2">
        <v>7</v>
      </c>
      <c r="I163" s="2">
        <v>45</v>
      </c>
      <c r="J163" s="2">
        <v>44</v>
      </c>
      <c r="K163" s="2">
        <v>4</v>
      </c>
      <c r="L163" s="2">
        <v>0</v>
      </c>
      <c r="M163" s="6">
        <v>9.5</v>
      </c>
      <c r="N163" s="6">
        <v>7.9</v>
      </c>
      <c r="O163" s="2">
        <v>1</v>
      </c>
      <c r="P163" s="2">
        <v>2</v>
      </c>
      <c r="Q163" s="2">
        <v>3</v>
      </c>
      <c r="R163" s="2">
        <v>0</v>
      </c>
      <c r="S163" s="2">
        <v>1</v>
      </c>
      <c r="T163" s="2">
        <v>0</v>
      </c>
      <c r="U163" s="2">
        <v>18</v>
      </c>
      <c r="V163" s="2">
        <v>0</v>
      </c>
      <c r="W163" s="2">
        <v>1</v>
      </c>
    </row>
    <row r="164" spans="1:23" x14ac:dyDescent="0.2">
      <c r="A164" t="s">
        <v>321</v>
      </c>
      <c r="B164" s="2">
        <v>32</v>
      </c>
      <c r="C164" t="s">
        <v>100</v>
      </c>
      <c r="D164" s="2" t="s">
        <v>52</v>
      </c>
      <c r="E164" s="2">
        <v>24</v>
      </c>
      <c r="F164" s="2">
        <v>4</v>
      </c>
      <c r="G164" s="2">
        <v>325</v>
      </c>
      <c r="H164" s="2">
        <v>32</v>
      </c>
      <c r="I164" s="2">
        <v>68</v>
      </c>
      <c r="J164" s="2">
        <v>0</v>
      </c>
      <c r="K164" s="2">
        <v>0</v>
      </c>
      <c r="L164" s="2">
        <v>0</v>
      </c>
      <c r="M164" s="6">
        <v>5</v>
      </c>
      <c r="N164" s="6">
        <v>0.3</v>
      </c>
      <c r="O164" s="2">
        <v>7</v>
      </c>
      <c r="P164" s="2">
        <v>1</v>
      </c>
      <c r="Q164" s="2">
        <v>10</v>
      </c>
      <c r="R164" s="2">
        <v>5</v>
      </c>
      <c r="S164" s="2">
        <v>5</v>
      </c>
      <c r="T164" s="2">
        <v>1</v>
      </c>
      <c r="U164" s="2">
        <v>70</v>
      </c>
      <c r="V164" s="2">
        <v>3</v>
      </c>
      <c r="W164" s="2">
        <v>7</v>
      </c>
    </row>
    <row r="165" spans="1:23" x14ac:dyDescent="0.2">
      <c r="A165" t="s">
        <v>228</v>
      </c>
      <c r="B165" s="2">
        <v>26</v>
      </c>
      <c r="C165" t="s">
        <v>35</v>
      </c>
      <c r="D165" s="2" t="s">
        <v>52</v>
      </c>
      <c r="E165" s="2">
        <v>22</v>
      </c>
      <c r="F165" s="2">
        <v>7</v>
      </c>
      <c r="G165" s="2">
        <v>571</v>
      </c>
      <c r="H165" s="2">
        <v>5</v>
      </c>
      <c r="I165" s="2">
        <v>61</v>
      </c>
      <c r="J165" s="2">
        <v>35</v>
      </c>
      <c r="K165" s="2">
        <v>0</v>
      </c>
      <c r="L165" s="2">
        <v>0</v>
      </c>
      <c r="M165" s="7">
        <v>-0.9</v>
      </c>
      <c r="N165" s="7">
        <v>-3.6</v>
      </c>
      <c r="O165" s="2">
        <v>2</v>
      </c>
      <c r="P165" s="2">
        <v>5</v>
      </c>
      <c r="Q165" s="2">
        <v>16</v>
      </c>
      <c r="R165" s="2">
        <v>4</v>
      </c>
      <c r="S165" s="2">
        <v>12</v>
      </c>
      <c r="T165" s="2">
        <v>5</v>
      </c>
      <c r="U165" s="2">
        <v>53</v>
      </c>
      <c r="V165" s="2">
        <v>2</v>
      </c>
      <c r="W165" s="2">
        <v>4</v>
      </c>
    </row>
    <row r="166" spans="1:23" x14ac:dyDescent="0.2">
      <c r="A166" t="s">
        <v>221</v>
      </c>
      <c r="B166" s="2">
        <v>31</v>
      </c>
      <c r="C166" t="s">
        <v>57</v>
      </c>
      <c r="D166" s="2" t="s">
        <v>27</v>
      </c>
      <c r="E166" s="2">
        <v>25</v>
      </c>
      <c r="F166" s="2">
        <v>1</v>
      </c>
      <c r="G166" s="2">
        <v>514</v>
      </c>
      <c r="H166" s="2">
        <v>0</v>
      </c>
      <c r="I166" s="2">
        <v>0</v>
      </c>
      <c r="J166" s="2">
        <v>10</v>
      </c>
      <c r="K166" s="2">
        <v>90</v>
      </c>
      <c r="L166" s="2">
        <v>1</v>
      </c>
      <c r="M166" s="6">
        <v>13.8</v>
      </c>
      <c r="N166" s="6">
        <v>5.4</v>
      </c>
      <c r="O166" s="2">
        <v>9</v>
      </c>
      <c r="P166" s="2">
        <v>9</v>
      </c>
      <c r="Q166" s="2">
        <v>24</v>
      </c>
      <c r="R166" s="2">
        <v>3</v>
      </c>
      <c r="S166" s="2">
        <v>3</v>
      </c>
      <c r="T166" s="2">
        <v>3</v>
      </c>
      <c r="U166" s="2">
        <v>74</v>
      </c>
      <c r="V166" s="2">
        <v>1</v>
      </c>
      <c r="W166" s="2">
        <v>7</v>
      </c>
    </row>
    <row r="167" spans="1:23" x14ac:dyDescent="0.2">
      <c r="A167" t="s">
        <v>34</v>
      </c>
      <c r="B167" s="2">
        <v>30</v>
      </c>
      <c r="C167" t="s">
        <v>35</v>
      </c>
      <c r="D167" s="2" t="s">
        <v>27</v>
      </c>
      <c r="E167" s="2">
        <v>22</v>
      </c>
      <c r="F167" s="2">
        <v>22</v>
      </c>
      <c r="G167" s="2">
        <v>772</v>
      </c>
      <c r="H167" s="2">
        <v>0</v>
      </c>
      <c r="I167" s="2">
        <v>0</v>
      </c>
      <c r="J167" s="2">
        <v>0</v>
      </c>
      <c r="K167" s="2">
        <v>62</v>
      </c>
      <c r="L167" s="2">
        <v>38</v>
      </c>
      <c r="M167" s="6">
        <v>1.9</v>
      </c>
      <c r="N167" s="6">
        <v>3</v>
      </c>
      <c r="O167" s="2">
        <v>25</v>
      </c>
      <c r="P167" s="2">
        <v>23</v>
      </c>
      <c r="Q167" s="2">
        <v>21</v>
      </c>
      <c r="R167" s="2">
        <v>12</v>
      </c>
      <c r="S167" s="2">
        <v>122</v>
      </c>
      <c r="T167" s="2">
        <v>2</v>
      </c>
      <c r="U167" s="2">
        <v>356</v>
      </c>
      <c r="V167" s="2">
        <v>35</v>
      </c>
      <c r="W167" s="2">
        <v>29</v>
      </c>
    </row>
    <row r="168" spans="1:23" x14ac:dyDescent="0.2">
      <c r="A168" t="s">
        <v>235</v>
      </c>
      <c r="B168" s="2">
        <v>25</v>
      </c>
      <c r="C168" t="s">
        <v>48</v>
      </c>
      <c r="D168" s="2" t="s">
        <v>42</v>
      </c>
      <c r="E168" s="2">
        <v>22</v>
      </c>
      <c r="F168" s="2">
        <v>19</v>
      </c>
      <c r="G168" s="2">
        <v>516</v>
      </c>
      <c r="H168" s="2">
        <v>0</v>
      </c>
      <c r="I168" s="2">
        <v>0</v>
      </c>
      <c r="J168" s="2">
        <v>0</v>
      </c>
      <c r="K168" s="2">
        <v>0</v>
      </c>
      <c r="L168" s="2">
        <v>100</v>
      </c>
      <c r="M168" s="6">
        <v>8</v>
      </c>
      <c r="N168" s="6">
        <v>7.6</v>
      </c>
      <c r="O168" s="2">
        <v>9</v>
      </c>
      <c r="P168" s="2">
        <v>6</v>
      </c>
      <c r="Q168" s="2">
        <v>26</v>
      </c>
      <c r="R168" s="2">
        <v>8</v>
      </c>
      <c r="S168" s="2">
        <v>17</v>
      </c>
      <c r="T168" s="2">
        <v>1</v>
      </c>
      <c r="U168" s="2">
        <v>104</v>
      </c>
      <c r="V168" s="2">
        <v>3</v>
      </c>
      <c r="W168" s="2">
        <v>8</v>
      </c>
    </row>
    <row r="169" spans="1:23" x14ac:dyDescent="0.2">
      <c r="A169" t="s">
        <v>124</v>
      </c>
      <c r="B169" s="2">
        <v>21</v>
      </c>
      <c r="C169" t="s">
        <v>66</v>
      </c>
      <c r="D169" s="2" t="s">
        <v>52</v>
      </c>
      <c r="E169" s="2">
        <v>21</v>
      </c>
      <c r="F169" s="2">
        <v>21</v>
      </c>
      <c r="G169" s="2">
        <v>680</v>
      </c>
      <c r="H169" s="2">
        <v>0</v>
      </c>
      <c r="I169" s="2">
        <v>32</v>
      </c>
      <c r="J169" s="2">
        <v>64</v>
      </c>
      <c r="K169" s="2">
        <v>4</v>
      </c>
      <c r="L169" s="2">
        <v>0</v>
      </c>
      <c r="M169" s="7">
        <v>-3.4</v>
      </c>
      <c r="N169" s="6">
        <v>3.7</v>
      </c>
      <c r="O169" s="2">
        <v>15</v>
      </c>
      <c r="P169" s="2">
        <v>15</v>
      </c>
      <c r="Q169" s="2">
        <v>18</v>
      </c>
      <c r="R169" s="2">
        <v>2</v>
      </c>
      <c r="S169" s="2">
        <v>32</v>
      </c>
      <c r="T169" s="2">
        <v>5</v>
      </c>
      <c r="U169" s="2">
        <v>95</v>
      </c>
      <c r="V169" s="2">
        <v>3</v>
      </c>
      <c r="W169" s="2">
        <v>11</v>
      </c>
    </row>
    <row r="170" spans="1:23" x14ac:dyDescent="0.2">
      <c r="A170" t="s">
        <v>265</v>
      </c>
      <c r="B170" s="2">
        <v>26</v>
      </c>
      <c r="C170" t="s">
        <v>59</v>
      </c>
      <c r="D170" s="2" t="s">
        <v>27</v>
      </c>
      <c r="E170" s="2">
        <v>16</v>
      </c>
      <c r="F170" s="2">
        <v>7</v>
      </c>
      <c r="G170" s="2">
        <v>479</v>
      </c>
      <c r="H170" s="2">
        <v>0</v>
      </c>
      <c r="I170" s="2">
        <v>0</v>
      </c>
      <c r="J170" s="2">
        <v>8</v>
      </c>
      <c r="K170" s="2">
        <v>84</v>
      </c>
      <c r="L170" s="2">
        <v>8</v>
      </c>
      <c r="M170" s="6">
        <v>0.9</v>
      </c>
      <c r="N170" s="6">
        <v>11.5</v>
      </c>
      <c r="O170" s="2">
        <v>7</v>
      </c>
      <c r="P170" s="2">
        <v>12</v>
      </c>
      <c r="Q170" s="2">
        <v>24</v>
      </c>
      <c r="R170" s="2">
        <v>7</v>
      </c>
      <c r="S170" s="2">
        <v>13</v>
      </c>
      <c r="T170" s="2">
        <v>7</v>
      </c>
      <c r="U170" s="2">
        <v>98</v>
      </c>
      <c r="V170" s="2">
        <v>1</v>
      </c>
      <c r="W170" s="2">
        <v>6</v>
      </c>
    </row>
    <row r="171" spans="1:23" x14ac:dyDescent="0.2">
      <c r="A171" t="s">
        <v>223</v>
      </c>
      <c r="B171" s="2">
        <v>29</v>
      </c>
      <c r="C171" t="s">
        <v>54</v>
      </c>
      <c r="D171" s="2" t="s">
        <v>52</v>
      </c>
      <c r="E171" s="2">
        <v>19</v>
      </c>
      <c r="F171" s="2">
        <v>1</v>
      </c>
      <c r="G171" s="2">
        <v>453</v>
      </c>
      <c r="H171" s="2">
        <v>25</v>
      </c>
      <c r="I171" s="2">
        <v>75</v>
      </c>
      <c r="J171" s="2">
        <v>0</v>
      </c>
      <c r="K171" s="2">
        <v>0</v>
      </c>
      <c r="L171" s="2">
        <v>0</v>
      </c>
      <c r="M171" s="7">
        <v>-2.8</v>
      </c>
      <c r="N171" s="7">
        <v>-3.5</v>
      </c>
      <c r="O171" s="2">
        <v>12</v>
      </c>
      <c r="P171" s="2">
        <v>5</v>
      </c>
      <c r="Q171" s="2">
        <v>10</v>
      </c>
      <c r="R171" s="2">
        <v>5</v>
      </c>
      <c r="S171" s="2">
        <v>21</v>
      </c>
      <c r="T171" s="2">
        <v>1</v>
      </c>
      <c r="U171" s="2">
        <v>84</v>
      </c>
      <c r="V171" s="2">
        <v>3</v>
      </c>
      <c r="W171" s="2">
        <v>6</v>
      </c>
    </row>
    <row r="172" spans="1:23" x14ac:dyDescent="0.2">
      <c r="A172" t="s">
        <v>216</v>
      </c>
      <c r="B172" s="2">
        <v>29</v>
      </c>
      <c r="C172" t="s">
        <v>122</v>
      </c>
      <c r="D172" s="2" t="s">
        <v>27</v>
      </c>
      <c r="E172" s="2">
        <v>22</v>
      </c>
      <c r="F172" s="2">
        <v>9</v>
      </c>
      <c r="G172" s="2">
        <v>538</v>
      </c>
      <c r="H172" s="2">
        <v>0</v>
      </c>
      <c r="I172" s="2">
        <v>0</v>
      </c>
      <c r="J172" s="2">
        <v>0</v>
      </c>
      <c r="K172" s="2">
        <v>23</v>
      </c>
      <c r="L172" s="2">
        <v>77</v>
      </c>
      <c r="M172" s="7">
        <v>-1.2</v>
      </c>
      <c r="N172" s="6">
        <v>7.1</v>
      </c>
      <c r="O172" s="2">
        <v>8</v>
      </c>
      <c r="P172" s="2">
        <v>9</v>
      </c>
      <c r="Q172" s="2">
        <v>26</v>
      </c>
      <c r="R172" s="2">
        <v>9</v>
      </c>
      <c r="S172" s="2">
        <v>15</v>
      </c>
      <c r="T172" s="2">
        <v>5</v>
      </c>
      <c r="U172" s="2">
        <v>104</v>
      </c>
      <c r="V172" s="2">
        <v>4</v>
      </c>
      <c r="W172" s="2">
        <v>11</v>
      </c>
    </row>
    <row r="173" spans="1:23" x14ac:dyDescent="0.2">
      <c r="A173" t="s">
        <v>512</v>
      </c>
      <c r="B173" s="2">
        <v>22</v>
      </c>
      <c r="C173" t="s">
        <v>100</v>
      </c>
      <c r="D173" s="2" t="s">
        <v>27</v>
      </c>
      <c r="E173" s="2">
        <v>6</v>
      </c>
      <c r="F173" s="2">
        <v>0</v>
      </c>
      <c r="G173" s="2">
        <v>22</v>
      </c>
      <c r="H173" s="2">
        <v>0</v>
      </c>
      <c r="I173" s="2">
        <v>11</v>
      </c>
      <c r="J173" s="2">
        <v>2</v>
      </c>
      <c r="K173" s="2">
        <v>60</v>
      </c>
      <c r="L173" s="2">
        <v>27</v>
      </c>
      <c r="M173" s="6">
        <v>30.6</v>
      </c>
      <c r="N173" s="6">
        <v>26.3</v>
      </c>
      <c r="O173" s="2">
        <v>1</v>
      </c>
      <c r="P173" s="2">
        <v>1</v>
      </c>
      <c r="Q173" s="2">
        <v>2</v>
      </c>
      <c r="R173" s="2">
        <v>0</v>
      </c>
      <c r="S173" s="2">
        <v>0</v>
      </c>
      <c r="T173" s="2">
        <v>0</v>
      </c>
      <c r="U173" s="2">
        <v>5</v>
      </c>
      <c r="V173" s="2">
        <v>0</v>
      </c>
      <c r="W173" s="2">
        <v>0</v>
      </c>
    </row>
    <row r="174" spans="1:23" x14ac:dyDescent="0.2">
      <c r="A174" t="s">
        <v>186</v>
      </c>
      <c r="B174" s="2">
        <v>32</v>
      </c>
      <c r="C174" t="s">
        <v>93</v>
      </c>
      <c r="D174" s="2" t="s">
        <v>27</v>
      </c>
      <c r="E174" s="2">
        <v>24</v>
      </c>
      <c r="F174" s="2">
        <v>24</v>
      </c>
      <c r="G174" s="2">
        <v>688</v>
      </c>
      <c r="H174" s="2">
        <v>0</v>
      </c>
      <c r="I174" s="2">
        <v>0</v>
      </c>
      <c r="J174" s="2">
        <v>30</v>
      </c>
      <c r="K174" s="2">
        <v>70</v>
      </c>
      <c r="L174" s="2">
        <v>0</v>
      </c>
      <c r="M174" s="6">
        <v>0.4</v>
      </c>
      <c r="N174" s="6">
        <v>6.7</v>
      </c>
      <c r="O174" s="2">
        <v>11</v>
      </c>
      <c r="P174" s="2">
        <v>4</v>
      </c>
      <c r="Q174" s="2">
        <v>11</v>
      </c>
      <c r="R174" s="2">
        <v>1</v>
      </c>
      <c r="S174" s="2">
        <v>35</v>
      </c>
      <c r="T174" s="2">
        <v>1</v>
      </c>
      <c r="U174" s="2">
        <v>101</v>
      </c>
      <c r="V174" s="2">
        <v>4</v>
      </c>
      <c r="W174" s="2">
        <v>11</v>
      </c>
    </row>
    <row r="175" spans="1:23" x14ac:dyDescent="0.2">
      <c r="A175" t="s">
        <v>559</v>
      </c>
      <c r="B175" s="2">
        <v>22</v>
      </c>
      <c r="C175" t="s">
        <v>93</v>
      </c>
      <c r="D175" s="2" t="s">
        <v>49</v>
      </c>
      <c r="E175" s="2">
        <v>1</v>
      </c>
      <c r="F175" s="2">
        <v>0</v>
      </c>
      <c r="G175" s="2">
        <v>7</v>
      </c>
      <c r="H175" s="2">
        <v>0</v>
      </c>
      <c r="I175" s="2">
        <v>100</v>
      </c>
      <c r="J175" s="2">
        <v>0</v>
      </c>
      <c r="K175" s="2">
        <v>0</v>
      </c>
      <c r="L175" s="2">
        <v>0</v>
      </c>
      <c r="M175" s="6">
        <v>6.7</v>
      </c>
      <c r="N175" s="6">
        <v>9</v>
      </c>
      <c r="O175" s="2">
        <v>0</v>
      </c>
      <c r="P175" s="2">
        <v>0</v>
      </c>
      <c r="Q175" s="2">
        <v>1</v>
      </c>
      <c r="R175" s="2">
        <v>0</v>
      </c>
      <c r="S175" s="2">
        <v>0</v>
      </c>
      <c r="T175" s="2">
        <v>0</v>
      </c>
      <c r="U175" s="2">
        <v>0</v>
      </c>
      <c r="V175" s="2">
        <v>0</v>
      </c>
      <c r="W175" s="2">
        <v>0</v>
      </c>
    </row>
    <row r="176" spans="1:23" x14ac:dyDescent="0.2">
      <c r="A176" t="s">
        <v>275</v>
      </c>
      <c r="B176" s="2">
        <v>28</v>
      </c>
      <c r="C176" t="s">
        <v>61</v>
      </c>
      <c r="D176" s="2" t="s">
        <v>49</v>
      </c>
      <c r="E176" s="2">
        <v>21</v>
      </c>
      <c r="F176" s="2">
        <v>15</v>
      </c>
      <c r="G176" s="2">
        <v>527</v>
      </c>
      <c r="H176" s="2">
        <v>0</v>
      </c>
      <c r="I176" s="2">
        <v>0</v>
      </c>
      <c r="J176" s="2">
        <v>62</v>
      </c>
      <c r="K176" s="2">
        <v>37</v>
      </c>
      <c r="L176" s="2">
        <v>0</v>
      </c>
      <c r="M176" s="6">
        <v>3.2</v>
      </c>
      <c r="N176" s="7">
        <v>-0.6</v>
      </c>
      <c r="O176" s="2">
        <v>3</v>
      </c>
      <c r="P176" s="2">
        <v>5</v>
      </c>
      <c r="Q176" s="2">
        <v>18</v>
      </c>
      <c r="R176" s="2">
        <v>2</v>
      </c>
      <c r="S176" s="2">
        <v>7</v>
      </c>
      <c r="T176" s="2">
        <v>2</v>
      </c>
      <c r="U176" s="2">
        <v>55</v>
      </c>
      <c r="V176" s="2">
        <v>3</v>
      </c>
      <c r="W176" s="2">
        <v>7</v>
      </c>
    </row>
    <row r="177" spans="1:23" x14ac:dyDescent="0.2">
      <c r="A177" t="s">
        <v>363</v>
      </c>
      <c r="B177" s="2">
        <v>26</v>
      </c>
      <c r="C177" t="s">
        <v>117</v>
      </c>
      <c r="D177" s="2" t="s">
        <v>49</v>
      </c>
      <c r="E177" s="2">
        <v>8</v>
      </c>
      <c r="F177" s="2">
        <v>8</v>
      </c>
      <c r="G177" s="2">
        <v>255</v>
      </c>
      <c r="H177" s="2">
        <v>0</v>
      </c>
      <c r="I177" s="2">
        <v>0</v>
      </c>
      <c r="J177" s="2">
        <v>21</v>
      </c>
      <c r="K177" s="2">
        <v>70</v>
      </c>
      <c r="L177" s="2">
        <v>10</v>
      </c>
      <c r="M177" s="7">
        <v>-2.9</v>
      </c>
      <c r="N177" s="6">
        <v>11.9</v>
      </c>
      <c r="O177" s="2">
        <v>7</v>
      </c>
      <c r="P177" s="2">
        <v>6</v>
      </c>
      <c r="Q177" s="2">
        <v>15</v>
      </c>
      <c r="R177" s="2">
        <v>1</v>
      </c>
      <c r="S177" s="2">
        <v>7</v>
      </c>
      <c r="T177" s="2">
        <v>3</v>
      </c>
      <c r="U177" s="2">
        <v>45</v>
      </c>
      <c r="V177" s="2">
        <v>1</v>
      </c>
      <c r="W177" s="2">
        <v>0</v>
      </c>
    </row>
    <row r="178" spans="1:23" x14ac:dyDescent="0.2">
      <c r="A178" t="s">
        <v>424</v>
      </c>
      <c r="B178" s="2">
        <v>24</v>
      </c>
      <c r="C178" t="s">
        <v>46</v>
      </c>
      <c r="D178" s="2" t="s">
        <v>27</v>
      </c>
      <c r="E178" s="2">
        <v>14</v>
      </c>
      <c r="F178" s="2">
        <v>0</v>
      </c>
      <c r="G178" s="2">
        <v>129</v>
      </c>
      <c r="H178" s="2">
        <v>0</v>
      </c>
      <c r="I178" s="2">
        <v>1</v>
      </c>
      <c r="J178" s="2">
        <v>24</v>
      </c>
      <c r="K178" s="2">
        <v>75</v>
      </c>
      <c r="L178" s="2">
        <v>0</v>
      </c>
      <c r="M178" s="7">
        <v>-9.5</v>
      </c>
      <c r="N178" s="7">
        <v>-13.4</v>
      </c>
      <c r="O178" s="2">
        <v>1</v>
      </c>
      <c r="P178" s="2">
        <v>3</v>
      </c>
      <c r="Q178" s="2">
        <v>9</v>
      </c>
      <c r="R178" s="2">
        <v>0</v>
      </c>
      <c r="S178" s="2">
        <v>4</v>
      </c>
      <c r="T178" s="2">
        <v>0</v>
      </c>
      <c r="U178" s="2">
        <v>16</v>
      </c>
      <c r="V178" s="2">
        <v>1</v>
      </c>
      <c r="W178" s="2">
        <v>1</v>
      </c>
    </row>
    <row r="179" spans="1:23" x14ac:dyDescent="0.2">
      <c r="A179" t="s">
        <v>413</v>
      </c>
      <c r="B179" s="2">
        <v>25</v>
      </c>
      <c r="C179" t="s">
        <v>66</v>
      </c>
      <c r="D179" s="2" t="s">
        <v>33</v>
      </c>
      <c r="E179" s="2">
        <v>3</v>
      </c>
      <c r="F179" s="2">
        <v>3</v>
      </c>
      <c r="G179" s="2">
        <v>68</v>
      </c>
      <c r="H179" s="2">
        <v>85</v>
      </c>
      <c r="I179" s="2">
        <v>15</v>
      </c>
      <c r="J179" s="2">
        <v>0</v>
      </c>
      <c r="K179" s="2">
        <v>0</v>
      </c>
      <c r="L179" s="2">
        <v>0</v>
      </c>
      <c r="M179" s="7">
        <v>-23.2</v>
      </c>
      <c r="N179" s="7">
        <v>-19.100000000000001</v>
      </c>
      <c r="O179" s="2">
        <v>3</v>
      </c>
      <c r="P179" s="2">
        <v>1</v>
      </c>
      <c r="Q179" s="2">
        <v>1</v>
      </c>
      <c r="R179" s="2">
        <v>0</v>
      </c>
      <c r="S179" s="2">
        <v>4</v>
      </c>
      <c r="T179" s="2">
        <v>1</v>
      </c>
      <c r="U179" s="2">
        <v>28</v>
      </c>
      <c r="V179" s="2">
        <v>1</v>
      </c>
      <c r="W179" s="2">
        <v>5</v>
      </c>
    </row>
    <row r="180" spans="1:23" x14ac:dyDescent="0.2">
      <c r="A180" t="s">
        <v>385</v>
      </c>
      <c r="B180" s="2">
        <v>24</v>
      </c>
      <c r="C180" t="s">
        <v>37</v>
      </c>
      <c r="D180" s="2" t="s">
        <v>27</v>
      </c>
      <c r="E180" s="2">
        <v>15</v>
      </c>
      <c r="F180" s="2">
        <v>0</v>
      </c>
      <c r="G180" s="2">
        <v>142</v>
      </c>
      <c r="H180" s="2">
        <v>0</v>
      </c>
      <c r="I180" s="2">
        <v>0</v>
      </c>
      <c r="J180" s="2">
        <v>0</v>
      </c>
      <c r="K180" s="2">
        <v>56</v>
      </c>
      <c r="L180" s="2">
        <v>44</v>
      </c>
      <c r="M180" s="7">
        <v>-12</v>
      </c>
      <c r="N180" s="7">
        <v>-17.5</v>
      </c>
      <c r="O180" s="2">
        <v>3</v>
      </c>
      <c r="P180" s="2">
        <v>4</v>
      </c>
      <c r="Q180" s="2">
        <v>12</v>
      </c>
      <c r="R180" s="2">
        <v>1</v>
      </c>
      <c r="S180" s="2">
        <v>8</v>
      </c>
      <c r="T180" s="2">
        <v>0</v>
      </c>
      <c r="U180" s="2">
        <v>6</v>
      </c>
      <c r="V180" s="2">
        <v>3</v>
      </c>
      <c r="W180" s="2">
        <v>8</v>
      </c>
    </row>
    <row r="181" spans="1:23" x14ac:dyDescent="0.2">
      <c r="A181" t="s">
        <v>307</v>
      </c>
      <c r="B181" s="2">
        <v>24</v>
      </c>
      <c r="C181" t="s">
        <v>57</v>
      </c>
      <c r="D181" s="2" t="s">
        <v>52</v>
      </c>
      <c r="E181" s="2">
        <v>21</v>
      </c>
      <c r="F181" s="2">
        <v>14</v>
      </c>
      <c r="G181" s="2">
        <v>439</v>
      </c>
      <c r="H181" s="2">
        <v>0</v>
      </c>
      <c r="I181" s="2">
        <v>13</v>
      </c>
      <c r="J181" s="2">
        <v>83</v>
      </c>
      <c r="K181" s="2">
        <v>3</v>
      </c>
      <c r="L181" s="2">
        <v>0</v>
      </c>
      <c r="M181" s="6">
        <v>10.9</v>
      </c>
      <c r="N181" s="6">
        <v>0.3</v>
      </c>
      <c r="O181" s="2">
        <v>3</v>
      </c>
      <c r="P181" s="2">
        <v>0</v>
      </c>
      <c r="Q181" s="2">
        <v>25</v>
      </c>
      <c r="R181" s="2">
        <v>3</v>
      </c>
      <c r="S181" s="2">
        <v>9</v>
      </c>
      <c r="T181" s="2">
        <v>5</v>
      </c>
      <c r="U181" s="2">
        <v>92</v>
      </c>
      <c r="V181" s="2">
        <v>1</v>
      </c>
      <c r="W181" s="2">
        <v>10</v>
      </c>
    </row>
    <row r="182" spans="1:23" x14ac:dyDescent="0.2">
      <c r="A182" t="s">
        <v>394</v>
      </c>
      <c r="B182" s="2">
        <v>20</v>
      </c>
      <c r="C182" t="s">
        <v>120</v>
      </c>
      <c r="D182" s="2" t="s">
        <v>33</v>
      </c>
      <c r="E182" s="2">
        <v>16</v>
      </c>
      <c r="F182" s="2">
        <v>1</v>
      </c>
      <c r="G182" s="2">
        <v>278</v>
      </c>
      <c r="H182" s="2">
        <v>63</v>
      </c>
      <c r="I182" s="2">
        <v>37</v>
      </c>
      <c r="J182" s="2">
        <v>0</v>
      </c>
      <c r="K182" s="2">
        <v>0</v>
      </c>
      <c r="L182" s="2">
        <v>0</v>
      </c>
      <c r="M182" s="7">
        <v>-14</v>
      </c>
      <c r="N182" s="7">
        <v>-6</v>
      </c>
      <c r="O182" s="2">
        <v>18</v>
      </c>
      <c r="P182" s="2">
        <v>11</v>
      </c>
      <c r="Q182" s="2">
        <v>10</v>
      </c>
      <c r="R182" s="2">
        <v>7</v>
      </c>
      <c r="S182" s="2">
        <v>5</v>
      </c>
      <c r="T182" s="2">
        <v>0</v>
      </c>
      <c r="U182" s="2">
        <v>129</v>
      </c>
      <c r="V182" s="2">
        <v>0</v>
      </c>
      <c r="W182" s="2">
        <v>8</v>
      </c>
    </row>
    <row r="183" spans="1:23" x14ac:dyDescent="0.2">
      <c r="A183" t="s">
        <v>555</v>
      </c>
      <c r="B183" s="2">
        <v>23</v>
      </c>
      <c r="C183" t="s">
        <v>37</v>
      </c>
      <c r="D183" s="2" t="s">
        <v>49</v>
      </c>
      <c r="E183" s="2">
        <v>1</v>
      </c>
      <c r="F183" s="2">
        <v>0</v>
      </c>
      <c r="G183" s="2">
        <v>5</v>
      </c>
      <c r="H183" s="2">
        <v>0</v>
      </c>
      <c r="I183" s="2">
        <v>0</v>
      </c>
      <c r="J183" s="2">
        <v>100</v>
      </c>
      <c r="K183" s="2">
        <v>0</v>
      </c>
      <c r="L183" s="2">
        <v>0</v>
      </c>
      <c r="M183" s="6">
        <v>30</v>
      </c>
      <c r="N183" s="6">
        <v>26.6</v>
      </c>
      <c r="O183" s="2">
        <v>0</v>
      </c>
      <c r="P183" s="2">
        <v>0</v>
      </c>
      <c r="Q183" s="2">
        <v>0</v>
      </c>
      <c r="R183" s="2">
        <v>0</v>
      </c>
      <c r="S183" s="2">
        <v>0</v>
      </c>
      <c r="T183" s="2">
        <v>0</v>
      </c>
      <c r="U183" s="2">
        <v>0</v>
      </c>
      <c r="V183" s="2">
        <v>0</v>
      </c>
      <c r="W183" s="2">
        <v>0</v>
      </c>
    </row>
    <row r="184" spans="1:23" x14ac:dyDescent="0.2">
      <c r="A184" t="s">
        <v>332</v>
      </c>
      <c r="B184" s="2">
        <v>26</v>
      </c>
      <c r="C184" t="s">
        <v>32</v>
      </c>
      <c r="D184" s="2" t="s">
        <v>42</v>
      </c>
      <c r="E184" s="2">
        <v>9</v>
      </c>
      <c r="F184" s="2">
        <v>8</v>
      </c>
      <c r="G184" s="2">
        <v>267</v>
      </c>
      <c r="H184" s="2">
        <v>0</v>
      </c>
      <c r="I184" s="2">
        <v>0</v>
      </c>
      <c r="J184" s="2">
        <v>0</v>
      </c>
      <c r="K184" s="2">
        <v>0</v>
      </c>
      <c r="L184" s="2">
        <v>100</v>
      </c>
      <c r="M184" s="6">
        <v>14.8</v>
      </c>
      <c r="N184" s="6">
        <v>3.2</v>
      </c>
      <c r="O184" s="2">
        <v>8</v>
      </c>
      <c r="P184" s="2">
        <v>5</v>
      </c>
      <c r="Q184" s="2">
        <v>18</v>
      </c>
      <c r="R184" s="2">
        <v>4</v>
      </c>
      <c r="S184" s="2">
        <v>10</v>
      </c>
      <c r="T184" s="2">
        <v>1</v>
      </c>
      <c r="U184" s="2">
        <v>92</v>
      </c>
      <c r="V184" s="2">
        <v>3</v>
      </c>
      <c r="W184" s="2">
        <v>6</v>
      </c>
    </row>
    <row r="185" spans="1:23" x14ac:dyDescent="0.2">
      <c r="A185" t="s">
        <v>425</v>
      </c>
      <c r="B185" s="2">
        <v>23</v>
      </c>
      <c r="C185" t="s">
        <v>82</v>
      </c>
      <c r="D185" s="2" t="s">
        <v>42</v>
      </c>
      <c r="E185" s="2">
        <v>5</v>
      </c>
      <c r="F185" s="2">
        <v>1</v>
      </c>
      <c r="G185" s="2">
        <v>84</v>
      </c>
      <c r="H185" s="2">
        <v>0</v>
      </c>
      <c r="I185" s="2">
        <v>0</v>
      </c>
      <c r="J185" s="2">
        <v>0</v>
      </c>
      <c r="K185" s="2">
        <v>0</v>
      </c>
      <c r="L185" s="2">
        <v>100</v>
      </c>
      <c r="M185" s="6">
        <v>6.2</v>
      </c>
      <c r="N185" s="6">
        <v>11.2</v>
      </c>
      <c r="O185" s="2">
        <v>2</v>
      </c>
      <c r="P185" s="2">
        <v>0</v>
      </c>
      <c r="Q185" s="2">
        <v>8</v>
      </c>
      <c r="R185" s="2">
        <v>3</v>
      </c>
      <c r="S185" s="2">
        <v>6</v>
      </c>
      <c r="T185" s="2">
        <v>0</v>
      </c>
      <c r="U185" s="2">
        <v>12</v>
      </c>
      <c r="V185" s="2">
        <v>0</v>
      </c>
      <c r="W185" s="2">
        <v>2</v>
      </c>
    </row>
    <row r="186" spans="1:23" x14ac:dyDescent="0.2">
      <c r="A186" t="s">
        <v>232</v>
      </c>
      <c r="B186" s="2">
        <v>25</v>
      </c>
      <c r="C186" t="s">
        <v>32</v>
      </c>
      <c r="D186" s="2" t="s">
        <v>52</v>
      </c>
      <c r="E186" s="2">
        <v>22</v>
      </c>
      <c r="F186" s="2">
        <v>9</v>
      </c>
      <c r="G186" s="2">
        <v>473</v>
      </c>
      <c r="H186" s="2">
        <v>25</v>
      </c>
      <c r="I186" s="2">
        <v>75</v>
      </c>
      <c r="J186" s="2">
        <v>0</v>
      </c>
      <c r="K186" s="2">
        <v>0</v>
      </c>
      <c r="L186" s="2">
        <v>0</v>
      </c>
      <c r="M186" s="6">
        <v>14.5</v>
      </c>
      <c r="N186" s="6">
        <v>3.7</v>
      </c>
      <c r="O186" s="2">
        <v>5</v>
      </c>
      <c r="P186" s="2">
        <v>4</v>
      </c>
      <c r="Q186" s="2">
        <v>18</v>
      </c>
      <c r="R186" s="2">
        <v>0</v>
      </c>
      <c r="S186" s="2">
        <v>3</v>
      </c>
      <c r="T186" s="2">
        <v>14</v>
      </c>
      <c r="U186" s="2">
        <v>94</v>
      </c>
      <c r="V186" s="2">
        <v>1</v>
      </c>
      <c r="W186" s="2">
        <v>6</v>
      </c>
    </row>
    <row r="187" spans="1:23" x14ac:dyDescent="0.2">
      <c r="A187" t="s">
        <v>272</v>
      </c>
      <c r="B187" s="2">
        <v>23</v>
      </c>
      <c r="C187" t="s">
        <v>75</v>
      </c>
      <c r="D187" s="2" t="s">
        <v>42</v>
      </c>
      <c r="E187" s="2">
        <v>26</v>
      </c>
      <c r="F187" s="2">
        <v>3</v>
      </c>
      <c r="G187" s="2">
        <v>572</v>
      </c>
      <c r="H187" s="2">
        <v>0</v>
      </c>
      <c r="I187" s="2">
        <v>0</v>
      </c>
      <c r="J187" s="2">
        <v>0</v>
      </c>
      <c r="K187" s="2">
        <v>1</v>
      </c>
      <c r="L187" s="2">
        <v>99</v>
      </c>
      <c r="M187" s="7">
        <v>-2.9</v>
      </c>
      <c r="N187" s="6">
        <v>1.3</v>
      </c>
      <c r="O187" s="2">
        <v>6</v>
      </c>
      <c r="P187" s="2">
        <v>7</v>
      </c>
      <c r="Q187" s="2">
        <v>30</v>
      </c>
      <c r="R187" s="2">
        <v>11</v>
      </c>
      <c r="S187" s="2">
        <v>15</v>
      </c>
      <c r="T187" s="2">
        <v>1</v>
      </c>
      <c r="U187" s="2">
        <v>121</v>
      </c>
      <c r="V187" s="2">
        <v>5</v>
      </c>
      <c r="W187" s="2">
        <v>4</v>
      </c>
    </row>
    <row r="188" spans="1:23" x14ac:dyDescent="0.2">
      <c r="A188" t="s">
        <v>478</v>
      </c>
      <c r="B188" s="2">
        <v>24</v>
      </c>
      <c r="C188" t="s">
        <v>59</v>
      </c>
      <c r="D188" s="2" t="s">
        <v>52</v>
      </c>
      <c r="E188" s="2">
        <v>2</v>
      </c>
      <c r="F188" s="2">
        <v>0</v>
      </c>
      <c r="G188" s="2">
        <v>29</v>
      </c>
      <c r="H188" s="2">
        <v>5</v>
      </c>
      <c r="I188" s="2">
        <v>88</v>
      </c>
      <c r="J188" s="2">
        <v>7</v>
      </c>
      <c r="K188" s="2">
        <v>0</v>
      </c>
      <c r="L188" s="2">
        <v>0</v>
      </c>
      <c r="M188" s="6">
        <v>5.7</v>
      </c>
      <c r="N188" s="6">
        <v>11.8</v>
      </c>
      <c r="O188" s="2">
        <v>2</v>
      </c>
      <c r="P188" s="2">
        <v>0</v>
      </c>
      <c r="Q188" s="2">
        <v>2</v>
      </c>
      <c r="R188" s="2">
        <v>0</v>
      </c>
      <c r="S188" s="2">
        <v>5</v>
      </c>
      <c r="T188" s="2">
        <v>0</v>
      </c>
      <c r="U188" s="2">
        <v>10</v>
      </c>
      <c r="V188" s="2">
        <v>2</v>
      </c>
      <c r="W188" s="2">
        <v>4</v>
      </c>
    </row>
    <row r="189" spans="1:23" x14ac:dyDescent="0.2">
      <c r="A189" t="s">
        <v>126</v>
      </c>
      <c r="B189" s="2">
        <v>27</v>
      </c>
      <c r="C189" t="s">
        <v>77</v>
      </c>
      <c r="D189" s="2" t="s">
        <v>42</v>
      </c>
      <c r="E189" s="2">
        <v>25</v>
      </c>
      <c r="F189" s="2">
        <v>25</v>
      </c>
      <c r="G189" s="2">
        <v>811</v>
      </c>
      <c r="H189" s="2">
        <v>0</v>
      </c>
      <c r="I189" s="2">
        <v>0</v>
      </c>
      <c r="J189" s="2">
        <v>0</v>
      </c>
      <c r="K189" s="2">
        <v>0</v>
      </c>
      <c r="L189" s="2">
        <v>100</v>
      </c>
      <c r="M189" s="6">
        <v>4.4000000000000004</v>
      </c>
      <c r="N189" s="6">
        <v>10</v>
      </c>
      <c r="O189" s="2">
        <v>12</v>
      </c>
      <c r="P189" s="2">
        <v>19</v>
      </c>
      <c r="Q189" s="2">
        <v>29</v>
      </c>
      <c r="R189" s="2">
        <v>9</v>
      </c>
      <c r="S189" s="2">
        <v>37</v>
      </c>
      <c r="T189" s="2">
        <v>2</v>
      </c>
      <c r="U189" s="2">
        <v>140</v>
      </c>
      <c r="V189" s="2">
        <v>11</v>
      </c>
      <c r="W189" s="2">
        <v>20</v>
      </c>
    </row>
    <row r="190" spans="1:23" x14ac:dyDescent="0.2">
      <c r="A190" t="s">
        <v>151</v>
      </c>
      <c r="B190" s="2">
        <v>25</v>
      </c>
      <c r="C190" t="s">
        <v>80</v>
      </c>
      <c r="D190" s="2" t="s">
        <v>33</v>
      </c>
      <c r="E190" s="2">
        <v>14</v>
      </c>
      <c r="F190" s="2">
        <v>14</v>
      </c>
      <c r="G190" s="2">
        <v>394</v>
      </c>
      <c r="H190" s="2">
        <v>100</v>
      </c>
      <c r="I190" s="2">
        <v>0</v>
      </c>
      <c r="J190" s="2">
        <v>0</v>
      </c>
      <c r="K190" s="2">
        <v>0</v>
      </c>
      <c r="L190" s="2">
        <v>0</v>
      </c>
      <c r="M190" s="6">
        <v>8.1999999999999993</v>
      </c>
      <c r="N190" s="7">
        <v>-0.8</v>
      </c>
      <c r="O190" s="2">
        <v>34</v>
      </c>
      <c r="P190" s="2">
        <v>9</v>
      </c>
      <c r="Q190" s="2">
        <v>11</v>
      </c>
      <c r="R190" s="2">
        <v>1</v>
      </c>
      <c r="S190" s="2">
        <v>44</v>
      </c>
      <c r="T190" s="2">
        <v>8</v>
      </c>
      <c r="U190" s="2">
        <v>277</v>
      </c>
      <c r="V190" s="2">
        <v>13</v>
      </c>
      <c r="W190" s="2">
        <v>12</v>
      </c>
    </row>
    <row r="191" spans="1:23" x14ac:dyDescent="0.2">
      <c r="A191" t="s">
        <v>359</v>
      </c>
      <c r="B191" s="2">
        <v>20</v>
      </c>
      <c r="C191" t="s">
        <v>66</v>
      </c>
      <c r="D191" s="2" t="s">
        <v>52</v>
      </c>
      <c r="E191" s="2">
        <v>12</v>
      </c>
      <c r="F191" s="2">
        <v>4</v>
      </c>
      <c r="G191" s="2">
        <v>227</v>
      </c>
      <c r="H191" s="2">
        <v>36</v>
      </c>
      <c r="I191" s="2">
        <v>63</v>
      </c>
      <c r="J191" s="2">
        <v>1</v>
      </c>
      <c r="K191" s="2">
        <v>0</v>
      </c>
      <c r="L191" s="2">
        <v>0</v>
      </c>
      <c r="M191" s="6">
        <v>0.9</v>
      </c>
      <c r="N191" s="6">
        <v>7.3</v>
      </c>
      <c r="O191" s="2">
        <v>5</v>
      </c>
      <c r="P191" s="2">
        <v>3</v>
      </c>
      <c r="Q191" s="2">
        <v>15</v>
      </c>
      <c r="R191" s="2">
        <v>0</v>
      </c>
      <c r="S191" s="2">
        <v>9</v>
      </c>
      <c r="T191" s="2">
        <v>0</v>
      </c>
      <c r="U191" s="2">
        <v>43</v>
      </c>
      <c r="V191" s="2">
        <v>4</v>
      </c>
      <c r="W191" s="2">
        <v>8</v>
      </c>
    </row>
    <row r="192" spans="1:23" x14ac:dyDescent="0.2">
      <c r="A192" t="s">
        <v>166</v>
      </c>
      <c r="B192" s="2">
        <v>21</v>
      </c>
      <c r="C192" t="s">
        <v>87</v>
      </c>
      <c r="D192" s="2" t="s">
        <v>27</v>
      </c>
      <c r="E192" s="2">
        <v>25</v>
      </c>
      <c r="F192" s="2">
        <v>25</v>
      </c>
      <c r="G192" s="2">
        <v>758</v>
      </c>
      <c r="H192" s="2">
        <v>0</v>
      </c>
      <c r="I192" s="2">
        <v>0</v>
      </c>
      <c r="J192" s="2">
        <v>0</v>
      </c>
      <c r="K192" s="2">
        <v>87</v>
      </c>
      <c r="L192" s="2">
        <v>13</v>
      </c>
      <c r="M192" s="6">
        <v>4.4000000000000004</v>
      </c>
      <c r="N192" s="7">
        <v>-5.9</v>
      </c>
      <c r="O192" s="2">
        <v>8</v>
      </c>
      <c r="P192" s="2">
        <v>6</v>
      </c>
      <c r="Q192" s="2">
        <v>30</v>
      </c>
      <c r="R192" s="2">
        <v>2</v>
      </c>
      <c r="S192" s="2">
        <v>21</v>
      </c>
      <c r="T192" s="2">
        <v>1</v>
      </c>
      <c r="U192" s="2">
        <v>57</v>
      </c>
      <c r="V192" s="2">
        <v>4</v>
      </c>
      <c r="W192" s="2">
        <v>15</v>
      </c>
    </row>
    <row r="193" spans="1:23" x14ac:dyDescent="0.2">
      <c r="A193" t="s">
        <v>393</v>
      </c>
      <c r="B193" s="2">
        <v>22</v>
      </c>
      <c r="C193" t="s">
        <v>135</v>
      </c>
      <c r="D193" s="2" t="s">
        <v>49</v>
      </c>
      <c r="E193" s="2">
        <v>19</v>
      </c>
      <c r="F193" s="2">
        <v>0</v>
      </c>
      <c r="G193" s="2">
        <v>204</v>
      </c>
      <c r="H193" s="2">
        <v>0</v>
      </c>
      <c r="I193" s="2">
        <v>0</v>
      </c>
      <c r="J193" s="2">
        <v>22</v>
      </c>
      <c r="K193" s="2">
        <v>58</v>
      </c>
      <c r="L193" s="2">
        <v>20</v>
      </c>
      <c r="M193" s="7">
        <v>-7.2</v>
      </c>
      <c r="N193" s="6">
        <v>2.9</v>
      </c>
      <c r="O193" s="2">
        <v>2</v>
      </c>
      <c r="P193" s="2">
        <v>7</v>
      </c>
      <c r="Q193" s="2">
        <v>7</v>
      </c>
      <c r="R193" s="2">
        <v>3</v>
      </c>
      <c r="S193" s="2">
        <v>8</v>
      </c>
      <c r="T193" s="2">
        <v>3</v>
      </c>
      <c r="U193" s="2">
        <v>29</v>
      </c>
      <c r="V193" s="2">
        <v>3</v>
      </c>
      <c r="W193" s="2">
        <v>11</v>
      </c>
    </row>
    <row r="194" spans="1:23" x14ac:dyDescent="0.2">
      <c r="A194" t="s">
        <v>503</v>
      </c>
      <c r="B194" s="2">
        <v>28</v>
      </c>
      <c r="C194" t="s">
        <v>87</v>
      </c>
      <c r="D194" s="2" t="s">
        <v>27</v>
      </c>
      <c r="E194" s="2">
        <v>6</v>
      </c>
      <c r="F194" s="2">
        <v>0</v>
      </c>
      <c r="G194" s="2">
        <v>21</v>
      </c>
      <c r="H194" s="2">
        <v>0</v>
      </c>
      <c r="I194" s="2">
        <v>0</v>
      </c>
      <c r="J194" s="2">
        <v>47</v>
      </c>
      <c r="K194" s="2">
        <v>45</v>
      </c>
      <c r="L194" s="2">
        <v>9</v>
      </c>
      <c r="M194" s="6">
        <v>2.6</v>
      </c>
      <c r="N194" s="7">
        <v>-4.2</v>
      </c>
      <c r="O194" s="2">
        <v>0</v>
      </c>
      <c r="P194" s="2">
        <v>1</v>
      </c>
      <c r="Q194" s="2">
        <v>1</v>
      </c>
      <c r="R194" s="2">
        <v>0</v>
      </c>
      <c r="S194" s="2">
        <v>0</v>
      </c>
      <c r="T194" s="2">
        <v>0</v>
      </c>
      <c r="U194" s="2">
        <v>3</v>
      </c>
      <c r="V194" s="2">
        <v>0</v>
      </c>
      <c r="W194" s="2">
        <v>0</v>
      </c>
    </row>
    <row r="195" spans="1:23" x14ac:dyDescent="0.2">
      <c r="A195" t="s">
        <v>551</v>
      </c>
      <c r="B195" s="2">
        <v>24</v>
      </c>
      <c r="C195" t="s">
        <v>44</v>
      </c>
      <c r="D195" s="2" t="s">
        <v>49</v>
      </c>
      <c r="E195" s="2">
        <v>7</v>
      </c>
      <c r="F195" s="2">
        <v>0</v>
      </c>
      <c r="G195" s="2">
        <v>21</v>
      </c>
      <c r="H195" s="2">
        <v>0</v>
      </c>
      <c r="I195" s="2">
        <v>0</v>
      </c>
      <c r="J195" s="2">
        <v>59</v>
      </c>
      <c r="K195" s="2">
        <v>41</v>
      </c>
      <c r="L195" s="2">
        <v>0</v>
      </c>
      <c r="M195" s="7">
        <v>-29.8</v>
      </c>
      <c r="N195" s="7">
        <v>-37</v>
      </c>
      <c r="O195" s="2">
        <v>1</v>
      </c>
      <c r="P195" s="2">
        <v>0</v>
      </c>
      <c r="Q195" s="2">
        <v>0</v>
      </c>
      <c r="R195" s="2">
        <v>0</v>
      </c>
      <c r="S195" s="2">
        <v>0</v>
      </c>
      <c r="T195" s="2">
        <v>0</v>
      </c>
      <c r="U195" s="2">
        <v>4</v>
      </c>
      <c r="V195" s="2">
        <v>0</v>
      </c>
      <c r="W195" s="2">
        <v>0</v>
      </c>
    </row>
    <row r="196" spans="1:23" x14ac:dyDescent="0.2">
      <c r="A196" t="s">
        <v>288</v>
      </c>
      <c r="B196" s="2">
        <v>22</v>
      </c>
      <c r="C196" t="s">
        <v>63</v>
      </c>
      <c r="D196" s="2" t="s">
        <v>52</v>
      </c>
      <c r="E196" s="2">
        <v>22</v>
      </c>
      <c r="F196" s="2">
        <v>2</v>
      </c>
      <c r="G196" s="2">
        <v>320</v>
      </c>
      <c r="H196" s="2">
        <v>3</v>
      </c>
      <c r="I196" s="2">
        <v>66</v>
      </c>
      <c r="J196" s="2">
        <v>32</v>
      </c>
      <c r="K196" s="2">
        <v>0</v>
      </c>
      <c r="L196" s="2">
        <v>0</v>
      </c>
      <c r="M196" s="6">
        <v>0.1</v>
      </c>
      <c r="N196" s="7">
        <v>-8.6999999999999993</v>
      </c>
      <c r="O196" s="2">
        <v>11</v>
      </c>
      <c r="P196" s="2">
        <v>13</v>
      </c>
      <c r="Q196" s="2">
        <v>14</v>
      </c>
      <c r="R196" s="2">
        <v>2</v>
      </c>
      <c r="S196" s="2">
        <v>14</v>
      </c>
      <c r="T196" s="2">
        <v>1</v>
      </c>
      <c r="U196" s="2">
        <v>60</v>
      </c>
      <c r="V196" s="2">
        <v>5</v>
      </c>
      <c r="W196" s="2">
        <v>9</v>
      </c>
    </row>
    <row r="197" spans="1:23" x14ac:dyDescent="0.2">
      <c r="A197" t="s">
        <v>101</v>
      </c>
      <c r="B197" s="2">
        <v>22</v>
      </c>
      <c r="C197" t="s">
        <v>75</v>
      </c>
      <c r="D197" s="2" t="s">
        <v>52</v>
      </c>
      <c r="E197" s="2">
        <v>25</v>
      </c>
      <c r="F197" s="2">
        <v>25</v>
      </c>
      <c r="G197" s="2">
        <v>759</v>
      </c>
      <c r="H197" s="2">
        <v>7</v>
      </c>
      <c r="I197" s="2">
        <v>75</v>
      </c>
      <c r="J197" s="2">
        <v>18</v>
      </c>
      <c r="K197" s="2">
        <v>0</v>
      </c>
      <c r="L197" s="2">
        <v>0</v>
      </c>
      <c r="M197" s="7">
        <v>-4.8</v>
      </c>
      <c r="N197" s="7">
        <v>-2.9</v>
      </c>
      <c r="O197" s="2">
        <v>34</v>
      </c>
      <c r="P197" s="2">
        <v>24</v>
      </c>
      <c r="Q197" s="2">
        <v>21</v>
      </c>
      <c r="R197" s="2">
        <v>8</v>
      </c>
      <c r="S197" s="2">
        <v>51</v>
      </c>
      <c r="T197" s="2">
        <v>6</v>
      </c>
      <c r="U197" s="2">
        <v>258</v>
      </c>
      <c r="V197" s="2">
        <v>11</v>
      </c>
      <c r="W197" s="2">
        <v>25</v>
      </c>
    </row>
    <row r="198" spans="1:23" x14ac:dyDescent="0.2">
      <c r="A198" t="s">
        <v>210</v>
      </c>
      <c r="B198" s="2">
        <v>24</v>
      </c>
      <c r="C198" t="s">
        <v>51</v>
      </c>
      <c r="D198" s="2" t="s">
        <v>27</v>
      </c>
      <c r="E198" s="2">
        <v>23</v>
      </c>
      <c r="F198" s="2">
        <v>23</v>
      </c>
      <c r="G198" s="2">
        <v>691</v>
      </c>
      <c r="H198" s="2">
        <v>0</v>
      </c>
      <c r="I198" s="2">
        <v>0</v>
      </c>
      <c r="J198" s="2">
        <v>95</v>
      </c>
      <c r="K198" s="2">
        <v>5</v>
      </c>
      <c r="L198" s="2">
        <v>0</v>
      </c>
      <c r="M198" s="7">
        <v>-2.2000000000000002</v>
      </c>
      <c r="N198" s="7">
        <v>-15.5</v>
      </c>
      <c r="O198" s="2">
        <v>12</v>
      </c>
      <c r="P198" s="2">
        <v>6</v>
      </c>
      <c r="Q198" s="2">
        <v>31</v>
      </c>
      <c r="R198" s="2">
        <v>1</v>
      </c>
      <c r="S198" s="2">
        <v>10</v>
      </c>
      <c r="T198" s="2">
        <v>8</v>
      </c>
      <c r="U198" s="2">
        <v>105</v>
      </c>
      <c r="V198" s="2">
        <v>1</v>
      </c>
      <c r="W198" s="2">
        <v>12</v>
      </c>
    </row>
    <row r="199" spans="1:23" x14ac:dyDescent="0.2">
      <c r="A199" t="s">
        <v>513</v>
      </c>
      <c r="B199" s="2">
        <v>22</v>
      </c>
      <c r="C199" t="s">
        <v>39</v>
      </c>
      <c r="D199" s="2" t="s">
        <v>52</v>
      </c>
      <c r="E199" s="2">
        <v>7</v>
      </c>
      <c r="F199" s="2">
        <v>0</v>
      </c>
      <c r="G199" s="2">
        <v>24</v>
      </c>
      <c r="H199" s="2">
        <v>27</v>
      </c>
      <c r="I199" s="2">
        <v>71</v>
      </c>
      <c r="J199" s="2">
        <v>3</v>
      </c>
      <c r="K199" s="2">
        <v>0</v>
      </c>
      <c r="L199" s="2">
        <v>0</v>
      </c>
      <c r="M199" s="7">
        <v>-38.9</v>
      </c>
      <c r="N199" s="7">
        <v>-49.6</v>
      </c>
      <c r="O199" s="2">
        <v>0</v>
      </c>
      <c r="P199" s="2">
        <v>1</v>
      </c>
      <c r="Q199" s="2">
        <v>1</v>
      </c>
      <c r="R199" s="2">
        <v>0</v>
      </c>
      <c r="S199" s="2">
        <v>2</v>
      </c>
      <c r="T199" s="2">
        <v>0</v>
      </c>
      <c r="U199" s="2">
        <v>7</v>
      </c>
      <c r="V199" s="2">
        <v>0</v>
      </c>
      <c r="W199" s="2">
        <v>0</v>
      </c>
    </row>
    <row r="200" spans="1:23" x14ac:dyDescent="0.2">
      <c r="A200" t="s">
        <v>465</v>
      </c>
      <c r="B200" s="2">
        <v>34</v>
      </c>
      <c r="C200" t="s">
        <v>37</v>
      </c>
      <c r="D200" s="2" t="s">
        <v>49</v>
      </c>
      <c r="E200" s="2">
        <v>5</v>
      </c>
      <c r="F200" s="2">
        <v>2</v>
      </c>
      <c r="G200" s="2">
        <v>84</v>
      </c>
      <c r="H200" s="2">
        <v>0</v>
      </c>
      <c r="I200" s="2">
        <v>0</v>
      </c>
      <c r="J200" s="2">
        <v>82</v>
      </c>
      <c r="K200" s="2">
        <v>18</v>
      </c>
      <c r="L200" s="2">
        <v>0</v>
      </c>
      <c r="M200" s="6">
        <v>0.7</v>
      </c>
      <c r="N200" s="7">
        <v>-3</v>
      </c>
      <c r="O200" s="2">
        <v>3</v>
      </c>
      <c r="P200" s="2">
        <v>0</v>
      </c>
      <c r="Q200" s="2">
        <v>7</v>
      </c>
      <c r="R200" s="2">
        <v>0</v>
      </c>
      <c r="S200" s="2">
        <v>2</v>
      </c>
      <c r="T200" s="2">
        <v>0</v>
      </c>
      <c r="U200" s="2">
        <v>9</v>
      </c>
      <c r="V200" s="2">
        <v>0</v>
      </c>
      <c r="W200" s="2">
        <v>1</v>
      </c>
    </row>
    <row r="201" spans="1:23" x14ac:dyDescent="0.2">
      <c r="A201" t="s">
        <v>454</v>
      </c>
      <c r="B201" s="2">
        <v>29</v>
      </c>
      <c r="C201" t="s">
        <v>87</v>
      </c>
      <c r="D201" s="2" t="s">
        <v>49</v>
      </c>
      <c r="E201" s="2">
        <v>10</v>
      </c>
      <c r="F201" s="2">
        <v>0</v>
      </c>
      <c r="G201" s="2">
        <v>59</v>
      </c>
      <c r="H201" s="2">
        <v>0</v>
      </c>
      <c r="I201" s="2">
        <v>34</v>
      </c>
      <c r="J201" s="2">
        <v>62</v>
      </c>
      <c r="K201" s="2">
        <v>4</v>
      </c>
      <c r="L201" s="2">
        <v>0</v>
      </c>
      <c r="M201" s="6">
        <v>14.5</v>
      </c>
      <c r="N201" s="6">
        <v>8.1999999999999993</v>
      </c>
      <c r="O201" s="2">
        <v>2</v>
      </c>
      <c r="P201" s="2">
        <v>1</v>
      </c>
      <c r="Q201" s="2">
        <v>2</v>
      </c>
      <c r="R201" s="2">
        <v>2</v>
      </c>
      <c r="S201" s="2">
        <v>5</v>
      </c>
      <c r="T201" s="2">
        <v>1</v>
      </c>
      <c r="U201" s="2">
        <v>15</v>
      </c>
      <c r="V201" s="2">
        <v>3</v>
      </c>
      <c r="W201" s="2">
        <v>0</v>
      </c>
    </row>
    <row r="202" spans="1:23" x14ac:dyDescent="0.2">
      <c r="A202" t="s">
        <v>270</v>
      </c>
      <c r="B202" s="2">
        <v>23</v>
      </c>
      <c r="C202" t="s">
        <v>61</v>
      </c>
      <c r="D202" s="2" t="s">
        <v>49</v>
      </c>
      <c r="E202" s="2">
        <v>19</v>
      </c>
      <c r="F202" s="2">
        <v>1</v>
      </c>
      <c r="G202" s="2">
        <v>402</v>
      </c>
      <c r="H202" s="2">
        <v>2</v>
      </c>
      <c r="I202" s="2">
        <v>32</v>
      </c>
      <c r="J202" s="2">
        <v>51</v>
      </c>
      <c r="K202" s="2">
        <v>15</v>
      </c>
      <c r="L202" s="2">
        <v>0</v>
      </c>
      <c r="M202" s="7">
        <v>-4.9000000000000004</v>
      </c>
      <c r="N202" s="7">
        <v>-13.1</v>
      </c>
      <c r="O202" s="2">
        <v>10</v>
      </c>
      <c r="P202" s="2">
        <v>9</v>
      </c>
      <c r="Q202" s="2">
        <v>15</v>
      </c>
      <c r="R202" s="2">
        <v>3</v>
      </c>
      <c r="S202" s="2">
        <v>23</v>
      </c>
      <c r="T202" s="2">
        <v>1</v>
      </c>
      <c r="U202" s="2">
        <v>105</v>
      </c>
      <c r="V202" s="2">
        <v>5</v>
      </c>
      <c r="W202" s="2">
        <v>20</v>
      </c>
    </row>
    <row r="203" spans="1:23" x14ac:dyDescent="0.2">
      <c r="A203" t="s">
        <v>218</v>
      </c>
      <c r="B203" s="2">
        <v>23</v>
      </c>
      <c r="C203" t="s">
        <v>80</v>
      </c>
      <c r="D203" s="2" t="s">
        <v>27</v>
      </c>
      <c r="E203" s="2">
        <v>25</v>
      </c>
      <c r="F203" s="2">
        <v>0</v>
      </c>
      <c r="G203" s="2">
        <v>584</v>
      </c>
      <c r="H203" s="2">
        <v>0</v>
      </c>
      <c r="I203" s="2">
        <v>2</v>
      </c>
      <c r="J203" s="2">
        <v>61</v>
      </c>
      <c r="K203" s="2">
        <v>35</v>
      </c>
      <c r="L203" s="2">
        <v>3</v>
      </c>
      <c r="M203" s="6">
        <v>13.7</v>
      </c>
      <c r="N203" s="6">
        <v>9.6999999999999993</v>
      </c>
      <c r="O203" s="2">
        <v>17</v>
      </c>
      <c r="P203" s="2">
        <v>9</v>
      </c>
      <c r="Q203" s="2">
        <v>27</v>
      </c>
      <c r="R203" s="2">
        <v>4</v>
      </c>
      <c r="S203" s="2">
        <v>26</v>
      </c>
      <c r="T203" s="2">
        <v>4</v>
      </c>
      <c r="U203" s="2">
        <v>219</v>
      </c>
      <c r="V203" s="2">
        <v>5</v>
      </c>
      <c r="W203" s="2">
        <v>16</v>
      </c>
    </row>
    <row r="204" spans="1:23" x14ac:dyDescent="0.2">
      <c r="A204" t="s">
        <v>118</v>
      </c>
      <c r="B204" s="2">
        <v>29</v>
      </c>
      <c r="C204" t="s">
        <v>66</v>
      </c>
      <c r="D204" s="2" t="s">
        <v>42</v>
      </c>
      <c r="E204" s="2">
        <v>25</v>
      </c>
      <c r="F204" s="2">
        <v>24</v>
      </c>
      <c r="G204" s="2">
        <v>813</v>
      </c>
      <c r="H204" s="2">
        <v>0</v>
      </c>
      <c r="I204" s="2">
        <v>0</v>
      </c>
      <c r="J204" s="2">
        <v>0</v>
      </c>
      <c r="K204" s="2">
        <v>0</v>
      </c>
      <c r="L204" s="2">
        <v>100</v>
      </c>
      <c r="M204" s="7">
        <v>-1.5</v>
      </c>
      <c r="N204" s="6">
        <v>10.3</v>
      </c>
      <c r="O204" s="2">
        <v>25</v>
      </c>
      <c r="P204" s="2">
        <v>13</v>
      </c>
      <c r="Q204" s="2">
        <v>45</v>
      </c>
      <c r="R204" s="2">
        <v>13</v>
      </c>
      <c r="S204" s="2">
        <v>41</v>
      </c>
      <c r="T204" s="2">
        <v>2</v>
      </c>
      <c r="U204" s="2">
        <v>151</v>
      </c>
      <c r="V204" s="2">
        <v>11</v>
      </c>
      <c r="W204" s="2">
        <v>21</v>
      </c>
    </row>
    <row r="205" spans="1:23" x14ac:dyDescent="0.2">
      <c r="A205" t="s">
        <v>553</v>
      </c>
      <c r="B205" s="2">
        <v>23</v>
      </c>
      <c r="C205" t="s">
        <v>54</v>
      </c>
      <c r="D205" s="2" t="s">
        <v>49</v>
      </c>
      <c r="E205" s="2">
        <v>2</v>
      </c>
      <c r="F205" s="2">
        <v>0</v>
      </c>
      <c r="G205" s="2">
        <v>11</v>
      </c>
      <c r="H205" s="2">
        <v>0</v>
      </c>
      <c r="I205" s="2">
        <v>0</v>
      </c>
      <c r="J205" s="2">
        <v>100</v>
      </c>
      <c r="K205" s="2">
        <v>0</v>
      </c>
      <c r="L205" s="2">
        <v>0</v>
      </c>
      <c r="M205" s="6">
        <v>13.2</v>
      </c>
      <c r="N205" s="6">
        <v>14.1</v>
      </c>
      <c r="O205" s="2">
        <v>0</v>
      </c>
      <c r="P205" s="2">
        <v>2</v>
      </c>
      <c r="Q205" s="2">
        <v>0</v>
      </c>
      <c r="R205" s="2">
        <v>0</v>
      </c>
      <c r="S205" s="2">
        <v>1</v>
      </c>
      <c r="T205" s="2">
        <v>0</v>
      </c>
      <c r="U205" s="2">
        <v>0</v>
      </c>
      <c r="V205" s="2">
        <v>0</v>
      </c>
      <c r="W205" s="2">
        <v>0</v>
      </c>
    </row>
    <row r="206" spans="1:23" x14ac:dyDescent="0.2">
      <c r="A206" t="s">
        <v>43</v>
      </c>
      <c r="B206" s="2">
        <v>28</v>
      </c>
      <c r="C206" t="s">
        <v>44</v>
      </c>
      <c r="D206" s="2" t="s">
        <v>33</v>
      </c>
      <c r="E206" s="2">
        <v>25</v>
      </c>
      <c r="F206" s="2">
        <v>25</v>
      </c>
      <c r="G206" s="2">
        <v>857</v>
      </c>
      <c r="H206" s="2">
        <v>100</v>
      </c>
      <c r="I206" s="2">
        <v>0</v>
      </c>
      <c r="J206" s="2">
        <v>0</v>
      </c>
      <c r="K206" s="2">
        <v>0</v>
      </c>
      <c r="L206" s="2">
        <v>0</v>
      </c>
      <c r="M206" s="6">
        <v>7.3</v>
      </c>
      <c r="N206" s="6">
        <v>2.6</v>
      </c>
      <c r="O206" s="2">
        <v>37</v>
      </c>
      <c r="P206" s="2">
        <v>18</v>
      </c>
      <c r="Q206" s="2">
        <v>18</v>
      </c>
      <c r="R206" s="2">
        <v>3</v>
      </c>
      <c r="S206" s="2">
        <v>66</v>
      </c>
      <c r="T206" s="2">
        <v>19</v>
      </c>
      <c r="U206" s="2">
        <v>454</v>
      </c>
      <c r="V206" s="2">
        <v>21</v>
      </c>
      <c r="W206" s="2">
        <v>21</v>
      </c>
    </row>
    <row r="207" spans="1:23" x14ac:dyDescent="0.2">
      <c r="A207" t="s">
        <v>226</v>
      </c>
      <c r="B207" s="2">
        <v>21</v>
      </c>
      <c r="C207" t="s">
        <v>75</v>
      </c>
      <c r="D207" s="2" t="s">
        <v>42</v>
      </c>
      <c r="E207" s="2">
        <v>23</v>
      </c>
      <c r="F207" s="2">
        <v>23</v>
      </c>
      <c r="G207" s="2">
        <v>550</v>
      </c>
      <c r="H207" s="2">
        <v>0</v>
      </c>
      <c r="I207" s="2">
        <v>0</v>
      </c>
      <c r="J207" s="2">
        <v>0</v>
      </c>
      <c r="K207" s="2">
        <v>0</v>
      </c>
      <c r="L207" s="2">
        <v>100</v>
      </c>
      <c r="M207" s="7">
        <v>-5.5</v>
      </c>
      <c r="N207" s="7">
        <v>-3.5</v>
      </c>
      <c r="O207" s="2">
        <v>24</v>
      </c>
      <c r="P207" s="2">
        <v>11</v>
      </c>
      <c r="Q207" s="2">
        <v>39</v>
      </c>
      <c r="R207" s="2">
        <v>10</v>
      </c>
      <c r="S207" s="2">
        <v>30</v>
      </c>
      <c r="T207" s="2">
        <v>0</v>
      </c>
      <c r="U207" s="2">
        <v>124</v>
      </c>
      <c r="V207" s="2">
        <v>6</v>
      </c>
      <c r="W207" s="2">
        <v>15</v>
      </c>
    </row>
    <row r="208" spans="1:23" x14ac:dyDescent="0.2">
      <c r="A208" t="s">
        <v>86</v>
      </c>
      <c r="B208" s="2">
        <v>22</v>
      </c>
      <c r="C208" t="s">
        <v>87</v>
      </c>
      <c r="D208" s="2" t="s">
        <v>52</v>
      </c>
      <c r="E208" s="2">
        <v>25</v>
      </c>
      <c r="F208" s="2">
        <v>25</v>
      </c>
      <c r="G208" s="2">
        <v>813</v>
      </c>
      <c r="H208" s="2">
        <v>15</v>
      </c>
      <c r="I208" s="2">
        <v>84</v>
      </c>
      <c r="J208" s="2">
        <v>1</v>
      </c>
      <c r="K208" s="2">
        <v>0</v>
      </c>
      <c r="L208" s="2">
        <v>0</v>
      </c>
      <c r="M208" s="6">
        <v>3.2</v>
      </c>
      <c r="N208" s="7">
        <v>-10.3</v>
      </c>
      <c r="O208" s="2">
        <v>29</v>
      </c>
      <c r="P208" s="2">
        <v>29</v>
      </c>
      <c r="Q208" s="2">
        <v>18</v>
      </c>
      <c r="R208" s="2">
        <v>4</v>
      </c>
      <c r="S208" s="2">
        <v>48</v>
      </c>
      <c r="T208" s="2">
        <v>1</v>
      </c>
      <c r="U208" s="2">
        <v>155</v>
      </c>
      <c r="V208" s="2">
        <v>7</v>
      </c>
      <c r="W208" s="2">
        <v>34</v>
      </c>
    </row>
    <row r="209" spans="1:23" x14ac:dyDescent="0.2">
      <c r="A209" t="s">
        <v>526</v>
      </c>
      <c r="B209" s="2">
        <v>21</v>
      </c>
      <c r="C209" t="s">
        <v>41</v>
      </c>
      <c r="D209" s="2" t="s">
        <v>52</v>
      </c>
      <c r="E209" s="2">
        <v>2</v>
      </c>
      <c r="F209" s="2">
        <v>0</v>
      </c>
      <c r="G209" s="2">
        <v>14</v>
      </c>
      <c r="H209" s="2">
        <v>0</v>
      </c>
      <c r="I209" s="2">
        <v>90</v>
      </c>
      <c r="J209" s="2">
        <v>10</v>
      </c>
      <c r="K209" s="2">
        <v>0</v>
      </c>
      <c r="L209" s="2">
        <v>0</v>
      </c>
      <c r="M209" s="6">
        <v>23.2</v>
      </c>
      <c r="N209" s="6">
        <v>26.7</v>
      </c>
      <c r="O209" s="2">
        <v>0</v>
      </c>
      <c r="P209" s="2">
        <v>1</v>
      </c>
      <c r="Q209" s="2">
        <v>2</v>
      </c>
      <c r="R209" s="2">
        <v>0</v>
      </c>
      <c r="S209" s="2">
        <v>0</v>
      </c>
      <c r="T209" s="2">
        <v>0</v>
      </c>
      <c r="U209" s="2">
        <v>2</v>
      </c>
      <c r="V209" s="2">
        <v>0</v>
      </c>
      <c r="W209" s="2">
        <v>0</v>
      </c>
    </row>
    <row r="210" spans="1:23" x14ac:dyDescent="0.2">
      <c r="A210" t="s">
        <v>89</v>
      </c>
      <c r="B210" s="2">
        <v>23</v>
      </c>
      <c r="C210" t="s">
        <v>72</v>
      </c>
      <c r="D210" s="2" t="s">
        <v>49</v>
      </c>
      <c r="E210" s="2">
        <v>24</v>
      </c>
      <c r="F210" s="2">
        <v>24</v>
      </c>
      <c r="G210" s="2">
        <v>877</v>
      </c>
      <c r="H210" s="2">
        <v>0</v>
      </c>
      <c r="I210" s="2">
        <v>0</v>
      </c>
      <c r="J210" s="2">
        <v>13</v>
      </c>
      <c r="K210" s="2">
        <v>86</v>
      </c>
      <c r="L210" s="2">
        <v>0</v>
      </c>
      <c r="M210" s="6">
        <v>1.9</v>
      </c>
      <c r="N210" s="6">
        <v>14.1</v>
      </c>
      <c r="O210" s="2">
        <v>45</v>
      </c>
      <c r="P210" s="2">
        <v>12</v>
      </c>
      <c r="Q210" s="2">
        <v>25</v>
      </c>
      <c r="R210" s="2">
        <v>10</v>
      </c>
      <c r="S210" s="2">
        <v>39</v>
      </c>
      <c r="T210" s="2">
        <v>1</v>
      </c>
      <c r="U210" s="2">
        <v>313</v>
      </c>
      <c r="V210" s="2">
        <v>8</v>
      </c>
      <c r="W210" s="2">
        <v>28</v>
      </c>
    </row>
    <row r="211" spans="1:23" x14ac:dyDescent="0.2">
      <c r="A211" t="s">
        <v>519</v>
      </c>
      <c r="B211" s="2">
        <v>25</v>
      </c>
      <c r="C211" t="s">
        <v>46</v>
      </c>
      <c r="D211" s="2" t="s">
        <v>52</v>
      </c>
      <c r="E211" s="2">
        <v>4</v>
      </c>
      <c r="F211" s="2">
        <v>0</v>
      </c>
      <c r="G211" s="2">
        <v>37</v>
      </c>
      <c r="H211" s="2">
        <v>82</v>
      </c>
      <c r="I211" s="2">
        <v>18</v>
      </c>
      <c r="J211" s="2">
        <v>0</v>
      </c>
      <c r="K211" s="2">
        <v>0</v>
      </c>
      <c r="L211" s="2">
        <v>0</v>
      </c>
      <c r="M211" s="6">
        <v>24</v>
      </c>
      <c r="N211" s="6">
        <v>22.5</v>
      </c>
      <c r="O211" s="2">
        <v>0</v>
      </c>
      <c r="P211" s="2">
        <v>2</v>
      </c>
      <c r="Q211" s="2">
        <v>2</v>
      </c>
      <c r="R211" s="2">
        <v>0</v>
      </c>
      <c r="S211" s="2">
        <v>0</v>
      </c>
      <c r="T211" s="2">
        <v>0</v>
      </c>
      <c r="U211" s="2">
        <v>17</v>
      </c>
      <c r="V211" s="2">
        <v>0</v>
      </c>
      <c r="W211" s="2">
        <v>0</v>
      </c>
    </row>
    <row r="212" spans="1:23" x14ac:dyDescent="0.2">
      <c r="A212" t="s">
        <v>254</v>
      </c>
      <c r="B212" s="2">
        <v>24</v>
      </c>
      <c r="C212" t="s">
        <v>70</v>
      </c>
      <c r="D212" s="2" t="s">
        <v>42</v>
      </c>
      <c r="E212" s="2">
        <v>22</v>
      </c>
      <c r="F212" s="2">
        <v>0</v>
      </c>
      <c r="G212" s="2">
        <v>325</v>
      </c>
      <c r="H212" s="2">
        <v>0</v>
      </c>
      <c r="I212" s="2">
        <v>0</v>
      </c>
      <c r="J212" s="2">
        <v>0</v>
      </c>
      <c r="K212" s="2">
        <v>0</v>
      </c>
      <c r="L212" s="2">
        <v>100</v>
      </c>
      <c r="M212" s="7">
        <v>-0.6</v>
      </c>
      <c r="N212" s="6">
        <v>3.4</v>
      </c>
      <c r="O212" s="2">
        <v>6</v>
      </c>
      <c r="P212" s="2">
        <v>3</v>
      </c>
      <c r="Q212" s="2">
        <v>23</v>
      </c>
      <c r="R212" s="2">
        <v>3</v>
      </c>
      <c r="S212" s="2">
        <v>17</v>
      </c>
      <c r="T212" s="2">
        <v>3</v>
      </c>
      <c r="U212" s="2">
        <v>36</v>
      </c>
      <c r="V212" s="2">
        <v>5</v>
      </c>
      <c r="W212" s="2">
        <v>3</v>
      </c>
    </row>
    <row r="213" spans="1:23" x14ac:dyDescent="0.2">
      <c r="A213" t="s">
        <v>104</v>
      </c>
      <c r="B213" s="2">
        <v>23</v>
      </c>
      <c r="C213" t="s">
        <v>48</v>
      </c>
      <c r="D213" s="2" t="s">
        <v>33</v>
      </c>
      <c r="E213" s="2">
        <v>26</v>
      </c>
      <c r="F213" s="2">
        <v>26</v>
      </c>
      <c r="G213" s="2">
        <v>789</v>
      </c>
      <c r="H213" s="2">
        <v>93</v>
      </c>
      <c r="I213" s="2">
        <v>8</v>
      </c>
      <c r="J213" s="2">
        <v>0</v>
      </c>
      <c r="K213" s="2">
        <v>0</v>
      </c>
      <c r="L213" s="2">
        <v>0</v>
      </c>
      <c r="M213" s="6">
        <v>0.6</v>
      </c>
      <c r="N213" s="7">
        <v>-7.1</v>
      </c>
      <c r="O213" s="2">
        <v>39</v>
      </c>
      <c r="P213" s="2">
        <v>20</v>
      </c>
      <c r="Q213" s="2">
        <v>34</v>
      </c>
      <c r="R213" s="2">
        <v>7</v>
      </c>
      <c r="S213" s="2">
        <v>29</v>
      </c>
      <c r="T213" s="2">
        <v>16</v>
      </c>
      <c r="U213" s="2">
        <v>227</v>
      </c>
      <c r="V213" s="2">
        <v>7</v>
      </c>
      <c r="W213" s="2">
        <v>10</v>
      </c>
    </row>
    <row r="214" spans="1:23" x14ac:dyDescent="0.2">
      <c r="A214" t="s">
        <v>73</v>
      </c>
      <c r="B214" s="2">
        <v>23</v>
      </c>
      <c r="C214" t="s">
        <v>32</v>
      </c>
      <c r="D214" s="2" t="s">
        <v>52</v>
      </c>
      <c r="E214" s="2">
        <v>24</v>
      </c>
      <c r="F214" s="2">
        <v>24</v>
      </c>
      <c r="G214" s="2">
        <v>764</v>
      </c>
      <c r="H214" s="2">
        <v>0</v>
      </c>
      <c r="I214" s="2">
        <v>0</v>
      </c>
      <c r="J214" s="2">
        <v>50</v>
      </c>
      <c r="K214" s="2">
        <v>48</v>
      </c>
      <c r="L214" s="2">
        <v>2</v>
      </c>
      <c r="M214" s="6">
        <v>11.2</v>
      </c>
      <c r="N214" s="7">
        <v>-3.5</v>
      </c>
      <c r="O214" s="2">
        <v>28</v>
      </c>
      <c r="P214" s="2">
        <v>22</v>
      </c>
      <c r="Q214" s="2">
        <v>34</v>
      </c>
      <c r="R214" s="2">
        <v>3</v>
      </c>
      <c r="S214" s="2">
        <v>44</v>
      </c>
      <c r="T214" s="2">
        <v>3</v>
      </c>
      <c r="U214" s="2">
        <v>291</v>
      </c>
      <c r="V214" s="2">
        <v>11</v>
      </c>
      <c r="W214" s="2">
        <v>19</v>
      </c>
    </row>
    <row r="215" spans="1:23" x14ac:dyDescent="0.2">
      <c r="A215" t="s">
        <v>230</v>
      </c>
      <c r="B215" s="2">
        <v>24</v>
      </c>
      <c r="C215" t="s">
        <v>103</v>
      </c>
      <c r="D215" s="2" t="s">
        <v>27</v>
      </c>
      <c r="E215" s="2">
        <v>23</v>
      </c>
      <c r="F215" s="2">
        <v>6</v>
      </c>
      <c r="G215" s="2">
        <v>575</v>
      </c>
      <c r="H215" s="2">
        <v>0</v>
      </c>
      <c r="I215" s="2">
        <v>0</v>
      </c>
      <c r="J215" s="2">
        <v>17</v>
      </c>
      <c r="K215" s="2">
        <v>48</v>
      </c>
      <c r="L215" s="2">
        <v>35</v>
      </c>
      <c r="M215" s="7">
        <v>-2.5</v>
      </c>
      <c r="N215" s="6">
        <v>3.6</v>
      </c>
      <c r="O215" s="2">
        <v>8</v>
      </c>
      <c r="P215" s="2">
        <v>4</v>
      </c>
      <c r="Q215" s="2">
        <v>25</v>
      </c>
      <c r="R215" s="2">
        <v>5</v>
      </c>
      <c r="S215" s="2">
        <v>18</v>
      </c>
      <c r="T215" s="2">
        <v>3</v>
      </c>
      <c r="U215" s="2">
        <v>105</v>
      </c>
      <c r="V215" s="2">
        <v>4</v>
      </c>
      <c r="W215" s="2">
        <v>18</v>
      </c>
    </row>
    <row r="216" spans="1:23" x14ac:dyDescent="0.2">
      <c r="A216" t="s">
        <v>376</v>
      </c>
      <c r="B216" s="2">
        <v>25</v>
      </c>
      <c r="C216" t="s">
        <v>117</v>
      </c>
      <c r="D216" s="2" t="s">
        <v>49</v>
      </c>
      <c r="E216" s="2">
        <v>15</v>
      </c>
      <c r="F216" s="2">
        <v>0</v>
      </c>
      <c r="G216" s="2">
        <v>217</v>
      </c>
      <c r="H216" s="2">
        <v>0</v>
      </c>
      <c r="I216" s="2">
        <v>26</v>
      </c>
      <c r="J216" s="2">
        <v>59</v>
      </c>
      <c r="K216" s="2">
        <v>16</v>
      </c>
      <c r="L216" s="2">
        <v>0</v>
      </c>
      <c r="M216" s="7">
        <v>-20.8</v>
      </c>
      <c r="N216" s="7">
        <v>-10.3</v>
      </c>
      <c r="O216" s="2">
        <v>5</v>
      </c>
      <c r="P216" s="2">
        <v>0</v>
      </c>
      <c r="Q216" s="2">
        <v>9</v>
      </c>
      <c r="R216" s="2">
        <v>1</v>
      </c>
      <c r="S216" s="2">
        <v>8</v>
      </c>
      <c r="T216" s="2">
        <v>0</v>
      </c>
      <c r="U216" s="2">
        <v>25</v>
      </c>
      <c r="V216" s="2">
        <v>2</v>
      </c>
      <c r="W216" s="2">
        <v>0</v>
      </c>
    </row>
    <row r="217" spans="1:23" x14ac:dyDescent="0.2">
      <c r="A217" t="s">
        <v>154</v>
      </c>
      <c r="B217" s="2">
        <v>27</v>
      </c>
      <c r="C217" t="s">
        <v>46</v>
      </c>
      <c r="D217" s="2" t="s">
        <v>33</v>
      </c>
      <c r="E217" s="2">
        <v>17</v>
      </c>
      <c r="F217" s="2">
        <v>17</v>
      </c>
      <c r="G217" s="2">
        <v>613</v>
      </c>
      <c r="H217" s="2">
        <v>70</v>
      </c>
      <c r="I217" s="2">
        <v>30</v>
      </c>
      <c r="J217" s="2">
        <v>0</v>
      </c>
      <c r="K217" s="2">
        <v>0</v>
      </c>
      <c r="L217" s="2">
        <v>0</v>
      </c>
      <c r="M217" s="6">
        <v>7.9</v>
      </c>
      <c r="N217" s="6">
        <v>12.9</v>
      </c>
      <c r="O217" s="2">
        <v>24</v>
      </c>
      <c r="P217" s="2">
        <v>4</v>
      </c>
      <c r="Q217" s="2">
        <v>15</v>
      </c>
      <c r="R217" s="2">
        <v>0</v>
      </c>
      <c r="S217" s="2">
        <v>26</v>
      </c>
      <c r="T217" s="2">
        <v>7</v>
      </c>
      <c r="U217" s="2">
        <v>253</v>
      </c>
      <c r="V217" s="2">
        <v>7</v>
      </c>
      <c r="W217" s="2">
        <v>13</v>
      </c>
    </row>
    <row r="218" spans="1:23" x14ac:dyDescent="0.2">
      <c r="A218" t="s">
        <v>327</v>
      </c>
      <c r="B218" s="2">
        <v>22</v>
      </c>
      <c r="C218" t="s">
        <v>66</v>
      </c>
      <c r="D218" s="2" t="s">
        <v>33</v>
      </c>
      <c r="E218" s="2">
        <v>24</v>
      </c>
      <c r="F218" s="2">
        <v>0</v>
      </c>
      <c r="G218" s="2">
        <v>338</v>
      </c>
      <c r="H218" s="2">
        <v>100</v>
      </c>
      <c r="I218" s="2">
        <v>0</v>
      </c>
      <c r="J218" s="2">
        <v>0</v>
      </c>
      <c r="K218" s="2">
        <v>0</v>
      </c>
      <c r="L218" s="2">
        <v>0</v>
      </c>
      <c r="M218" s="7">
        <v>-13.9</v>
      </c>
      <c r="N218" s="7">
        <v>-11.9</v>
      </c>
      <c r="O218" s="2">
        <v>19</v>
      </c>
      <c r="P218" s="2">
        <v>3</v>
      </c>
      <c r="Q218" s="2">
        <v>25</v>
      </c>
      <c r="R218" s="2">
        <v>3</v>
      </c>
      <c r="S218" s="2">
        <v>6</v>
      </c>
      <c r="T218" s="2">
        <v>9</v>
      </c>
      <c r="U218" s="2">
        <v>158</v>
      </c>
      <c r="V218" s="2">
        <v>3</v>
      </c>
      <c r="W218" s="2">
        <v>7</v>
      </c>
    </row>
    <row r="219" spans="1:23" x14ac:dyDescent="0.2">
      <c r="A219" t="s">
        <v>76</v>
      </c>
      <c r="B219" s="2">
        <v>35</v>
      </c>
      <c r="C219" t="s">
        <v>77</v>
      </c>
      <c r="D219" s="2" t="s">
        <v>33</v>
      </c>
      <c r="E219" s="2">
        <v>24</v>
      </c>
      <c r="F219" s="2">
        <v>24</v>
      </c>
      <c r="G219" s="2">
        <v>814</v>
      </c>
      <c r="H219" s="2">
        <v>52</v>
      </c>
      <c r="I219" s="2">
        <v>48</v>
      </c>
      <c r="J219" s="2">
        <v>0</v>
      </c>
      <c r="K219" s="2">
        <v>0</v>
      </c>
      <c r="L219" s="2">
        <v>0</v>
      </c>
      <c r="M219" s="6">
        <v>2.8</v>
      </c>
      <c r="N219" s="6">
        <v>5.2</v>
      </c>
      <c r="O219" s="2">
        <v>52</v>
      </c>
      <c r="P219" s="2">
        <v>35</v>
      </c>
      <c r="Q219" s="2">
        <v>16</v>
      </c>
      <c r="R219" s="2">
        <v>12</v>
      </c>
      <c r="S219" s="2">
        <v>68</v>
      </c>
      <c r="T219" s="2">
        <v>3</v>
      </c>
      <c r="U219" s="2">
        <v>473</v>
      </c>
      <c r="V219" s="2">
        <v>9</v>
      </c>
      <c r="W219" s="2">
        <v>26</v>
      </c>
    </row>
    <row r="220" spans="1:23" x14ac:dyDescent="0.2">
      <c r="A220" t="s">
        <v>528</v>
      </c>
      <c r="B220" s="2">
        <v>37</v>
      </c>
      <c r="C220" t="s">
        <v>82</v>
      </c>
      <c r="D220" s="2" t="s">
        <v>27</v>
      </c>
      <c r="E220" s="2">
        <v>3</v>
      </c>
      <c r="F220" s="2">
        <v>0</v>
      </c>
      <c r="G220" s="2">
        <v>10</v>
      </c>
      <c r="H220" s="2">
        <v>0</v>
      </c>
      <c r="I220" s="2">
        <v>0</v>
      </c>
      <c r="J220" s="2">
        <v>43</v>
      </c>
      <c r="K220" s="2">
        <v>57</v>
      </c>
      <c r="L220" s="2">
        <v>0</v>
      </c>
      <c r="M220" s="6">
        <v>22.1</v>
      </c>
      <c r="N220" s="6">
        <v>26.5</v>
      </c>
      <c r="O220" s="2">
        <v>1</v>
      </c>
      <c r="P220" s="2">
        <v>2</v>
      </c>
      <c r="Q220" s="2">
        <v>0</v>
      </c>
      <c r="R220" s="2">
        <v>0</v>
      </c>
      <c r="S220" s="2">
        <v>0</v>
      </c>
      <c r="T220" s="2">
        <v>0</v>
      </c>
      <c r="U220" s="2">
        <v>4</v>
      </c>
      <c r="V220" s="2">
        <v>0</v>
      </c>
      <c r="W220" s="2">
        <v>0</v>
      </c>
    </row>
    <row r="221" spans="1:23" x14ac:dyDescent="0.2">
      <c r="A221" t="s">
        <v>515</v>
      </c>
      <c r="B221" s="2">
        <v>23</v>
      </c>
      <c r="C221" t="s">
        <v>82</v>
      </c>
      <c r="D221" s="2" t="s">
        <v>42</v>
      </c>
      <c r="E221" s="2">
        <v>1</v>
      </c>
      <c r="F221" s="2">
        <v>0</v>
      </c>
      <c r="G221" s="2">
        <v>5</v>
      </c>
      <c r="H221" s="2">
        <v>0</v>
      </c>
      <c r="I221" s="2">
        <v>0</v>
      </c>
      <c r="J221" s="2">
        <v>0</v>
      </c>
      <c r="K221" s="2">
        <v>0</v>
      </c>
      <c r="L221" s="2">
        <v>100</v>
      </c>
      <c r="M221" s="7">
        <v>-23.5</v>
      </c>
      <c r="N221" s="7">
        <v>-19.399999999999999</v>
      </c>
      <c r="O221" s="2">
        <v>0</v>
      </c>
      <c r="P221" s="2">
        <v>0</v>
      </c>
      <c r="Q221" s="2">
        <v>0</v>
      </c>
      <c r="R221" s="2">
        <v>0</v>
      </c>
      <c r="S221" s="2">
        <v>1</v>
      </c>
      <c r="T221" s="2">
        <v>0</v>
      </c>
      <c r="U221" s="2">
        <v>0</v>
      </c>
      <c r="V221" s="2">
        <v>0</v>
      </c>
      <c r="W221" s="2">
        <v>0</v>
      </c>
    </row>
    <row r="222" spans="1:23" x14ac:dyDescent="0.2">
      <c r="A222" t="s">
        <v>295</v>
      </c>
      <c r="B222" s="2">
        <v>23</v>
      </c>
      <c r="C222" t="s">
        <v>66</v>
      </c>
      <c r="D222" s="2" t="s">
        <v>49</v>
      </c>
      <c r="E222" s="2">
        <v>24</v>
      </c>
      <c r="F222" s="2">
        <v>0</v>
      </c>
      <c r="G222" s="2">
        <v>326</v>
      </c>
      <c r="H222" s="2">
        <v>0</v>
      </c>
      <c r="I222" s="2">
        <v>22</v>
      </c>
      <c r="J222" s="2">
        <v>56</v>
      </c>
      <c r="K222" s="2">
        <v>23</v>
      </c>
      <c r="L222" s="2">
        <v>0</v>
      </c>
      <c r="M222" s="7">
        <v>-8.6</v>
      </c>
      <c r="N222" s="7">
        <v>-4.5999999999999996</v>
      </c>
      <c r="O222" s="2">
        <v>3</v>
      </c>
      <c r="P222" s="2">
        <v>3</v>
      </c>
      <c r="Q222" s="2">
        <v>13</v>
      </c>
      <c r="R222" s="2">
        <v>0</v>
      </c>
      <c r="S222" s="2">
        <v>4</v>
      </c>
      <c r="T222" s="2">
        <v>0</v>
      </c>
      <c r="U222" s="2">
        <v>55</v>
      </c>
      <c r="V222" s="2">
        <v>1</v>
      </c>
      <c r="W222" s="2">
        <v>4</v>
      </c>
    </row>
    <row r="223" spans="1:23" x14ac:dyDescent="0.2">
      <c r="A223" t="s">
        <v>294</v>
      </c>
      <c r="B223" s="2">
        <v>21</v>
      </c>
      <c r="C223" t="s">
        <v>82</v>
      </c>
      <c r="D223" s="2" t="s">
        <v>27</v>
      </c>
      <c r="E223" s="2">
        <v>25</v>
      </c>
      <c r="F223" s="2">
        <v>1</v>
      </c>
      <c r="G223" s="2">
        <v>456</v>
      </c>
      <c r="H223" s="2">
        <v>0</v>
      </c>
      <c r="I223" s="2">
        <v>0</v>
      </c>
      <c r="J223" s="2">
        <v>19</v>
      </c>
      <c r="K223" s="2">
        <v>72</v>
      </c>
      <c r="L223" s="2">
        <v>9</v>
      </c>
      <c r="M223" s="7">
        <v>-6.7</v>
      </c>
      <c r="N223" s="7">
        <v>-4.2</v>
      </c>
      <c r="O223" s="2">
        <v>22</v>
      </c>
      <c r="P223" s="2">
        <v>8</v>
      </c>
      <c r="Q223" s="2">
        <v>15</v>
      </c>
      <c r="R223" s="2">
        <v>4</v>
      </c>
      <c r="S223" s="2">
        <v>13</v>
      </c>
      <c r="T223" s="2">
        <v>2</v>
      </c>
      <c r="U223" s="2">
        <v>90</v>
      </c>
      <c r="V223" s="2">
        <v>4</v>
      </c>
      <c r="W223" s="2">
        <v>6</v>
      </c>
    </row>
    <row r="224" spans="1:23" x14ac:dyDescent="0.2">
      <c r="A224" t="s">
        <v>343</v>
      </c>
      <c r="B224" s="2">
        <v>24</v>
      </c>
      <c r="C224" t="s">
        <v>114</v>
      </c>
      <c r="D224" s="2" t="s">
        <v>52</v>
      </c>
      <c r="E224" s="2">
        <v>17</v>
      </c>
      <c r="F224" s="2">
        <v>0</v>
      </c>
      <c r="G224" s="2">
        <v>180</v>
      </c>
      <c r="H224" s="2">
        <v>59</v>
      </c>
      <c r="I224" s="2">
        <v>37</v>
      </c>
      <c r="J224" s="2">
        <v>4</v>
      </c>
      <c r="K224" s="2">
        <v>0</v>
      </c>
      <c r="L224" s="2">
        <v>0</v>
      </c>
      <c r="M224" s="7">
        <v>-6.3</v>
      </c>
      <c r="N224" s="6">
        <v>11.6</v>
      </c>
      <c r="O224" s="2">
        <v>8</v>
      </c>
      <c r="P224" s="2">
        <v>2</v>
      </c>
      <c r="Q224" s="2">
        <v>11</v>
      </c>
      <c r="R224" s="2">
        <v>2</v>
      </c>
      <c r="S224" s="2">
        <v>10</v>
      </c>
      <c r="T224" s="2">
        <v>0</v>
      </c>
      <c r="U224" s="2">
        <v>102</v>
      </c>
      <c r="V224" s="2">
        <v>5</v>
      </c>
      <c r="W224" s="2">
        <v>11</v>
      </c>
    </row>
    <row r="225" spans="1:23" x14ac:dyDescent="0.2">
      <c r="A225" t="s">
        <v>133</v>
      </c>
      <c r="B225" s="2">
        <v>20</v>
      </c>
      <c r="C225" t="s">
        <v>122</v>
      </c>
      <c r="D225" s="2" t="s">
        <v>52</v>
      </c>
      <c r="E225" s="2">
        <v>22</v>
      </c>
      <c r="F225" s="2">
        <v>8</v>
      </c>
      <c r="G225" s="2">
        <v>563</v>
      </c>
      <c r="H225" s="2">
        <v>13</v>
      </c>
      <c r="I225" s="2">
        <v>86</v>
      </c>
      <c r="J225" s="2">
        <v>1</v>
      </c>
      <c r="K225" s="2">
        <v>0</v>
      </c>
      <c r="L225" s="2">
        <v>0</v>
      </c>
      <c r="M225" s="7">
        <v>-2.2999999999999998</v>
      </c>
      <c r="N225" s="6">
        <v>5.2</v>
      </c>
      <c r="O225" s="2">
        <v>16</v>
      </c>
      <c r="P225" s="2">
        <v>14</v>
      </c>
      <c r="Q225" s="2">
        <v>9</v>
      </c>
      <c r="R225" s="2">
        <v>3</v>
      </c>
      <c r="S225" s="2">
        <v>24</v>
      </c>
      <c r="T225" s="2">
        <v>1</v>
      </c>
      <c r="U225" s="2">
        <v>133</v>
      </c>
      <c r="V225" s="2">
        <v>3</v>
      </c>
      <c r="W225" s="2">
        <v>11</v>
      </c>
    </row>
    <row r="226" spans="1:23" x14ac:dyDescent="0.2">
      <c r="A226" t="s">
        <v>531</v>
      </c>
      <c r="B226" s="2">
        <v>25</v>
      </c>
      <c r="C226" t="s">
        <v>59</v>
      </c>
      <c r="D226" s="2" t="s">
        <v>52</v>
      </c>
      <c r="E226" s="2">
        <v>4</v>
      </c>
      <c r="F226" s="2">
        <v>0</v>
      </c>
      <c r="G226" s="2">
        <v>12</v>
      </c>
      <c r="H226" s="2">
        <v>0</v>
      </c>
      <c r="I226" s="2">
        <v>0</v>
      </c>
      <c r="J226" s="2">
        <v>100</v>
      </c>
      <c r="K226" s="2">
        <v>0</v>
      </c>
      <c r="L226" s="2">
        <v>0</v>
      </c>
      <c r="M226" s="6">
        <v>32</v>
      </c>
      <c r="N226" s="6">
        <v>38.200000000000003</v>
      </c>
      <c r="O226" s="2">
        <v>0</v>
      </c>
      <c r="P226" s="2">
        <v>1</v>
      </c>
      <c r="Q226" s="2">
        <v>0</v>
      </c>
      <c r="R226" s="2">
        <v>0</v>
      </c>
      <c r="S226" s="2">
        <v>0</v>
      </c>
      <c r="T226" s="2">
        <v>0</v>
      </c>
      <c r="U226" s="2">
        <v>5</v>
      </c>
      <c r="V226" s="2">
        <v>0</v>
      </c>
      <c r="W226" s="2">
        <v>0</v>
      </c>
    </row>
    <row r="227" spans="1:23" x14ac:dyDescent="0.2">
      <c r="A227" t="s">
        <v>79</v>
      </c>
      <c r="B227" s="2">
        <v>25</v>
      </c>
      <c r="C227" t="s">
        <v>80</v>
      </c>
      <c r="D227" s="2" t="s">
        <v>42</v>
      </c>
      <c r="E227" s="2">
        <v>23</v>
      </c>
      <c r="F227" s="2">
        <v>23</v>
      </c>
      <c r="G227" s="2">
        <v>645</v>
      </c>
      <c r="H227" s="2">
        <v>0</v>
      </c>
      <c r="I227" s="2">
        <v>0</v>
      </c>
      <c r="J227" s="2">
        <v>0</v>
      </c>
      <c r="K227" s="2">
        <v>30</v>
      </c>
      <c r="L227" s="2">
        <v>70</v>
      </c>
      <c r="M227" s="6">
        <v>10.3</v>
      </c>
      <c r="N227" s="6">
        <v>3.5</v>
      </c>
      <c r="O227" s="2">
        <v>14</v>
      </c>
      <c r="P227" s="2">
        <v>21</v>
      </c>
      <c r="Q227" s="2">
        <v>40</v>
      </c>
      <c r="R227" s="2">
        <v>7</v>
      </c>
      <c r="S227" s="2">
        <v>55</v>
      </c>
      <c r="T227" s="2">
        <v>3</v>
      </c>
      <c r="U227" s="2">
        <v>71</v>
      </c>
      <c r="V227" s="2">
        <v>15</v>
      </c>
      <c r="W227" s="2">
        <v>23</v>
      </c>
    </row>
    <row r="228" spans="1:23" x14ac:dyDescent="0.2">
      <c r="A228" t="s">
        <v>143</v>
      </c>
      <c r="B228" s="2">
        <v>26</v>
      </c>
      <c r="C228" t="s">
        <v>57</v>
      </c>
      <c r="D228" s="2" t="s">
        <v>42</v>
      </c>
      <c r="E228" s="2">
        <v>25</v>
      </c>
      <c r="F228" s="2">
        <v>25</v>
      </c>
      <c r="G228" s="2">
        <v>745</v>
      </c>
      <c r="H228" s="2">
        <v>0</v>
      </c>
      <c r="I228" s="2">
        <v>0</v>
      </c>
      <c r="J228" s="2">
        <v>0</v>
      </c>
      <c r="K228" s="2">
        <v>0</v>
      </c>
      <c r="L228" s="2">
        <v>100</v>
      </c>
      <c r="M228" s="6">
        <v>8.9</v>
      </c>
      <c r="N228" s="7">
        <v>-5</v>
      </c>
      <c r="O228" s="2">
        <v>13</v>
      </c>
      <c r="P228" s="2">
        <v>9</v>
      </c>
      <c r="Q228" s="2">
        <v>21</v>
      </c>
      <c r="R228" s="2">
        <v>2</v>
      </c>
      <c r="S228" s="2">
        <v>37</v>
      </c>
      <c r="T228" s="2">
        <v>4</v>
      </c>
      <c r="U228" s="2">
        <v>105</v>
      </c>
      <c r="V228" s="2">
        <v>11</v>
      </c>
      <c r="W228" s="2">
        <v>14</v>
      </c>
    </row>
    <row r="229" spans="1:23" x14ac:dyDescent="0.2">
      <c r="A229" t="s">
        <v>279</v>
      </c>
      <c r="B229" s="2">
        <v>31</v>
      </c>
      <c r="C229" t="s">
        <v>117</v>
      </c>
      <c r="D229" s="2" t="s">
        <v>52</v>
      </c>
      <c r="E229" s="2">
        <v>24</v>
      </c>
      <c r="F229" s="2">
        <v>12</v>
      </c>
      <c r="G229" s="2">
        <v>560</v>
      </c>
      <c r="H229" s="2">
        <v>24</v>
      </c>
      <c r="I229" s="2">
        <v>53</v>
      </c>
      <c r="J229" s="2">
        <v>23</v>
      </c>
      <c r="K229" s="2">
        <v>0</v>
      </c>
      <c r="L229" s="2">
        <v>0</v>
      </c>
      <c r="M229" s="7">
        <v>-16</v>
      </c>
      <c r="N229" s="7">
        <v>-6.7</v>
      </c>
      <c r="O229" s="2">
        <v>9</v>
      </c>
      <c r="P229" s="2">
        <v>4</v>
      </c>
      <c r="Q229" s="2">
        <v>18</v>
      </c>
      <c r="R229" s="2">
        <v>1</v>
      </c>
      <c r="S229" s="2">
        <v>22</v>
      </c>
      <c r="T229" s="2">
        <v>1</v>
      </c>
      <c r="U229" s="2">
        <v>46</v>
      </c>
      <c r="V229" s="2">
        <v>7</v>
      </c>
      <c r="W229" s="2">
        <v>7</v>
      </c>
    </row>
    <row r="230" spans="1:23" x14ac:dyDescent="0.2">
      <c r="A230" t="s">
        <v>375</v>
      </c>
      <c r="B230" s="2">
        <v>24</v>
      </c>
      <c r="C230" t="s">
        <v>41</v>
      </c>
      <c r="D230" s="2" t="s">
        <v>42</v>
      </c>
      <c r="E230" s="2">
        <v>11</v>
      </c>
      <c r="F230" s="2">
        <v>1</v>
      </c>
      <c r="G230" s="2">
        <v>192</v>
      </c>
      <c r="H230" s="2">
        <v>0</v>
      </c>
      <c r="I230" s="2">
        <v>0</v>
      </c>
      <c r="J230" s="2">
        <v>0</v>
      </c>
      <c r="K230" s="2">
        <v>0</v>
      </c>
      <c r="L230" s="2">
        <v>100</v>
      </c>
      <c r="M230" s="7">
        <v>-2.8</v>
      </c>
      <c r="N230" s="6">
        <v>0.5</v>
      </c>
      <c r="O230" s="2">
        <v>2</v>
      </c>
      <c r="P230" s="2">
        <v>2</v>
      </c>
      <c r="Q230" s="2">
        <v>18</v>
      </c>
      <c r="R230" s="2">
        <v>3</v>
      </c>
      <c r="S230" s="2">
        <v>9</v>
      </c>
      <c r="T230" s="2">
        <v>1</v>
      </c>
      <c r="U230" s="2">
        <v>24</v>
      </c>
      <c r="V230" s="2">
        <v>1</v>
      </c>
      <c r="W230" s="2">
        <v>1</v>
      </c>
    </row>
    <row r="231" spans="1:23" x14ac:dyDescent="0.2">
      <c r="A231" t="s">
        <v>203</v>
      </c>
      <c r="B231" s="2">
        <v>26</v>
      </c>
      <c r="C231" t="s">
        <v>80</v>
      </c>
      <c r="D231" s="2" t="s">
        <v>42</v>
      </c>
      <c r="E231" s="2">
        <v>25</v>
      </c>
      <c r="F231" s="2">
        <v>1</v>
      </c>
      <c r="G231" s="2">
        <v>392</v>
      </c>
      <c r="H231" s="2">
        <v>0</v>
      </c>
      <c r="I231" s="2">
        <v>0</v>
      </c>
      <c r="J231" s="2">
        <v>0</v>
      </c>
      <c r="K231" s="2">
        <v>5</v>
      </c>
      <c r="L231" s="2">
        <v>95</v>
      </c>
      <c r="M231" s="6">
        <v>5.6</v>
      </c>
      <c r="N231" s="7">
        <v>-4.5999999999999996</v>
      </c>
      <c r="O231" s="2">
        <v>3</v>
      </c>
      <c r="P231" s="2">
        <v>6</v>
      </c>
      <c r="Q231" s="2">
        <v>32</v>
      </c>
      <c r="R231" s="2">
        <v>1</v>
      </c>
      <c r="S231" s="2">
        <v>17</v>
      </c>
      <c r="T231" s="2">
        <v>0</v>
      </c>
      <c r="U231" s="2">
        <v>54</v>
      </c>
      <c r="V231" s="2">
        <v>3</v>
      </c>
      <c r="W231" s="2">
        <v>4</v>
      </c>
    </row>
    <row r="232" spans="1:23" x14ac:dyDescent="0.2">
      <c r="A232" t="s">
        <v>84</v>
      </c>
      <c r="B232" s="2">
        <v>28</v>
      </c>
      <c r="C232" t="s">
        <v>39</v>
      </c>
      <c r="D232" s="2" t="s">
        <v>49</v>
      </c>
      <c r="E232" s="2">
        <v>20</v>
      </c>
      <c r="F232" s="2">
        <v>20</v>
      </c>
      <c r="G232" s="2">
        <v>716</v>
      </c>
      <c r="H232" s="2">
        <v>0</v>
      </c>
      <c r="I232" s="2">
        <v>18</v>
      </c>
      <c r="J232" s="2">
        <v>80</v>
      </c>
      <c r="K232" s="2">
        <v>2</v>
      </c>
      <c r="L232" s="2">
        <v>0</v>
      </c>
      <c r="M232" s="6">
        <v>12.6</v>
      </c>
      <c r="N232" s="6">
        <v>7.2</v>
      </c>
      <c r="O232" s="2">
        <v>21</v>
      </c>
      <c r="P232" s="2">
        <v>22</v>
      </c>
      <c r="Q232" s="2">
        <v>22</v>
      </c>
      <c r="R232" s="2">
        <v>10</v>
      </c>
      <c r="S232" s="2">
        <v>58</v>
      </c>
      <c r="T232" s="2">
        <v>4</v>
      </c>
      <c r="U232" s="2">
        <v>241</v>
      </c>
      <c r="V232" s="2">
        <v>11</v>
      </c>
      <c r="W232" s="2">
        <v>18</v>
      </c>
    </row>
    <row r="233" spans="1:23" x14ac:dyDescent="0.2">
      <c r="A233" t="s">
        <v>537</v>
      </c>
      <c r="B233" s="2">
        <v>21</v>
      </c>
      <c r="C233" t="s">
        <v>103</v>
      </c>
      <c r="D233" s="2" t="s">
        <v>49</v>
      </c>
      <c r="E233" s="2">
        <v>2</v>
      </c>
      <c r="F233" s="2">
        <v>0</v>
      </c>
      <c r="G233" s="2">
        <v>3</v>
      </c>
      <c r="H233" s="2">
        <v>0</v>
      </c>
      <c r="I233" s="2">
        <v>0</v>
      </c>
      <c r="J233" s="2">
        <v>0</v>
      </c>
      <c r="K233" s="2">
        <v>100</v>
      </c>
      <c r="L233" s="2">
        <v>0</v>
      </c>
      <c r="M233" s="7">
        <v>-64.3</v>
      </c>
      <c r="N233" s="7">
        <v>-60.1</v>
      </c>
      <c r="O233" s="2">
        <v>0</v>
      </c>
      <c r="P233" s="2">
        <v>0</v>
      </c>
      <c r="Q233" s="2">
        <v>1</v>
      </c>
      <c r="R233" s="2">
        <v>0</v>
      </c>
      <c r="S233" s="2">
        <v>0</v>
      </c>
      <c r="T233" s="2">
        <v>0</v>
      </c>
      <c r="U233" s="2">
        <v>0</v>
      </c>
      <c r="V233" s="2">
        <v>0</v>
      </c>
      <c r="W233" s="2">
        <v>0</v>
      </c>
    </row>
    <row r="234" spans="1:23" x14ac:dyDescent="0.2">
      <c r="A234" t="s">
        <v>379</v>
      </c>
      <c r="B234" s="2">
        <v>25</v>
      </c>
      <c r="C234" t="s">
        <v>117</v>
      </c>
      <c r="D234" s="2" t="s">
        <v>52</v>
      </c>
      <c r="E234" s="2">
        <v>8</v>
      </c>
      <c r="F234" s="2">
        <v>0</v>
      </c>
      <c r="G234" s="2">
        <v>168</v>
      </c>
      <c r="H234" s="2">
        <v>95</v>
      </c>
      <c r="I234" s="2">
        <v>6</v>
      </c>
      <c r="J234" s="2">
        <v>0</v>
      </c>
      <c r="K234" s="2">
        <v>0</v>
      </c>
      <c r="L234" s="2">
        <v>0</v>
      </c>
      <c r="M234" s="7">
        <v>-12.9</v>
      </c>
      <c r="N234" s="7">
        <v>-0.7</v>
      </c>
      <c r="O234" s="2">
        <v>6</v>
      </c>
      <c r="P234" s="2">
        <v>1</v>
      </c>
      <c r="Q234" s="2">
        <v>7</v>
      </c>
      <c r="R234" s="2">
        <v>0</v>
      </c>
      <c r="S234" s="2">
        <v>6</v>
      </c>
      <c r="T234" s="2">
        <v>1</v>
      </c>
      <c r="U234" s="2">
        <v>41</v>
      </c>
      <c r="V234" s="2">
        <v>1</v>
      </c>
      <c r="W234" s="2">
        <v>3</v>
      </c>
    </row>
    <row r="235" spans="1:23" x14ac:dyDescent="0.2">
      <c r="A235" t="s">
        <v>168</v>
      </c>
      <c r="B235" s="2">
        <v>21</v>
      </c>
      <c r="C235" t="s">
        <v>80</v>
      </c>
      <c r="D235" s="2" t="s">
        <v>52</v>
      </c>
      <c r="E235" s="2">
        <v>25</v>
      </c>
      <c r="F235" s="2">
        <v>20</v>
      </c>
      <c r="G235" s="2">
        <v>621</v>
      </c>
      <c r="H235" s="2">
        <v>0</v>
      </c>
      <c r="I235" s="2">
        <v>44</v>
      </c>
      <c r="J235" s="2">
        <v>54</v>
      </c>
      <c r="K235" s="2">
        <v>3</v>
      </c>
      <c r="L235" s="2">
        <v>0</v>
      </c>
      <c r="M235" s="6">
        <v>3.7</v>
      </c>
      <c r="N235" s="7">
        <v>-10.3</v>
      </c>
      <c r="O235" s="2">
        <v>14</v>
      </c>
      <c r="P235" s="2">
        <v>12</v>
      </c>
      <c r="Q235" s="2">
        <v>16</v>
      </c>
      <c r="R235" s="2">
        <v>2</v>
      </c>
      <c r="S235" s="2">
        <v>19</v>
      </c>
      <c r="T235" s="2">
        <v>11</v>
      </c>
      <c r="U235" s="2">
        <v>96</v>
      </c>
      <c r="V235" s="2">
        <v>5</v>
      </c>
      <c r="W235" s="2">
        <v>10</v>
      </c>
    </row>
    <row r="236" spans="1:23" x14ac:dyDescent="0.2">
      <c r="A236" t="s">
        <v>443</v>
      </c>
      <c r="B236" s="2">
        <v>22</v>
      </c>
      <c r="C236" t="s">
        <v>57</v>
      </c>
      <c r="D236" s="2" t="s">
        <v>52</v>
      </c>
      <c r="E236" s="2">
        <v>14</v>
      </c>
      <c r="F236" s="2">
        <v>1</v>
      </c>
      <c r="G236" s="2">
        <v>108</v>
      </c>
      <c r="H236" s="2">
        <v>0</v>
      </c>
      <c r="I236" s="2">
        <v>18</v>
      </c>
      <c r="J236" s="2">
        <v>50</v>
      </c>
      <c r="K236" s="2">
        <v>32</v>
      </c>
      <c r="L236" s="2">
        <v>0</v>
      </c>
      <c r="M236" s="6">
        <v>1.6</v>
      </c>
      <c r="N236" s="7">
        <v>-10</v>
      </c>
      <c r="O236" s="2">
        <v>4</v>
      </c>
      <c r="P236" s="2">
        <v>2</v>
      </c>
      <c r="Q236" s="2">
        <v>8</v>
      </c>
      <c r="R236" s="2">
        <v>0</v>
      </c>
      <c r="S236" s="2">
        <v>3</v>
      </c>
      <c r="T236" s="2">
        <v>0</v>
      </c>
      <c r="U236" s="2">
        <v>25</v>
      </c>
      <c r="V236" s="2">
        <v>0</v>
      </c>
      <c r="W236" s="2">
        <v>4</v>
      </c>
    </row>
    <row r="237" spans="1:23" x14ac:dyDescent="0.2">
      <c r="A237" t="s">
        <v>38</v>
      </c>
      <c r="B237" s="2">
        <v>26</v>
      </c>
      <c r="C237" t="s">
        <v>39</v>
      </c>
      <c r="D237" s="2" t="s">
        <v>27</v>
      </c>
      <c r="E237" s="2">
        <v>23</v>
      </c>
      <c r="F237" s="2">
        <v>23</v>
      </c>
      <c r="G237" s="2">
        <v>839</v>
      </c>
      <c r="H237" s="2">
        <v>0</v>
      </c>
      <c r="I237" s="2">
        <v>5</v>
      </c>
      <c r="J237" s="2">
        <v>44</v>
      </c>
      <c r="K237" s="2">
        <v>52</v>
      </c>
      <c r="L237" s="2">
        <v>0</v>
      </c>
      <c r="M237" s="6">
        <v>12.4</v>
      </c>
      <c r="N237" s="6">
        <v>8.8000000000000007</v>
      </c>
      <c r="O237" s="2">
        <v>30</v>
      </c>
      <c r="P237" s="2">
        <v>19</v>
      </c>
      <c r="Q237" s="2">
        <v>22</v>
      </c>
      <c r="R237" s="2">
        <v>9</v>
      </c>
      <c r="S237" s="2">
        <v>67</v>
      </c>
      <c r="T237" s="2">
        <v>3</v>
      </c>
      <c r="U237" s="2">
        <v>350</v>
      </c>
      <c r="V237" s="2">
        <v>15</v>
      </c>
      <c r="W237" s="2">
        <v>19</v>
      </c>
    </row>
    <row r="238" spans="1:23" x14ac:dyDescent="0.2">
      <c r="A238" t="s">
        <v>502</v>
      </c>
      <c r="B238" s="2">
        <v>21</v>
      </c>
      <c r="C238" t="s">
        <v>63</v>
      </c>
      <c r="D238" s="2" t="s">
        <v>33</v>
      </c>
      <c r="E238" s="2">
        <v>6</v>
      </c>
      <c r="F238" s="2">
        <v>0</v>
      </c>
      <c r="G238" s="2">
        <v>14</v>
      </c>
      <c r="H238" s="2">
        <v>75</v>
      </c>
      <c r="I238" s="2">
        <v>25</v>
      </c>
      <c r="J238" s="2">
        <v>0</v>
      </c>
      <c r="K238" s="2">
        <v>0</v>
      </c>
      <c r="L238" s="2">
        <v>0</v>
      </c>
      <c r="M238" s="6">
        <v>2.8</v>
      </c>
      <c r="N238" s="7">
        <v>-3.8</v>
      </c>
      <c r="O238" s="2">
        <v>0</v>
      </c>
      <c r="P238" s="2">
        <v>1</v>
      </c>
      <c r="Q238" s="2">
        <v>1</v>
      </c>
      <c r="R238" s="2">
        <v>0</v>
      </c>
      <c r="S238" s="2">
        <v>0</v>
      </c>
      <c r="T238" s="2">
        <v>0</v>
      </c>
      <c r="U238" s="2">
        <v>0</v>
      </c>
      <c r="V238" s="2">
        <v>0</v>
      </c>
      <c r="W238" s="2">
        <v>0</v>
      </c>
    </row>
    <row r="239" spans="1:23" x14ac:dyDescent="0.2">
      <c r="A239" t="s">
        <v>509</v>
      </c>
      <c r="B239" s="2">
        <v>22</v>
      </c>
      <c r="C239" t="s">
        <v>39</v>
      </c>
      <c r="D239" s="2" t="s">
        <v>33</v>
      </c>
      <c r="E239" s="2">
        <v>5</v>
      </c>
      <c r="F239" s="2">
        <v>0</v>
      </c>
      <c r="G239" s="2">
        <v>24</v>
      </c>
      <c r="H239" s="2">
        <v>76</v>
      </c>
      <c r="I239" s="2">
        <v>24</v>
      </c>
      <c r="J239" s="2">
        <v>0</v>
      </c>
      <c r="K239" s="2">
        <v>0</v>
      </c>
      <c r="L239" s="2">
        <v>0</v>
      </c>
      <c r="M239" s="7">
        <v>-61.1</v>
      </c>
      <c r="N239" s="7">
        <v>-72.3</v>
      </c>
      <c r="O239" s="2">
        <v>2</v>
      </c>
      <c r="P239" s="2">
        <v>4</v>
      </c>
      <c r="Q239" s="2">
        <v>1</v>
      </c>
      <c r="R239" s="2">
        <v>0</v>
      </c>
      <c r="S239" s="2">
        <v>1</v>
      </c>
      <c r="T239" s="2">
        <v>0</v>
      </c>
      <c r="U239" s="2">
        <v>2</v>
      </c>
      <c r="V239" s="2">
        <v>0</v>
      </c>
      <c r="W239" s="2">
        <v>0</v>
      </c>
    </row>
    <row r="240" spans="1:23" x14ac:dyDescent="0.2">
      <c r="A240" t="s">
        <v>508</v>
      </c>
      <c r="B240" s="2">
        <v>25</v>
      </c>
      <c r="C240" t="s">
        <v>87</v>
      </c>
      <c r="D240" s="2" t="s">
        <v>52</v>
      </c>
      <c r="E240" s="2">
        <v>3</v>
      </c>
      <c r="F240" s="2">
        <v>0</v>
      </c>
      <c r="G240" s="2">
        <v>10</v>
      </c>
      <c r="H240" s="2">
        <v>0</v>
      </c>
      <c r="I240" s="2">
        <v>78</v>
      </c>
      <c r="J240" s="2">
        <v>22</v>
      </c>
      <c r="K240" s="2">
        <v>0</v>
      </c>
      <c r="L240" s="2">
        <v>0</v>
      </c>
      <c r="M240" s="6">
        <v>1.9</v>
      </c>
      <c r="N240" s="7">
        <v>-4.9000000000000004</v>
      </c>
      <c r="O240" s="2">
        <v>0</v>
      </c>
      <c r="P240" s="2">
        <v>0</v>
      </c>
      <c r="Q240" s="2">
        <v>0</v>
      </c>
      <c r="R240" s="2">
        <v>0</v>
      </c>
      <c r="S240" s="2">
        <v>0</v>
      </c>
      <c r="T240" s="2">
        <v>0</v>
      </c>
      <c r="U240" s="2">
        <v>0</v>
      </c>
      <c r="V240" s="2">
        <v>0</v>
      </c>
      <c r="W240" s="2">
        <v>0</v>
      </c>
    </row>
    <row r="241" spans="1:23" x14ac:dyDescent="0.2">
      <c r="A241" t="s">
        <v>481</v>
      </c>
      <c r="B241" s="2">
        <v>27</v>
      </c>
      <c r="C241" t="s">
        <v>122</v>
      </c>
      <c r="D241" s="2" t="s">
        <v>33</v>
      </c>
      <c r="E241" s="2">
        <v>8</v>
      </c>
      <c r="F241" s="2">
        <v>0</v>
      </c>
      <c r="G241" s="2">
        <v>80</v>
      </c>
      <c r="H241" s="2">
        <v>96</v>
      </c>
      <c r="I241" s="2">
        <v>4</v>
      </c>
      <c r="J241" s="2">
        <v>0</v>
      </c>
      <c r="K241" s="2">
        <v>0</v>
      </c>
      <c r="L241" s="2">
        <v>0</v>
      </c>
      <c r="M241" s="6">
        <v>1.7</v>
      </c>
      <c r="N241" s="6">
        <v>7</v>
      </c>
      <c r="O241" s="2">
        <v>1</v>
      </c>
      <c r="P241" s="2">
        <v>0</v>
      </c>
      <c r="Q241" s="2">
        <v>2</v>
      </c>
      <c r="R241" s="2">
        <v>0</v>
      </c>
      <c r="S241" s="2">
        <v>1</v>
      </c>
      <c r="T241" s="2">
        <v>0</v>
      </c>
      <c r="U241" s="2">
        <v>21</v>
      </c>
      <c r="V241" s="2">
        <v>0</v>
      </c>
      <c r="W241" s="2">
        <v>0</v>
      </c>
    </row>
    <row r="242" spans="1:23" x14ac:dyDescent="0.2">
      <c r="A242" t="s">
        <v>480</v>
      </c>
      <c r="B242" s="2">
        <v>38</v>
      </c>
      <c r="C242" t="s">
        <v>87</v>
      </c>
      <c r="D242" s="2" t="s">
        <v>27</v>
      </c>
      <c r="E242" s="2">
        <v>7</v>
      </c>
      <c r="F242" s="2">
        <v>0</v>
      </c>
      <c r="G242" s="2">
        <v>40</v>
      </c>
      <c r="H242" s="2">
        <v>0</v>
      </c>
      <c r="I242" s="2">
        <v>0</v>
      </c>
      <c r="J242" s="2">
        <v>0</v>
      </c>
      <c r="K242" s="2">
        <v>58</v>
      </c>
      <c r="L242" s="2">
        <v>43</v>
      </c>
      <c r="M242" s="6">
        <v>3.2</v>
      </c>
      <c r="N242" s="7">
        <v>-3.6</v>
      </c>
      <c r="O242" s="2">
        <v>1</v>
      </c>
      <c r="P242" s="2">
        <v>1</v>
      </c>
      <c r="Q242" s="2">
        <v>2</v>
      </c>
      <c r="R242" s="2">
        <v>0</v>
      </c>
      <c r="S242" s="2">
        <v>0</v>
      </c>
      <c r="T242" s="2">
        <v>0</v>
      </c>
      <c r="U242" s="2">
        <v>2</v>
      </c>
      <c r="V242" s="2">
        <v>0</v>
      </c>
      <c r="W242" s="2">
        <v>0</v>
      </c>
    </row>
    <row r="243" spans="1:23" x14ac:dyDescent="0.2">
      <c r="A243" t="s">
        <v>139</v>
      </c>
      <c r="B243" s="2">
        <v>30</v>
      </c>
      <c r="C243" t="s">
        <v>135</v>
      </c>
      <c r="D243" s="2" t="s">
        <v>27</v>
      </c>
      <c r="E243" s="2">
        <v>22</v>
      </c>
      <c r="F243" s="2">
        <v>22</v>
      </c>
      <c r="G243" s="2">
        <v>714</v>
      </c>
      <c r="H243" s="2">
        <v>0</v>
      </c>
      <c r="I243" s="2">
        <v>0</v>
      </c>
      <c r="J243" s="2">
        <v>66</v>
      </c>
      <c r="K243" s="2">
        <v>32</v>
      </c>
      <c r="L243" s="2">
        <v>2</v>
      </c>
      <c r="M243" s="7">
        <v>-12.8</v>
      </c>
      <c r="N243" s="7">
        <v>-8.6</v>
      </c>
      <c r="O243" s="2">
        <v>16</v>
      </c>
      <c r="P243" s="2">
        <v>7</v>
      </c>
      <c r="Q243" s="2">
        <v>25</v>
      </c>
      <c r="R243" s="2">
        <v>4</v>
      </c>
      <c r="S243" s="2">
        <v>40</v>
      </c>
      <c r="T243" s="2">
        <v>3</v>
      </c>
      <c r="U243" s="2">
        <v>126</v>
      </c>
      <c r="V243" s="2">
        <v>11</v>
      </c>
      <c r="W243" s="2">
        <v>21</v>
      </c>
    </row>
    <row r="244" spans="1:23" x14ac:dyDescent="0.2">
      <c r="A244" t="s">
        <v>250</v>
      </c>
      <c r="B244" s="2">
        <v>24</v>
      </c>
      <c r="C244" t="s">
        <v>117</v>
      </c>
      <c r="D244" s="2" t="s">
        <v>27</v>
      </c>
      <c r="E244" s="2">
        <v>25</v>
      </c>
      <c r="F244" s="2">
        <v>4</v>
      </c>
      <c r="G244" s="2">
        <v>507</v>
      </c>
      <c r="H244" s="2">
        <v>0</v>
      </c>
      <c r="I244" s="2">
        <v>0</v>
      </c>
      <c r="J244" s="2">
        <v>0</v>
      </c>
      <c r="K244" s="2">
        <v>74</v>
      </c>
      <c r="L244" s="2">
        <v>26</v>
      </c>
      <c r="M244" s="7">
        <v>-14</v>
      </c>
      <c r="N244" s="7">
        <v>-2.9</v>
      </c>
      <c r="O244" s="2">
        <v>10</v>
      </c>
      <c r="P244" s="2">
        <v>7</v>
      </c>
      <c r="Q244" s="2">
        <v>17</v>
      </c>
      <c r="R244" s="2">
        <v>2</v>
      </c>
      <c r="S244" s="2">
        <v>11</v>
      </c>
      <c r="T244" s="2">
        <v>1</v>
      </c>
      <c r="U244" s="2">
        <v>71</v>
      </c>
      <c r="V244" s="2">
        <v>2</v>
      </c>
      <c r="W244" s="2">
        <v>11</v>
      </c>
    </row>
    <row r="245" spans="1:23" x14ac:dyDescent="0.2">
      <c r="A245" t="s">
        <v>271</v>
      </c>
      <c r="B245" s="2">
        <v>21</v>
      </c>
      <c r="C245" t="s">
        <v>93</v>
      </c>
      <c r="D245" s="2" t="s">
        <v>27</v>
      </c>
      <c r="E245" s="2">
        <v>11</v>
      </c>
      <c r="F245" s="2">
        <v>8</v>
      </c>
      <c r="G245" s="2">
        <v>304</v>
      </c>
      <c r="H245" s="2">
        <v>0</v>
      </c>
      <c r="I245" s="2">
        <v>0</v>
      </c>
      <c r="J245" s="2">
        <v>0</v>
      </c>
      <c r="K245" s="2">
        <v>94</v>
      </c>
      <c r="L245" s="2">
        <v>7</v>
      </c>
      <c r="M245" s="7">
        <v>-3.7</v>
      </c>
      <c r="N245" s="7">
        <v>-1.9</v>
      </c>
      <c r="O245" s="2">
        <v>7</v>
      </c>
      <c r="P245" s="2">
        <v>4</v>
      </c>
      <c r="Q245" s="2">
        <v>8</v>
      </c>
      <c r="R245" s="2">
        <v>5</v>
      </c>
      <c r="S245" s="2">
        <v>23</v>
      </c>
      <c r="T245" s="2">
        <v>0</v>
      </c>
      <c r="U245" s="2">
        <v>66</v>
      </c>
      <c r="V245" s="2">
        <v>8</v>
      </c>
      <c r="W245" s="2">
        <v>12</v>
      </c>
    </row>
    <row r="246" spans="1:23" x14ac:dyDescent="0.2">
      <c r="A246" t="s">
        <v>418</v>
      </c>
      <c r="B246" s="2">
        <v>26</v>
      </c>
      <c r="C246" t="s">
        <v>44</v>
      </c>
      <c r="D246" s="2" t="s">
        <v>42</v>
      </c>
      <c r="E246" s="2">
        <v>24</v>
      </c>
      <c r="F246" s="2">
        <v>2</v>
      </c>
      <c r="G246" s="2">
        <v>299</v>
      </c>
      <c r="H246" s="2">
        <v>0</v>
      </c>
      <c r="I246" s="2">
        <v>0</v>
      </c>
      <c r="J246" s="2">
        <v>0</v>
      </c>
      <c r="K246" s="2">
        <v>10</v>
      </c>
      <c r="L246" s="2">
        <v>90</v>
      </c>
      <c r="M246" s="6">
        <v>6</v>
      </c>
      <c r="N246" s="7">
        <v>-0.8</v>
      </c>
      <c r="O246" s="2">
        <v>3</v>
      </c>
      <c r="P246" s="2">
        <v>3</v>
      </c>
      <c r="Q246" s="2">
        <v>17</v>
      </c>
      <c r="R246" s="2">
        <v>5</v>
      </c>
      <c r="S246" s="2">
        <v>2</v>
      </c>
      <c r="T246" s="2">
        <v>1</v>
      </c>
      <c r="U246" s="2">
        <v>38</v>
      </c>
      <c r="V246" s="2">
        <v>1</v>
      </c>
      <c r="W246" s="2">
        <v>5</v>
      </c>
    </row>
    <row r="247" spans="1:23" x14ac:dyDescent="0.2">
      <c r="A247" t="s">
        <v>333</v>
      </c>
      <c r="B247" s="2">
        <v>21</v>
      </c>
      <c r="C247" t="s">
        <v>48</v>
      </c>
      <c r="D247" s="2" t="s">
        <v>49</v>
      </c>
      <c r="E247" s="2">
        <v>25</v>
      </c>
      <c r="F247" s="2">
        <v>0</v>
      </c>
      <c r="G247" s="2">
        <v>268</v>
      </c>
      <c r="H247" s="2">
        <v>0</v>
      </c>
      <c r="I247" s="2">
        <v>27</v>
      </c>
      <c r="J247" s="2">
        <v>45</v>
      </c>
      <c r="K247" s="2">
        <v>26</v>
      </c>
      <c r="L247" s="2">
        <v>2</v>
      </c>
      <c r="M247" s="7">
        <v>-1.8</v>
      </c>
      <c r="N247" s="7">
        <v>-6.6</v>
      </c>
      <c r="O247" s="2">
        <v>3</v>
      </c>
      <c r="P247" s="2">
        <v>2</v>
      </c>
      <c r="Q247" s="2">
        <v>10</v>
      </c>
      <c r="R247" s="2">
        <v>1</v>
      </c>
      <c r="S247" s="2">
        <v>2</v>
      </c>
      <c r="T247" s="2">
        <v>0</v>
      </c>
      <c r="U247" s="2">
        <v>28</v>
      </c>
      <c r="V247" s="2">
        <v>0</v>
      </c>
      <c r="W247" s="2">
        <v>2</v>
      </c>
    </row>
    <row r="248" spans="1:23" x14ac:dyDescent="0.2">
      <c r="A248" t="s">
        <v>475</v>
      </c>
      <c r="B248" s="2">
        <v>29</v>
      </c>
      <c r="C248" t="s">
        <v>70</v>
      </c>
      <c r="D248" s="2" t="s">
        <v>33</v>
      </c>
      <c r="E248" s="2">
        <v>11</v>
      </c>
      <c r="F248" s="2">
        <v>0</v>
      </c>
      <c r="G248" s="2">
        <v>53</v>
      </c>
      <c r="H248" s="2">
        <v>100</v>
      </c>
      <c r="I248" s="2">
        <v>0</v>
      </c>
      <c r="J248" s="2">
        <v>0</v>
      </c>
      <c r="K248" s="2">
        <v>0</v>
      </c>
      <c r="L248" s="2">
        <v>0</v>
      </c>
      <c r="M248" s="6">
        <v>14.8</v>
      </c>
      <c r="N248" s="6">
        <v>18.7</v>
      </c>
      <c r="O248" s="2">
        <v>2</v>
      </c>
      <c r="P248" s="2">
        <v>2</v>
      </c>
      <c r="Q248" s="2">
        <v>1</v>
      </c>
      <c r="R248" s="2">
        <v>0</v>
      </c>
      <c r="S248" s="2">
        <v>0</v>
      </c>
      <c r="T248" s="2">
        <v>0</v>
      </c>
      <c r="U248" s="2">
        <v>14</v>
      </c>
      <c r="V248" s="2">
        <v>0</v>
      </c>
      <c r="W248" s="2">
        <v>2</v>
      </c>
    </row>
    <row r="249" spans="1:23" x14ac:dyDescent="0.2">
      <c r="A249" t="s">
        <v>144</v>
      </c>
      <c r="B249" s="2">
        <v>35</v>
      </c>
      <c r="C249" t="s">
        <v>61</v>
      </c>
      <c r="D249" s="2" t="s">
        <v>27</v>
      </c>
      <c r="E249" s="2">
        <v>18</v>
      </c>
      <c r="F249" s="2">
        <v>18</v>
      </c>
      <c r="G249" s="2">
        <v>575</v>
      </c>
      <c r="H249" s="2">
        <v>0</v>
      </c>
      <c r="I249" s="2">
        <v>0</v>
      </c>
      <c r="J249" s="2">
        <v>19</v>
      </c>
      <c r="K249" s="2">
        <v>81</v>
      </c>
      <c r="L249" s="2">
        <v>0</v>
      </c>
      <c r="M249" s="6">
        <v>6.3</v>
      </c>
      <c r="N249" s="6">
        <v>5.8</v>
      </c>
      <c r="O249" s="2">
        <v>18</v>
      </c>
      <c r="P249" s="2">
        <v>4</v>
      </c>
      <c r="Q249" s="2">
        <v>11</v>
      </c>
      <c r="R249" s="2">
        <v>2</v>
      </c>
      <c r="S249" s="2">
        <v>58</v>
      </c>
      <c r="T249" s="2">
        <v>4</v>
      </c>
      <c r="U249" s="2">
        <v>227</v>
      </c>
      <c r="V249" s="2">
        <v>13</v>
      </c>
      <c r="W249" s="2">
        <v>17</v>
      </c>
    </row>
    <row r="250" spans="1:23" x14ac:dyDescent="0.2">
      <c r="A250" t="s">
        <v>397</v>
      </c>
      <c r="B250" s="2">
        <v>29</v>
      </c>
      <c r="C250" t="s">
        <v>87</v>
      </c>
      <c r="D250" s="2" t="s">
        <v>42</v>
      </c>
      <c r="E250" s="2">
        <v>14</v>
      </c>
      <c r="F250" s="2">
        <v>0</v>
      </c>
      <c r="G250" s="2">
        <v>156</v>
      </c>
      <c r="H250" s="2">
        <v>0</v>
      </c>
      <c r="I250" s="2">
        <v>0</v>
      </c>
      <c r="J250" s="2">
        <v>0</v>
      </c>
      <c r="K250" s="2">
        <v>1</v>
      </c>
      <c r="L250" s="2">
        <v>99</v>
      </c>
      <c r="M250" s="7">
        <v>-0.3</v>
      </c>
      <c r="N250" s="7">
        <v>-8</v>
      </c>
      <c r="O250" s="2">
        <v>2</v>
      </c>
      <c r="P250" s="2">
        <v>3</v>
      </c>
      <c r="Q250" s="2">
        <v>7</v>
      </c>
      <c r="R250" s="2">
        <v>2</v>
      </c>
      <c r="S250" s="2">
        <v>8</v>
      </c>
      <c r="T250" s="2">
        <v>0</v>
      </c>
      <c r="U250" s="2">
        <v>38</v>
      </c>
      <c r="V250" s="2">
        <v>1</v>
      </c>
      <c r="W250" s="2">
        <v>11</v>
      </c>
    </row>
    <row r="251" spans="1:23" x14ac:dyDescent="0.2">
      <c r="A251" t="s">
        <v>558</v>
      </c>
      <c r="B251" s="2">
        <v>37</v>
      </c>
      <c r="C251" t="s">
        <v>51</v>
      </c>
      <c r="D251" s="2" t="s">
        <v>49</v>
      </c>
      <c r="E251" s="2">
        <v>7</v>
      </c>
      <c r="F251" s="2">
        <v>0</v>
      </c>
      <c r="G251" s="2">
        <v>26</v>
      </c>
      <c r="H251" s="2">
        <v>0</v>
      </c>
      <c r="I251" s="2">
        <v>48</v>
      </c>
      <c r="J251" s="2">
        <v>52</v>
      </c>
      <c r="K251" s="2">
        <v>0</v>
      </c>
      <c r="L251" s="2">
        <v>0</v>
      </c>
      <c r="M251" s="7">
        <v>-21.5</v>
      </c>
      <c r="N251" s="7">
        <v>-25.9</v>
      </c>
      <c r="O251" s="2">
        <v>1</v>
      </c>
      <c r="P251" s="2">
        <v>0</v>
      </c>
      <c r="Q251" s="2">
        <v>2</v>
      </c>
      <c r="R251" s="2">
        <v>0</v>
      </c>
      <c r="S251" s="2">
        <v>0</v>
      </c>
      <c r="T251" s="2">
        <v>0</v>
      </c>
      <c r="U251" s="2">
        <v>21</v>
      </c>
      <c r="V251" s="2">
        <v>0</v>
      </c>
      <c r="W251" s="2">
        <v>0</v>
      </c>
    </row>
    <row r="252" spans="1:23" x14ac:dyDescent="0.2">
      <c r="A252" t="s">
        <v>324</v>
      </c>
      <c r="B252" s="2">
        <v>30</v>
      </c>
      <c r="C252" t="s">
        <v>122</v>
      </c>
      <c r="D252" s="2" t="s">
        <v>42</v>
      </c>
      <c r="E252" s="2">
        <v>5</v>
      </c>
      <c r="F252" s="2">
        <v>5</v>
      </c>
      <c r="G252" s="2">
        <v>158</v>
      </c>
      <c r="H252" s="2">
        <v>0</v>
      </c>
      <c r="I252" s="2">
        <v>0</v>
      </c>
      <c r="J252" s="2">
        <v>0</v>
      </c>
      <c r="K252" s="2">
        <v>0</v>
      </c>
      <c r="L252" s="2">
        <v>100</v>
      </c>
      <c r="M252" s="7">
        <v>-5.9</v>
      </c>
      <c r="N252" s="7">
        <v>-1.3</v>
      </c>
      <c r="O252" s="2">
        <v>7</v>
      </c>
      <c r="P252" s="2">
        <v>8</v>
      </c>
      <c r="Q252" s="2">
        <v>6</v>
      </c>
      <c r="R252" s="2">
        <v>4</v>
      </c>
      <c r="S252" s="2">
        <v>15</v>
      </c>
      <c r="T252" s="2">
        <v>0</v>
      </c>
      <c r="U252" s="2">
        <v>44</v>
      </c>
      <c r="V252" s="2">
        <v>2</v>
      </c>
      <c r="W252" s="2">
        <v>3</v>
      </c>
    </row>
    <row r="253" spans="1:23" x14ac:dyDescent="0.2">
      <c r="A253" t="s">
        <v>119</v>
      </c>
      <c r="B253" s="2">
        <v>27</v>
      </c>
      <c r="C253" t="s">
        <v>120</v>
      </c>
      <c r="D253" s="2" t="s">
        <v>27</v>
      </c>
      <c r="E253" s="2">
        <v>22</v>
      </c>
      <c r="F253" s="2">
        <v>13</v>
      </c>
      <c r="G253" s="2">
        <v>634</v>
      </c>
      <c r="H253" s="2">
        <v>0</v>
      </c>
      <c r="I253" s="2">
        <v>0</v>
      </c>
      <c r="J253" s="2">
        <v>36</v>
      </c>
      <c r="K253" s="2">
        <v>61</v>
      </c>
      <c r="L253" s="2">
        <v>3</v>
      </c>
      <c r="M253" s="7">
        <v>-3.5</v>
      </c>
      <c r="N253" s="6">
        <v>14.1</v>
      </c>
      <c r="O253" s="2">
        <v>24</v>
      </c>
      <c r="P253" s="2">
        <v>14</v>
      </c>
      <c r="Q253" s="2">
        <v>38</v>
      </c>
      <c r="R253" s="2">
        <v>9</v>
      </c>
      <c r="S253" s="2">
        <v>41</v>
      </c>
      <c r="T253" s="2">
        <v>0</v>
      </c>
      <c r="U253" s="2">
        <v>134</v>
      </c>
      <c r="V253" s="2">
        <v>16</v>
      </c>
      <c r="W253" s="2">
        <v>31</v>
      </c>
    </row>
    <row r="254" spans="1:23" x14ac:dyDescent="0.2">
      <c r="A254" t="s">
        <v>435</v>
      </c>
      <c r="B254" s="2">
        <v>28</v>
      </c>
      <c r="C254" t="s">
        <v>80</v>
      </c>
      <c r="D254" s="2" t="s">
        <v>52</v>
      </c>
      <c r="E254" s="2">
        <v>12</v>
      </c>
      <c r="F254" s="2">
        <v>0</v>
      </c>
      <c r="G254" s="2">
        <v>154</v>
      </c>
      <c r="H254" s="2">
        <v>6</v>
      </c>
      <c r="I254" s="2">
        <v>72</v>
      </c>
      <c r="J254" s="2">
        <v>21</v>
      </c>
      <c r="K254" s="2">
        <v>1</v>
      </c>
      <c r="L254" s="2">
        <v>0</v>
      </c>
      <c r="M254" s="6">
        <v>6.3</v>
      </c>
      <c r="N254" s="7">
        <v>-2.7</v>
      </c>
      <c r="O254" s="2">
        <v>2</v>
      </c>
      <c r="P254" s="2">
        <v>3</v>
      </c>
      <c r="Q254" s="2">
        <v>6</v>
      </c>
      <c r="R254" s="2">
        <v>1</v>
      </c>
      <c r="S254" s="2">
        <v>2</v>
      </c>
      <c r="T254" s="2">
        <v>0</v>
      </c>
      <c r="U254" s="2">
        <v>26</v>
      </c>
      <c r="V254" s="2">
        <v>0</v>
      </c>
      <c r="W254" s="2">
        <v>0</v>
      </c>
    </row>
    <row r="255" spans="1:23" x14ac:dyDescent="0.2">
      <c r="A255" t="s">
        <v>399</v>
      </c>
      <c r="B255" s="2">
        <v>22</v>
      </c>
      <c r="C255" t="s">
        <v>114</v>
      </c>
      <c r="D255" s="2" t="s">
        <v>52</v>
      </c>
      <c r="E255" s="2">
        <v>17</v>
      </c>
      <c r="F255" s="2">
        <v>0</v>
      </c>
      <c r="G255" s="2">
        <v>142</v>
      </c>
      <c r="H255" s="2">
        <v>1</v>
      </c>
      <c r="I255" s="2">
        <v>70</v>
      </c>
      <c r="J255" s="2">
        <v>29</v>
      </c>
      <c r="K255" s="2">
        <v>0</v>
      </c>
      <c r="L255" s="2">
        <v>0</v>
      </c>
      <c r="M255" s="6">
        <v>3.9</v>
      </c>
      <c r="N255" s="6">
        <v>22.9</v>
      </c>
      <c r="O255" s="2">
        <v>2</v>
      </c>
      <c r="P255" s="2">
        <v>1</v>
      </c>
      <c r="Q255" s="2">
        <v>8</v>
      </c>
      <c r="R255" s="2">
        <v>0</v>
      </c>
      <c r="S255" s="2">
        <v>4</v>
      </c>
      <c r="T255" s="2">
        <v>0</v>
      </c>
      <c r="U255" s="2">
        <v>12</v>
      </c>
      <c r="V255" s="2">
        <v>0</v>
      </c>
      <c r="W255" s="2">
        <v>3</v>
      </c>
    </row>
    <row r="256" spans="1:23" x14ac:dyDescent="0.2">
      <c r="A256" t="s">
        <v>403</v>
      </c>
      <c r="B256" s="2">
        <v>20</v>
      </c>
      <c r="C256" t="s">
        <v>82</v>
      </c>
      <c r="D256" s="2" t="s">
        <v>52</v>
      </c>
      <c r="E256" s="2">
        <v>15</v>
      </c>
      <c r="F256" s="2">
        <v>0</v>
      </c>
      <c r="G256" s="2">
        <v>150</v>
      </c>
      <c r="H256" s="2">
        <v>3</v>
      </c>
      <c r="I256" s="2">
        <v>43</v>
      </c>
      <c r="J256" s="2">
        <v>53</v>
      </c>
      <c r="K256" s="2">
        <v>0</v>
      </c>
      <c r="L256" s="2">
        <v>0</v>
      </c>
      <c r="M256" s="7">
        <v>-0.7</v>
      </c>
      <c r="N256" s="6">
        <v>4</v>
      </c>
      <c r="O256" s="2">
        <v>3</v>
      </c>
      <c r="P256" s="2">
        <v>4</v>
      </c>
      <c r="Q256" s="2">
        <v>4</v>
      </c>
      <c r="R256" s="2">
        <v>0</v>
      </c>
      <c r="S256" s="2">
        <v>3</v>
      </c>
      <c r="T256" s="2">
        <v>2</v>
      </c>
      <c r="U256" s="2">
        <v>16</v>
      </c>
      <c r="V256" s="2">
        <v>1</v>
      </c>
      <c r="W256" s="2">
        <v>6</v>
      </c>
    </row>
    <row r="257" spans="1:23" x14ac:dyDescent="0.2">
      <c r="A257" t="s">
        <v>305</v>
      </c>
      <c r="B257" s="2">
        <v>23</v>
      </c>
      <c r="C257" t="s">
        <v>120</v>
      </c>
      <c r="D257" s="2" t="s">
        <v>52</v>
      </c>
      <c r="E257" s="2">
        <v>19</v>
      </c>
      <c r="F257" s="2">
        <v>0</v>
      </c>
      <c r="G257" s="2">
        <v>328</v>
      </c>
      <c r="H257" s="2">
        <v>0</v>
      </c>
      <c r="I257" s="2">
        <v>40</v>
      </c>
      <c r="J257" s="2">
        <v>59</v>
      </c>
      <c r="K257" s="2">
        <v>0</v>
      </c>
      <c r="L257" s="2">
        <v>0</v>
      </c>
      <c r="M257" s="7">
        <v>-11.7</v>
      </c>
      <c r="N257" s="7">
        <v>-3</v>
      </c>
      <c r="O257" s="2">
        <v>4</v>
      </c>
      <c r="P257" s="2">
        <v>2</v>
      </c>
      <c r="Q257" s="2">
        <v>26</v>
      </c>
      <c r="R257" s="2">
        <v>2</v>
      </c>
      <c r="S257" s="2">
        <v>6</v>
      </c>
      <c r="T257" s="2">
        <v>3</v>
      </c>
      <c r="U257" s="2">
        <v>52</v>
      </c>
      <c r="V257" s="2">
        <v>2</v>
      </c>
      <c r="W257" s="2">
        <v>4</v>
      </c>
    </row>
    <row r="258" spans="1:23" x14ac:dyDescent="0.2">
      <c r="A258" t="s">
        <v>175</v>
      </c>
      <c r="B258" s="2">
        <v>32</v>
      </c>
      <c r="C258" t="s">
        <v>114</v>
      </c>
      <c r="D258" s="2" t="s">
        <v>42</v>
      </c>
      <c r="E258" s="2">
        <v>22</v>
      </c>
      <c r="F258" s="2">
        <v>6</v>
      </c>
      <c r="G258" s="2">
        <v>447</v>
      </c>
      <c r="H258" s="2">
        <v>0</v>
      </c>
      <c r="I258" s="2">
        <v>0</v>
      </c>
      <c r="J258" s="2">
        <v>0</v>
      </c>
      <c r="K258" s="2">
        <v>0</v>
      </c>
      <c r="L258" s="2">
        <v>100</v>
      </c>
      <c r="M258" s="7">
        <v>-17.399999999999999</v>
      </c>
      <c r="N258" s="7">
        <v>-2.5</v>
      </c>
      <c r="O258" s="2">
        <v>14</v>
      </c>
      <c r="P258" s="2">
        <v>15</v>
      </c>
      <c r="Q258" s="2">
        <v>12</v>
      </c>
      <c r="R258" s="2">
        <v>8</v>
      </c>
      <c r="S258" s="2">
        <v>27</v>
      </c>
      <c r="T258" s="2">
        <v>1</v>
      </c>
      <c r="U258" s="2">
        <v>112</v>
      </c>
      <c r="V258" s="2">
        <v>3</v>
      </c>
      <c r="W258" s="2">
        <v>12</v>
      </c>
    </row>
    <row r="259" spans="1:23" x14ac:dyDescent="0.2">
      <c r="A259" t="s">
        <v>299</v>
      </c>
      <c r="B259" s="2">
        <v>27</v>
      </c>
      <c r="C259" t="s">
        <v>48</v>
      </c>
      <c r="D259" s="2" t="s">
        <v>27</v>
      </c>
      <c r="E259" s="2">
        <v>21</v>
      </c>
      <c r="F259" s="2">
        <v>0</v>
      </c>
      <c r="G259" s="2">
        <v>355</v>
      </c>
      <c r="H259" s="2">
        <v>0</v>
      </c>
      <c r="I259" s="2">
        <v>0</v>
      </c>
      <c r="J259" s="2">
        <v>0</v>
      </c>
      <c r="K259" s="2">
        <v>88</v>
      </c>
      <c r="L259" s="2">
        <v>12</v>
      </c>
      <c r="M259" s="7">
        <v>-2.2000000000000002</v>
      </c>
      <c r="N259" s="7">
        <v>-7.6</v>
      </c>
      <c r="O259" s="2">
        <v>1</v>
      </c>
      <c r="P259" s="2">
        <v>4</v>
      </c>
      <c r="Q259" s="2">
        <v>19</v>
      </c>
      <c r="R259" s="2">
        <v>3</v>
      </c>
      <c r="S259" s="2">
        <v>11</v>
      </c>
      <c r="T259" s="2">
        <v>0</v>
      </c>
      <c r="U259" s="2">
        <v>10</v>
      </c>
      <c r="V259" s="2">
        <v>4</v>
      </c>
      <c r="W259" s="2">
        <v>5</v>
      </c>
    </row>
    <row r="260" spans="1:23" x14ac:dyDescent="0.2">
      <c r="A260" t="s">
        <v>141</v>
      </c>
      <c r="B260" s="2">
        <v>22</v>
      </c>
      <c r="C260" t="s">
        <v>100</v>
      </c>
      <c r="D260" s="2" t="s">
        <v>27</v>
      </c>
      <c r="E260" s="2">
        <v>22</v>
      </c>
      <c r="F260" s="2">
        <v>9</v>
      </c>
      <c r="G260" s="2">
        <v>550</v>
      </c>
      <c r="H260" s="2">
        <v>0</v>
      </c>
      <c r="I260" s="2">
        <v>0</v>
      </c>
      <c r="J260" s="2">
        <v>14</v>
      </c>
      <c r="K260" s="2">
        <v>56</v>
      </c>
      <c r="L260" s="2">
        <v>30</v>
      </c>
      <c r="M260" s="6">
        <v>3.8</v>
      </c>
      <c r="N260" s="7">
        <v>-2</v>
      </c>
      <c r="O260" s="2">
        <v>17</v>
      </c>
      <c r="P260" s="2">
        <v>10</v>
      </c>
      <c r="Q260" s="2">
        <v>20</v>
      </c>
      <c r="R260" s="2">
        <v>4</v>
      </c>
      <c r="S260" s="2">
        <v>45</v>
      </c>
      <c r="T260" s="2">
        <v>2</v>
      </c>
      <c r="U260" s="2">
        <v>97</v>
      </c>
      <c r="V260" s="2">
        <v>5</v>
      </c>
      <c r="W260" s="2">
        <v>28</v>
      </c>
    </row>
    <row r="261" spans="1:23" x14ac:dyDescent="0.2">
      <c r="A261" t="s">
        <v>287</v>
      </c>
      <c r="B261" s="2">
        <v>23</v>
      </c>
      <c r="C261" t="s">
        <v>66</v>
      </c>
      <c r="D261" s="2" t="s">
        <v>27</v>
      </c>
      <c r="E261" s="2">
        <v>26</v>
      </c>
      <c r="F261" s="2">
        <v>2</v>
      </c>
      <c r="G261" s="2">
        <v>439</v>
      </c>
      <c r="H261" s="2">
        <v>0</v>
      </c>
      <c r="I261" s="2">
        <v>0</v>
      </c>
      <c r="J261" s="2">
        <v>0</v>
      </c>
      <c r="K261" s="2">
        <v>44</v>
      </c>
      <c r="L261" s="2">
        <v>56</v>
      </c>
      <c r="M261" s="7">
        <v>-9.5</v>
      </c>
      <c r="N261" s="7">
        <v>-6.8</v>
      </c>
      <c r="O261" s="2">
        <v>11</v>
      </c>
      <c r="P261" s="2">
        <v>5</v>
      </c>
      <c r="Q261" s="2">
        <v>24</v>
      </c>
      <c r="R261" s="2">
        <v>4</v>
      </c>
      <c r="S261" s="2">
        <v>21</v>
      </c>
      <c r="T261" s="2">
        <v>1</v>
      </c>
      <c r="U261" s="2">
        <v>102</v>
      </c>
      <c r="V261" s="2">
        <v>4</v>
      </c>
      <c r="W261" s="2">
        <v>12</v>
      </c>
    </row>
    <row r="262" spans="1:23" x14ac:dyDescent="0.2">
      <c r="A262" t="s">
        <v>236</v>
      </c>
      <c r="B262" s="2">
        <v>32</v>
      </c>
      <c r="C262" t="s">
        <v>120</v>
      </c>
      <c r="D262" s="2" t="s">
        <v>52</v>
      </c>
      <c r="E262" s="2">
        <v>13</v>
      </c>
      <c r="F262" s="2">
        <v>2</v>
      </c>
      <c r="G262" s="2">
        <v>338</v>
      </c>
      <c r="H262" s="2">
        <v>0</v>
      </c>
      <c r="I262" s="2">
        <v>67</v>
      </c>
      <c r="J262" s="2">
        <v>32</v>
      </c>
      <c r="K262" s="2">
        <v>0</v>
      </c>
      <c r="L262" s="2">
        <v>0</v>
      </c>
      <c r="M262" s="7">
        <v>-13.1</v>
      </c>
      <c r="N262" s="7">
        <v>-5.0999999999999996</v>
      </c>
      <c r="O262" s="2">
        <v>9</v>
      </c>
      <c r="P262" s="2">
        <v>11</v>
      </c>
      <c r="Q262" s="2">
        <v>8</v>
      </c>
      <c r="R262" s="2">
        <v>3</v>
      </c>
      <c r="S262" s="2">
        <v>17</v>
      </c>
      <c r="T262" s="2">
        <v>1</v>
      </c>
      <c r="U262" s="2">
        <v>119</v>
      </c>
      <c r="V262" s="2">
        <v>5</v>
      </c>
      <c r="W262" s="2">
        <v>16</v>
      </c>
    </row>
    <row r="263" spans="1:23" x14ac:dyDescent="0.2">
      <c r="A263" t="s">
        <v>289</v>
      </c>
      <c r="B263" s="2">
        <v>22</v>
      </c>
      <c r="C263" t="s">
        <v>117</v>
      </c>
      <c r="D263" s="2" t="s">
        <v>52</v>
      </c>
      <c r="E263" s="2">
        <v>11</v>
      </c>
      <c r="F263" s="2">
        <v>3</v>
      </c>
      <c r="G263" s="2">
        <v>302</v>
      </c>
      <c r="H263" s="2">
        <v>13</v>
      </c>
      <c r="I263" s="2">
        <v>46</v>
      </c>
      <c r="J263" s="2">
        <v>39</v>
      </c>
      <c r="K263" s="2">
        <v>2</v>
      </c>
      <c r="L263" s="2">
        <v>0</v>
      </c>
      <c r="M263" s="7">
        <v>-14.2</v>
      </c>
      <c r="N263" s="7">
        <v>-2.5</v>
      </c>
      <c r="O263" s="2">
        <v>7</v>
      </c>
      <c r="P263" s="2">
        <v>3</v>
      </c>
      <c r="Q263" s="2">
        <v>8</v>
      </c>
      <c r="R263" s="2">
        <v>1</v>
      </c>
      <c r="S263" s="2">
        <v>10</v>
      </c>
      <c r="T263" s="2">
        <v>2</v>
      </c>
      <c r="U263" s="2">
        <v>37</v>
      </c>
      <c r="V263" s="2">
        <v>2</v>
      </c>
      <c r="W263" s="2">
        <v>7</v>
      </c>
    </row>
    <row r="264" spans="1:23" x14ac:dyDescent="0.2">
      <c r="A264" t="s">
        <v>412</v>
      </c>
      <c r="B264" s="2">
        <v>28</v>
      </c>
      <c r="C264" t="s">
        <v>37</v>
      </c>
      <c r="D264" s="2" t="s">
        <v>33</v>
      </c>
      <c r="E264" s="2">
        <v>20</v>
      </c>
      <c r="F264" s="2">
        <v>0</v>
      </c>
      <c r="G264" s="2">
        <v>158</v>
      </c>
      <c r="H264" s="2">
        <v>100</v>
      </c>
      <c r="I264" s="2">
        <v>0</v>
      </c>
      <c r="J264" s="2">
        <v>0</v>
      </c>
      <c r="K264" s="2">
        <v>0</v>
      </c>
      <c r="L264" s="2">
        <v>0</v>
      </c>
      <c r="M264" s="6">
        <v>2.7</v>
      </c>
      <c r="N264" s="7">
        <v>-0.9</v>
      </c>
      <c r="O264" s="2">
        <v>5</v>
      </c>
      <c r="P264" s="2">
        <v>3</v>
      </c>
      <c r="Q264" s="2">
        <v>6</v>
      </c>
      <c r="R264" s="2">
        <v>0</v>
      </c>
      <c r="S264" s="2">
        <v>3</v>
      </c>
      <c r="T264" s="2">
        <v>5</v>
      </c>
      <c r="U264" s="2">
        <v>50</v>
      </c>
      <c r="V264" s="2">
        <v>0</v>
      </c>
      <c r="W264" s="2">
        <v>3</v>
      </c>
    </row>
    <row r="265" spans="1:23" x14ac:dyDescent="0.2">
      <c r="A265" t="s">
        <v>325</v>
      </c>
      <c r="B265" s="2">
        <v>25</v>
      </c>
      <c r="C265" t="s">
        <v>77</v>
      </c>
      <c r="D265" s="2" t="s">
        <v>49</v>
      </c>
      <c r="E265" s="2">
        <v>14</v>
      </c>
      <c r="F265" s="2">
        <v>0</v>
      </c>
      <c r="G265" s="2">
        <v>228</v>
      </c>
      <c r="H265" s="2">
        <v>0</v>
      </c>
      <c r="I265" s="2">
        <v>0</v>
      </c>
      <c r="J265" s="2">
        <v>64</v>
      </c>
      <c r="K265" s="2">
        <v>34</v>
      </c>
      <c r="L265" s="2">
        <v>2</v>
      </c>
      <c r="M265" s="7">
        <v>-7.6</v>
      </c>
      <c r="N265" s="7">
        <v>-10.8</v>
      </c>
      <c r="O265" s="2">
        <v>7</v>
      </c>
      <c r="P265" s="2">
        <v>4</v>
      </c>
      <c r="Q265" s="2">
        <v>8</v>
      </c>
      <c r="R265" s="2">
        <v>3</v>
      </c>
      <c r="S265" s="2">
        <v>10</v>
      </c>
      <c r="T265" s="2">
        <v>0</v>
      </c>
      <c r="U265" s="2">
        <v>45</v>
      </c>
      <c r="V265" s="2">
        <v>2</v>
      </c>
      <c r="W265" s="2">
        <v>8</v>
      </c>
    </row>
    <row r="266" spans="1:23" x14ac:dyDescent="0.2">
      <c r="A266" t="s">
        <v>113</v>
      </c>
      <c r="B266" s="2">
        <v>25</v>
      </c>
      <c r="C266" t="s">
        <v>114</v>
      </c>
      <c r="D266" s="2" t="s">
        <v>52</v>
      </c>
      <c r="E266" s="2">
        <v>20</v>
      </c>
      <c r="F266" s="2">
        <v>20</v>
      </c>
      <c r="G266" s="2">
        <v>606</v>
      </c>
      <c r="H266" s="2">
        <v>28</v>
      </c>
      <c r="I266" s="2">
        <v>68</v>
      </c>
      <c r="J266" s="2">
        <v>3</v>
      </c>
      <c r="K266" s="2">
        <v>0</v>
      </c>
      <c r="L266" s="2">
        <v>0</v>
      </c>
      <c r="M266" s="7">
        <v>-19</v>
      </c>
      <c r="N266" s="7">
        <v>-7.4</v>
      </c>
      <c r="O266" s="2">
        <v>32</v>
      </c>
      <c r="P266" s="2">
        <v>23</v>
      </c>
      <c r="Q266" s="2">
        <v>25</v>
      </c>
      <c r="R266" s="2">
        <v>3</v>
      </c>
      <c r="S266" s="2">
        <v>31</v>
      </c>
      <c r="T266" s="2">
        <v>8</v>
      </c>
      <c r="U266" s="2">
        <v>230</v>
      </c>
      <c r="V266" s="2">
        <v>2</v>
      </c>
      <c r="W266" s="2">
        <v>24</v>
      </c>
    </row>
    <row r="267" spans="1:23" x14ac:dyDescent="0.2">
      <c r="A267" t="s">
        <v>457</v>
      </c>
      <c r="B267" s="2">
        <v>20</v>
      </c>
      <c r="C267" t="s">
        <v>39</v>
      </c>
      <c r="D267" s="2" t="s">
        <v>27</v>
      </c>
      <c r="E267" s="2">
        <v>17</v>
      </c>
      <c r="F267" s="2">
        <v>1</v>
      </c>
      <c r="G267" s="2">
        <v>154</v>
      </c>
      <c r="H267" s="2">
        <v>0</v>
      </c>
      <c r="I267" s="2">
        <v>35</v>
      </c>
      <c r="J267" s="2">
        <v>42</v>
      </c>
      <c r="K267" s="2">
        <v>22</v>
      </c>
      <c r="L267" s="2">
        <v>0</v>
      </c>
      <c r="M267" s="6">
        <v>6.4</v>
      </c>
      <c r="N267" s="7">
        <v>-3.9</v>
      </c>
      <c r="O267" s="2">
        <v>2</v>
      </c>
      <c r="P267" s="2">
        <v>1</v>
      </c>
      <c r="Q267" s="2">
        <v>6</v>
      </c>
      <c r="R267" s="2">
        <v>0</v>
      </c>
      <c r="S267" s="2">
        <v>1</v>
      </c>
      <c r="T267" s="2">
        <v>0</v>
      </c>
      <c r="U267" s="2">
        <v>11</v>
      </c>
      <c r="V267" s="2">
        <v>1</v>
      </c>
      <c r="W267" s="2">
        <v>1</v>
      </c>
    </row>
    <row r="268" spans="1:23" x14ac:dyDescent="0.2">
      <c r="A268" t="s">
        <v>317</v>
      </c>
      <c r="B268" s="2">
        <v>26</v>
      </c>
      <c r="C268" t="s">
        <v>117</v>
      </c>
      <c r="D268" s="2" t="s">
        <v>33</v>
      </c>
      <c r="E268" s="2">
        <v>11</v>
      </c>
      <c r="F268" s="2">
        <v>7</v>
      </c>
      <c r="G268" s="2">
        <v>282</v>
      </c>
      <c r="H268" s="2">
        <v>100</v>
      </c>
      <c r="I268" s="2">
        <v>0</v>
      </c>
      <c r="J268" s="2">
        <v>0</v>
      </c>
      <c r="K268" s="2">
        <v>0</v>
      </c>
      <c r="L268" s="2">
        <v>0</v>
      </c>
      <c r="M268" s="7">
        <v>-15.5</v>
      </c>
      <c r="N268" s="7">
        <v>-4.0999999999999996</v>
      </c>
      <c r="O268" s="2">
        <v>7</v>
      </c>
      <c r="P268" s="2">
        <v>6</v>
      </c>
      <c r="Q268" s="2">
        <v>7</v>
      </c>
      <c r="R268" s="2">
        <v>0</v>
      </c>
      <c r="S268" s="2">
        <v>7</v>
      </c>
      <c r="T268" s="2">
        <v>4</v>
      </c>
      <c r="U268" s="2">
        <v>110</v>
      </c>
      <c r="V268" s="2">
        <v>0</v>
      </c>
      <c r="W268" s="2">
        <v>4</v>
      </c>
    </row>
    <row r="269" spans="1:23" x14ac:dyDescent="0.2">
      <c r="A269" t="s">
        <v>161</v>
      </c>
      <c r="B269" s="2">
        <v>22</v>
      </c>
      <c r="C269" t="s">
        <v>70</v>
      </c>
      <c r="D269" s="2" t="s">
        <v>33</v>
      </c>
      <c r="E269" s="2">
        <v>25</v>
      </c>
      <c r="F269" s="2">
        <v>25</v>
      </c>
      <c r="G269" s="2">
        <v>679</v>
      </c>
      <c r="H269" s="2">
        <v>92</v>
      </c>
      <c r="I269" s="2">
        <v>8</v>
      </c>
      <c r="J269" s="2">
        <v>0</v>
      </c>
      <c r="K269" s="2">
        <v>0</v>
      </c>
      <c r="L269" s="2">
        <v>0</v>
      </c>
      <c r="M269" s="7">
        <v>-4.9000000000000004</v>
      </c>
      <c r="N269" s="7">
        <v>-4.0999999999999996</v>
      </c>
      <c r="O269" s="2">
        <v>44</v>
      </c>
      <c r="P269" s="2">
        <v>13</v>
      </c>
      <c r="Q269" s="2">
        <v>28</v>
      </c>
      <c r="R269" s="2">
        <v>2</v>
      </c>
      <c r="S269" s="2">
        <v>24</v>
      </c>
      <c r="T269" s="2">
        <v>1</v>
      </c>
      <c r="U269" s="2">
        <v>431</v>
      </c>
      <c r="V269" s="2">
        <v>5</v>
      </c>
      <c r="W269" s="2">
        <v>23</v>
      </c>
    </row>
    <row r="270" spans="1:23" x14ac:dyDescent="0.2">
      <c r="A270" t="s">
        <v>264</v>
      </c>
      <c r="B270" s="2">
        <v>24</v>
      </c>
      <c r="C270" t="s">
        <v>59</v>
      </c>
      <c r="D270" s="2" t="s">
        <v>52</v>
      </c>
      <c r="E270" s="2">
        <v>22</v>
      </c>
      <c r="F270" s="2">
        <v>21</v>
      </c>
      <c r="G270" s="2">
        <v>608</v>
      </c>
      <c r="H270" s="2">
        <v>1</v>
      </c>
      <c r="I270" s="2">
        <v>77</v>
      </c>
      <c r="J270" s="2">
        <v>21</v>
      </c>
      <c r="K270" s="2">
        <v>2</v>
      </c>
      <c r="L270" s="2">
        <v>0</v>
      </c>
      <c r="M270" s="7">
        <v>-8</v>
      </c>
      <c r="N270" s="7">
        <v>-4.5999999999999996</v>
      </c>
      <c r="O270" s="2">
        <v>8</v>
      </c>
      <c r="P270" s="2">
        <v>2</v>
      </c>
      <c r="Q270" s="2">
        <v>19</v>
      </c>
      <c r="R270" s="2">
        <v>7</v>
      </c>
      <c r="S270" s="2">
        <v>9</v>
      </c>
      <c r="T270" s="2">
        <v>9</v>
      </c>
      <c r="U270" s="2">
        <v>95</v>
      </c>
      <c r="V270" s="2">
        <v>1</v>
      </c>
      <c r="W270" s="2">
        <v>9</v>
      </c>
    </row>
    <row r="271" spans="1:23" x14ac:dyDescent="0.2">
      <c r="A271" t="s">
        <v>128</v>
      </c>
      <c r="B271" s="2">
        <v>29</v>
      </c>
      <c r="C271" t="s">
        <v>44</v>
      </c>
      <c r="D271" s="2" t="s">
        <v>52</v>
      </c>
      <c r="E271" s="2">
        <v>25</v>
      </c>
      <c r="F271" s="2">
        <v>25</v>
      </c>
      <c r="G271" s="2">
        <v>924</v>
      </c>
      <c r="H271" s="2">
        <v>0</v>
      </c>
      <c r="I271" s="2">
        <v>61</v>
      </c>
      <c r="J271" s="2">
        <v>39</v>
      </c>
      <c r="K271" s="2">
        <v>0</v>
      </c>
      <c r="L271" s="2">
        <v>0</v>
      </c>
      <c r="M271" s="6">
        <v>6.3</v>
      </c>
      <c r="N271" s="7">
        <v>-1.2</v>
      </c>
      <c r="O271" s="2">
        <v>21</v>
      </c>
      <c r="P271" s="2">
        <v>12</v>
      </c>
      <c r="Q271" s="2">
        <v>35</v>
      </c>
      <c r="R271" s="2">
        <v>1</v>
      </c>
      <c r="S271" s="2">
        <v>28</v>
      </c>
      <c r="T271" s="2">
        <v>4</v>
      </c>
      <c r="U271" s="2">
        <v>340</v>
      </c>
      <c r="V271" s="2">
        <v>9</v>
      </c>
      <c r="W271" s="2">
        <v>9</v>
      </c>
    </row>
    <row r="272" spans="1:23" x14ac:dyDescent="0.2">
      <c r="A272" t="s">
        <v>446</v>
      </c>
      <c r="B272" s="2">
        <v>22</v>
      </c>
      <c r="C272" t="s">
        <v>51</v>
      </c>
      <c r="D272" s="2" t="s">
        <v>49</v>
      </c>
      <c r="E272" s="2">
        <v>11</v>
      </c>
      <c r="F272" s="2">
        <v>0</v>
      </c>
      <c r="G272" s="2">
        <v>82</v>
      </c>
      <c r="H272" s="2">
        <v>0</v>
      </c>
      <c r="I272" s="2">
        <v>5</v>
      </c>
      <c r="J272" s="2">
        <v>43</v>
      </c>
      <c r="K272" s="2">
        <v>52</v>
      </c>
      <c r="L272" s="2">
        <v>0</v>
      </c>
      <c r="M272" s="7">
        <v>-2.9</v>
      </c>
      <c r="N272" s="7">
        <v>-7.3</v>
      </c>
      <c r="O272" s="2">
        <v>3</v>
      </c>
      <c r="P272" s="2">
        <v>1</v>
      </c>
      <c r="Q272" s="2">
        <v>5</v>
      </c>
      <c r="R272" s="2">
        <v>1</v>
      </c>
      <c r="S272" s="2">
        <v>3</v>
      </c>
      <c r="T272" s="2">
        <v>0</v>
      </c>
      <c r="U272" s="2">
        <v>12</v>
      </c>
      <c r="V272" s="2">
        <v>1</v>
      </c>
      <c r="W272" s="2">
        <v>0</v>
      </c>
    </row>
    <row r="273" spans="1:23" x14ac:dyDescent="0.2">
      <c r="A273" t="s">
        <v>342</v>
      </c>
      <c r="B273" s="2">
        <v>26</v>
      </c>
      <c r="C273" t="s">
        <v>54</v>
      </c>
      <c r="D273" s="2" t="s">
        <v>52</v>
      </c>
      <c r="E273" s="2">
        <v>13</v>
      </c>
      <c r="F273" s="2">
        <v>1</v>
      </c>
      <c r="G273" s="2">
        <v>194</v>
      </c>
      <c r="H273" s="2">
        <v>1</v>
      </c>
      <c r="I273" s="2">
        <v>42</v>
      </c>
      <c r="J273" s="2">
        <v>45</v>
      </c>
      <c r="K273" s="2">
        <v>13</v>
      </c>
      <c r="L273" s="2">
        <v>0</v>
      </c>
      <c r="M273" s="7">
        <v>-4.8</v>
      </c>
      <c r="N273" s="7">
        <v>-4.9000000000000004</v>
      </c>
      <c r="O273" s="2">
        <v>4</v>
      </c>
      <c r="P273" s="2">
        <v>3</v>
      </c>
      <c r="Q273" s="2">
        <v>9</v>
      </c>
      <c r="R273" s="2">
        <v>1</v>
      </c>
      <c r="S273" s="2">
        <v>12</v>
      </c>
      <c r="T273" s="2">
        <v>4</v>
      </c>
      <c r="U273" s="2">
        <v>21</v>
      </c>
      <c r="V273" s="2">
        <v>3</v>
      </c>
      <c r="W273" s="2">
        <v>9</v>
      </c>
    </row>
    <row r="274" spans="1:23" x14ac:dyDescent="0.2">
      <c r="A274" t="s">
        <v>437</v>
      </c>
      <c r="B274" s="2">
        <v>31</v>
      </c>
      <c r="C274" t="s">
        <v>61</v>
      </c>
      <c r="D274" s="2" t="s">
        <v>52</v>
      </c>
      <c r="E274" s="2">
        <v>8</v>
      </c>
      <c r="F274" s="2">
        <v>0</v>
      </c>
      <c r="G274" s="2">
        <v>150</v>
      </c>
      <c r="H274" s="2">
        <v>42</v>
      </c>
      <c r="I274" s="2">
        <v>47</v>
      </c>
      <c r="J274" s="2">
        <v>11</v>
      </c>
      <c r="K274" s="2">
        <v>0</v>
      </c>
      <c r="L274" s="2">
        <v>0</v>
      </c>
      <c r="M274" s="7">
        <v>-10.5</v>
      </c>
      <c r="N274" s="7">
        <v>-16.2</v>
      </c>
      <c r="O274" s="2">
        <v>4</v>
      </c>
      <c r="P274" s="2">
        <v>1</v>
      </c>
      <c r="Q274" s="2">
        <v>7</v>
      </c>
      <c r="R274" s="2">
        <v>3</v>
      </c>
      <c r="S274" s="2">
        <v>2</v>
      </c>
      <c r="T274" s="2">
        <v>1</v>
      </c>
      <c r="U274" s="2">
        <v>30</v>
      </c>
      <c r="V274" s="2">
        <v>0</v>
      </c>
      <c r="W274" s="2">
        <v>3</v>
      </c>
    </row>
    <row r="275" spans="1:23" x14ac:dyDescent="0.2">
      <c r="A275" t="s">
        <v>176</v>
      </c>
      <c r="B275" s="2">
        <v>34</v>
      </c>
      <c r="C275" t="s">
        <v>39</v>
      </c>
      <c r="D275" s="2" t="s">
        <v>33</v>
      </c>
      <c r="E275" s="2">
        <v>22</v>
      </c>
      <c r="F275" s="2">
        <v>22</v>
      </c>
      <c r="G275" s="2">
        <v>681</v>
      </c>
      <c r="H275" s="2">
        <v>61</v>
      </c>
      <c r="I275" s="2">
        <v>39</v>
      </c>
      <c r="J275" s="2">
        <v>0</v>
      </c>
      <c r="K275" s="2">
        <v>0</v>
      </c>
      <c r="L275" s="2">
        <v>0</v>
      </c>
      <c r="M275" s="6">
        <v>8.5</v>
      </c>
      <c r="N275" s="7">
        <v>-2.9</v>
      </c>
      <c r="O275" s="2">
        <v>20</v>
      </c>
      <c r="P275" s="2">
        <v>7</v>
      </c>
      <c r="Q275" s="2">
        <v>13</v>
      </c>
      <c r="R275" s="2">
        <v>1</v>
      </c>
      <c r="S275" s="2">
        <v>16</v>
      </c>
      <c r="T275" s="2">
        <v>5</v>
      </c>
      <c r="U275" s="2">
        <v>230</v>
      </c>
      <c r="V275" s="2">
        <v>4</v>
      </c>
      <c r="W275" s="2">
        <v>10</v>
      </c>
    </row>
    <row r="276" spans="1:23" x14ac:dyDescent="0.2">
      <c r="A276" t="s">
        <v>473</v>
      </c>
      <c r="B276" s="2">
        <v>22</v>
      </c>
      <c r="C276" t="s">
        <v>57</v>
      </c>
      <c r="D276" s="2" t="s">
        <v>27</v>
      </c>
      <c r="E276" s="2">
        <v>3</v>
      </c>
      <c r="F276" s="2">
        <v>0</v>
      </c>
      <c r="G276" s="2">
        <v>16</v>
      </c>
      <c r="H276" s="2">
        <v>0</v>
      </c>
      <c r="I276" s="2">
        <v>0</v>
      </c>
      <c r="J276" s="2">
        <v>0</v>
      </c>
      <c r="K276" s="2">
        <v>80</v>
      </c>
      <c r="L276" s="2">
        <v>20</v>
      </c>
      <c r="M276" s="6">
        <v>6</v>
      </c>
      <c r="N276" s="7">
        <v>-4.7</v>
      </c>
      <c r="O276" s="2">
        <v>1</v>
      </c>
      <c r="P276" s="2">
        <v>1</v>
      </c>
      <c r="Q276" s="2">
        <v>1</v>
      </c>
      <c r="R276" s="2">
        <v>0</v>
      </c>
      <c r="S276" s="2">
        <v>1</v>
      </c>
      <c r="T276" s="2">
        <v>0</v>
      </c>
      <c r="U276" s="2">
        <v>0</v>
      </c>
      <c r="V276" s="2">
        <v>0</v>
      </c>
      <c r="W276" s="2">
        <v>0</v>
      </c>
    </row>
    <row r="277" spans="1:23" x14ac:dyDescent="0.2">
      <c r="A277" t="s">
        <v>153</v>
      </c>
      <c r="B277" s="2">
        <v>23</v>
      </c>
      <c r="C277" t="s">
        <v>93</v>
      </c>
      <c r="D277" s="2" t="s">
        <v>49</v>
      </c>
      <c r="E277" s="2">
        <v>24</v>
      </c>
      <c r="F277" s="2">
        <v>24</v>
      </c>
      <c r="G277" s="2">
        <v>711</v>
      </c>
      <c r="H277" s="2">
        <v>0</v>
      </c>
      <c r="I277" s="2">
        <v>16</v>
      </c>
      <c r="J277" s="2">
        <v>57</v>
      </c>
      <c r="K277" s="2">
        <v>27</v>
      </c>
      <c r="L277" s="2">
        <v>0</v>
      </c>
      <c r="M277" s="6">
        <v>0.8</v>
      </c>
      <c r="N277" s="6">
        <v>8.1999999999999993</v>
      </c>
      <c r="O277" s="2">
        <v>16</v>
      </c>
      <c r="P277" s="2">
        <v>6</v>
      </c>
      <c r="Q277" s="2">
        <v>26</v>
      </c>
      <c r="R277" s="2">
        <v>1</v>
      </c>
      <c r="S277" s="2">
        <v>16</v>
      </c>
      <c r="T277" s="2">
        <v>0</v>
      </c>
      <c r="U277" s="2">
        <v>83</v>
      </c>
      <c r="V277" s="2">
        <v>2</v>
      </c>
      <c r="W277" s="2">
        <v>11</v>
      </c>
    </row>
    <row r="278" spans="1:23" x14ac:dyDescent="0.2">
      <c r="A278" t="s">
        <v>328</v>
      </c>
      <c r="B278" s="2">
        <v>21</v>
      </c>
      <c r="C278" t="s">
        <v>70</v>
      </c>
      <c r="D278" s="2" t="s">
        <v>49</v>
      </c>
      <c r="E278" s="2">
        <v>24</v>
      </c>
      <c r="F278" s="2">
        <v>2</v>
      </c>
      <c r="G278" s="2">
        <v>344</v>
      </c>
      <c r="H278" s="2">
        <v>0</v>
      </c>
      <c r="I278" s="2">
        <v>0</v>
      </c>
      <c r="J278" s="2">
        <v>16</v>
      </c>
      <c r="K278" s="2">
        <v>84</v>
      </c>
      <c r="L278" s="2">
        <v>0</v>
      </c>
      <c r="M278" s="7">
        <v>-3.7</v>
      </c>
      <c r="N278" s="7">
        <v>-0.9</v>
      </c>
      <c r="O278" s="2">
        <v>4</v>
      </c>
      <c r="P278" s="2">
        <v>4</v>
      </c>
      <c r="Q278" s="2">
        <v>13</v>
      </c>
      <c r="R278" s="2">
        <v>0</v>
      </c>
      <c r="S278" s="2">
        <v>8</v>
      </c>
      <c r="T278" s="2">
        <v>1</v>
      </c>
      <c r="U278" s="2">
        <v>28</v>
      </c>
      <c r="V278" s="2">
        <v>3</v>
      </c>
      <c r="W278" s="2">
        <v>7</v>
      </c>
    </row>
    <row r="279" spans="1:23" x14ac:dyDescent="0.2">
      <c r="A279" t="s">
        <v>233</v>
      </c>
      <c r="B279" s="2">
        <v>22</v>
      </c>
      <c r="C279" t="s">
        <v>46</v>
      </c>
      <c r="D279" s="2" t="s">
        <v>52</v>
      </c>
      <c r="E279" s="2">
        <v>22</v>
      </c>
      <c r="F279" s="2">
        <v>0</v>
      </c>
      <c r="G279" s="2">
        <v>458</v>
      </c>
      <c r="H279" s="2">
        <v>0</v>
      </c>
      <c r="I279" s="2">
        <v>37</v>
      </c>
      <c r="J279" s="2">
        <v>62</v>
      </c>
      <c r="K279" s="2">
        <v>1</v>
      </c>
      <c r="L279" s="2">
        <v>0</v>
      </c>
      <c r="M279" s="7">
        <v>-12.1</v>
      </c>
      <c r="N279" s="7">
        <v>-25.7</v>
      </c>
      <c r="O279" s="2">
        <v>6</v>
      </c>
      <c r="P279" s="2">
        <v>5</v>
      </c>
      <c r="Q279" s="2">
        <v>35</v>
      </c>
      <c r="R279" s="2">
        <v>9</v>
      </c>
      <c r="S279" s="2">
        <v>13</v>
      </c>
      <c r="T279" s="2">
        <v>4</v>
      </c>
      <c r="U279" s="2">
        <v>76</v>
      </c>
      <c r="V279" s="2">
        <v>2</v>
      </c>
      <c r="W279" s="2">
        <v>7</v>
      </c>
    </row>
    <row r="280" spans="1:23" x14ac:dyDescent="0.2">
      <c r="A280" t="s">
        <v>91</v>
      </c>
      <c r="B280" s="2">
        <v>30</v>
      </c>
      <c r="C280" t="s">
        <v>51</v>
      </c>
      <c r="D280" s="2" t="s">
        <v>27</v>
      </c>
      <c r="E280" s="2">
        <v>23</v>
      </c>
      <c r="F280" s="2">
        <v>23</v>
      </c>
      <c r="G280" s="2">
        <v>763</v>
      </c>
      <c r="H280" s="2">
        <v>0</v>
      </c>
      <c r="I280" s="2">
        <v>0</v>
      </c>
      <c r="J280" s="2">
        <v>0</v>
      </c>
      <c r="K280" s="2">
        <v>98</v>
      </c>
      <c r="L280" s="2">
        <v>2</v>
      </c>
      <c r="M280" s="6">
        <v>1.5</v>
      </c>
      <c r="N280" s="7">
        <v>-7.2</v>
      </c>
      <c r="O280" s="2">
        <v>20</v>
      </c>
      <c r="P280" s="2">
        <v>24</v>
      </c>
      <c r="Q280" s="2">
        <v>25</v>
      </c>
      <c r="R280" s="2">
        <v>12</v>
      </c>
      <c r="S280" s="2">
        <v>61</v>
      </c>
      <c r="T280" s="2">
        <v>0</v>
      </c>
      <c r="U280" s="2">
        <v>237</v>
      </c>
      <c r="V280" s="2">
        <v>10</v>
      </c>
      <c r="W280" s="2">
        <v>27</v>
      </c>
    </row>
    <row r="281" spans="1:23" x14ac:dyDescent="0.2">
      <c r="A281" t="s">
        <v>410</v>
      </c>
      <c r="B281" s="2">
        <v>23</v>
      </c>
      <c r="C281" t="s">
        <v>114</v>
      </c>
      <c r="D281" s="2" t="s">
        <v>49</v>
      </c>
      <c r="E281" s="2">
        <v>5</v>
      </c>
      <c r="F281" s="2">
        <v>2</v>
      </c>
      <c r="G281" s="2">
        <v>105</v>
      </c>
      <c r="H281" s="2">
        <v>0</v>
      </c>
      <c r="I281" s="2">
        <v>0</v>
      </c>
      <c r="J281" s="2">
        <v>22</v>
      </c>
      <c r="K281" s="2">
        <v>78</v>
      </c>
      <c r="L281" s="2">
        <v>0</v>
      </c>
      <c r="M281" s="7">
        <v>-11.1</v>
      </c>
      <c r="N281" s="6">
        <v>5.4</v>
      </c>
      <c r="O281" s="2">
        <v>2</v>
      </c>
      <c r="P281" s="2">
        <v>2</v>
      </c>
      <c r="Q281" s="2">
        <v>7</v>
      </c>
      <c r="R281" s="2">
        <v>0</v>
      </c>
      <c r="S281" s="2">
        <v>4</v>
      </c>
      <c r="T281" s="2">
        <v>0</v>
      </c>
      <c r="U281" s="2">
        <v>13</v>
      </c>
      <c r="V281" s="2">
        <v>3</v>
      </c>
      <c r="W281" s="2">
        <v>3</v>
      </c>
    </row>
    <row r="282" spans="1:23" x14ac:dyDescent="0.2">
      <c r="A282" t="s">
        <v>524</v>
      </c>
      <c r="B282" s="2">
        <v>21</v>
      </c>
      <c r="C282" t="s">
        <v>122</v>
      </c>
      <c r="D282" s="2" t="s">
        <v>49</v>
      </c>
      <c r="E282" s="2">
        <v>2</v>
      </c>
      <c r="F282" s="2">
        <v>0</v>
      </c>
      <c r="G282" s="2">
        <v>9</v>
      </c>
      <c r="H282" s="2">
        <v>0</v>
      </c>
      <c r="I282" s="2">
        <v>27</v>
      </c>
      <c r="J282" s="2">
        <v>73</v>
      </c>
      <c r="K282" s="2">
        <v>0</v>
      </c>
      <c r="L282" s="2">
        <v>0</v>
      </c>
      <c r="M282" s="7">
        <v>-9.5</v>
      </c>
      <c r="N282" s="7">
        <v>-4.7</v>
      </c>
      <c r="O282" s="2">
        <v>0</v>
      </c>
      <c r="P282" s="2">
        <v>0</v>
      </c>
      <c r="Q282" s="2">
        <v>0</v>
      </c>
      <c r="R282" s="2">
        <v>0</v>
      </c>
      <c r="S282" s="2">
        <v>1</v>
      </c>
      <c r="T282" s="2">
        <v>1</v>
      </c>
      <c r="U282" s="2">
        <v>2</v>
      </c>
      <c r="V282" s="2">
        <v>1</v>
      </c>
      <c r="W282" s="2">
        <v>0</v>
      </c>
    </row>
    <row r="283" spans="1:23" x14ac:dyDescent="0.2">
      <c r="A283" t="s">
        <v>564</v>
      </c>
      <c r="B283" s="2">
        <v>25</v>
      </c>
      <c r="C283" t="s">
        <v>135</v>
      </c>
      <c r="D283" s="2" t="s">
        <v>49</v>
      </c>
      <c r="E283" s="2">
        <v>1</v>
      </c>
      <c r="F283" s="2">
        <v>0</v>
      </c>
      <c r="G283" s="2">
        <v>6</v>
      </c>
      <c r="H283" s="2">
        <v>0</v>
      </c>
      <c r="I283" s="2">
        <v>0</v>
      </c>
      <c r="J283" s="2">
        <v>49</v>
      </c>
      <c r="K283" s="2">
        <v>51</v>
      </c>
      <c r="L283" s="2">
        <v>0</v>
      </c>
      <c r="M283" s="7">
        <v>-9</v>
      </c>
      <c r="N283" s="6">
        <v>0.6</v>
      </c>
      <c r="O283" s="2">
        <v>0</v>
      </c>
      <c r="P283" s="2">
        <v>0</v>
      </c>
      <c r="Q283" s="2">
        <v>1</v>
      </c>
      <c r="R283" s="2">
        <v>0</v>
      </c>
      <c r="S283" s="2">
        <v>0</v>
      </c>
      <c r="T283" s="2">
        <v>0</v>
      </c>
      <c r="U283" s="2">
        <v>0</v>
      </c>
      <c r="V283" s="2">
        <v>0</v>
      </c>
      <c r="W283" s="2">
        <v>0</v>
      </c>
    </row>
    <row r="284" spans="1:23" x14ac:dyDescent="0.2">
      <c r="A284" t="s">
        <v>293</v>
      </c>
      <c r="B284" s="2">
        <v>30</v>
      </c>
      <c r="C284" t="s">
        <v>54</v>
      </c>
      <c r="D284" s="2" t="s">
        <v>42</v>
      </c>
      <c r="E284" s="2">
        <v>16</v>
      </c>
      <c r="F284" s="2">
        <v>16</v>
      </c>
      <c r="G284" s="2">
        <v>385</v>
      </c>
      <c r="H284" s="2">
        <v>0</v>
      </c>
      <c r="I284" s="2">
        <v>0</v>
      </c>
      <c r="J284" s="2">
        <v>0</v>
      </c>
      <c r="K284" s="2">
        <v>0</v>
      </c>
      <c r="L284" s="2">
        <v>100</v>
      </c>
      <c r="M284" s="7">
        <v>-4.3</v>
      </c>
      <c r="N284" s="7">
        <v>-5.4</v>
      </c>
      <c r="O284" s="2">
        <v>18</v>
      </c>
      <c r="P284" s="2">
        <v>9</v>
      </c>
      <c r="Q284" s="2">
        <v>26</v>
      </c>
      <c r="R284" s="2">
        <v>10</v>
      </c>
      <c r="S284" s="2">
        <v>24</v>
      </c>
      <c r="T284" s="2">
        <v>2</v>
      </c>
      <c r="U284" s="2">
        <v>49</v>
      </c>
      <c r="V284" s="2">
        <v>4</v>
      </c>
      <c r="W284" s="2">
        <v>8</v>
      </c>
    </row>
    <row r="285" spans="1:23" x14ac:dyDescent="0.2">
      <c r="A285" t="s">
        <v>423</v>
      </c>
      <c r="B285" s="2">
        <v>24</v>
      </c>
      <c r="C285" t="s">
        <v>77</v>
      </c>
      <c r="D285" s="2" t="s">
        <v>42</v>
      </c>
      <c r="E285" s="2">
        <v>16</v>
      </c>
      <c r="F285" s="2">
        <v>0</v>
      </c>
      <c r="G285" s="2">
        <v>139</v>
      </c>
      <c r="H285" s="2">
        <v>0</v>
      </c>
      <c r="I285" s="2">
        <v>0</v>
      </c>
      <c r="J285" s="2">
        <v>0</v>
      </c>
      <c r="K285" s="2">
        <v>3</v>
      </c>
      <c r="L285" s="2">
        <v>97</v>
      </c>
      <c r="M285" s="7">
        <v>-9.4</v>
      </c>
      <c r="N285" s="7">
        <v>-11.9</v>
      </c>
      <c r="O285" s="2">
        <v>4</v>
      </c>
      <c r="P285" s="2">
        <v>3</v>
      </c>
      <c r="Q285" s="2">
        <v>12</v>
      </c>
      <c r="R285" s="2">
        <v>0</v>
      </c>
      <c r="S285" s="2">
        <v>6</v>
      </c>
      <c r="T285" s="2">
        <v>0</v>
      </c>
      <c r="U285" s="2">
        <v>14</v>
      </c>
      <c r="V285" s="2">
        <v>2</v>
      </c>
      <c r="W285" s="2">
        <v>1</v>
      </c>
    </row>
    <row r="286" spans="1:23" x14ac:dyDescent="0.2">
      <c r="A286" t="s">
        <v>55</v>
      </c>
      <c r="B286" s="2">
        <v>29</v>
      </c>
      <c r="C286" t="s">
        <v>44</v>
      </c>
      <c r="D286" s="2" t="s">
        <v>42</v>
      </c>
      <c r="E286" s="2">
        <v>23</v>
      </c>
      <c r="F286" s="2">
        <v>23</v>
      </c>
      <c r="G286" s="2">
        <v>781</v>
      </c>
      <c r="H286" s="2">
        <v>0</v>
      </c>
      <c r="I286" s="2">
        <v>0</v>
      </c>
      <c r="J286" s="2">
        <v>0</v>
      </c>
      <c r="K286" s="2">
        <v>0</v>
      </c>
      <c r="L286" s="2">
        <v>100</v>
      </c>
      <c r="M286" s="6">
        <v>8.4</v>
      </c>
      <c r="N286" s="6">
        <v>5.2</v>
      </c>
      <c r="O286" s="2">
        <v>18</v>
      </c>
      <c r="P286" s="2">
        <v>11</v>
      </c>
      <c r="Q286" s="2">
        <v>39</v>
      </c>
      <c r="R286" s="2">
        <v>19</v>
      </c>
      <c r="S286" s="2">
        <v>71</v>
      </c>
      <c r="T286" s="2">
        <v>3</v>
      </c>
      <c r="U286" s="2">
        <v>167</v>
      </c>
      <c r="V286" s="2">
        <v>22</v>
      </c>
      <c r="W286" s="2">
        <v>31</v>
      </c>
    </row>
    <row r="287" spans="1:23" x14ac:dyDescent="0.2">
      <c r="A287" t="s">
        <v>530</v>
      </c>
      <c r="B287" s="2">
        <v>23</v>
      </c>
      <c r="C287" t="s">
        <v>117</v>
      </c>
      <c r="D287" s="2" t="s">
        <v>27</v>
      </c>
      <c r="E287" s="2">
        <v>5</v>
      </c>
      <c r="F287" s="2">
        <v>0</v>
      </c>
      <c r="G287" s="2">
        <v>39</v>
      </c>
      <c r="H287" s="2">
        <v>0</v>
      </c>
      <c r="I287" s="2">
        <v>0</v>
      </c>
      <c r="J287" s="2">
        <v>0</v>
      </c>
      <c r="K287" s="2">
        <v>38</v>
      </c>
      <c r="L287" s="2">
        <v>62</v>
      </c>
      <c r="M287" s="7">
        <v>-0.2</v>
      </c>
      <c r="N287" s="6">
        <v>12.5</v>
      </c>
      <c r="O287" s="2">
        <v>3</v>
      </c>
      <c r="P287" s="2">
        <v>0</v>
      </c>
      <c r="Q287" s="2">
        <v>3</v>
      </c>
      <c r="R287" s="2">
        <v>1</v>
      </c>
      <c r="S287" s="2">
        <v>0</v>
      </c>
      <c r="T287" s="2">
        <v>0</v>
      </c>
      <c r="U287" s="2">
        <v>0</v>
      </c>
      <c r="V287" s="2">
        <v>0</v>
      </c>
      <c r="W287" s="2">
        <v>1</v>
      </c>
    </row>
    <row r="288" spans="1:23" x14ac:dyDescent="0.2">
      <c r="A288" t="s">
        <v>396</v>
      </c>
      <c r="B288" s="2">
        <v>25</v>
      </c>
      <c r="C288" t="s">
        <v>72</v>
      </c>
      <c r="D288" s="2" t="s">
        <v>33</v>
      </c>
      <c r="E288" s="2">
        <v>12</v>
      </c>
      <c r="F288" s="2">
        <v>1</v>
      </c>
      <c r="G288" s="2">
        <v>194</v>
      </c>
      <c r="H288" s="2">
        <v>73</v>
      </c>
      <c r="I288" s="2">
        <v>27</v>
      </c>
      <c r="J288" s="2">
        <v>0</v>
      </c>
      <c r="K288" s="2">
        <v>0</v>
      </c>
      <c r="L288" s="2">
        <v>0</v>
      </c>
      <c r="M288" s="7">
        <v>-3.2</v>
      </c>
      <c r="N288" s="7">
        <v>-1.1000000000000001</v>
      </c>
      <c r="O288" s="2">
        <v>8</v>
      </c>
      <c r="P288" s="2">
        <v>2</v>
      </c>
      <c r="Q288" s="2">
        <v>10</v>
      </c>
      <c r="R288" s="2">
        <v>0</v>
      </c>
      <c r="S288" s="2">
        <v>1</v>
      </c>
      <c r="T288" s="2">
        <v>1</v>
      </c>
      <c r="U288" s="2">
        <v>56</v>
      </c>
      <c r="V288" s="2">
        <v>0</v>
      </c>
      <c r="W288" s="2">
        <v>1</v>
      </c>
    </row>
    <row r="289" spans="1:23" x14ac:dyDescent="0.2">
      <c r="A289" t="s">
        <v>147</v>
      </c>
      <c r="B289" s="2">
        <v>24</v>
      </c>
      <c r="C289" t="s">
        <v>37</v>
      </c>
      <c r="D289" s="2" t="s">
        <v>27</v>
      </c>
      <c r="E289" s="2">
        <v>26</v>
      </c>
      <c r="F289" s="2">
        <v>26</v>
      </c>
      <c r="G289" s="2">
        <v>944</v>
      </c>
      <c r="H289" s="2">
        <v>0</v>
      </c>
      <c r="I289" s="2">
        <v>0</v>
      </c>
      <c r="J289" s="2">
        <v>12</v>
      </c>
      <c r="K289" s="2">
        <v>87</v>
      </c>
      <c r="L289" s="2">
        <v>1</v>
      </c>
      <c r="M289" s="6">
        <v>4.7</v>
      </c>
      <c r="N289" s="6">
        <v>4.7</v>
      </c>
      <c r="O289" s="2">
        <v>11</v>
      </c>
      <c r="P289" s="2">
        <v>12</v>
      </c>
      <c r="Q289" s="2">
        <v>40</v>
      </c>
      <c r="R289" s="2">
        <v>2</v>
      </c>
      <c r="S289" s="2">
        <v>17</v>
      </c>
      <c r="T289" s="2">
        <v>8</v>
      </c>
      <c r="U289" s="2">
        <v>93</v>
      </c>
      <c r="V289" s="2">
        <v>3</v>
      </c>
      <c r="W289" s="2">
        <v>8</v>
      </c>
    </row>
    <row r="290" spans="1:23" x14ac:dyDescent="0.2">
      <c r="A290" t="s">
        <v>455</v>
      </c>
      <c r="B290" s="2">
        <v>20</v>
      </c>
      <c r="C290" t="s">
        <v>61</v>
      </c>
      <c r="D290" s="2" t="s">
        <v>42</v>
      </c>
      <c r="E290" s="2">
        <v>10</v>
      </c>
      <c r="F290" s="2">
        <v>0</v>
      </c>
      <c r="G290" s="2">
        <v>69</v>
      </c>
      <c r="H290" s="2">
        <v>0</v>
      </c>
      <c r="I290" s="2">
        <v>0</v>
      </c>
      <c r="J290" s="2">
        <v>0</v>
      </c>
      <c r="K290" s="2">
        <v>0</v>
      </c>
      <c r="L290" s="2">
        <v>100</v>
      </c>
      <c r="M290" s="7">
        <v>-5.7</v>
      </c>
      <c r="N290" s="7">
        <v>-9.8000000000000007</v>
      </c>
      <c r="O290" s="2">
        <v>1</v>
      </c>
      <c r="P290" s="2">
        <v>0</v>
      </c>
      <c r="Q290" s="2">
        <v>5</v>
      </c>
      <c r="R290" s="2">
        <v>1</v>
      </c>
      <c r="S290" s="2">
        <v>0</v>
      </c>
      <c r="T290" s="2">
        <v>0</v>
      </c>
      <c r="U290" s="2">
        <v>2</v>
      </c>
      <c r="V290" s="2">
        <v>0</v>
      </c>
      <c r="W290" s="2">
        <v>1</v>
      </c>
    </row>
    <row r="291" spans="1:23" x14ac:dyDescent="0.2">
      <c r="A291" t="s">
        <v>164</v>
      </c>
      <c r="B291" s="2">
        <v>25</v>
      </c>
      <c r="C291" t="s">
        <v>93</v>
      </c>
      <c r="D291" s="2" t="s">
        <v>49</v>
      </c>
      <c r="E291" s="2">
        <v>23</v>
      </c>
      <c r="F291" s="2">
        <v>0</v>
      </c>
      <c r="G291" s="2">
        <v>583</v>
      </c>
      <c r="H291" s="2">
        <v>0</v>
      </c>
      <c r="I291" s="2">
        <v>21</v>
      </c>
      <c r="J291" s="2">
        <v>71</v>
      </c>
      <c r="K291" s="2">
        <v>8</v>
      </c>
      <c r="L291" s="2">
        <v>0</v>
      </c>
      <c r="M291" s="7">
        <v>-10.199999999999999</v>
      </c>
      <c r="N291" s="7">
        <v>-16</v>
      </c>
      <c r="O291" s="2">
        <v>8</v>
      </c>
      <c r="P291" s="2">
        <v>4</v>
      </c>
      <c r="Q291" s="2">
        <v>19</v>
      </c>
      <c r="R291" s="2">
        <v>2</v>
      </c>
      <c r="S291" s="2">
        <v>32</v>
      </c>
      <c r="T291" s="2">
        <v>3</v>
      </c>
      <c r="U291" s="2">
        <v>95</v>
      </c>
      <c r="V291" s="2">
        <v>9</v>
      </c>
      <c r="W291" s="2">
        <v>15</v>
      </c>
    </row>
    <row r="292" spans="1:23" x14ac:dyDescent="0.2">
      <c r="A292" t="s">
        <v>472</v>
      </c>
      <c r="B292" s="2">
        <v>33</v>
      </c>
      <c r="C292" t="s">
        <v>66</v>
      </c>
      <c r="D292" s="2" t="s">
        <v>42</v>
      </c>
      <c r="E292" s="2">
        <v>3</v>
      </c>
      <c r="F292" s="2">
        <v>0</v>
      </c>
      <c r="G292" s="2">
        <v>41</v>
      </c>
      <c r="H292" s="2">
        <v>0</v>
      </c>
      <c r="I292" s="2">
        <v>0</v>
      </c>
      <c r="J292" s="2">
        <v>0</v>
      </c>
      <c r="K292" s="2">
        <v>0</v>
      </c>
      <c r="L292" s="2">
        <v>100</v>
      </c>
      <c r="M292" s="7">
        <v>-25.9</v>
      </c>
      <c r="N292" s="7">
        <v>-21.5</v>
      </c>
      <c r="O292" s="2">
        <v>2</v>
      </c>
      <c r="P292" s="2">
        <v>0</v>
      </c>
      <c r="Q292" s="2">
        <v>2</v>
      </c>
      <c r="R292" s="2">
        <v>0</v>
      </c>
      <c r="S292" s="2">
        <v>3</v>
      </c>
      <c r="T292" s="2">
        <v>0</v>
      </c>
      <c r="U292" s="2">
        <v>8</v>
      </c>
      <c r="V292" s="2">
        <v>0</v>
      </c>
      <c r="W292" s="2">
        <v>1</v>
      </c>
    </row>
    <row r="293" spans="1:23" x14ac:dyDescent="0.2">
      <c r="A293" t="s">
        <v>170</v>
      </c>
      <c r="B293" s="2">
        <v>29</v>
      </c>
      <c r="C293" t="s">
        <v>122</v>
      </c>
      <c r="D293" s="2" t="s">
        <v>49</v>
      </c>
      <c r="E293" s="2">
        <v>22</v>
      </c>
      <c r="F293" s="2">
        <v>19</v>
      </c>
      <c r="G293" s="2">
        <v>691</v>
      </c>
      <c r="H293" s="2">
        <v>0</v>
      </c>
      <c r="I293" s="2">
        <v>9</v>
      </c>
      <c r="J293" s="2">
        <v>51</v>
      </c>
      <c r="K293" s="2">
        <v>40</v>
      </c>
      <c r="L293" s="2">
        <v>0</v>
      </c>
      <c r="M293" s="7">
        <v>-3.7</v>
      </c>
      <c r="N293" s="6">
        <v>3.1</v>
      </c>
      <c r="O293" s="2">
        <v>9</v>
      </c>
      <c r="P293" s="2">
        <v>18</v>
      </c>
      <c r="Q293" s="2">
        <v>26</v>
      </c>
      <c r="R293" s="2">
        <v>1</v>
      </c>
      <c r="S293" s="2">
        <v>21</v>
      </c>
      <c r="T293" s="2">
        <v>10</v>
      </c>
      <c r="U293" s="2">
        <v>69</v>
      </c>
      <c r="V293" s="2">
        <v>6</v>
      </c>
      <c r="W293" s="2">
        <v>23</v>
      </c>
    </row>
    <row r="294" spans="1:23" x14ac:dyDescent="0.2">
      <c r="A294" t="s">
        <v>364</v>
      </c>
      <c r="B294" s="2">
        <v>30</v>
      </c>
      <c r="C294" t="s">
        <v>32</v>
      </c>
      <c r="D294" s="2" t="s">
        <v>27</v>
      </c>
      <c r="E294" s="2">
        <v>14</v>
      </c>
      <c r="F294" s="2">
        <v>0</v>
      </c>
      <c r="G294" s="2">
        <v>185</v>
      </c>
      <c r="H294" s="2">
        <v>0</v>
      </c>
      <c r="I294" s="2">
        <v>0</v>
      </c>
      <c r="J294" s="2">
        <v>0</v>
      </c>
      <c r="K294" s="2">
        <v>25</v>
      </c>
      <c r="L294" s="2">
        <v>75</v>
      </c>
      <c r="M294" s="6">
        <v>14.4</v>
      </c>
      <c r="N294" s="6">
        <v>2.2999999999999998</v>
      </c>
      <c r="O294" s="2">
        <v>2</v>
      </c>
      <c r="P294" s="2">
        <v>0</v>
      </c>
      <c r="Q294" s="2">
        <v>15</v>
      </c>
      <c r="R294" s="2">
        <v>0</v>
      </c>
      <c r="S294" s="2">
        <v>3</v>
      </c>
      <c r="T294" s="2">
        <v>5</v>
      </c>
      <c r="U294" s="2">
        <v>32</v>
      </c>
      <c r="V294" s="2">
        <v>0</v>
      </c>
      <c r="W294" s="2">
        <v>4</v>
      </c>
    </row>
    <row r="295" spans="1:23" x14ac:dyDescent="0.2">
      <c r="A295" t="s">
        <v>219</v>
      </c>
      <c r="B295" s="2">
        <v>31</v>
      </c>
      <c r="C295" t="s">
        <v>48</v>
      </c>
      <c r="D295" s="2" t="s">
        <v>52</v>
      </c>
      <c r="E295" s="2">
        <v>26</v>
      </c>
      <c r="F295" s="2">
        <v>26</v>
      </c>
      <c r="G295" s="2">
        <v>786</v>
      </c>
      <c r="H295" s="2">
        <v>3</v>
      </c>
      <c r="I295" s="2">
        <v>74</v>
      </c>
      <c r="J295" s="2">
        <v>22</v>
      </c>
      <c r="K295" s="2">
        <v>1</v>
      </c>
      <c r="L295" s="2">
        <v>0</v>
      </c>
      <c r="M295" s="6">
        <v>4.3</v>
      </c>
      <c r="N295" s="6">
        <v>2.4</v>
      </c>
      <c r="O295" s="2">
        <v>13</v>
      </c>
      <c r="P295" s="2">
        <v>4</v>
      </c>
      <c r="Q295" s="2">
        <v>24</v>
      </c>
      <c r="R295" s="2">
        <v>1</v>
      </c>
      <c r="S295" s="2">
        <v>7</v>
      </c>
      <c r="T295" s="2">
        <v>13</v>
      </c>
      <c r="U295" s="2">
        <v>109</v>
      </c>
      <c r="V295" s="2">
        <v>3</v>
      </c>
      <c r="W295" s="2">
        <v>6</v>
      </c>
    </row>
    <row r="296" spans="1:23" x14ac:dyDescent="0.2">
      <c r="A296" t="s">
        <v>277</v>
      </c>
      <c r="B296" s="2">
        <v>25</v>
      </c>
      <c r="C296" t="s">
        <v>37</v>
      </c>
      <c r="D296" s="2" t="s">
        <v>52</v>
      </c>
      <c r="E296" s="2">
        <v>24</v>
      </c>
      <c r="F296" s="2">
        <v>4</v>
      </c>
      <c r="G296" s="2">
        <v>491</v>
      </c>
      <c r="H296" s="2">
        <v>7</v>
      </c>
      <c r="I296" s="2">
        <v>75</v>
      </c>
      <c r="J296" s="2">
        <v>18</v>
      </c>
      <c r="K296" s="2">
        <v>0</v>
      </c>
      <c r="L296" s="2">
        <v>0</v>
      </c>
      <c r="M296" s="6">
        <v>9.5</v>
      </c>
      <c r="N296" s="6">
        <v>9.6999999999999993</v>
      </c>
      <c r="O296" s="2">
        <v>9</v>
      </c>
      <c r="P296" s="2">
        <v>5</v>
      </c>
      <c r="Q296" s="2">
        <v>21</v>
      </c>
      <c r="R296" s="2">
        <v>3</v>
      </c>
      <c r="S296" s="2">
        <v>10</v>
      </c>
      <c r="T296" s="2">
        <v>2</v>
      </c>
      <c r="U296" s="2">
        <v>67</v>
      </c>
      <c r="V296" s="2">
        <v>3</v>
      </c>
      <c r="W296" s="2">
        <v>4</v>
      </c>
    </row>
    <row r="297" spans="1:23" x14ac:dyDescent="0.2">
      <c r="A297" t="s">
        <v>309</v>
      </c>
      <c r="B297" s="2">
        <v>22</v>
      </c>
      <c r="C297" t="s">
        <v>103</v>
      </c>
      <c r="D297" s="2" t="s">
        <v>52</v>
      </c>
      <c r="E297" s="2">
        <v>22</v>
      </c>
      <c r="F297" s="2">
        <v>3</v>
      </c>
      <c r="G297" s="2">
        <v>373</v>
      </c>
      <c r="H297" s="2">
        <v>26</v>
      </c>
      <c r="I297" s="2">
        <v>71</v>
      </c>
      <c r="J297" s="2">
        <v>3</v>
      </c>
      <c r="K297" s="2">
        <v>0</v>
      </c>
      <c r="L297" s="2">
        <v>0</v>
      </c>
      <c r="M297" s="7">
        <v>-11.5</v>
      </c>
      <c r="N297" s="7">
        <v>-10.4</v>
      </c>
      <c r="O297" s="2">
        <v>10</v>
      </c>
      <c r="P297" s="2">
        <v>7</v>
      </c>
      <c r="Q297" s="2">
        <v>24</v>
      </c>
      <c r="R297" s="2">
        <v>2</v>
      </c>
      <c r="S297" s="2">
        <v>5</v>
      </c>
      <c r="T297" s="2">
        <v>3</v>
      </c>
      <c r="U297" s="2">
        <v>59</v>
      </c>
      <c r="V297" s="2">
        <v>1</v>
      </c>
      <c r="W297" s="2">
        <v>13</v>
      </c>
    </row>
    <row r="298" spans="1:23" x14ac:dyDescent="0.2">
      <c r="A298" t="s">
        <v>546</v>
      </c>
      <c r="B298" s="2">
        <v>23</v>
      </c>
      <c r="C298" t="s">
        <v>61</v>
      </c>
      <c r="D298" s="2" t="s">
        <v>49</v>
      </c>
      <c r="E298" s="2">
        <v>2</v>
      </c>
      <c r="F298" s="2">
        <v>0</v>
      </c>
      <c r="G298" s="2">
        <v>12</v>
      </c>
      <c r="H298" s="2">
        <v>0</v>
      </c>
      <c r="I298" s="2">
        <v>0</v>
      </c>
      <c r="J298" s="2">
        <v>1</v>
      </c>
      <c r="K298" s="2">
        <v>99</v>
      </c>
      <c r="L298" s="2">
        <v>0</v>
      </c>
      <c r="M298" s="6">
        <v>30.4</v>
      </c>
      <c r="N298" s="6">
        <v>27.2</v>
      </c>
      <c r="O298" s="2">
        <v>0</v>
      </c>
      <c r="P298" s="2">
        <v>0</v>
      </c>
      <c r="Q298" s="2">
        <v>0</v>
      </c>
      <c r="R298" s="2">
        <v>0</v>
      </c>
      <c r="S298" s="2">
        <v>0</v>
      </c>
      <c r="T298" s="2">
        <v>0</v>
      </c>
      <c r="U298" s="2">
        <v>0</v>
      </c>
      <c r="V298" s="2">
        <v>0</v>
      </c>
      <c r="W298" s="2">
        <v>0</v>
      </c>
    </row>
    <row r="299" spans="1:23" x14ac:dyDescent="0.2">
      <c r="A299" t="s">
        <v>557</v>
      </c>
      <c r="B299" s="2">
        <v>24</v>
      </c>
      <c r="C299" t="s">
        <v>63</v>
      </c>
      <c r="D299" s="2" t="s">
        <v>49</v>
      </c>
      <c r="E299" s="2">
        <v>5</v>
      </c>
      <c r="F299" s="2">
        <v>0</v>
      </c>
      <c r="G299" s="2">
        <v>10</v>
      </c>
      <c r="H299" s="2">
        <v>0</v>
      </c>
      <c r="I299" s="2">
        <v>0</v>
      </c>
      <c r="J299" s="2">
        <v>48</v>
      </c>
      <c r="K299" s="2">
        <v>52</v>
      </c>
      <c r="L299" s="2">
        <v>0</v>
      </c>
      <c r="M299" s="7">
        <v>-100.8</v>
      </c>
      <c r="N299" s="7">
        <v>-108.1</v>
      </c>
      <c r="O299" s="2">
        <v>0</v>
      </c>
      <c r="P299" s="2">
        <v>0</v>
      </c>
      <c r="Q299" s="2">
        <v>2</v>
      </c>
      <c r="R299" s="2">
        <v>0</v>
      </c>
      <c r="S299" s="2">
        <v>0</v>
      </c>
      <c r="T299" s="2">
        <v>0</v>
      </c>
      <c r="U299" s="2">
        <v>0</v>
      </c>
      <c r="V299" s="2">
        <v>0</v>
      </c>
      <c r="W299" s="2">
        <v>0</v>
      </c>
    </row>
    <row r="300" spans="1:23" x14ac:dyDescent="0.2">
      <c r="A300" t="s">
        <v>140</v>
      </c>
      <c r="B300" s="2">
        <v>36</v>
      </c>
      <c r="C300" t="s">
        <v>54</v>
      </c>
      <c r="D300" s="2" t="s">
        <v>27</v>
      </c>
      <c r="E300" s="2">
        <v>13</v>
      </c>
      <c r="F300" s="2">
        <v>13</v>
      </c>
      <c r="G300" s="2">
        <v>464</v>
      </c>
      <c r="H300" s="2">
        <v>0</v>
      </c>
      <c r="I300" s="2">
        <v>0</v>
      </c>
      <c r="J300" s="2">
        <v>0</v>
      </c>
      <c r="K300" s="2">
        <v>77</v>
      </c>
      <c r="L300" s="2">
        <v>23</v>
      </c>
      <c r="M300" s="6">
        <v>4</v>
      </c>
      <c r="N300" s="6">
        <v>8.1999999999999993</v>
      </c>
      <c r="O300" s="2">
        <v>22</v>
      </c>
      <c r="P300" s="2">
        <v>11</v>
      </c>
      <c r="Q300" s="2">
        <v>12</v>
      </c>
      <c r="R300" s="2">
        <v>4</v>
      </c>
      <c r="S300" s="2">
        <v>33</v>
      </c>
      <c r="T300" s="2">
        <v>3</v>
      </c>
      <c r="U300" s="2">
        <v>97</v>
      </c>
      <c r="V300" s="2">
        <v>9</v>
      </c>
      <c r="W300" s="2">
        <v>7</v>
      </c>
    </row>
    <row r="301" spans="1:23" x14ac:dyDescent="0.2">
      <c r="A301" t="s">
        <v>208</v>
      </c>
      <c r="B301" s="2">
        <v>26</v>
      </c>
      <c r="C301" t="s">
        <v>37</v>
      </c>
      <c r="D301" s="2" t="s">
        <v>52</v>
      </c>
      <c r="E301" s="2">
        <v>23</v>
      </c>
      <c r="F301" s="2">
        <v>15</v>
      </c>
      <c r="G301" s="2">
        <v>589</v>
      </c>
      <c r="H301" s="2">
        <v>0</v>
      </c>
      <c r="I301" s="2">
        <v>60</v>
      </c>
      <c r="J301" s="2">
        <v>38</v>
      </c>
      <c r="K301" s="2">
        <v>2</v>
      </c>
      <c r="L301" s="2">
        <v>0</v>
      </c>
      <c r="M301" s="7">
        <v>-0.4</v>
      </c>
      <c r="N301" s="7">
        <v>-7.4</v>
      </c>
      <c r="O301" s="2">
        <v>14</v>
      </c>
      <c r="P301" s="2">
        <v>7</v>
      </c>
      <c r="Q301" s="2">
        <v>36</v>
      </c>
      <c r="R301" s="2">
        <v>1</v>
      </c>
      <c r="S301" s="2">
        <v>9</v>
      </c>
      <c r="T301" s="2">
        <v>2</v>
      </c>
      <c r="U301" s="2">
        <v>107</v>
      </c>
      <c r="V301" s="2">
        <v>1</v>
      </c>
      <c r="W301" s="2">
        <v>4</v>
      </c>
    </row>
    <row r="302" spans="1:23" x14ac:dyDescent="0.2">
      <c r="A302" t="s">
        <v>358</v>
      </c>
      <c r="B302" s="2">
        <v>36</v>
      </c>
      <c r="C302" t="s">
        <v>61</v>
      </c>
      <c r="D302" s="2" t="s">
        <v>27</v>
      </c>
      <c r="E302" s="2">
        <v>13</v>
      </c>
      <c r="F302" s="2">
        <v>4</v>
      </c>
      <c r="G302" s="2">
        <v>153</v>
      </c>
      <c r="H302" s="2">
        <v>0</v>
      </c>
      <c r="I302" s="2">
        <v>0</v>
      </c>
      <c r="J302" s="2">
        <v>0</v>
      </c>
      <c r="K302" s="2">
        <v>36</v>
      </c>
      <c r="L302" s="2">
        <v>64</v>
      </c>
      <c r="M302" s="6">
        <v>2.8</v>
      </c>
      <c r="N302" s="7">
        <v>-0.8</v>
      </c>
      <c r="O302" s="2">
        <v>8</v>
      </c>
      <c r="P302" s="2">
        <v>0</v>
      </c>
      <c r="Q302" s="2">
        <v>10</v>
      </c>
      <c r="R302" s="2">
        <v>0</v>
      </c>
      <c r="S302" s="2">
        <v>4</v>
      </c>
      <c r="T302" s="2">
        <v>3</v>
      </c>
      <c r="U302" s="2">
        <v>37</v>
      </c>
      <c r="V302" s="2">
        <v>1</v>
      </c>
      <c r="W302" s="2">
        <v>4</v>
      </c>
    </row>
    <row r="303" spans="1:23" x14ac:dyDescent="0.2">
      <c r="A303" t="s">
        <v>227</v>
      </c>
      <c r="B303" s="2">
        <v>24</v>
      </c>
      <c r="C303" t="s">
        <v>77</v>
      </c>
      <c r="D303" s="2" t="s">
        <v>52</v>
      </c>
      <c r="E303" s="2">
        <v>22</v>
      </c>
      <c r="F303" s="2">
        <v>1</v>
      </c>
      <c r="G303" s="2">
        <v>429</v>
      </c>
      <c r="H303" s="2">
        <v>20</v>
      </c>
      <c r="I303" s="2">
        <v>49</v>
      </c>
      <c r="J303" s="2">
        <v>29</v>
      </c>
      <c r="K303" s="2">
        <v>2</v>
      </c>
      <c r="L303" s="2">
        <v>0</v>
      </c>
      <c r="M303" s="7">
        <v>-2.2000000000000002</v>
      </c>
      <c r="N303" s="7">
        <v>-5.2</v>
      </c>
      <c r="O303" s="2">
        <v>24</v>
      </c>
      <c r="P303" s="2">
        <v>18</v>
      </c>
      <c r="Q303" s="2">
        <v>14</v>
      </c>
      <c r="R303" s="2">
        <v>4</v>
      </c>
      <c r="S303" s="2">
        <v>16</v>
      </c>
      <c r="T303" s="2">
        <v>3</v>
      </c>
      <c r="U303" s="2">
        <v>155</v>
      </c>
      <c r="V303" s="2">
        <v>4</v>
      </c>
      <c r="W303" s="2">
        <v>11</v>
      </c>
    </row>
    <row r="304" spans="1:23" x14ac:dyDescent="0.2">
      <c r="A304" t="s">
        <v>315</v>
      </c>
      <c r="B304" s="2">
        <v>28</v>
      </c>
      <c r="C304" t="s">
        <v>100</v>
      </c>
      <c r="D304" s="2" t="s">
        <v>42</v>
      </c>
      <c r="E304" s="2">
        <v>22</v>
      </c>
      <c r="F304" s="2">
        <v>3</v>
      </c>
      <c r="G304" s="2">
        <v>360</v>
      </c>
      <c r="H304" s="2">
        <v>0</v>
      </c>
      <c r="I304" s="2">
        <v>0</v>
      </c>
      <c r="J304" s="2">
        <v>0</v>
      </c>
      <c r="K304" s="2">
        <v>0</v>
      </c>
      <c r="L304" s="2">
        <v>100</v>
      </c>
      <c r="M304" s="6">
        <v>6.4</v>
      </c>
      <c r="N304" s="6">
        <v>2.2999999999999998</v>
      </c>
      <c r="O304" s="2">
        <v>4</v>
      </c>
      <c r="P304" s="2">
        <v>4</v>
      </c>
      <c r="Q304" s="2">
        <v>31</v>
      </c>
      <c r="R304" s="2">
        <v>7</v>
      </c>
      <c r="S304" s="2">
        <v>14</v>
      </c>
      <c r="T304" s="2">
        <v>0</v>
      </c>
      <c r="U304" s="2">
        <v>93</v>
      </c>
      <c r="V304" s="2">
        <v>3</v>
      </c>
      <c r="W304" s="2">
        <v>7</v>
      </c>
    </row>
    <row r="305" spans="1:23" x14ac:dyDescent="0.2">
      <c r="A305" t="s">
        <v>130</v>
      </c>
      <c r="B305" s="2">
        <v>21</v>
      </c>
      <c r="C305" t="s">
        <v>120</v>
      </c>
      <c r="D305" s="2" t="s">
        <v>33</v>
      </c>
      <c r="E305" s="2">
        <v>22</v>
      </c>
      <c r="F305" s="2">
        <v>22</v>
      </c>
      <c r="G305" s="2">
        <v>694</v>
      </c>
      <c r="H305" s="2">
        <v>91</v>
      </c>
      <c r="I305" s="2">
        <v>9</v>
      </c>
      <c r="J305" s="2">
        <v>0</v>
      </c>
      <c r="K305" s="2">
        <v>0</v>
      </c>
      <c r="L305" s="2">
        <v>0</v>
      </c>
      <c r="M305" s="7">
        <v>-11.9</v>
      </c>
      <c r="N305" s="7">
        <v>-6.2</v>
      </c>
      <c r="O305" s="2">
        <v>41</v>
      </c>
      <c r="P305" s="2">
        <v>19</v>
      </c>
      <c r="Q305" s="2">
        <v>13</v>
      </c>
      <c r="R305" s="2">
        <v>4</v>
      </c>
      <c r="S305" s="2">
        <v>31</v>
      </c>
      <c r="T305" s="2">
        <v>8</v>
      </c>
      <c r="U305" s="2">
        <v>298</v>
      </c>
      <c r="V305" s="2">
        <v>8</v>
      </c>
      <c r="W305" s="2">
        <v>20</v>
      </c>
    </row>
    <row r="306" spans="1:23" x14ac:dyDescent="0.2">
      <c r="A306" t="s">
        <v>459</v>
      </c>
      <c r="B306" s="2">
        <v>33</v>
      </c>
      <c r="C306" t="s">
        <v>35</v>
      </c>
      <c r="D306" s="2" t="s">
        <v>49</v>
      </c>
      <c r="E306" s="2">
        <v>3</v>
      </c>
      <c r="F306" s="2">
        <v>0</v>
      </c>
      <c r="G306" s="2">
        <v>63</v>
      </c>
      <c r="H306" s="2">
        <v>0</v>
      </c>
      <c r="I306" s="2">
        <v>0</v>
      </c>
      <c r="J306" s="2">
        <v>99</v>
      </c>
      <c r="K306" s="2">
        <v>1</v>
      </c>
      <c r="L306" s="2">
        <v>0</v>
      </c>
      <c r="M306" s="6">
        <v>13.9</v>
      </c>
      <c r="N306" s="6">
        <v>13.9</v>
      </c>
      <c r="O306" s="2">
        <v>1</v>
      </c>
      <c r="P306" s="2">
        <v>2</v>
      </c>
      <c r="Q306" s="2">
        <v>3</v>
      </c>
      <c r="R306" s="2">
        <v>0</v>
      </c>
      <c r="S306" s="2">
        <v>2</v>
      </c>
      <c r="T306" s="2">
        <v>1</v>
      </c>
      <c r="U306" s="2">
        <v>43</v>
      </c>
      <c r="V306" s="2">
        <v>1</v>
      </c>
      <c r="W306" s="2">
        <v>2</v>
      </c>
    </row>
    <row r="307" spans="1:23" x14ac:dyDescent="0.2">
      <c r="A307" t="s">
        <v>306</v>
      </c>
      <c r="B307" s="2">
        <v>24</v>
      </c>
      <c r="C307" t="s">
        <v>122</v>
      </c>
      <c r="D307" s="2" t="s">
        <v>27</v>
      </c>
      <c r="E307" s="2">
        <v>19</v>
      </c>
      <c r="F307" s="2">
        <v>3</v>
      </c>
      <c r="G307" s="2">
        <v>359</v>
      </c>
      <c r="H307" s="2">
        <v>0</v>
      </c>
      <c r="I307" s="2">
        <v>0</v>
      </c>
      <c r="J307" s="2">
        <v>18</v>
      </c>
      <c r="K307" s="2">
        <v>76</v>
      </c>
      <c r="L307" s="2">
        <v>5</v>
      </c>
      <c r="M307" s="6">
        <v>1.2</v>
      </c>
      <c r="N307" s="6">
        <v>8.9</v>
      </c>
      <c r="O307" s="2">
        <v>2</v>
      </c>
      <c r="P307" s="2">
        <v>5</v>
      </c>
      <c r="Q307" s="2">
        <v>28</v>
      </c>
      <c r="R307" s="2">
        <v>0</v>
      </c>
      <c r="S307" s="2">
        <v>14</v>
      </c>
      <c r="T307" s="2">
        <v>0</v>
      </c>
      <c r="U307" s="2">
        <v>44</v>
      </c>
      <c r="V307" s="2">
        <v>3</v>
      </c>
      <c r="W307" s="2">
        <v>5</v>
      </c>
    </row>
    <row r="308" spans="1:23" x14ac:dyDescent="0.2">
      <c r="A308" t="s">
        <v>427</v>
      </c>
      <c r="B308" s="2">
        <v>22</v>
      </c>
      <c r="C308" t="s">
        <v>59</v>
      </c>
      <c r="D308" s="2" t="s">
        <v>33</v>
      </c>
      <c r="E308" s="2">
        <v>8</v>
      </c>
      <c r="F308" s="2">
        <v>0</v>
      </c>
      <c r="G308" s="2">
        <v>116</v>
      </c>
      <c r="H308" s="2">
        <v>100</v>
      </c>
      <c r="I308" s="2">
        <v>0</v>
      </c>
      <c r="J308" s="2">
        <v>0</v>
      </c>
      <c r="K308" s="2">
        <v>0</v>
      </c>
      <c r="L308" s="2">
        <v>0</v>
      </c>
      <c r="M308" s="7">
        <v>-18.7</v>
      </c>
      <c r="N308" s="7">
        <v>-14.4</v>
      </c>
      <c r="O308" s="2">
        <v>5</v>
      </c>
      <c r="P308" s="2">
        <v>4</v>
      </c>
      <c r="Q308" s="2">
        <v>7</v>
      </c>
      <c r="R308" s="2">
        <v>0</v>
      </c>
      <c r="S308" s="2">
        <v>3</v>
      </c>
      <c r="T308" s="2">
        <v>4</v>
      </c>
      <c r="U308" s="2">
        <v>44</v>
      </c>
      <c r="V308" s="2">
        <v>0</v>
      </c>
      <c r="W308" s="2">
        <v>3</v>
      </c>
    </row>
    <row r="309" spans="1:23" x14ac:dyDescent="0.2">
      <c r="A309" t="s">
        <v>173</v>
      </c>
      <c r="B309" s="2">
        <v>34</v>
      </c>
      <c r="C309" t="s">
        <v>63</v>
      </c>
      <c r="D309" s="2" t="s">
        <v>49</v>
      </c>
      <c r="E309" s="2">
        <v>21</v>
      </c>
      <c r="F309" s="2">
        <v>21</v>
      </c>
      <c r="G309" s="2">
        <v>579</v>
      </c>
      <c r="H309" s="2">
        <v>0</v>
      </c>
      <c r="I309" s="2">
        <v>4</v>
      </c>
      <c r="J309" s="2">
        <v>86</v>
      </c>
      <c r="K309" s="2">
        <v>11</v>
      </c>
      <c r="L309" s="2">
        <v>0</v>
      </c>
      <c r="M309" s="6">
        <v>8.5</v>
      </c>
      <c r="N309" s="6">
        <v>3.9</v>
      </c>
      <c r="O309" s="2">
        <v>15</v>
      </c>
      <c r="P309" s="2">
        <v>3</v>
      </c>
      <c r="Q309" s="2">
        <v>18</v>
      </c>
      <c r="R309" s="2">
        <v>2</v>
      </c>
      <c r="S309" s="2">
        <v>9</v>
      </c>
      <c r="T309" s="2">
        <v>1</v>
      </c>
      <c r="U309" s="2">
        <v>85</v>
      </c>
      <c r="V309" s="2">
        <v>2</v>
      </c>
      <c r="W309" s="2">
        <v>8</v>
      </c>
    </row>
    <row r="310" spans="1:23" x14ac:dyDescent="0.2">
      <c r="A310" t="s">
        <v>464</v>
      </c>
      <c r="B310" s="2">
        <v>25</v>
      </c>
      <c r="C310" t="s">
        <v>77</v>
      </c>
      <c r="D310" s="2" t="s">
        <v>27</v>
      </c>
      <c r="E310" s="2">
        <v>7</v>
      </c>
      <c r="F310" s="2">
        <v>0</v>
      </c>
      <c r="G310" s="2">
        <v>47</v>
      </c>
      <c r="H310" s="2">
        <v>0</v>
      </c>
      <c r="I310" s="2">
        <v>0</v>
      </c>
      <c r="J310" s="2">
        <v>0</v>
      </c>
      <c r="K310" s="2">
        <v>54</v>
      </c>
      <c r="L310" s="2">
        <v>46</v>
      </c>
      <c r="M310" s="7">
        <v>-12.4</v>
      </c>
      <c r="N310" s="7">
        <v>-14.1</v>
      </c>
      <c r="O310" s="2">
        <v>0</v>
      </c>
      <c r="P310" s="2">
        <v>0</v>
      </c>
      <c r="Q310" s="2">
        <v>5</v>
      </c>
      <c r="R310" s="2">
        <v>0</v>
      </c>
      <c r="S310" s="2">
        <v>1</v>
      </c>
      <c r="T310" s="2">
        <v>0</v>
      </c>
      <c r="U310" s="2">
        <v>9</v>
      </c>
      <c r="V310" s="2">
        <v>0</v>
      </c>
      <c r="W310" s="2">
        <v>0</v>
      </c>
    </row>
    <row r="311" spans="1:23" x14ac:dyDescent="0.2">
      <c r="A311" t="s">
        <v>401</v>
      </c>
      <c r="B311" s="2">
        <v>21</v>
      </c>
      <c r="C311" t="s">
        <v>72</v>
      </c>
      <c r="D311" s="2" t="s">
        <v>52</v>
      </c>
      <c r="E311" s="2">
        <v>10</v>
      </c>
      <c r="F311" s="2">
        <v>0</v>
      </c>
      <c r="G311" s="2">
        <v>124</v>
      </c>
      <c r="H311" s="2">
        <v>83</v>
      </c>
      <c r="I311" s="2">
        <v>17</v>
      </c>
      <c r="J311" s="2">
        <v>0</v>
      </c>
      <c r="K311" s="2">
        <v>0</v>
      </c>
      <c r="L311" s="2">
        <v>0</v>
      </c>
      <c r="M311" s="7">
        <v>-9.5</v>
      </c>
      <c r="N311" s="7">
        <v>-8.1</v>
      </c>
      <c r="O311" s="2">
        <v>4</v>
      </c>
      <c r="P311" s="2">
        <v>2</v>
      </c>
      <c r="Q311" s="2">
        <v>5</v>
      </c>
      <c r="R311" s="2">
        <v>0</v>
      </c>
      <c r="S311" s="2">
        <v>9</v>
      </c>
      <c r="T311" s="2">
        <v>1</v>
      </c>
      <c r="U311" s="2">
        <v>37</v>
      </c>
      <c r="V311" s="2">
        <v>2</v>
      </c>
      <c r="W311" s="2">
        <v>6</v>
      </c>
    </row>
    <row r="312" spans="1:23" x14ac:dyDescent="0.2">
      <c r="A312" t="s">
        <v>266</v>
      </c>
      <c r="B312" s="2">
        <v>30</v>
      </c>
      <c r="C312" t="s">
        <v>77</v>
      </c>
      <c r="D312" s="2" t="s">
        <v>33</v>
      </c>
      <c r="E312" s="2">
        <v>25</v>
      </c>
      <c r="F312" s="2">
        <v>14</v>
      </c>
      <c r="G312" s="2">
        <v>565</v>
      </c>
      <c r="H312" s="2">
        <v>98</v>
      </c>
      <c r="I312" s="2">
        <v>2</v>
      </c>
      <c r="J312" s="2">
        <v>0</v>
      </c>
      <c r="K312" s="2">
        <v>0</v>
      </c>
      <c r="L312" s="2">
        <v>0</v>
      </c>
      <c r="M312" s="6">
        <v>7.4</v>
      </c>
      <c r="N312" s="6">
        <v>11.8</v>
      </c>
      <c r="O312" s="2">
        <v>12</v>
      </c>
      <c r="P312" s="2">
        <v>6</v>
      </c>
      <c r="Q312" s="2">
        <v>38</v>
      </c>
      <c r="R312" s="2">
        <v>4</v>
      </c>
      <c r="S312" s="2">
        <v>5</v>
      </c>
      <c r="T312" s="2">
        <v>3</v>
      </c>
      <c r="U312" s="2">
        <v>159</v>
      </c>
      <c r="V312" s="2">
        <v>2</v>
      </c>
      <c r="W312" s="2">
        <v>3</v>
      </c>
    </row>
    <row r="313" spans="1:23" x14ac:dyDescent="0.2">
      <c r="A313" t="s">
        <v>345</v>
      </c>
      <c r="B313" s="2">
        <v>24</v>
      </c>
      <c r="C313" t="s">
        <v>135</v>
      </c>
      <c r="D313" s="2" t="s">
        <v>49</v>
      </c>
      <c r="E313" s="2">
        <v>21</v>
      </c>
      <c r="F313" s="2">
        <v>0</v>
      </c>
      <c r="G313" s="2">
        <v>267</v>
      </c>
      <c r="H313" s="2">
        <v>0</v>
      </c>
      <c r="I313" s="2">
        <v>26</v>
      </c>
      <c r="J313" s="2">
        <v>60</v>
      </c>
      <c r="K313" s="2">
        <v>14</v>
      </c>
      <c r="L313" s="2">
        <v>0</v>
      </c>
      <c r="M313" s="7">
        <v>-8.6</v>
      </c>
      <c r="N313" s="6">
        <v>1.2</v>
      </c>
      <c r="O313" s="2">
        <v>8</v>
      </c>
      <c r="P313" s="2">
        <v>2</v>
      </c>
      <c r="Q313" s="2">
        <v>10</v>
      </c>
      <c r="R313" s="2">
        <v>1</v>
      </c>
      <c r="S313" s="2">
        <v>11</v>
      </c>
      <c r="T313" s="2">
        <v>0</v>
      </c>
      <c r="U313" s="2">
        <v>35</v>
      </c>
      <c r="V313" s="2">
        <v>2</v>
      </c>
      <c r="W313" s="2">
        <v>5</v>
      </c>
    </row>
    <row r="314" spans="1:23" x14ac:dyDescent="0.2">
      <c r="A314" t="s">
        <v>313</v>
      </c>
      <c r="B314" s="2">
        <v>29</v>
      </c>
      <c r="C314" t="s">
        <v>39</v>
      </c>
      <c r="D314" s="2" t="s">
        <v>42</v>
      </c>
      <c r="E314" s="2">
        <v>6</v>
      </c>
      <c r="F314" s="2">
        <v>6</v>
      </c>
      <c r="G314" s="2">
        <v>173</v>
      </c>
      <c r="H314" s="2">
        <v>0</v>
      </c>
      <c r="I314" s="2">
        <v>0</v>
      </c>
      <c r="J314" s="2">
        <v>0</v>
      </c>
      <c r="K314" s="2">
        <v>8</v>
      </c>
      <c r="L314" s="2">
        <v>92</v>
      </c>
      <c r="M314" s="6">
        <v>9.6999999999999993</v>
      </c>
      <c r="N314" s="7">
        <v>-0.1</v>
      </c>
      <c r="O314" s="2">
        <v>1</v>
      </c>
      <c r="P314" s="2">
        <v>2</v>
      </c>
      <c r="Q314" s="2">
        <v>7</v>
      </c>
      <c r="R314" s="2">
        <v>2</v>
      </c>
      <c r="S314" s="2">
        <v>13</v>
      </c>
      <c r="T314" s="2">
        <v>1</v>
      </c>
      <c r="U314" s="2">
        <v>31</v>
      </c>
      <c r="V314" s="2">
        <v>3</v>
      </c>
      <c r="W314" s="2">
        <v>6</v>
      </c>
    </row>
    <row r="315" spans="1:23" x14ac:dyDescent="0.2">
      <c r="A315" t="s">
        <v>322</v>
      </c>
      <c r="B315" s="2">
        <v>31</v>
      </c>
      <c r="C315" t="s">
        <v>100</v>
      </c>
      <c r="D315" s="2" t="s">
        <v>27</v>
      </c>
      <c r="E315" s="2">
        <v>23</v>
      </c>
      <c r="F315" s="2">
        <v>0</v>
      </c>
      <c r="G315" s="2">
        <v>327</v>
      </c>
      <c r="H315" s="2">
        <v>0</v>
      </c>
      <c r="I315" s="2">
        <v>0</v>
      </c>
      <c r="J315" s="2">
        <v>0</v>
      </c>
      <c r="K315" s="2">
        <v>58</v>
      </c>
      <c r="L315" s="2">
        <v>42</v>
      </c>
      <c r="M315" s="7">
        <v>-0.2</v>
      </c>
      <c r="N315" s="7">
        <v>-7</v>
      </c>
      <c r="O315" s="2">
        <v>9</v>
      </c>
      <c r="P315" s="2">
        <v>1</v>
      </c>
      <c r="Q315" s="2">
        <v>10</v>
      </c>
      <c r="R315" s="2">
        <v>1</v>
      </c>
      <c r="S315" s="2">
        <v>8</v>
      </c>
      <c r="T315" s="2">
        <v>2</v>
      </c>
      <c r="U315" s="2">
        <v>131</v>
      </c>
      <c r="V315" s="2">
        <v>4</v>
      </c>
      <c r="W315" s="2">
        <v>4</v>
      </c>
    </row>
    <row r="316" spans="1:23" x14ac:dyDescent="0.2">
      <c r="A316" t="s">
        <v>331</v>
      </c>
      <c r="B316" s="2">
        <v>21</v>
      </c>
      <c r="C316" t="s">
        <v>120</v>
      </c>
      <c r="D316" s="2" t="s">
        <v>42</v>
      </c>
      <c r="E316" s="2">
        <v>15</v>
      </c>
      <c r="F316" s="2">
        <v>8</v>
      </c>
      <c r="G316" s="2">
        <v>276</v>
      </c>
      <c r="H316" s="2">
        <v>0</v>
      </c>
      <c r="I316" s="2">
        <v>0</v>
      </c>
      <c r="J316" s="2">
        <v>0</v>
      </c>
      <c r="K316" s="2">
        <v>21</v>
      </c>
      <c r="L316" s="2">
        <v>80</v>
      </c>
      <c r="M316" s="7">
        <v>-15.7</v>
      </c>
      <c r="N316" s="7">
        <v>-8.1</v>
      </c>
      <c r="O316" s="2">
        <v>9</v>
      </c>
      <c r="P316" s="2">
        <v>4</v>
      </c>
      <c r="Q316" s="2">
        <v>14</v>
      </c>
      <c r="R316" s="2">
        <v>1</v>
      </c>
      <c r="S316" s="2">
        <v>15</v>
      </c>
      <c r="T316" s="2">
        <v>2</v>
      </c>
      <c r="U316" s="2">
        <v>77</v>
      </c>
      <c r="V316" s="2">
        <v>4</v>
      </c>
      <c r="W316" s="2">
        <v>8</v>
      </c>
    </row>
    <row r="317" spans="1:23" x14ac:dyDescent="0.2">
      <c r="A317" t="s">
        <v>241</v>
      </c>
      <c r="B317" s="2">
        <v>29</v>
      </c>
      <c r="C317" t="s">
        <v>114</v>
      </c>
      <c r="D317" s="2" t="s">
        <v>27</v>
      </c>
      <c r="E317" s="2">
        <v>12</v>
      </c>
      <c r="F317" s="2">
        <v>12</v>
      </c>
      <c r="G317" s="2">
        <v>330</v>
      </c>
      <c r="H317" s="2">
        <v>0</v>
      </c>
      <c r="I317" s="2">
        <v>0</v>
      </c>
      <c r="J317" s="2">
        <v>5</v>
      </c>
      <c r="K317" s="2">
        <v>94</v>
      </c>
      <c r="L317" s="2">
        <v>1</v>
      </c>
      <c r="M317" s="7">
        <v>-21.3</v>
      </c>
      <c r="N317" s="7">
        <v>-7.9</v>
      </c>
      <c r="O317" s="2">
        <v>11</v>
      </c>
      <c r="P317" s="2">
        <v>12</v>
      </c>
      <c r="Q317" s="2">
        <v>9</v>
      </c>
      <c r="R317" s="2">
        <v>4</v>
      </c>
      <c r="S317" s="2">
        <v>13</v>
      </c>
      <c r="T317" s="2">
        <v>2</v>
      </c>
      <c r="U317" s="2">
        <v>58</v>
      </c>
      <c r="V317" s="2">
        <v>4</v>
      </c>
      <c r="W317" s="2">
        <v>9</v>
      </c>
    </row>
    <row r="318" spans="1:23" x14ac:dyDescent="0.2">
      <c r="A318" t="s">
        <v>362</v>
      </c>
      <c r="B318" s="2">
        <v>38</v>
      </c>
      <c r="C318" t="s">
        <v>122</v>
      </c>
      <c r="D318" s="2" t="s">
        <v>33</v>
      </c>
      <c r="E318" s="2">
        <v>16</v>
      </c>
      <c r="F318" s="2">
        <v>10</v>
      </c>
      <c r="G318" s="2">
        <v>350</v>
      </c>
      <c r="H318" s="2">
        <v>100</v>
      </c>
      <c r="I318" s="2">
        <v>0</v>
      </c>
      <c r="J318" s="2">
        <v>0</v>
      </c>
      <c r="K318" s="2">
        <v>0</v>
      </c>
      <c r="L318" s="2">
        <v>0</v>
      </c>
      <c r="M318" s="7">
        <v>-13.1</v>
      </c>
      <c r="N318" s="7">
        <v>-12.3</v>
      </c>
      <c r="O318" s="2">
        <v>9</v>
      </c>
      <c r="P318" s="2">
        <v>1</v>
      </c>
      <c r="Q318" s="2">
        <v>18</v>
      </c>
      <c r="R318" s="2">
        <v>1</v>
      </c>
      <c r="S318" s="2">
        <v>5</v>
      </c>
      <c r="T318" s="2">
        <v>4</v>
      </c>
      <c r="U318" s="2">
        <v>114</v>
      </c>
      <c r="V318" s="2">
        <v>0</v>
      </c>
      <c r="W318" s="2">
        <v>4</v>
      </c>
    </row>
    <row r="319" spans="1:23" x14ac:dyDescent="0.2">
      <c r="A319" t="s">
        <v>62</v>
      </c>
      <c r="B319" s="2">
        <v>32</v>
      </c>
      <c r="C319" t="s">
        <v>63</v>
      </c>
      <c r="D319" s="2" t="s">
        <v>52</v>
      </c>
      <c r="E319" s="2">
        <v>23</v>
      </c>
      <c r="F319" s="2">
        <v>23</v>
      </c>
      <c r="G319" s="2">
        <v>813</v>
      </c>
      <c r="H319" s="2">
        <v>22</v>
      </c>
      <c r="I319" s="2">
        <v>71</v>
      </c>
      <c r="J319" s="2">
        <v>8</v>
      </c>
      <c r="K319" s="2">
        <v>0</v>
      </c>
      <c r="L319" s="2">
        <v>0</v>
      </c>
      <c r="M319" s="6">
        <v>5.3</v>
      </c>
      <c r="N319" s="7">
        <v>-3.5</v>
      </c>
      <c r="O319" s="2">
        <v>32</v>
      </c>
      <c r="P319" s="2">
        <v>14</v>
      </c>
      <c r="Q319" s="2">
        <v>26</v>
      </c>
      <c r="R319" s="2">
        <v>3</v>
      </c>
      <c r="S319" s="2">
        <v>34</v>
      </c>
      <c r="T319" s="2">
        <v>1</v>
      </c>
      <c r="U319" s="2">
        <v>278</v>
      </c>
      <c r="V319" s="2">
        <v>12</v>
      </c>
      <c r="W319" s="2">
        <v>16</v>
      </c>
    </row>
    <row r="320" spans="1:23" x14ac:dyDescent="0.2">
      <c r="A320" t="s">
        <v>292</v>
      </c>
      <c r="B320" s="2">
        <v>21</v>
      </c>
      <c r="C320" t="s">
        <v>114</v>
      </c>
      <c r="D320" s="2" t="s">
        <v>52</v>
      </c>
      <c r="E320" s="2">
        <v>19</v>
      </c>
      <c r="F320" s="2">
        <v>6</v>
      </c>
      <c r="G320" s="2">
        <v>497</v>
      </c>
      <c r="H320" s="2">
        <v>1</v>
      </c>
      <c r="I320" s="2">
        <v>62</v>
      </c>
      <c r="J320" s="2">
        <v>37</v>
      </c>
      <c r="K320" s="2">
        <v>0</v>
      </c>
      <c r="L320" s="2">
        <v>0</v>
      </c>
      <c r="M320" s="7">
        <v>-11.7</v>
      </c>
      <c r="N320" s="6">
        <v>7.8</v>
      </c>
      <c r="O320" s="2">
        <v>8</v>
      </c>
      <c r="P320" s="2">
        <v>6</v>
      </c>
      <c r="Q320" s="2">
        <v>38</v>
      </c>
      <c r="R320" s="2">
        <v>3</v>
      </c>
      <c r="S320" s="2">
        <v>9</v>
      </c>
      <c r="T320" s="2">
        <v>2</v>
      </c>
      <c r="U320" s="2">
        <v>124</v>
      </c>
      <c r="V320" s="2">
        <v>1</v>
      </c>
      <c r="W320" s="2">
        <v>8</v>
      </c>
    </row>
    <row r="321" spans="1:23" x14ac:dyDescent="0.2">
      <c r="A321" t="s">
        <v>58</v>
      </c>
      <c r="B321" s="2">
        <v>23</v>
      </c>
      <c r="C321" t="s">
        <v>59</v>
      </c>
      <c r="D321" s="2" t="s">
        <v>33</v>
      </c>
      <c r="E321" s="2">
        <v>18</v>
      </c>
      <c r="F321" s="2">
        <v>18</v>
      </c>
      <c r="G321" s="2">
        <v>614</v>
      </c>
      <c r="H321" s="2">
        <v>77</v>
      </c>
      <c r="I321" s="2">
        <v>22</v>
      </c>
      <c r="J321" s="2">
        <v>1</v>
      </c>
      <c r="K321" s="2">
        <v>0</v>
      </c>
      <c r="L321" s="2">
        <v>0</v>
      </c>
      <c r="M321" s="7">
        <v>-2.6</v>
      </c>
      <c r="N321" s="6">
        <v>6.9</v>
      </c>
      <c r="O321" s="2">
        <v>41</v>
      </c>
      <c r="P321" s="2">
        <v>16</v>
      </c>
      <c r="Q321" s="2">
        <v>22</v>
      </c>
      <c r="R321" s="2">
        <v>10</v>
      </c>
      <c r="S321" s="2">
        <v>44</v>
      </c>
      <c r="T321" s="2">
        <v>6</v>
      </c>
      <c r="U321" s="2">
        <v>312</v>
      </c>
      <c r="V321" s="2">
        <v>9</v>
      </c>
      <c r="W321" s="2">
        <v>21</v>
      </c>
    </row>
    <row r="322" spans="1:23" x14ac:dyDescent="0.2">
      <c r="A322" t="s">
        <v>357</v>
      </c>
      <c r="B322" s="2">
        <v>32</v>
      </c>
      <c r="C322" t="s">
        <v>72</v>
      </c>
      <c r="D322" s="2" t="s">
        <v>27</v>
      </c>
      <c r="E322" s="2">
        <v>10</v>
      </c>
      <c r="F322" s="2">
        <v>2</v>
      </c>
      <c r="G322" s="2">
        <v>165</v>
      </c>
      <c r="H322" s="2">
        <v>0</v>
      </c>
      <c r="I322" s="2">
        <v>0</v>
      </c>
      <c r="J322" s="2">
        <v>0</v>
      </c>
      <c r="K322" s="2">
        <v>63</v>
      </c>
      <c r="L322" s="2">
        <v>37</v>
      </c>
      <c r="M322" s="7">
        <v>-14.5</v>
      </c>
      <c r="N322" s="7">
        <v>-14.1</v>
      </c>
      <c r="O322" s="2">
        <v>3</v>
      </c>
      <c r="P322" s="2">
        <v>0</v>
      </c>
      <c r="Q322" s="2">
        <v>2</v>
      </c>
      <c r="R322" s="2">
        <v>0</v>
      </c>
      <c r="S322" s="2">
        <v>1</v>
      </c>
      <c r="T322" s="2">
        <v>2</v>
      </c>
      <c r="U322" s="2">
        <v>36</v>
      </c>
      <c r="V322" s="2">
        <v>0</v>
      </c>
      <c r="W322" s="2">
        <v>1</v>
      </c>
    </row>
    <row r="323" spans="1:23" x14ac:dyDescent="0.2">
      <c r="A323" t="s">
        <v>142</v>
      </c>
      <c r="B323" s="2">
        <v>27</v>
      </c>
      <c r="C323" t="s">
        <v>120</v>
      </c>
      <c r="D323" s="2" t="s">
        <v>27</v>
      </c>
      <c r="E323" s="2">
        <v>18</v>
      </c>
      <c r="F323" s="2">
        <v>18</v>
      </c>
      <c r="G323" s="2">
        <v>572</v>
      </c>
      <c r="H323" s="2">
        <v>0</v>
      </c>
      <c r="I323" s="2">
        <v>0</v>
      </c>
      <c r="J323" s="2">
        <v>3</v>
      </c>
      <c r="K323" s="2">
        <v>81</v>
      </c>
      <c r="L323" s="2">
        <v>17</v>
      </c>
      <c r="M323" s="7">
        <v>-8.9</v>
      </c>
      <c r="N323" s="6">
        <v>1.3</v>
      </c>
      <c r="O323" s="2">
        <v>9</v>
      </c>
      <c r="P323" s="2">
        <v>11</v>
      </c>
      <c r="Q323" s="2">
        <v>17</v>
      </c>
      <c r="R323" s="2">
        <v>4</v>
      </c>
      <c r="S323" s="2">
        <v>32</v>
      </c>
      <c r="T323" s="2">
        <v>5</v>
      </c>
      <c r="U323" s="2">
        <v>106</v>
      </c>
      <c r="V323" s="2">
        <v>7</v>
      </c>
      <c r="W323" s="2">
        <v>12</v>
      </c>
    </row>
    <row r="324" spans="1:23" x14ac:dyDescent="0.2">
      <c r="A324" t="s">
        <v>68</v>
      </c>
      <c r="B324" s="2">
        <v>40</v>
      </c>
      <c r="C324" t="s">
        <v>41</v>
      </c>
      <c r="D324" s="2" t="s">
        <v>49</v>
      </c>
      <c r="E324" s="2">
        <v>23</v>
      </c>
      <c r="F324" s="2">
        <v>23</v>
      </c>
      <c r="G324" s="2">
        <v>806</v>
      </c>
      <c r="H324" s="2">
        <v>0</v>
      </c>
      <c r="I324" s="2">
        <v>0</v>
      </c>
      <c r="J324" s="2">
        <v>51</v>
      </c>
      <c r="K324" s="2">
        <v>47</v>
      </c>
      <c r="L324" s="2">
        <v>2</v>
      </c>
      <c r="M324" s="7">
        <v>-7.1</v>
      </c>
      <c r="N324" s="7">
        <v>-13.3</v>
      </c>
      <c r="O324" s="2">
        <v>62</v>
      </c>
      <c r="P324" s="2">
        <v>19</v>
      </c>
      <c r="Q324" s="2">
        <v>9</v>
      </c>
      <c r="R324" s="2">
        <v>4</v>
      </c>
      <c r="S324" s="2">
        <v>48</v>
      </c>
      <c r="T324" s="2">
        <v>3</v>
      </c>
      <c r="U324" s="2">
        <v>488</v>
      </c>
      <c r="V324" s="2">
        <v>15</v>
      </c>
      <c r="W324" s="2">
        <v>20</v>
      </c>
    </row>
    <row r="325" spans="1:23" x14ac:dyDescent="0.2">
      <c r="A325" t="s">
        <v>500</v>
      </c>
      <c r="B325" s="2">
        <v>24</v>
      </c>
      <c r="C325" t="s">
        <v>122</v>
      </c>
      <c r="D325" s="2" t="s">
        <v>52</v>
      </c>
      <c r="E325" s="2">
        <v>4</v>
      </c>
      <c r="F325" s="2">
        <v>0</v>
      </c>
      <c r="G325" s="2">
        <v>17</v>
      </c>
      <c r="H325" s="2">
        <v>14</v>
      </c>
      <c r="I325" s="2">
        <v>57</v>
      </c>
      <c r="J325" s="2">
        <v>29</v>
      </c>
      <c r="K325" s="2">
        <v>0</v>
      </c>
      <c r="L325" s="2">
        <v>0</v>
      </c>
      <c r="M325" s="7">
        <v>-10</v>
      </c>
      <c r="N325" s="7">
        <v>-5.3</v>
      </c>
      <c r="O325" s="2">
        <v>2</v>
      </c>
      <c r="P325" s="2">
        <v>1</v>
      </c>
      <c r="Q325" s="2">
        <v>0</v>
      </c>
      <c r="R325" s="2">
        <v>0</v>
      </c>
      <c r="S325" s="2">
        <v>1</v>
      </c>
      <c r="T325" s="2">
        <v>0</v>
      </c>
      <c r="U325" s="2">
        <v>2</v>
      </c>
      <c r="V325" s="2">
        <v>1</v>
      </c>
      <c r="W325" s="2">
        <v>0</v>
      </c>
    </row>
    <row r="326" spans="1:23" x14ac:dyDescent="0.2">
      <c r="A326" t="s">
        <v>520</v>
      </c>
      <c r="B326" s="2">
        <v>25</v>
      </c>
      <c r="C326" t="s">
        <v>35</v>
      </c>
      <c r="D326" s="2" t="s">
        <v>42</v>
      </c>
      <c r="E326" s="2">
        <v>5</v>
      </c>
      <c r="F326" s="2">
        <v>0</v>
      </c>
      <c r="G326" s="2">
        <v>20</v>
      </c>
      <c r="H326" s="2">
        <v>0</v>
      </c>
      <c r="I326" s="2">
        <v>0</v>
      </c>
      <c r="J326" s="2">
        <v>0</v>
      </c>
      <c r="K326" s="2">
        <v>0</v>
      </c>
      <c r="L326" s="2">
        <v>100</v>
      </c>
      <c r="M326" s="6">
        <v>9.5</v>
      </c>
      <c r="N326" s="6">
        <v>8.8000000000000007</v>
      </c>
      <c r="O326" s="2">
        <v>0</v>
      </c>
      <c r="P326" s="2">
        <v>0</v>
      </c>
      <c r="Q326" s="2">
        <v>1</v>
      </c>
      <c r="R326" s="2">
        <v>0</v>
      </c>
      <c r="S326" s="2">
        <v>2</v>
      </c>
      <c r="T326" s="2">
        <v>0</v>
      </c>
      <c r="U326" s="2">
        <v>0</v>
      </c>
      <c r="V326" s="2">
        <v>0</v>
      </c>
      <c r="W326" s="2">
        <v>0</v>
      </c>
    </row>
    <row r="327" spans="1:23" x14ac:dyDescent="0.2">
      <c r="A327" t="s">
        <v>319</v>
      </c>
      <c r="B327" s="2">
        <v>27</v>
      </c>
      <c r="C327" t="s">
        <v>100</v>
      </c>
      <c r="D327" s="2" t="s">
        <v>52</v>
      </c>
      <c r="E327" s="2">
        <v>20</v>
      </c>
      <c r="F327" s="2">
        <v>8</v>
      </c>
      <c r="G327" s="2">
        <v>356</v>
      </c>
      <c r="H327" s="2">
        <v>0</v>
      </c>
      <c r="I327" s="2">
        <v>51</v>
      </c>
      <c r="J327" s="2">
        <v>48</v>
      </c>
      <c r="K327" s="2">
        <v>2</v>
      </c>
      <c r="L327" s="2">
        <v>0</v>
      </c>
      <c r="M327" s="6">
        <v>3.3</v>
      </c>
      <c r="N327" s="7">
        <v>-2.2000000000000002</v>
      </c>
      <c r="O327" s="2">
        <v>6</v>
      </c>
      <c r="P327" s="2">
        <v>2</v>
      </c>
      <c r="Q327" s="2">
        <v>20</v>
      </c>
      <c r="R327" s="2">
        <v>0</v>
      </c>
      <c r="S327" s="2">
        <v>2</v>
      </c>
      <c r="T327" s="2">
        <v>2</v>
      </c>
      <c r="U327" s="2">
        <v>67</v>
      </c>
      <c r="V327" s="2">
        <v>0</v>
      </c>
      <c r="W327" s="2">
        <v>6</v>
      </c>
    </row>
    <row r="328" spans="1:23" x14ac:dyDescent="0.2">
      <c r="A328" t="s">
        <v>421</v>
      </c>
      <c r="B328" s="2">
        <v>27</v>
      </c>
      <c r="C328" t="s">
        <v>70</v>
      </c>
      <c r="D328" s="2" t="s">
        <v>33</v>
      </c>
      <c r="E328" s="2">
        <v>8</v>
      </c>
      <c r="F328" s="2">
        <v>0</v>
      </c>
      <c r="G328" s="2">
        <v>134</v>
      </c>
      <c r="H328" s="2">
        <v>100</v>
      </c>
      <c r="I328" s="2">
        <v>0</v>
      </c>
      <c r="J328" s="2">
        <v>0</v>
      </c>
      <c r="K328" s="2">
        <v>0</v>
      </c>
      <c r="L328" s="2">
        <v>0</v>
      </c>
      <c r="M328" s="6">
        <v>7</v>
      </c>
      <c r="N328" s="6">
        <v>11.4</v>
      </c>
      <c r="O328" s="2">
        <v>5</v>
      </c>
      <c r="P328" s="2">
        <v>0</v>
      </c>
      <c r="Q328" s="2">
        <v>4</v>
      </c>
      <c r="R328" s="2">
        <v>0</v>
      </c>
      <c r="S328" s="2">
        <v>0</v>
      </c>
      <c r="T328" s="2">
        <v>0</v>
      </c>
      <c r="U328" s="2">
        <v>71</v>
      </c>
      <c r="V328" s="2">
        <v>0</v>
      </c>
      <c r="W328" s="2">
        <v>1</v>
      </c>
    </row>
    <row r="329" spans="1:23" x14ac:dyDescent="0.2">
      <c r="A329" t="s">
        <v>204</v>
      </c>
      <c r="B329" s="2">
        <v>25</v>
      </c>
      <c r="C329" t="s">
        <v>32</v>
      </c>
      <c r="D329" s="2" t="s">
        <v>49</v>
      </c>
      <c r="E329" s="2">
        <v>24</v>
      </c>
      <c r="F329" s="2">
        <v>24</v>
      </c>
      <c r="G329" s="2">
        <v>705</v>
      </c>
      <c r="H329" s="2">
        <v>0</v>
      </c>
      <c r="I329" s="2">
        <v>0</v>
      </c>
      <c r="J329" s="2">
        <v>3</v>
      </c>
      <c r="K329" s="2">
        <v>70</v>
      </c>
      <c r="L329" s="2">
        <v>27</v>
      </c>
      <c r="M329" s="6">
        <v>12</v>
      </c>
      <c r="N329" s="7">
        <v>-1.2</v>
      </c>
      <c r="O329" s="2">
        <v>5</v>
      </c>
      <c r="P329" s="2">
        <v>4</v>
      </c>
      <c r="Q329" s="2">
        <v>31</v>
      </c>
      <c r="R329" s="2">
        <v>2</v>
      </c>
      <c r="S329" s="2">
        <v>17</v>
      </c>
      <c r="T329" s="2">
        <v>20</v>
      </c>
      <c r="U329" s="2">
        <v>105</v>
      </c>
      <c r="V329" s="2">
        <v>7</v>
      </c>
      <c r="W329" s="2">
        <v>10</v>
      </c>
    </row>
    <row r="330" spans="1:23" x14ac:dyDescent="0.2">
      <c r="A330" t="s">
        <v>67</v>
      </c>
      <c r="B330" s="2">
        <v>25</v>
      </c>
      <c r="C330" t="s">
        <v>63</v>
      </c>
      <c r="D330" s="2" t="s">
        <v>33</v>
      </c>
      <c r="E330" s="2">
        <v>19</v>
      </c>
      <c r="F330" s="2">
        <v>19</v>
      </c>
      <c r="G330" s="2">
        <v>701</v>
      </c>
      <c r="H330" s="2">
        <v>73</v>
      </c>
      <c r="I330" s="2">
        <v>27</v>
      </c>
      <c r="J330" s="2">
        <v>0</v>
      </c>
      <c r="K330" s="2">
        <v>0</v>
      </c>
      <c r="L330" s="2">
        <v>0</v>
      </c>
      <c r="M330" s="6">
        <v>8.4</v>
      </c>
      <c r="N330" s="6">
        <v>4.5999999999999996</v>
      </c>
      <c r="O330" s="2">
        <v>45</v>
      </c>
      <c r="P330" s="2">
        <v>17</v>
      </c>
      <c r="Q330" s="2">
        <v>25</v>
      </c>
      <c r="R330" s="2">
        <v>1</v>
      </c>
      <c r="S330" s="2">
        <v>58</v>
      </c>
      <c r="T330" s="2">
        <v>8</v>
      </c>
      <c r="U330" s="2">
        <v>358</v>
      </c>
      <c r="V330" s="2">
        <v>14</v>
      </c>
      <c r="W330" s="2">
        <v>11</v>
      </c>
    </row>
    <row r="331" spans="1:23" x14ac:dyDescent="0.2">
      <c r="A331" t="s">
        <v>448</v>
      </c>
      <c r="B331" s="2">
        <v>26</v>
      </c>
      <c r="C331" t="s">
        <v>51</v>
      </c>
      <c r="D331" s="2" t="s">
        <v>42</v>
      </c>
      <c r="E331" s="2">
        <v>7</v>
      </c>
      <c r="F331" s="2">
        <v>0</v>
      </c>
      <c r="G331" s="2">
        <v>33</v>
      </c>
      <c r="H331" s="2">
        <v>0</v>
      </c>
      <c r="I331" s="2">
        <v>0</v>
      </c>
      <c r="J331" s="2">
        <v>0</v>
      </c>
      <c r="K331" s="2">
        <v>4</v>
      </c>
      <c r="L331" s="2">
        <v>96</v>
      </c>
      <c r="M331" s="6">
        <v>2.8</v>
      </c>
      <c r="N331" s="7">
        <v>-1</v>
      </c>
      <c r="O331" s="2">
        <v>1</v>
      </c>
      <c r="P331" s="2">
        <v>0</v>
      </c>
      <c r="Q331" s="2">
        <v>1</v>
      </c>
      <c r="R331" s="2">
        <v>0</v>
      </c>
      <c r="S331" s="2">
        <v>4</v>
      </c>
      <c r="T331" s="2">
        <v>2</v>
      </c>
      <c r="U331" s="2">
        <v>0</v>
      </c>
      <c r="V331" s="2">
        <v>2</v>
      </c>
      <c r="W331" s="2">
        <v>2</v>
      </c>
    </row>
    <row r="332" spans="1:23" x14ac:dyDescent="0.2">
      <c r="A332" t="s">
        <v>346</v>
      </c>
      <c r="B332" s="2">
        <v>28</v>
      </c>
      <c r="C332" t="s">
        <v>80</v>
      </c>
      <c r="D332" s="2" t="s">
        <v>52</v>
      </c>
      <c r="E332" s="2">
        <v>14</v>
      </c>
      <c r="F332" s="2">
        <v>0</v>
      </c>
      <c r="G332" s="2">
        <v>276</v>
      </c>
      <c r="H332" s="2">
        <v>35</v>
      </c>
      <c r="I332" s="2">
        <v>51</v>
      </c>
      <c r="J332" s="2">
        <v>14</v>
      </c>
      <c r="K332" s="2">
        <v>0</v>
      </c>
      <c r="L332" s="2">
        <v>0</v>
      </c>
      <c r="M332" s="6">
        <v>11.1</v>
      </c>
      <c r="N332" s="6">
        <v>3.2</v>
      </c>
      <c r="O332" s="2">
        <v>4</v>
      </c>
      <c r="P332" s="2">
        <v>4</v>
      </c>
      <c r="Q332" s="2">
        <v>4</v>
      </c>
      <c r="R332" s="2">
        <v>1</v>
      </c>
      <c r="S332" s="2">
        <v>2</v>
      </c>
      <c r="T332" s="2">
        <v>0</v>
      </c>
      <c r="U332" s="2">
        <v>100</v>
      </c>
      <c r="V332" s="2">
        <v>0</v>
      </c>
      <c r="W332" s="2">
        <v>0</v>
      </c>
    </row>
    <row r="333" spans="1:23" x14ac:dyDescent="0.2">
      <c r="A333" t="s">
        <v>350</v>
      </c>
      <c r="B333" s="2">
        <v>29</v>
      </c>
      <c r="C333" t="s">
        <v>39</v>
      </c>
      <c r="D333" s="2" t="s">
        <v>42</v>
      </c>
      <c r="E333" s="2">
        <v>19</v>
      </c>
      <c r="F333" s="2">
        <v>3</v>
      </c>
      <c r="G333" s="2">
        <v>320</v>
      </c>
      <c r="H333" s="2">
        <v>0</v>
      </c>
      <c r="I333" s="2">
        <v>0</v>
      </c>
      <c r="J333" s="2">
        <v>0</v>
      </c>
      <c r="K333" s="2">
        <v>0</v>
      </c>
      <c r="L333" s="2">
        <v>100</v>
      </c>
      <c r="M333" s="6">
        <v>9.1999999999999993</v>
      </c>
      <c r="N333" s="7">
        <v>-0.8</v>
      </c>
      <c r="O333" s="2">
        <v>2</v>
      </c>
      <c r="P333" s="2">
        <v>2</v>
      </c>
      <c r="Q333" s="2">
        <v>17</v>
      </c>
      <c r="R333" s="2">
        <v>4</v>
      </c>
      <c r="S333" s="2">
        <v>15</v>
      </c>
      <c r="T333" s="2">
        <v>2</v>
      </c>
      <c r="U333" s="2">
        <v>76</v>
      </c>
      <c r="V333" s="2">
        <v>4</v>
      </c>
      <c r="W333" s="2">
        <v>5</v>
      </c>
    </row>
    <row r="334" spans="1:23" x14ac:dyDescent="0.2">
      <c r="A334" t="s">
        <v>504</v>
      </c>
      <c r="B334" s="2">
        <v>23</v>
      </c>
      <c r="C334" t="s">
        <v>57</v>
      </c>
      <c r="D334" s="2" t="s">
        <v>52</v>
      </c>
      <c r="E334" s="2">
        <v>6</v>
      </c>
      <c r="F334" s="2">
        <v>0</v>
      </c>
      <c r="G334" s="2">
        <v>42</v>
      </c>
      <c r="H334" s="2">
        <v>0</v>
      </c>
      <c r="I334" s="2">
        <v>1</v>
      </c>
      <c r="J334" s="2">
        <v>68</v>
      </c>
      <c r="K334" s="2">
        <v>31</v>
      </c>
      <c r="L334" s="2">
        <v>0</v>
      </c>
      <c r="M334" s="6">
        <v>12.5</v>
      </c>
      <c r="N334" s="6">
        <v>1.9</v>
      </c>
      <c r="O334" s="2">
        <v>2</v>
      </c>
      <c r="P334" s="2">
        <v>0</v>
      </c>
      <c r="Q334" s="2">
        <v>1</v>
      </c>
      <c r="R334" s="2">
        <v>0</v>
      </c>
      <c r="S334" s="2">
        <v>1</v>
      </c>
      <c r="T334" s="2">
        <v>0</v>
      </c>
      <c r="U334" s="2">
        <v>11</v>
      </c>
      <c r="V334" s="2">
        <v>0</v>
      </c>
      <c r="W334" s="2">
        <v>0</v>
      </c>
    </row>
    <row r="335" spans="1:23" x14ac:dyDescent="0.2">
      <c r="A335" t="s">
        <v>563</v>
      </c>
      <c r="B335" s="2">
        <v>26</v>
      </c>
      <c r="C335" t="s">
        <v>48</v>
      </c>
      <c r="D335" s="2" t="s">
        <v>52</v>
      </c>
      <c r="E335" s="2">
        <v>1</v>
      </c>
      <c r="F335" s="2">
        <v>0</v>
      </c>
      <c r="G335" s="2">
        <v>5</v>
      </c>
      <c r="H335" s="2">
        <v>0</v>
      </c>
      <c r="I335" s="2">
        <v>100</v>
      </c>
      <c r="J335" s="2">
        <v>0</v>
      </c>
      <c r="K335" s="2">
        <v>0</v>
      </c>
      <c r="L335" s="2">
        <v>0</v>
      </c>
      <c r="M335" s="6">
        <v>100</v>
      </c>
      <c r="N335" s="6">
        <v>97</v>
      </c>
      <c r="O335" s="2">
        <v>0</v>
      </c>
      <c r="P335" s="2">
        <v>0</v>
      </c>
      <c r="Q335" s="2">
        <v>0</v>
      </c>
      <c r="R335" s="2">
        <v>0</v>
      </c>
      <c r="S335" s="2">
        <v>0</v>
      </c>
      <c r="T335" s="2">
        <v>0</v>
      </c>
      <c r="U335" s="2">
        <v>6</v>
      </c>
      <c r="V335" s="2">
        <v>0</v>
      </c>
      <c r="W335" s="2">
        <v>0</v>
      </c>
    </row>
    <row r="336" spans="1:23" x14ac:dyDescent="0.2">
      <c r="A336" t="s">
        <v>314</v>
      </c>
      <c r="B336" s="2">
        <v>21</v>
      </c>
      <c r="C336" t="s">
        <v>93</v>
      </c>
      <c r="D336" s="2" t="s">
        <v>52</v>
      </c>
      <c r="E336" s="2">
        <v>18</v>
      </c>
      <c r="F336" s="2">
        <v>0</v>
      </c>
      <c r="G336" s="2">
        <v>233</v>
      </c>
      <c r="H336" s="2">
        <v>24</v>
      </c>
      <c r="I336" s="2">
        <v>68</v>
      </c>
      <c r="J336" s="2">
        <v>8</v>
      </c>
      <c r="K336" s="2">
        <v>0</v>
      </c>
      <c r="L336" s="2">
        <v>0</v>
      </c>
      <c r="M336" s="7">
        <v>-12.9</v>
      </c>
      <c r="N336" s="7">
        <v>-13.2</v>
      </c>
      <c r="O336" s="2">
        <v>7</v>
      </c>
      <c r="P336" s="2">
        <v>15</v>
      </c>
      <c r="Q336" s="2">
        <v>7</v>
      </c>
      <c r="R336" s="2">
        <v>0</v>
      </c>
      <c r="S336" s="2">
        <v>8</v>
      </c>
      <c r="T336" s="2">
        <v>0</v>
      </c>
      <c r="U336" s="2">
        <v>49</v>
      </c>
      <c r="V336" s="2">
        <v>0</v>
      </c>
      <c r="W336" s="2">
        <v>8</v>
      </c>
    </row>
    <row r="337" spans="1:23" x14ac:dyDescent="0.2">
      <c r="A337" t="s">
        <v>310</v>
      </c>
      <c r="B337" s="2">
        <v>32</v>
      </c>
      <c r="C337" t="s">
        <v>114</v>
      </c>
      <c r="D337" s="2" t="s">
        <v>33</v>
      </c>
      <c r="E337" s="2">
        <v>9</v>
      </c>
      <c r="F337" s="2">
        <v>8</v>
      </c>
      <c r="G337" s="2">
        <v>214</v>
      </c>
      <c r="H337" s="2">
        <v>67</v>
      </c>
      <c r="I337" s="2">
        <v>33</v>
      </c>
      <c r="J337" s="2">
        <v>0</v>
      </c>
      <c r="K337" s="2">
        <v>0</v>
      </c>
      <c r="L337" s="2">
        <v>0</v>
      </c>
      <c r="M337" s="7">
        <v>-23</v>
      </c>
      <c r="N337" s="7">
        <v>-8.9</v>
      </c>
      <c r="O337" s="2">
        <v>9</v>
      </c>
      <c r="P337" s="2">
        <v>5</v>
      </c>
      <c r="Q337" s="2">
        <v>6</v>
      </c>
      <c r="R337" s="2">
        <v>0</v>
      </c>
      <c r="S337" s="2">
        <v>15</v>
      </c>
      <c r="T337" s="2">
        <v>0</v>
      </c>
      <c r="U337" s="2">
        <v>53</v>
      </c>
      <c r="V337" s="2">
        <v>1</v>
      </c>
      <c r="W337" s="2">
        <v>9</v>
      </c>
    </row>
    <row r="338" spans="1:23" x14ac:dyDescent="0.2">
      <c r="A338" t="s">
        <v>547</v>
      </c>
      <c r="B338" s="2">
        <v>25</v>
      </c>
      <c r="C338" t="s">
        <v>32</v>
      </c>
      <c r="D338" s="2" t="s">
        <v>49</v>
      </c>
      <c r="E338" s="2">
        <v>6</v>
      </c>
      <c r="F338" s="2">
        <v>0</v>
      </c>
      <c r="G338" s="2">
        <v>21</v>
      </c>
      <c r="H338" s="2">
        <v>0</v>
      </c>
      <c r="I338" s="2">
        <v>0</v>
      </c>
      <c r="J338" s="2">
        <v>0</v>
      </c>
      <c r="K338" s="2">
        <v>100</v>
      </c>
      <c r="L338" s="2">
        <v>0</v>
      </c>
      <c r="M338" s="7">
        <v>-42.3</v>
      </c>
      <c r="N338" s="7">
        <v>-55.6</v>
      </c>
      <c r="O338" s="2">
        <v>0</v>
      </c>
      <c r="P338" s="2">
        <v>1</v>
      </c>
      <c r="Q338" s="2">
        <v>3</v>
      </c>
      <c r="R338" s="2">
        <v>0</v>
      </c>
      <c r="S338" s="2">
        <v>2</v>
      </c>
      <c r="T338" s="2">
        <v>0</v>
      </c>
      <c r="U338" s="2">
        <v>2</v>
      </c>
      <c r="V338" s="2">
        <v>0</v>
      </c>
      <c r="W338" s="2">
        <v>1</v>
      </c>
    </row>
    <row r="339" spans="1:23" x14ac:dyDescent="0.2">
      <c r="A339" t="s">
        <v>115</v>
      </c>
      <c r="B339" s="2">
        <v>28</v>
      </c>
      <c r="C339" t="s">
        <v>75</v>
      </c>
      <c r="D339" s="2" t="s">
        <v>52</v>
      </c>
      <c r="E339" s="2">
        <v>26</v>
      </c>
      <c r="F339" s="2">
        <v>7</v>
      </c>
      <c r="G339" s="2">
        <v>727</v>
      </c>
      <c r="H339" s="2">
        <v>35</v>
      </c>
      <c r="I339" s="2">
        <v>60</v>
      </c>
      <c r="J339" s="2">
        <v>5</v>
      </c>
      <c r="K339" s="2">
        <v>0</v>
      </c>
      <c r="L339" s="2">
        <v>0</v>
      </c>
      <c r="M339" s="2">
        <v>0</v>
      </c>
      <c r="N339" s="6">
        <v>8.4</v>
      </c>
      <c r="O339" s="2">
        <v>17</v>
      </c>
      <c r="P339" s="2">
        <v>7</v>
      </c>
      <c r="Q339" s="2">
        <v>12</v>
      </c>
      <c r="R339" s="2">
        <v>2</v>
      </c>
      <c r="S339" s="2">
        <v>11</v>
      </c>
      <c r="T339" s="2">
        <v>1</v>
      </c>
      <c r="U339" s="2">
        <v>115</v>
      </c>
      <c r="V339" s="2">
        <v>2</v>
      </c>
      <c r="W339" s="2">
        <v>7</v>
      </c>
    </row>
    <row r="340" spans="1:23" x14ac:dyDescent="0.2">
      <c r="A340" t="s">
        <v>156</v>
      </c>
      <c r="B340" s="2">
        <v>26</v>
      </c>
      <c r="C340" t="s">
        <v>37</v>
      </c>
      <c r="D340" s="2" t="s">
        <v>52</v>
      </c>
      <c r="E340" s="2">
        <v>19</v>
      </c>
      <c r="F340" s="2">
        <v>6</v>
      </c>
      <c r="G340" s="2">
        <v>545</v>
      </c>
      <c r="H340" s="2">
        <v>30</v>
      </c>
      <c r="I340" s="2">
        <v>69</v>
      </c>
      <c r="J340" s="2">
        <v>1</v>
      </c>
      <c r="K340" s="2">
        <v>0</v>
      </c>
      <c r="L340" s="2">
        <v>0</v>
      </c>
      <c r="M340" s="6">
        <v>5.7</v>
      </c>
      <c r="N340" s="6">
        <v>4.0999999999999996</v>
      </c>
      <c r="O340" s="2">
        <v>13</v>
      </c>
      <c r="P340" s="2">
        <v>5</v>
      </c>
      <c r="Q340" s="2">
        <v>30</v>
      </c>
      <c r="R340" s="2">
        <v>4</v>
      </c>
      <c r="S340" s="2">
        <v>24</v>
      </c>
      <c r="T340" s="2">
        <v>10</v>
      </c>
      <c r="U340" s="2">
        <v>207</v>
      </c>
      <c r="V340" s="2">
        <v>8</v>
      </c>
      <c r="W340" s="2">
        <v>12</v>
      </c>
    </row>
    <row r="341" spans="1:23" x14ac:dyDescent="0.2">
      <c r="A341" t="s">
        <v>326</v>
      </c>
      <c r="B341" s="2">
        <v>24</v>
      </c>
      <c r="C341" t="s">
        <v>75</v>
      </c>
      <c r="D341" s="2" t="s">
        <v>33</v>
      </c>
      <c r="E341" s="2">
        <v>17</v>
      </c>
      <c r="F341" s="2">
        <v>0</v>
      </c>
      <c r="G341" s="2">
        <v>227</v>
      </c>
      <c r="H341" s="2">
        <v>98</v>
      </c>
      <c r="I341" s="2">
        <v>2</v>
      </c>
      <c r="J341" s="2">
        <v>0</v>
      </c>
      <c r="K341" s="2">
        <v>0</v>
      </c>
      <c r="L341" s="2">
        <v>0</v>
      </c>
      <c r="M341" s="6">
        <v>0.4</v>
      </c>
      <c r="N341" s="6">
        <v>4.8</v>
      </c>
      <c r="O341" s="2">
        <v>7</v>
      </c>
      <c r="P341" s="2">
        <v>5</v>
      </c>
      <c r="Q341" s="2">
        <v>5</v>
      </c>
      <c r="R341" s="2">
        <v>0</v>
      </c>
      <c r="S341" s="2">
        <v>2</v>
      </c>
      <c r="T341" s="2">
        <v>0</v>
      </c>
      <c r="U341" s="2">
        <v>66</v>
      </c>
      <c r="V341" s="2">
        <v>0</v>
      </c>
      <c r="W341" s="2">
        <v>5</v>
      </c>
    </row>
    <row r="342" spans="1:23" x14ac:dyDescent="0.2">
      <c r="A342" t="s">
        <v>291</v>
      </c>
      <c r="B342" s="2">
        <v>30</v>
      </c>
      <c r="C342" t="s">
        <v>80</v>
      </c>
      <c r="D342" s="2" t="s">
        <v>33</v>
      </c>
      <c r="E342" s="2">
        <v>15</v>
      </c>
      <c r="F342" s="2">
        <v>6</v>
      </c>
      <c r="G342" s="2">
        <v>320</v>
      </c>
      <c r="H342" s="2">
        <v>33</v>
      </c>
      <c r="I342" s="2">
        <v>62</v>
      </c>
      <c r="J342" s="2">
        <v>5</v>
      </c>
      <c r="K342" s="2">
        <v>0</v>
      </c>
      <c r="L342" s="2">
        <v>0</v>
      </c>
      <c r="M342" s="6">
        <v>10.6</v>
      </c>
      <c r="N342" s="6">
        <v>2.6</v>
      </c>
      <c r="O342" s="2">
        <v>21</v>
      </c>
      <c r="P342" s="2">
        <v>8</v>
      </c>
      <c r="Q342" s="2">
        <v>11</v>
      </c>
      <c r="R342" s="2">
        <v>1</v>
      </c>
      <c r="S342" s="2">
        <v>9</v>
      </c>
      <c r="T342" s="2">
        <v>5</v>
      </c>
      <c r="U342" s="2">
        <v>143</v>
      </c>
      <c r="V342" s="2">
        <v>0</v>
      </c>
      <c r="W342" s="2">
        <v>7</v>
      </c>
    </row>
    <row r="343" spans="1:23" x14ac:dyDescent="0.2">
      <c r="A343" t="s">
        <v>474</v>
      </c>
      <c r="B343" s="2">
        <v>24</v>
      </c>
      <c r="C343" t="s">
        <v>35</v>
      </c>
      <c r="D343" s="2" t="s">
        <v>49</v>
      </c>
      <c r="E343" s="2">
        <v>11</v>
      </c>
      <c r="F343" s="2">
        <v>0</v>
      </c>
      <c r="G343" s="2">
        <v>35</v>
      </c>
      <c r="H343" s="2">
        <v>0</v>
      </c>
      <c r="I343" s="2">
        <v>0</v>
      </c>
      <c r="J343" s="2">
        <v>53</v>
      </c>
      <c r="K343" s="2">
        <v>47</v>
      </c>
      <c r="L343" s="2">
        <v>0</v>
      </c>
      <c r="M343" s="6">
        <v>17.600000000000001</v>
      </c>
      <c r="N343" s="6">
        <v>17.3</v>
      </c>
      <c r="O343" s="2">
        <v>2</v>
      </c>
      <c r="P343" s="2">
        <v>1</v>
      </c>
      <c r="Q343" s="2">
        <v>2</v>
      </c>
      <c r="R343" s="2">
        <v>1</v>
      </c>
      <c r="S343" s="2">
        <v>2</v>
      </c>
      <c r="T343" s="2">
        <v>0</v>
      </c>
      <c r="U343" s="2">
        <v>2</v>
      </c>
      <c r="V343" s="2">
        <v>0</v>
      </c>
      <c r="W343" s="2">
        <v>1</v>
      </c>
    </row>
    <row r="344" spans="1:23" x14ac:dyDescent="0.2">
      <c r="A344" t="s">
        <v>460</v>
      </c>
      <c r="B344" s="2">
        <v>23</v>
      </c>
      <c r="C344" t="s">
        <v>59</v>
      </c>
      <c r="D344" s="2" t="s">
        <v>42</v>
      </c>
      <c r="E344" s="2">
        <v>3</v>
      </c>
      <c r="F344" s="2">
        <v>0</v>
      </c>
      <c r="G344" s="2">
        <v>30</v>
      </c>
      <c r="H344" s="2">
        <v>0</v>
      </c>
      <c r="I344" s="2">
        <v>0</v>
      </c>
      <c r="J344" s="2">
        <v>0</v>
      </c>
      <c r="K344" s="2">
        <v>0</v>
      </c>
      <c r="L344" s="2">
        <v>100</v>
      </c>
      <c r="M344" s="7">
        <v>-50.2</v>
      </c>
      <c r="N344" s="7">
        <v>-45.5</v>
      </c>
      <c r="O344" s="2">
        <v>1</v>
      </c>
      <c r="P344" s="2">
        <v>0</v>
      </c>
      <c r="Q344" s="2">
        <v>0</v>
      </c>
      <c r="R344" s="2">
        <v>1</v>
      </c>
      <c r="S344" s="2">
        <v>3</v>
      </c>
      <c r="T344" s="2">
        <v>0</v>
      </c>
      <c r="U344" s="2">
        <v>7</v>
      </c>
      <c r="V344" s="2">
        <v>1</v>
      </c>
      <c r="W344" s="2">
        <v>1</v>
      </c>
    </row>
    <row r="345" spans="1:23" x14ac:dyDescent="0.2">
      <c r="A345" t="s">
        <v>518</v>
      </c>
      <c r="B345" s="2">
        <v>35</v>
      </c>
      <c r="C345" t="s">
        <v>63</v>
      </c>
      <c r="D345" s="2" t="s">
        <v>27</v>
      </c>
      <c r="E345" s="2">
        <v>3</v>
      </c>
      <c r="F345" s="2">
        <v>0</v>
      </c>
      <c r="G345" s="2">
        <v>18</v>
      </c>
      <c r="H345" s="2">
        <v>0</v>
      </c>
      <c r="I345" s="2">
        <v>0</v>
      </c>
      <c r="J345" s="2">
        <v>0</v>
      </c>
      <c r="K345" s="2">
        <v>73</v>
      </c>
      <c r="L345" s="2">
        <v>27</v>
      </c>
      <c r="M345" s="7">
        <v>-20</v>
      </c>
      <c r="N345" s="7">
        <v>-26.9</v>
      </c>
      <c r="O345" s="2">
        <v>1</v>
      </c>
      <c r="P345" s="2">
        <v>1</v>
      </c>
      <c r="Q345" s="2">
        <v>0</v>
      </c>
      <c r="R345" s="2">
        <v>0</v>
      </c>
      <c r="S345" s="2">
        <v>0</v>
      </c>
      <c r="T345" s="2">
        <v>0</v>
      </c>
      <c r="U345" s="2">
        <v>5</v>
      </c>
      <c r="V345" s="2">
        <v>0</v>
      </c>
      <c r="W345" s="2">
        <v>0</v>
      </c>
    </row>
    <row r="346" spans="1:23" x14ac:dyDescent="0.2">
      <c r="A346" t="s">
        <v>366</v>
      </c>
      <c r="B346" s="2">
        <v>25</v>
      </c>
      <c r="C346" t="s">
        <v>114</v>
      </c>
      <c r="D346" s="2" t="s">
        <v>42</v>
      </c>
      <c r="E346" s="2">
        <v>16</v>
      </c>
      <c r="F346" s="2">
        <v>1</v>
      </c>
      <c r="G346" s="2">
        <v>135</v>
      </c>
      <c r="H346" s="2">
        <v>0</v>
      </c>
      <c r="I346" s="2">
        <v>0</v>
      </c>
      <c r="J346" s="2">
        <v>0</v>
      </c>
      <c r="K346" s="2">
        <v>20</v>
      </c>
      <c r="L346" s="2">
        <v>80</v>
      </c>
      <c r="M346" s="7">
        <v>-1.8</v>
      </c>
      <c r="N346" s="6">
        <v>16.2</v>
      </c>
      <c r="O346" s="2">
        <v>5</v>
      </c>
      <c r="P346" s="2">
        <v>4</v>
      </c>
      <c r="Q346" s="2">
        <v>7</v>
      </c>
      <c r="R346" s="2">
        <v>0</v>
      </c>
      <c r="S346" s="2">
        <v>9</v>
      </c>
      <c r="T346" s="2">
        <v>1</v>
      </c>
      <c r="U346" s="2">
        <v>14</v>
      </c>
      <c r="V346" s="2">
        <v>3</v>
      </c>
      <c r="W346" s="2">
        <v>2</v>
      </c>
    </row>
    <row r="347" spans="1:23" x14ac:dyDescent="0.2">
      <c r="A347" t="s">
        <v>561</v>
      </c>
      <c r="B347" s="2">
        <v>26</v>
      </c>
      <c r="C347" t="s">
        <v>37</v>
      </c>
      <c r="D347" s="2" t="s">
        <v>52</v>
      </c>
      <c r="E347" s="2">
        <v>3</v>
      </c>
      <c r="F347" s="2">
        <v>0</v>
      </c>
      <c r="G347" s="2">
        <v>13</v>
      </c>
      <c r="H347" s="2">
        <v>23</v>
      </c>
      <c r="I347" s="2">
        <v>61</v>
      </c>
      <c r="J347" s="2">
        <v>16</v>
      </c>
      <c r="K347" s="2">
        <v>0</v>
      </c>
      <c r="L347" s="2">
        <v>0</v>
      </c>
      <c r="M347" s="7">
        <v>-4.3</v>
      </c>
      <c r="N347" s="7">
        <v>-7.9</v>
      </c>
      <c r="O347" s="2">
        <v>0</v>
      </c>
      <c r="P347" s="2">
        <v>0</v>
      </c>
      <c r="Q347" s="2">
        <v>1</v>
      </c>
      <c r="R347" s="2">
        <v>0</v>
      </c>
      <c r="S347" s="2">
        <v>0</v>
      </c>
      <c r="T347" s="2">
        <v>0</v>
      </c>
      <c r="U347" s="2">
        <v>17</v>
      </c>
      <c r="V347" s="2">
        <v>0</v>
      </c>
      <c r="W347" s="2">
        <v>0</v>
      </c>
    </row>
    <row r="348" spans="1:23" x14ac:dyDescent="0.2">
      <c r="A348" t="s">
        <v>335</v>
      </c>
      <c r="B348" s="2">
        <v>34</v>
      </c>
      <c r="C348" t="s">
        <v>54</v>
      </c>
      <c r="D348" s="2" t="s">
        <v>42</v>
      </c>
      <c r="E348" s="2">
        <v>22</v>
      </c>
      <c r="F348" s="2">
        <v>7</v>
      </c>
      <c r="G348" s="2">
        <v>397</v>
      </c>
      <c r="H348" s="2">
        <v>0</v>
      </c>
      <c r="I348" s="2">
        <v>0</v>
      </c>
      <c r="J348" s="2">
        <v>0</v>
      </c>
      <c r="K348" s="2">
        <v>2</v>
      </c>
      <c r="L348" s="2">
        <v>98</v>
      </c>
      <c r="M348" s="6">
        <v>2.1</v>
      </c>
      <c r="N348" s="6">
        <v>4.4000000000000004</v>
      </c>
      <c r="O348" s="2">
        <v>3</v>
      </c>
      <c r="P348" s="2">
        <v>6</v>
      </c>
      <c r="Q348" s="2">
        <v>23</v>
      </c>
      <c r="R348" s="2">
        <v>8</v>
      </c>
      <c r="S348" s="2">
        <v>15</v>
      </c>
      <c r="T348" s="2">
        <v>0</v>
      </c>
      <c r="U348" s="2">
        <v>90</v>
      </c>
      <c r="V348" s="2">
        <v>2</v>
      </c>
      <c r="W348" s="2">
        <v>15</v>
      </c>
    </row>
    <row r="349" spans="1:23" x14ac:dyDescent="0.2">
      <c r="A349" t="s">
        <v>304</v>
      </c>
      <c r="B349" s="2">
        <v>20</v>
      </c>
      <c r="C349" t="s">
        <v>70</v>
      </c>
      <c r="D349" s="2" t="s">
        <v>49</v>
      </c>
      <c r="E349" s="2">
        <v>24</v>
      </c>
      <c r="F349" s="2">
        <v>0</v>
      </c>
      <c r="G349" s="2">
        <v>304</v>
      </c>
      <c r="H349" s="2">
        <v>0</v>
      </c>
      <c r="I349" s="2">
        <v>0</v>
      </c>
      <c r="J349" s="2">
        <v>11</v>
      </c>
      <c r="K349" s="2">
        <v>82</v>
      </c>
      <c r="L349" s="2">
        <v>8</v>
      </c>
      <c r="M349" s="6">
        <v>0.5</v>
      </c>
      <c r="N349" s="6">
        <v>4.9000000000000004</v>
      </c>
      <c r="O349" s="2">
        <v>3</v>
      </c>
      <c r="P349" s="2">
        <v>8</v>
      </c>
      <c r="Q349" s="2">
        <v>23</v>
      </c>
      <c r="R349" s="2">
        <v>1</v>
      </c>
      <c r="S349" s="2">
        <v>13</v>
      </c>
      <c r="T349" s="2">
        <v>0</v>
      </c>
      <c r="U349" s="2">
        <v>23</v>
      </c>
      <c r="V349" s="2">
        <v>2</v>
      </c>
      <c r="W349" s="2">
        <v>7</v>
      </c>
    </row>
    <row r="350" spans="1:23" x14ac:dyDescent="0.2">
      <c r="A350" t="s">
        <v>495</v>
      </c>
      <c r="B350" s="2">
        <v>27</v>
      </c>
      <c r="C350" t="s">
        <v>44</v>
      </c>
      <c r="D350" s="2" t="s">
        <v>49</v>
      </c>
      <c r="E350" s="2">
        <v>8</v>
      </c>
      <c r="F350" s="2">
        <v>0</v>
      </c>
      <c r="G350" s="2">
        <v>41</v>
      </c>
      <c r="H350" s="2">
        <v>0</v>
      </c>
      <c r="I350" s="2">
        <v>16</v>
      </c>
      <c r="J350" s="2">
        <v>49</v>
      </c>
      <c r="K350" s="2">
        <v>35</v>
      </c>
      <c r="L350" s="2">
        <v>0</v>
      </c>
      <c r="M350" s="7">
        <v>-42.4</v>
      </c>
      <c r="N350" s="7">
        <v>-50.7</v>
      </c>
      <c r="O350" s="2">
        <v>2</v>
      </c>
      <c r="P350" s="2">
        <v>1</v>
      </c>
      <c r="Q350" s="2">
        <v>0</v>
      </c>
      <c r="R350" s="2">
        <v>0</v>
      </c>
      <c r="S350" s="2">
        <v>0</v>
      </c>
      <c r="T350" s="2">
        <v>1</v>
      </c>
      <c r="U350" s="2">
        <v>0</v>
      </c>
      <c r="V350" s="2">
        <v>0</v>
      </c>
      <c r="W350" s="2">
        <v>2</v>
      </c>
    </row>
    <row r="351" spans="1:23" x14ac:dyDescent="0.2">
      <c r="A351" t="s">
        <v>302</v>
      </c>
      <c r="B351" s="2">
        <v>21</v>
      </c>
      <c r="C351" t="s">
        <v>41</v>
      </c>
      <c r="D351" s="2" t="s">
        <v>52</v>
      </c>
      <c r="E351" s="2">
        <v>23</v>
      </c>
      <c r="F351" s="2">
        <v>2</v>
      </c>
      <c r="G351" s="2">
        <v>442</v>
      </c>
      <c r="H351" s="2">
        <v>4</v>
      </c>
      <c r="I351" s="2">
        <v>55</v>
      </c>
      <c r="J351" s="2">
        <v>41</v>
      </c>
      <c r="K351" s="2">
        <v>0</v>
      </c>
      <c r="L351" s="2">
        <v>0</v>
      </c>
      <c r="M351" s="7">
        <v>-8.1999999999999993</v>
      </c>
      <c r="N351" s="7">
        <v>-8.1999999999999993</v>
      </c>
      <c r="O351" s="2">
        <v>6</v>
      </c>
      <c r="P351" s="2">
        <v>7</v>
      </c>
      <c r="Q351" s="2">
        <v>15</v>
      </c>
      <c r="R351" s="2">
        <v>1</v>
      </c>
      <c r="S351" s="2">
        <v>19</v>
      </c>
      <c r="T351" s="2">
        <v>3</v>
      </c>
      <c r="U351" s="2">
        <v>68</v>
      </c>
      <c r="V351" s="2">
        <v>3</v>
      </c>
      <c r="W351" s="2">
        <v>5</v>
      </c>
    </row>
    <row r="352" spans="1:23" x14ac:dyDescent="0.2">
      <c r="A352" t="s">
        <v>453</v>
      </c>
      <c r="B352" s="2">
        <v>33</v>
      </c>
      <c r="C352" t="s">
        <v>63</v>
      </c>
      <c r="D352" s="2" t="s">
        <v>27</v>
      </c>
      <c r="E352" s="2">
        <v>14</v>
      </c>
      <c r="F352" s="2">
        <v>2</v>
      </c>
      <c r="G352" s="2">
        <v>238</v>
      </c>
      <c r="H352" s="2">
        <v>0</v>
      </c>
      <c r="I352" s="2">
        <v>0</v>
      </c>
      <c r="J352" s="2">
        <v>0</v>
      </c>
      <c r="K352" s="2">
        <v>83</v>
      </c>
      <c r="L352" s="2">
        <v>17</v>
      </c>
      <c r="M352" s="6">
        <v>13</v>
      </c>
      <c r="N352" s="6">
        <v>8.1</v>
      </c>
      <c r="O352" s="2">
        <v>5</v>
      </c>
      <c r="P352" s="2">
        <v>2</v>
      </c>
      <c r="Q352" s="2">
        <v>17</v>
      </c>
      <c r="R352" s="2">
        <v>1</v>
      </c>
      <c r="S352" s="2">
        <v>2</v>
      </c>
      <c r="T352" s="2">
        <v>3</v>
      </c>
      <c r="U352" s="2">
        <v>20</v>
      </c>
      <c r="V352" s="2">
        <v>0</v>
      </c>
      <c r="W352" s="2">
        <v>2</v>
      </c>
    </row>
    <row r="353" spans="1:23" x14ac:dyDescent="0.2">
      <c r="A353" t="s">
        <v>529</v>
      </c>
      <c r="B353" s="2">
        <v>22</v>
      </c>
      <c r="C353" t="s">
        <v>41</v>
      </c>
      <c r="D353" s="2" t="s">
        <v>49</v>
      </c>
      <c r="E353" s="2">
        <v>7</v>
      </c>
      <c r="F353" s="2">
        <v>0</v>
      </c>
      <c r="G353" s="2">
        <v>29</v>
      </c>
      <c r="H353" s="2">
        <v>0</v>
      </c>
      <c r="I353" s="2">
        <v>29</v>
      </c>
      <c r="J353" s="2">
        <v>61</v>
      </c>
      <c r="K353" s="2">
        <v>11</v>
      </c>
      <c r="L353" s="2">
        <v>0</v>
      </c>
      <c r="M353" s="7">
        <v>-46</v>
      </c>
      <c r="N353" s="7">
        <v>-43.9</v>
      </c>
      <c r="O353" s="2">
        <v>0</v>
      </c>
      <c r="P353" s="2">
        <v>2</v>
      </c>
      <c r="Q353" s="2">
        <v>1</v>
      </c>
      <c r="R353" s="2">
        <v>0</v>
      </c>
      <c r="S353" s="2">
        <v>0</v>
      </c>
      <c r="T353" s="2">
        <v>0</v>
      </c>
      <c r="U353" s="2">
        <v>5</v>
      </c>
      <c r="V353" s="2">
        <v>0</v>
      </c>
      <c r="W353" s="2">
        <v>0</v>
      </c>
    </row>
    <row r="354" spans="1:23" x14ac:dyDescent="0.2">
      <c r="A354" t="s">
        <v>468</v>
      </c>
      <c r="B354" s="2">
        <v>26</v>
      </c>
      <c r="C354" t="s">
        <v>120</v>
      </c>
      <c r="D354" s="2" t="s">
        <v>42</v>
      </c>
      <c r="E354" s="2">
        <v>5</v>
      </c>
      <c r="F354" s="2">
        <v>1</v>
      </c>
      <c r="G354" s="2">
        <v>101</v>
      </c>
      <c r="H354" s="2">
        <v>0</v>
      </c>
      <c r="I354" s="2">
        <v>0</v>
      </c>
      <c r="J354" s="2">
        <v>0</v>
      </c>
      <c r="K354" s="2">
        <v>48</v>
      </c>
      <c r="L354" s="2">
        <v>52</v>
      </c>
      <c r="M354" s="6">
        <v>10.5</v>
      </c>
      <c r="N354" s="6">
        <v>22</v>
      </c>
      <c r="O354" s="2">
        <v>2</v>
      </c>
      <c r="P354" s="2">
        <v>2</v>
      </c>
      <c r="Q354" s="2">
        <v>4</v>
      </c>
      <c r="R354" s="2">
        <v>1</v>
      </c>
      <c r="S354" s="2">
        <v>0</v>
      </c>
      <c r="T354" s="2">
        <v>0</v>
      </c>
      <c r="U354" s="2">
        <v>14</v>
      </c>
      <c r="V354" s="2">
        <v>0</v>
      </c>
      <c r="W354" s="2">
        <v>2</v>
      </c>
    </row>
    <row r="355" spans="1:23" x14ac:dyDescent="0.2">
      <c r="A355" t="s">
        <v>109</v>
      </c>
      <c r="B355" s="2">
        <v>26</v>
      </c>
      <c r="C355" t="s">
        <v>46</v>
      </c>
      <c r="D355" s="2" t="s">
        <v>49</v>
      </c>
      <c r="E355" s="2">
        <v>22</v>
      </c>
      <c r="F355" s="2">
        <v>22</v>
      </c>
      <c r="G355" s="2">
        <v>784</v>
      </c>
      <c r="H355" s="2">
        <v>0</v>
      </c>
      <c r="I355" s="2">
        <v>1</v>
      </c>
      <c r="J355" s="2">
        <v>37</v>
      </c>
      <c r="K355" s="2">
        <v>61</v>
      </c>
      <c r="L355" s="2">
        <v>2</v>
      </c>
      <c r="M355" s="6">
        <v>4.9000000000000004</v>
      </c>
      <c r="N355" s="6">
        <v>9.8000000000000007</v>
      </c>
      <c r="O355" s="2">
        <v>9</v>
      </c>
      <c r="P355" s="2">
        <v>12</v>
      </c>
      <c r="Q355" s="2">
        <v>30</v>
      </c>
      <c r="R355" s="2">
        <v>2</v>
      </c>
      <c r="S355" s="2">
        <v>23</v>
      </c>
      <c r="T355" s="2">
        <v>0</v>
      </c>
      <c r="U355" s="2">
        <v>147</v>
      </c>
      <c r="V355" s="2">
        <v>9</v>
      </c>
      <c r="W355" s="2">
        <v>17</v>
      </c>
    </row>
    <row r="356" spans="1:23" x14ac:dyDescent="0.2">
      <c r="A356" t="s">
        <v>105</v>
      </c>
      <c r="B356" s="2">
        <v>28</v>
      </c>
      <c r="C356" t="s">
        <v>44</v>
      </c>
      <c r="D356" s="2" t="s">
        <v>49</v>
      </c>
      <c r="E356" s="2">
        <v>25</v>
      </c>
      <c r="F356" s="2">
        <v>25</v>
      </c>
      <c r="G356" s="2">
        <v>958</v>
      </c>
      <c r="H356" s="2">
        <v>0</v>
      </c>
      <c r="I356" s="2">
        <v>0</v>
      </c>
      <c r="J356" s="2">
        <v>80</v>
      </c>
      <c r="K356" s="2">
        <v>20</v>
      </c>
      <c r="L356" s="2">
        <v>0</v>
      </c>
      <c r="M356" s="6">
        <v>8.1</v>
      </c>
      <c r="N356" s="6">
        <v>7.4</v>
      </c>
      <c r="O356" s="2">
        <v>24</v>
      </c>
      <c r="P356" s="2">
        <v>11</v>
      </c>
      <c r="Q356" s="2">
        <v>14</v>
      </c>
      <c r="R356" s="2">
        <v>2</v>
      </c>
      <c r="S356" s="2">
        <v>11</v>
      </c>
      <c r="T356" s="2">
        <v>3</v>
      </c>
      <c r="U356" s="2">
        <v>209</v>
      </c>
      <c r="V356" s="2">
        <v>3</v>
      </c>
      <c r="W356" s="2">
        <v>5</v>
      </c>
    </row>
    <row r="357" spans="1:23" x14ac:dyDescent="0.2">
      <c r="A357" t="s">
        <v>258</v>
      </c>
      <c r="B357" s="2">
        <v>37</v>
      </c>
      <c r="C357" t="s">
        <v>51</v>
      </c>
      <c r="D357" s="2" t="s">
        <v>33</v>
      </c>
      <c r="E357" s="2">
        <v>19</v>
      </c>
      <c r="F357" s="2">
        <v>19</v>
      </c>
      <c r="G357" s="2">
        <v>485</v>
      </c>
      <c r="H357" s="2">
        <v>100</v>
      </c>
      <c r="I357" s="2">
        <v>0</v>
      </c>
      <c r="J357" s="2">
        <v>0</v>
      </c>
      <c r="K357" s="2">
        <v>0</v>
      </c>
      <c r="L357" s="2">
        <v>0</v>
      </c>
      <c r="M357" s="6">
        <v>6.5</v>
      </c>
      <c r="N357" s="6">
        <v>4.7</v>
      </c>
      <c r="O357" s="2">
        <v>19</v>
      </c>
      <c r="P357" s="2">
        <v>5</v>
      </c>
      <c r="Q357" s="2">
        <v>15</v>
      </c>
      <c r="R357" s="2">
        <v>1</v>
      </c>
      <c r="S357" s="2">
        <v>11</v>
      </c>
      <c r="T357" s="2">
        <v>8</v>
      </c>
      <c r="U357" s="2">
        <v>205</v>
      </c>
      <c r="V357" s="2">
        <v>1</v>
      </c>
      <c r="W357" s="2">
        <v>5</v>
      </c>
    </row>
    <row r="358" spans="1:23" x14ac:dyDescent="0.2">
      <c r="A358" t="s">
        <v>252</v>
      </c>
      <c r="B358" s="2">
        <v>26</v>
      </c>
      <c r="C358" t="s">
        <v>59</v>
      </c>
      <c r="D358" s="2" t="s">
        <v>27</v>
      </c>
      <c r="E358" s="2">
        <v>11</v>
      </c>
      <c r="F358" s="2">
        <v>11</v>
      </c>
      <c r="G358" s="2">
        <v>331</v>
      </c>
      <c r="H358" s="2">
        <v>0</v>
      </c>
      <c r="I358" s="2">
        <v>0</v>
      </c>
      <c r="J358" s="2">
        <v>3</v>
      </c>
      <c r="K358" s="2">
        <v>50</v>
      </c>
      <c r="L358" s="2">
        <v>48</v>
      </c>
      <c r="M358" s="7">
        <v>-10</v>
      </c>
      <c r="N358" s="7">
        <v>-6</v>
      </c>
      <c r="O358" s="2">
        <v>7</v>
      </c>
      <c r="P358" s="2">
        <v>5</v>
      </c>
      <c r="Q358" s="2">
        <v>8</v>
      </c>
      <c r="R358" s="2">
        <v>1</v>
      </c>
      <c r="S358" s="2">
        <v>17</v>
      </c>
      <c r="T358" s="2">
        <v>3</v>
      </c>
      <c r="U358" s="2">
        <v>85</v>
      </c>
      <c r="V358" s="2">
        <v>3</v>
      </c>
      <c r="W358" s="2">
        <v>12</v>
      </c>
    </row>
    <row r="359" spans="1:23" x14ac:dyDescent="0.2">
      <c r="A359" t="s">
        <v>220</v>
      </c>
      <c r="B359" s="2">
        <v>24</v>
      </c>
      <c r="C359" t="s">
        <v>44</v>
      </c>
      <c r="D359" s="2" t="s">
        <v>33</v>
      </c>
      <c r="E359" s="2">
        <v>20</v>
      </c>
      <c r="F359" s="2">
        <v>0</v>
      </c>
      <c r="G359" s="2">
        <v>508</v>
      </c>
      <c r="H359" s="2">
        <v>7</v>
      </c>
      <c r="I359" s="2">
        <v>92</v>
      </c>
      <c r="J359" s="2">
        <v>1</v>
      </c>
      <c r="K359" s="2">
        <v>0</v>
      </c>
      <c r="L359" s="2">
        <v>0</v>
      </c>
      <c r="M359" s="6">
        <v>10</v>
      </c>
      <c r="N359" s="6">
        <v>6</v>
      </c>
      <c r="O359" s="2">
        <v>10</v>
      </c>
      <c r="P359" s="2">
        <v>8</v>
      </c>
      <c r="Q359" s="2">
        <v>12</v>
      </c>
      <c r="R359" s="2">
        <v>1</v>
      </c>
      <c r="S359" s="2">
        <v>10</v>
      </c>
      <c r="T359" s="2">
        <v>6</v>
      </c>
      <c r="U359" s="2">
        <v>146</v>
      </c>
      <c r="V359" s="2">
        <v>2</v>
      </c>
      <c r="W359" s="2">
        <v>9</v>
      </c>
    </row>
    <row r="360" spans="1:23" x14ac:dyDescent="0.2">
      <c r="A360" t="s">
        <v>405</v>
      </c>
      <c r="B360" s="2">
        <v>26</v>
      </c>
      <c r="C360" t="s">
        <v>77</v>
      </c>
      <c r="D360" s="2" t="s">
        <v>42</v>
      </c>
      <c r="E360" s="2">
        <v>10</v>
      </c>
      <c r="F360" s="2">
        <v>0</v>
      </c>
      <c r="G360" s="2">
        <v>136</v>
      </c>
      <c r="H360" s="2">
        <v>0</v>
      </c>
      <c r="I360" s="2">
        <v>0</v>
      </c>
      <c r="J360" s="2">
        <v>0</v>
      </c>
      <c r="K360" s="2">
        <v>0</v>
      </c>
      <c r="L360" s="2">
        <v>100</v>
      </c>
      <c r="M360" s="7">
        <v>-8.4</v>
      </c>
      <c r="N360" s="7">
        <v>-10.7</v>
      </c>
      <c r="O360" s="2">
        <v>1</v>
      </c>
      <c r="P360" s="2">
        <v>1</v>
      </c>
      <c r="Q360" s="2">
        <v>11</v>
      </c>
      <c r="R360" s="2">
        <v>3</v>
      </c>
      <c r="S360" s="2">
        <v>6</v>
      </c>
      <c r="T360" s="2">
        <v>0</v>
      </c>
      <c r="U360" s="2">
        <v>19</v>
      </c>
      <c r="V360" s="2">
        <v>3</v>
      </c>
      <c r="W360" s="2">
        <v>4</v>
      </c>
    </row>
    <row r="361" spans="1:23" x14ac:dyDescent="0.2">
      <c r="A361" t="s">
        <v>341</v>
      </c>
      <c r="B361" s="2">
        <v>29</v>
      </c>
      <c r="C361" t="s">
        <v>54</v>
      </c>
      <c r="D361" s="2" t="s">
        <v>33</v>
      </c>
      <c r="E361" s="2">
        <v>18</v>
      </c>
      <c r="F361" s="2">
        <v>0</v>
      </c>
      <c r="G361" s="2">
        <v>214</v>
      </c>
      <c r="H361" s="2">
        <v>100</v>
      </c>
      <c r="I361" s="2">
        <v>0</v>
      </c>
      <c r="J361" s="2">
        <v>0</v>
      </c>
      <c r="K361" s="2">
        <v>0</v>
      </c>
      <c r="L361" s="2">
        <v>0</v>
      </c>
      <c r="M361" s="6">
        <v>4</v>
      </c>
      <c r="N361" s="6">
        <v>5.9</v>
      </c>
      <c r="O361" s="2">
        <v>5</v>
      </c>
      <c r="P361" s="2">
        <v>2</v>
      </c>
      <c r="Q361" s="2">
        <v>5</v>
      </c>
      <c r="R361" s="2">
        <v>0</v>
      </c>
      <c r="S361" s="2">
        <v>5</v>
      </c>
      <c r="T361" s="2">
        <v>1</v>
      </c>
      <c r="U361" s="2">
        <v>72</v>
      </c>
      <c r="V361" s="2">
        <v>0</v>
      </c>
      <c r="W361" s="2">
        <v>2</v>
      </c>
    </row>
    <row r="362" spans="1:23" x14ac:dyDescent="0.2">
      <c r="A362" t="s">
        <v>136</v>
      </c>
      <c r="B362" s="2">
        <v>27</v>
      </c>
      <c r="C362" t="s">
        <v>48</v>
      </c>
      <c r="D362" s="2" t="s">
        <v>42</v>
      </c>
      <c r="E362" s="4">
        <v>27</v>
      </c>
      <c r="F362" s="2">
        <v>1</v>
      </c>
      <c r="G362" s="2">
        <v>518</v>
      </c>
      <c r="H362" s="2">
        <v>0</v>
      </c>
      <c r="I362" s="2">
        <v>0</v>
      </c>
      <c r="J362" s="2">
        <v>0</v>
      </c>
      <c r="K362" s="2">
        <v>4</v>
      </c>
      <c r="L362" s="2">
        <v>96</v>
      </c>
      <c r="M362" s="7">
        <v>-1.4</v>
      </c>
      <c r="N362" s="7">
        <v>-7.9</v>
      </c>
      <c r="O362" s="2">
        <v>11</v>
      </c>
      <c r="P362" s="2">
        <v>14</v>
      </c>
      <c r="Q362" s="2">
        <v>20</v>
      </c>
      <c r="R362" s="2">
        <v>10</v>
      </c>
      <c r="S362" s="2">
        <v>44</v>
      </c>
      <c r="T362" s="2">
        <v>8</v>
      </c>
      <c r="U362" s="2">
        <v>92</v>
      </c>
      <c r="V362" s="2">
        <v>13</v>
      </c>
      <c r="W362" s="2">
        <v>13</v>
      </c>
    </row>
    <row r="363" spans="1:23" x14ac:dyDescent="0.2">
      <c r="A363" t="s">
        <v>444</v>
      </c>
      <c r="B363" s="2">
        <v>25</v>
      </c>
      <c r="C363" t="s">
        <v>82</v>
      </c>
      <c r="D363" s="2" t="s">
        <v>42</v>
      </c>
      <c r="E363" s="2">
        <v>9</v>
      </c>
      <c r="F363" s="2">
        <v>0</v>
      </c>
      <c r="G363" s="2">
        <v>46</v>
      </c>
      <c r="H363" s="2">
        <v>0</v>
      </c>
      <c r="I363" s="2">
        <v>0</v>
      </c>
      <c r="J363" s="2">
        <v>0</v>
      </c>
      <c r="K363" s="2">
        <v>0</v>
      </c>
      <c r="L363" s="2">
        <v>100</v>
      </c>
      <c r="M363" s="7">
        <v>-7.4</v>
      </c>
      <c r="N363" s="7">
        <v>-3.4</v>
      </c>
      <c r="O363" s="2">
        <v>3</v>
      </c>
      <c r="P363" s="2">
        <v>0</v>
      </c>
      <c r="Q363" s="2">
        <v>5</v>
      </c>
      <c r="R363" s="2">
        <v>1</v>
      </c>
      <c r="S363" s="2">
        <v>3</v>
      </c>
      <c r="T363" s="2">
        <v>0</v>
      </c>
      <c r="U363" s="2">
        <v>0</v>
      </c>
      <c r="V363" s="2">
        <v>1</v>
      </c>
      <c r="W363" s="2">
        <v>0</v>
      </c>
    </row>
    <row r="364" spans="1:23" x14ac:dyDescent="0.2">
      <c r="A364" t="s">
        <v>260</v>
      </c>
      <c r="B364" s="2">
        <v>22</v>
      </c>
      <c r="C364" t="s">
        <v>100</v>
      </c>
      <c r="D364" s="2" t="s">
        <v>52</v>
      </c>
      <c r="E364" s="2">
        <v>23</v>
      </c>
      <c r="F364" s="2">
        <v>4</v>
      </c>
      <c r="G364" s="2">
        <v>358</v>
      </c>
      <c r="H364" s="2">
        <v>25</v>
      </c>
      <c r="I364" s="2">
        <v>52</v>
      </c>
      <c r="J364" s="2">
        <v>21</v>
      </c>
      <c r="K364" s="2">
        <v>3</v>
      </c>
      <c r="L364" s="2">
        <v>0</v>
      </c>
      <c r="M364" s="7">
        <v>-3.6</v>
      </c>
      <c r="N364" s="7">
        <v>-12.2</v>
      </c>
      <c r="O364" s="2">
        <v>7</v>
      </c>
      <c r="P364" s="2">
        <v>6</v>
      </c>
      <c r="Q364" s="2">
        <v>12</v>
      </c>
      <c r="R364" s="2">
        <v>2</v>
      </c>
      <c r="S364" s="2">
        <v>17</v>
      </c>
      <c r="T364" s="2">
        <v>3</v>
      </c>
      <c r="U364" s="2">
        <v>51</v>
      </c>
      <c r="V364" s="2">
        <v>2</v>
      </c>
      <c r="W364" s="2">
        <v>10</v>
      </c>
    </row>
    <row r="365" spans="1:23" x14ac:dyDescent="0.2">
      <c r="A365" t="s">
        <v>545</v>
      </c>
      <c r="B365" s="2">
        <v>22</v>
      </c>
      <c r="C365" t="s">
        <v>72</v>
      </c>
      <c r="D365" s="2" t="s">
        <v>27</v>
      </c>
      <c r="E365" s="2">
        <v>2</v>
      </c>
      <c r="F365" s="2">
        <v>0</v>
      </c>
      <c r="G365" s="2">
        <v>11</v>
      </c>
      <c r="H365" s="2">
        <v>0</v>
      </c>
      <c r="I365" s="2">
        <v>0</v>
      </c>
      <c r="J365" s="2">
        <v>0</v>
      </c>
      <c r="K365" s="2">
        <v>0</v>
      </c>
      <c r="L365" s="2">
        <v>100</v>
      </c>
      <c r="M365" s="7">
        <v>-4.2</v>
      </c>
      <c r="N365" s="7">
        <v>-2</v>
      </c>
      <c r="O365" s="2">
        <v>1</v>
      </c>
      <c r="P365" s="2">
        <v>0</v>
      </c>
      <c r="Q365" s="2">
        <v>0</v>
      </c>
      <c r="R365" s="2">
        <v>0</v>
      </c>
      <c r="S365" s="2">
        <v>0</v>
      </c>
      <c r="T365" s="2">
        <v>0</v>
      </c>
      <c r="U365" s="2">
        <v>0</v>
      </c>
      <c r="V365" s="2">
        <v>0</v>
      </c>
      <c r="W365" s="2">
        <v>0</v>
      </c>
    </row>
    <row r="366" spans="1:23" x14ac:dyDescent="0.2">
      <c r="A366" t="s">
        <v>377</v>
      </c>
      <c r="B366" s="2">
        <v>23</v>
      </c>
      <c r="C366" t="s">
        <v>59</v>
      </c>
      <c r="D366" s="2" t="s">
        <v>42</v>
      </c>
      <c r="E366" s="2">
        <v>22</v>
      </c>
      <c r="F366" s="2">
        <v>4</v>
      </c>
      <c r="G366" s="2">
        <v>439</v>
      </c>
      <c r="H366" s="2">
        <v>0</v>
      </c>
      <c r="I366" s="2">
        <v>0</v>
      </c>
      <c r="J366" s="2">
        <v>0</v>
      </c>
      <c r="K366" s="2">
        <v>1</v>
      </c>
      <c r="L366" s="2">
        <v>99</v>
      </c>
      <c r="M366" s="6">
        <v>3.6</v>
      </c>
      <c r="N366" s="6">
        <v>14.9</v>
      </c>
      <c r="O366" s="2">
        <v>8</v>
      </c>
      <c r="P366" s="2">
        <v>3</v>
      </c>
      <c r="Q366" s="2">
        <v>15</v>
      </c>
      <c r="R366" s="2">
        <v>6</v>
      </c>
      <c r="S366" s="2">
        <v>6</v>
      </c>
      <c r="T366" s="2">
        <v>3</v>
      </c>
      <c r="U366" s="2">
        <v>44</v>
      </c>
      <c r="V366" s="2">
        <v>2</v>
      </c>
      <c r="W366" s="2">
        <v>4</v>
      </c>
    </row>
    <row r="367" spans="1:23" x14ac:dyDescent="0.2">
      <c r="A367" t="s">
        <v>129</v>
      </c>
      <c r="B367" s="2">
        <v>28</v>
      </c>
      <c r="C367" t="s">
        <v>82</v>
      </c>
      <c r="D367" s="2" t="s">
        <v>42</v>
      </c>
      <c r="E367" s="2">
        <v>23</v>
      </c>
      <c r="F367" s="2">
        <v>23</v>
      </c>
      <c r="G367" s="2">
        <v>734</v>
      </c>
      <c r="H367" s="2">
        <v>0</v>
      </c>
      <c r="I367" s="2">
        <v>0</v>
      </c>
      <c r="J367" s="2">
        <v>0</v>
      </c>
      <c r="K367" s="2">
        <v>0</v>
      </c>
      <c r="L367" s="2">
        <v>100</v>
      </c>
      <c r="M367" s="7">
        <v>-5.9</v>
      </c>
      <c r="N367" s="7">
        <v>-4.3</v>
      </c>
      <c r="O367" s="2">
        <v>21</v>
      </c>
      <c r="P367" s="2">
        <v>15</v>
      </c>
      <c r="Q367" s="2">
        <v>38</v>
      </c>
      <c r="R367" s="2">
        <v>17</v>
      </c>
      <c r="S367" s="2">
        <v>38</v>
      </c>
      <c r="T367" s="2">
        <v>0</v>
      </c>
      <c r="U367" s="2">
        <v>84</v>
      </c>
      <c r="V367" s="2">
        <v>10</v>
      </c>
      <c r="W367" s="2">
        <v>9</v>
      </c>
    </row>
    <row r="368" spans="1:23" x14ac:dyDescent="0.2">
      <c r="A368" t="s">
        <v>189</v>
      </c>
      <c r="B368" s="2">
        <v>27</v>
      </c>
      <c r="C368" t="s">
        <v>63</v>
      </c>
      <c r="D368" s="2" t="s">
        <v>49</v>
      </c>
      <c r="E368" s="2">
        <v>21</v>
      </c>
      <c r="F368" s="2">
        <v>7</v>
      </c>
      <c r="G368" s="2">
        <v>511</v>
      </c>
      <c r="H368" s="2">
        <v>0</v>
      </c>
      <c r="I368" s="2">
        <v>1</v>
      </c>
      <c r="J368" s="2">
        <v>43</v>
      </c>
      <c r="K368" s="2">
        <v>56</v>
      </c>
      <c r="L368" s="2">
        <v>1</v>
      </c>
      <c r="M368" s="6">
        <v>6.6</v>
      </c>
      <c r="N368" s="6">
        <v>0.1</v>
      </c>
      <c r="O368" s="2">
        <v>17</v>
      </c>
      <c r="P368" s="2">
        <v>8</v>
      </c>
      <c r="Q368" s="2">
        <v>13</v>
      </c>
      <c r="R368" s="2">
        <v>4</v>
      </c>
      <c r="S368" s="2">
        <v>19</v>
      </c>
      <c r="T368" s="2">
        <v>1</v>
      </c>
      <c r="U368" s="2">
        <v>121</v>
      </c>
      <c r="V368" s="2">
        <v>4</v>
      </c>
      <c r="W368" s="2">
        <v>11</v>
      </c>
    </row>
    <row r="369" spans="1:23" x14ac:dyDescent="0.2">
      <c r="A369" t="s">
        <v>162</v>
      </c>
      <c r="B369" s="2">
        <v>25</v>
      </c>
      <c r="C369" t="s">
        <v>51</v>
      </c>
      <c r="D369" s="2" t="s">
        <v>42</v>
      </c>
      <c r="E369" s="2">
        <v>23</v>
      </c>
      <c r="F369" s="2">
        <v>0</v>
      </c>
      <c r="G369" s="2">
        <v>568</v>
      </c>
      <c r="H369" s="2">
        <v>0</v>
      </c>
      <c r="I369" s="2">
        <v>0</v>
      </c>
      <c r="J369" s="2">
        <v>0</v>
      </c>
      <c r="K369" s="2">
        <v>51</v>
      </c>
      <c r="L369" s="2">
        <v>49</v>
      </c>
      <c r="M369" s="6">
        <v>5.6</v>
      </c>
      <c r="N369" s="6">
        <v>3.7</v>
      </c>
      <c r="O369" s="2">
        <v>13</v>
      </c>
      <c r="P369" s="2">
        <v>9</v>
      </c>
      <c r="Q369" s="2">
        <v>38</v>
      </c>
      <c r="R369" s="2">
        <v>3</v>
      </c>
      <c r="S369" s="2">
        <v>21</v>
      </c>
      <c r="T369" s="2">
        <v>2</v>
      </c>
      <c r="U369" s="2">
        <v>97</v>
      </c>
      <c r="V369" s="2">
        <v>8</v>
      </c>
      <c r="W369" s="2">
        <v>12</v>
      </c>
    </row>
    <row r="370" spans="1:23" x14ac:dyDescent="0.2">
      <c r="A370" t="s">
        <v>311</v>
      </c>
      <c r="B370" s="2">
        <v>25</v>
      </c>
      <c r="C370" t="s">
        <v>39</v>
      </c>
      <c r="D370" s="2" t="s">
        <v>42</v>
      </c>
      <c r="E370" s="2">
        <v>21</v>
      </c>
      <c r="F370" s="2">
        <v>5</v>
      </c>
      <c r="G370" s="2">
        <v>375</v>
      </c>
      <c r="H370" s="2">
        <v>0</v>
      </c>
      <c r="I370" s="2">
        <v>0</v>
      </c>
      <c r="J370" s="2">
        <v>0</v>
      </c>
      <c r="K370" s="2">
        <v>4</v>
      </c>
      <c r="L370" s="2">
        <v>96</v>
      </c>
      <c r="M370" s="6">
        <v>13.4</v>
      </c>
      <c r="N370" s="6">
        <v>5.2</v>
      </c>
      <c r="O370" s="2">
        <v>2</v>
      </c>
      <c r="P370" s="2">
        <v>3</v>
      </c>
      <c r="Q370" s="2">
        <v>23</v>
      </c>
      <c r="R370" s="2">
        <v>6</v>
      </c>
      <c r="S370" s="2">
        <v>10</v>
      </c>
      <c r="T370" s="2">
        <v>2</v>
      </c>
      <c r="U370" s="2">
        <v>42</v>
      </c>
      <c r="V370" s="2">
        <v>0</v>
      </c>
      <c r="W370" s="2">
        <v>8</v>
      </c>
    </row>
    <row r="371" spans="1:23" x14ac:dyDescent="0.2">
      <c r="A371" t="s">
        <v>253</v>
      </c>
      <c r="B371" s="2">
        <v>25</v>
      </c>
      <c r="C371" t="s">
        <v>103</v>
      </c>
      <c r="D371" s="2" t="s">
        <v>42</v>
      </c>
      <c r="E371" s="2">
        <v>18</v>
      </c>
      <c r="F371" s="2">
        <v>10</v>
      </c>
      <c r="G371" s="2">
        <v>455</v>
      </c>
      <c r="H371" s="2">
        <v>0</v>
      </c>
      <c r="I371" s="2">
        <v>0</v>
      </c>
      <c r="J371" s="2">
        <v>0</v>
      </c>
      <c r="K371" s="2">
        <v>0</v>
      </c>
      <c r="L371" s="2">
        <v>100</v>
      </c>
      <c r="M371" s="7">
        <v>-2.7</v>
      </c>
      <c r="N371" s="6">
        <v>2.8</v>
      </c>
      <c r="O371" s="2">
        <v>8</v>
      </c>
      <c r="P371" s="2">
        <v>2</v>
      </c>
      <c r="Q371" s="2">
        <v>20</v>
      </c>
      <c r="R371" s="2">
        <v>9</v>
      </c>
      <c r="S371" s="2">
        <v>17</v>
      </c>
      <c r="T371" s="2">
        <v>1</v>
      </c>
      <c r="U371" s="2">
        <v>104</v>
      </c>
      <c r="V371" s="2">
        <v>3</v>
      </c>
      <c r="W371" s="2">
        <v>5</v>
      </c>
    </row>
    <row r="372" spans="1:23" x14ac:dyDescent="0.2">
      <c r="A372" t="s">
        <v>334</v>
      </c>
      <c r="B372" s="2">
        <v>27</v>
      </c>
      <c r="C372" t="s">
        <v>59</v>
      </c>
      <c r="D372" s="2" t="s">
        <v>42</v>
      </c>
      <c r="E372" s="2">
        <v>9</v>
      </c>
      <c r="F372" s="2">
        <v>8</v>
      </c>
      <c r="G372" s="2">
        <v>241</v>
      </c>
      <c r="H372" s="2">
        <v>0</v>
      </c>
      <c r="I372" s="2">
        <v>0</v>
      </c>
      <c r="J372" s="2">
        <v>0</v>
      </c>
      <c r="K372" s="2">
        <v>0</v>
      </c>
      <c r="L372" s="2">
        <v>100</v>
      </c>
      <c r="M372" s="7">
        <v>-4</v>
      </c>
      <c r="N372" s="6">
        <v>2.2999999999999998</v>
      </c>
      <c r="O372" s="2">
        <v>7</v>
      </c>
      <c r="P372" s="2">
        <v>3</v>
      </c>
      <c r="Q372" s="2">
        <v>19</v>
      </c>
      <c r="R372" s="2">
        <v>4</v>
      </c>
      <c r="S372" s="2">
        <v>25</v>
      </c>
      <c r="T372" s="2">
        <v>1</v>
      </c>
      <c r="U372" s="2">
        <v>39</v>
      </c>
      <c r="V372" s="2">
        <v>6</v>
      </c>
      <c r="W372" s="2">
        <v>6</v>
      </c>
    </row>
    <row r="373" spans="1:23" x14ac:dyDescent="0.2">
      <c r="A373" t="s">
        <v>420</v>
      </c>
      <c r="B373" s="2">
        <v>20</v>
      </c>
      <c r="C373" t="s">
        <v>59</v>
      </c>
      <c r="D373" s="2" t="s">
        <v>52</v>
      </c>
      <c r="E373" s="2">
        <v>13</v>
      </c>
      <c r="F373" s="2">
        <v>0</v>
      </c>
      <c r="G373" s="2">
        <v>121</v>
      </c>
      <c r="H373" s="2">
        <v>1</v>
      </c>
      <c r="I373" s="2">
        <v>65</v>
      </c>
      <c r="J373" s="2">
        <v>34</v>
      </c>
      <c r="K373" s="2">
        <v>0</v>
      </c>
      <c r="L373" s="2">
        <v>0</v>
      </c>
      <c r="M373" s="7">
        <v>-19.3</v>
      </c>
      <c r="N373" s="7">
        <v>-15.1</v>
      </c>
      <c r="O373" s="2">
        <v>2</v>
      </c>
      <c r="P373" s="2">
        <v>1</v>
      </c>
      <c r="Q373" s="2">
        <v>4</v>
      </c>
      <c r="R373" s="2">
        <v>0</v>
      </c>
      <c r="S373" s="2">
        <v>0</v>
      </c>
      <c r="T373" s="2">
        <v>1</v>
      </c>
      <c r="U373" s="2">
        <v>26</v>
      </c>
      <c r="V373" s="2">
        <v>0</v>
      </c>
      <c r="W373" s="2">
        <v>1</v>
      </c>
    </row>
    <row r="374" spans="1:23" x14ac:dyDescent="0.2">
      <c r="A374" t="s">
        <v>213</v>
      </c>
      <c r="B374" s="2">
        <v>26</v>
      </c>
      <c r="C374" t="s">
        <v>51</v>
      </c>
      <c r="D374" s="2" t="s">
        <v>52</v>
      </c>
      <c r="E374" s="2">
        <v>23</v>
      </c>
      <c r="F374" s="2">
        <v>2</v>
      </c>
      <c r="G374" s="2">
        <v>553</v>
      </c>
      <c r="H374" s="2">
        <v>24</v>
      </c>
      <c r="I374" s="2">
        <v>53</v>
      </c>
      <c r="J374" s="2">
        <v>23</v>
      </c>
      <c r="K374" s="2">
        <v>0</v>
      </c>
      <c r="L374" s="2">
        <v>0</v>
      </c>
      <c r="M374" s="6">
        <v>11.4</v>
      </c>
      <c r="N374" s="6">
        <v>15.1</v>
      </c>
      <c r="O374" s="2">
        <v>27</v>
      </c>
      <c r="P374" s="2">
        <v>6</v>
      </c>
      <c r="Q374" s="2">
        <v>21</v>
      </c>
      <c r="R374" s="2">
        <v>0</v>
      </c>
      <c r="S374" s="2">
        <v>12</v>
      </c>
      <c r="T374" s="2">
        <v>12</v>
      </c>
      <c r="U374" s="2">
        <v>139</v>
      </c>
      <c r="V374" s="2">
        <v>3</v>
      </c>
      <c r="W374" s="2">
        <v>3</v>
      </c>
    </row>
    <row r="375" spans="1:23" x14ac:dyDescent="0.2">
      <c r="A375" t="s">
        <v>355</v>
      </c>
      <c r="B375" s="2">
        <v>36</v>
      </c>
      <c r="C375" t="s">
        <v>77</v>
      </c>
      <c r="D375" s="2" t="s">
        <v>27</v>
      </c>
      <c r="E375" s="2">
        <v>25</v>
      </c>
      <c r="F375" s="2">
        <v>0</v>
      </c>
      <c r="G375" s="2">
        <v>449</v>
      </c>
      <c r="H375" s="2">
        <v>0</v>
      </c>
      <c r="I375" s="2">
        <v>0</v>
      </c>
      <c r="J375" s="2">
        <v>0</v>
      </c>
      <c r="K375" s="2">
        <v>81</v>
      </c>
      <c r="L375" s="2">
        <v>19</v>
      </c>
      <c r="M375" s="6">
        <v>7.4</v>
      </c>
      <c r="N375" s="6">
        <v>10</v>
      </c>
      <c r="O375" s="2">
        <v>7</v>
      </c>
      <c r="P375" s="2">
        <v>0</v>
      </c>
      <c r="Q375" s="2">
        <v>12</v>
      </c>
      <c r="R375" s="2">
        <v>2</v>
      </c>
      <c r="S375" s="2">
        <v>4</v>
      </c>
      <c r="T375" s="2">
        <v>1</v>
      </c>
      <c r="U375" s="2">
        <v>94</v>
      </c>
      <c r="V375" s="2">
        <v>0</v>
      </c>
      <c r="W375" s="2">
        <v>3</v>
      </c>
    </row>
    <row r="376" spans="1:23" x14ac:dyDescent="0.2">
      <c r="A376" t="s">
        <v>45</v>
      </c>
      <c r="B376" s="2">
        <v>29</v>
      </c>
      <c r="C376" t="s">
        <v>46</v>
      </c>
      <c r="D376" s="2" t="s">
        <v>42</v>
      </c>
      <c r="E376" s="2">
        <v>19</v>
      </c>
      <c r="F376" s="2">
        <v>19</v>
      </c>
      <c r="G376" s="2">
        <v>714</v>
      </c>
      <c r="H376" s="2">
        <v>0</v>
      </c>
      <c r="I376" s="2">
        <v>0</v>
      </c>
      <c r="J376" s="2">
        <v>0</v>
      </c>
      <c r="K376" s="2">
        <v>0</v>
      </c>
      <c r="L376" s="2">
        <v>100</v>
      </c>
      <c r="M376" s="6">
        <v>11</v>
      </c>
      <c r="N376" s="6">
        <v>27</v>
      </c>
      <c r="O376" s="2">
        <v>37</v>
      </c>
      <c r="P376" s="2">
        <v>26</v>
      </c>
      <c r="Q376" s="2">
        <v>14</v>
      </c>
      <c r="R376" s="2">
        <v>4</v>
      </c>
      <c r="S376" s="2">
        <v>50</v>
      </c>
      <c r="T376" s="2">
        <v>2</v>
      </c>
      <c r="U376" s="2">
        <v>453</v>
      </c>
      <c r="V376" s="2">
        <v>11</v>
      </c>
      <c r="W376" s="2">
        <v>23</v>
      </c>
    </row>
    <row r="377" spans="1:23" x14ac:dyDescent="0.2">
      <c r="A377" t="s">
        <v>312</v>
      </c>
      <c r="B377" s="2">
        <v>21</v>
      </c>
      <c r="C377" t="s">
        <v>61</v>
      </c>
      <c r="D377" s="2" t="s">
        <v>27</v>
      </c>
      <c r="E377" s="2">
        <v>15</v>
      </c>
      <c r="F377" s="2">
        <v>8</v>
      </c>
      <c r="G377" s="2">
        <v>279</v>
      </c>
      <c r="H377" s="2">
        <v>0</v>
      </c>
      <c r="I377" s="2">
        <v>0</v>
      </c>
      <c r="J377" s="2">
        <v>0</v>
      </c>
      <c r="K377" s="2">
        <v>90</v>
      </c>
      <c r="L377" s="2">
        <v>11</v>
      </c>
      <c r="M377" s="6">
        <v>0.2</v>
      </c>
      <c r="N377" s="7">
        <v>-4.4000000000000004</v>
      </c>
      <c r="O377" s="2">
        <v>1</v>
      </c>
      <c r="P377" s="2">
        <v>4</v>
      </c>
      <c r="Q377" s="2">
        <v>13</v>
      </c>
      <c r="R377" s="2">
        <v>1</v>
      </c>
      <c r="S377" s="2">
        <v>12</v>
      </c>
      <c r="T377" s="2">
        <v>0</v>
      </c>
      <c r="U377" s="2">
        <v>50</v>
      </c>
      <c r="V377" s="2">
        <v>3</v>
      </c>
      <c r="W377" s="2">
        <v>3</v>
      </c>
    </row>
    <row r="378" spans="1:23" x14ac:dyDescent="0.2">
      <c r="A378" t="s">
        <v>69</v>
      </c>
      <c r="B378" s="2">
        <v>34</v>
      </c>
      <c r="C378" t="s">
        <v>70</v>
      </c>
      <c r="D378" s="2" t="s">
        <v>42</v>
      </c>
      <c r="E378" s="2">
        <v>25</v>
      </c>
      <c r="F378" s="2">
        <v>25</v>
      </c>
      <c r="G378" s="2">
        <v>793</v>
      </c>
      <c r="H378" s="2">
        <v>0</v>
      </c>
      <c r="I378" s="2">
        <v>0</v>
      </c>
      <c r="J378" s="2">
        <v>0</v>
      </c>
      <c r="K378" s="2">
        <v>0</v>
      </c>
      <c r="L378" s="2">
        <v>100</v>
      </c>
      <c r="M378" s="7">
        <v>-3</v>
      </c>
      <c r="N378" s="6">
        <v>0.2</v>
      </c>
      <c r="O378" s="2">
        <v>20</v>
      </c>
      <c r="P378" s="2">
        <v>11</v>
      </c>
      <c r="Q378" s="2">
        <v>41</v>
      </c>
      <c r="R378" s="2">
        <v>7</v>
      </c>
      <c r="S378" s="2">
        <v>34</v>
      </c>
      <c r="T378" s="2">
        <v>3</v>
      </c>
      <c r="U378" s="2">
        <v>205</v>
      </c>
      <c r="V378" s="2">
        <v>13</v>
      </c>
      <c r="W378" s="2">
        <v>13</v>
      </c>
    </row>
    <row r="379" spans="1:23" x14ac:dyDescent="0.2">
      <c r="A379" t="s">
        <v>320</v>
      </c>
      <c r="B379" s="2">
        <v>20</v>
      </c>
      <c r="C379" t="s">
        <v>103</v>
      </c>
      <c r="D379" s="2" t="s">
        <v>27</v>
      </c>
      <c r="E379" s="2">
        <v>15</v>
      </c>
      <c r="F379" s="2">
        <v>1</v>
      </c>
      <c r="G379" s="2">
        <v>248</v>
      </c>
      <c r="H379" s="2">
        <v>0</v>
      </c>
      <c r="I379" s="2">
        <v>0</v>
      </c>
      <c r="J379" s="2">
        <v>0</v>
      </c>
      <c r="K379" s="2">
        <v>42</v>
      </c>
      <c r="L379" s="2">
        <v>58</v>
      </c>
      <c r="M379" s="7">
        <v>-13.5</v>
      </c>
      <c r="N379" s="7">
        <v>-11.6</v>
      </c>
      <c r="O379" s="2">
        <v>5</v>
      </c>
      <c r="P379" s="2">
        <v>3</v>
      </c>
      <c r="Q379" s="2">
        <v>20</v>
      </c>
      <c r="R379" s="2">
        <v>1</v>
      </c>
      <c r="S379" s="2">
        <v>10</v>
      </c>
      <c r="T379" s="2">
        <v>2</v>
      </c>
      <c r="U379" s="2">
        <v>28</v>
      </c>
      <c r="V379" s="2">
        <v>1</v>
      </c>
      <c r="W379" s="2">
        <v>9</v>
      </c>
    </row>
    <row r="380" spans="1:23" x14ac:dyDescent="0.2">
      <c r="A380" t="s">
        <v>106</v>
      </c>
      <c r="B380" s="2">
        <v>31</v>
      </c>
      <c r="C380" t="s">
        <v>77</v>
      </c>
      <c r="D380" s="2" t="s">
        <v>52</v>
      </c>
      <c r="E380" s="2">
        <v>18</v>
      </c>
      <c r="F380" s="2">
        <v>18</v>
      </c>
      <c r="G380" s="2">
        <v>586</v>
      </c>
      <c r="H380" s="2">
        <v>5</v>
      </c>
      <c r="I380" s="2">
        <v>66</v>
      </c>
      <c r="J380" s="2">
        <v>29</v>
      </c>
      <c r="K380" s="2">
        <v>0</v>
      </c>
      <c r="L380" s="2">
        <v>0</v>
      </c>
      <c r="M380" s="6">
        <v>1.4</v>
      </c>
      <c r="N380" s="6">
        <v>0.6</v>
      </c>
      <c r="O380" s="2">
        <v>11</v>
      </c>
      <c r="P380" s="2">
        <v>20</v>
      </c>
      <c r="Q380" s="2">
        <v>20</v>
      </c>
      <c r="R380" s="2">
        <v>2</v>
      </c>
      <c r="S380" s="2">
        <v>29</v>
      </c>
      <c r="T380" s="2">
        <v>2</v>
      </c>
      <c r="U380" s="2">
        <v>110</v>
      </c>
      <c r="V380" s="2">
        <v>6</v>
      </c>
      <c r="W380" s="2">
        <v>14</v>
      </c>
    </row>
    <row r="381" spans="1:23" x14ac:dyDescent="0.2">
      <c r="A381" t="s">
        <v>200</v>
      </c>
      <c r="B381" s="2">
        <v>26</v>
      </c>
      <c r="C381" t="s">
        <v>82</v>
      </c>
      <c r="D381" s="2" t="s">
        <v>27</v>
      </c>
      <c r="E381" s="2">
        <v>24</v>
      </c>
      <c r="F381" s="2">
        <v>0</v>
      </c>
      <c r="G381" s="2">
        <v>483</v>
      </c>
      <c r="H381" s="2">
        <v>0</v>
      </c>
      <c r="I381" s="2">
        <v>0</v>
      </c>
      <c r="J381" s="2">
        <v>0</v>
      </c>
      <c r="K381" s="2">
        <v>44</v>
      </c>
      <c r="L381" s="2">
        <v>56</v>
      </c>
      <c r="M381" s="7">
        <v>-8.3000000000000007</v>
      </c>
      <c r="N381" s="7">
        <v>-7</v>
      </c>
      <c r="O381" s="2">
        <v>7</v>
      </c>
      <c r="P381" s="2">
        <v>6</v>
      </c>
      <c r="Q381" s="2">
        <v>22</v>
      </c>
      <c r="R381" s="2">
        <v>1</v>
      </c>
      <c r="S381" s="2">
        <v>13</v>
      </c>
      <c r="T381" s="2">
        <v>0</v>
      </c>
      <c r="U381" s="2">
        <v>97</v>
      </c>
      <c r="V381" s="2">
        <v>3</v>
      </c>
      <c r="W381" s="2">
        <v>6</v>
      </c>
    </row>
    <row r="382" spans="1:23" x14ac:dyDescent="0.2">
      <c r="A382" t="s">
        <v>159</v>
      </c>
      <c r="B382" s="2">
        <v>24</v>
      </c>
      <c r="C382" t="s">
        <v>66</v>
      </c>
      <c r="D382" s="2" t="s">
        <v>52</v>
      </c>
      <c r="E382" s="2">
        <v>26</v>
      </c>
      <c r="F382" s="2">
        <v>24</v>
      </c>
      <c r="G382" s="2">
        <v>801</v>
      </c>
      <c r="H382" s="2">
        <v>10</v>
      </c>
      <c r="I382" s="2">
        <v>80</v>
      </c>
      <c r="J382" s="2">
        <v>10</v>
      </c>
      <c r="K382" s="2">
        <v>0</v>
      </c>
      <c r="L382" s="2">
        <v>0</v>
      </c>
      <c r="M382" s="7">
        <v>-5.5</v>
      </c>
      <c r="N382" s="7">
        <v>-1.1000000000000001</v>
      </c>
      <c r="O382" s="2">
        <v>7</v>
      </c>
      <c r="P382" s="2">
        <v>8</v>
      </c>
      <c r="Q382" s="2">
        <v>44</v>
      </c>
      <c r="R382" s="2">
        <v>4</v>
      </c>
      <c r="S382" s="2">
        <v>11</v>
      </c>
      <c r="T382" s="2">
        <v>1</v>
      </c>
      <c r="U382" s="2">
        <v>130</v>
      </c>
      <c r="V382" s="2">
        <v>5</v>
      </c>
      <c r="W382" s="2">
        <v>15</v>
      </c>
    </row>
    <row r="383" spans="1:23" x14ac:dyDescent="0.2">
      <c r="A383" t="s">
        <v>98</v>
      </c>
      <c r="B383" s="2">
        <v>27</v>
      </c>
      <c r="C383" t="s">
        <v>44</v>
      </c>
      <c r="D383" s="2" t="s">
        <v>27</v>
      </c>
      <c r="E383" s="2">
        <v>25</v>
      </c>
      <c r="F383" s="2">
        <v>25</v>
      </c>
      <c r="G383" s="2">
        <v>920</v>
      </c>
      <c r="H383" s="2">
        <v>0</v>
      </c>
      <c r="I383" s="2">
        <v>0</v>
      </c>
      <c r="J383" s="2">
        <v>0</v>
      </c>
      <c r="K383" s="2">
        <v>100</v>
      </c>
      <c r="L383" s="2">
        <v>0</v>
      </c>
      <c r="M383" s="6">
        <v>7.9</v>
      </c>
      <c r="N383" s="6">
        <v>5.8</v>
      </c>
      <c r="O383" s="2">
        <v>16</v>
      </c>
      <c r="P383" s="2">
        <v>9</v>
      </c>
      <c r="Q383" s="2">
        <v>36</v>
      </c>
      <c r="R383" s="2">
        <v>3</v>
      </c>
      <c r="S383" s="2">
        <v>32</v>
      </c>
      <c r="T383" s="2">
        <v>4</v>
      </c>
      <c r="U383" s="2">
        <v>129</v>
      </c>
      <c r="V383" s="2">
        <v>6</v>
      </c>
      <c r="W383" s="2">
        <v>24</v>
      </c>
    </row>
    <row r="384" spans="1:23" x14ac:dyDescent="0.2">
      <c r="A384" t="s">
        <v>442</v>
      </c>
      <c r="B384" s="2">
        <v>22</v>
      </c>
      <c r="C384" t="s">
        <v>63</v>
      </c>
      <c r="D384" s="2" t="s">
        <v>27</v>
      </c>
      <c r="E384" s="2">
        <v>15</v>
      </c>
      <c r="F384" s="2">
        <v>0</v>
      </c>
      <c r="G384" s="2">
        <v>97</v>
      </c>
      <c r="H384" s="2">
        <v>0</v>
      </c>
      <c r="I384" s="2">
        <v>0</v>
      </c>
      <c r="J384" s="2">
        <v>16</v>
      </c>
      <c r="K384" s="2">
        <v>84</v>
      </c>
      <c r="L384" s="2">
        <v>0</v>
      </c>
      <c r="M384" s="6">
        <v>3.4</v>
      </c>
      <c r="N384" s="7">
        <v>-3.4</v>
      </c>
      <c r="O384" s="2">
        <v>1</v>
      </c>
      <c r="P384" s="2">
        <v>0</v>
      </c>
      <c r="Q384" s="2">
        <v>5</v>
      </c>
      <c r="R384" s="2">
        <v>0</v>
      </c>
      <c r="S384" s="2">
        <v>5</v>
      </c>
      <c r="T384" s="2">
        <v>0</v>
      </c>
      <c r="U384" s="2">
        <v>9</v>
      </c>
      <c r="V384" s="2">
        <v>1</v>
      </c>
      <c r="W384" s="2">
        <v>5</v>
      </c>
    </row>
    <row r="385" spans="1:23" x14ac:dyDescent="0.2">
      <c r="A385" t="s">
        <v>179</v>
      </c>
      <c r="B385" s="2">
        <v>24</v>
      </c>
      <c r="C385" t="s">
        <v>72</v>
      </c>
      <c r="D385" s="2" t="s">
        <v>42</v>
      </c>
      <c r="E385" s="2">
        <v>24</v>
      </c>
      <c r="F385" s="2">
        <v>0</v>
      </c>
      <c r="G385" s="2">
        <v>574</v>
      </c>
      <c r="H385" s="2">
        <v>0</v>
      </c>
      <c r="I385" s="2">
        <v>0</v>
      </c>
      <c r="J385" s="2">
        <v>0</v>
      </c>
      <c r="K385" s="2">
        <v>0</v>
      </c>
      <c r="L385" s="2">
        <v>100</v>
      </c>
      <c r="M385" s="7">
        <v>-4.5</v>
      </c>
      <c r="N385" s="7">
        <v>-4.3</v>
      </c>
      <c r="O385" s="2">
        <v>8</v>
      </c>
      <c r="P385" s="2">
        <v>7</v>
      </c>
      <c r="Q385" s="2">
        <v>38</v>
      </c>
      <c r="R385" s="2">
        <v>5</v>
      </c>
      <c r="S385" s="2">
        <v>25</v>
      </c>
      <c r="T385" s="2">
        <v>0</v>
      </c>
      <c r="U385" s="2">
        <v>82</v>
      </c>
      <c r="V385" s="2">
        <v>6</v>
      </c>
      <c r="W385" s="2">
        <v>21</v>
      </c>
    </row>
    <row r="386" spans="1:23" x14ac:dyDescent="0.2">
      <c r="A386" t="s">
        <v>491</v>
      </c>
      <c r="B386" s="2">
        <v>24</v>
      </c>
      <c r="C386" t="s">
        <v>37</v>
      </c>
      <c r="D386" s="2" t="s">
        <v>42</v>
      </c>
      <c r="E386" s="2">
        <v>6</v>
      </c>
      <c r="F386" s="2">
        <v>0</v>
      </c>
      <c r="G386" s="2">
        <v>45</v>
      </c>
      <c r="H386" s="2">
        <v>0</v>
      </c>
      <c r="I386" s="2">
        <v>0</v>
      </c>
      <c r="J386" s="2">
        <v>0</v>
      </c>
      <c r="K386" s="2">
        <v>0</v>
      </c>
      <c r="L386" s="2">
        <v>100</v>
      </c>
      <c r="M386" s="6">
        <v>11.6</v>
      </c>
      <c r="N386" s="6">
        <v>8.4</v>
      </c>
      <c r="O386" s="2">
        <v>0</v>
      </c>
      <c r="P386" s="2">
        <v>2</v>
      </c>
      <c r="Q386" s="2">
        <v>4</v>
      </c>
      <c r="R386" s="2">
        <v>1</v>
      </c>
      <c r="S386" s="2">
        <v>3</v>
      </c>
      <c r="T386" s="2">
        <v>0</v>
      </c>
      <c r="U386" s="2">
        <v>18</v>
      </c>
      <c r="V386" s="2">
        <v>0</v>
      </c>
      <c r="W386" s="2">
        <v>0</v>
      </c>
    </row>
    <row r="387" spans="1:23" x14ac:dyDescent="0.2">
      <c r="A387" t="s">
        <v>541</v>
      </c>
      <c r="B387" s="2">
        <v>25</v>
      </c>
      <c r="C387" t="s">
        <v>120</v>
      </c>
      <c r="D387" s="2" t="s">
        <v>27</v>
      </c>
      <c r="E387" s="2">
        <v>1</v>
      </c>
      <c r="F387" s="2">
        <v>0</v>
      </c>
      <c r="G387" s="2">
        <v>16</v>
      </c>
      <c r="H387" s="2">
        <v>0</v>
      </c>
      <c r="I387" s="2">
        <v>0</v>
      </c>
      <c r="J387" s="2">
        <v>0</v>
      </c>
      <c r="K387" s="2">
        <v>82</v>
      </c>
      <c r="L387" s="2">
        <v>18</v>
      </c>
      <c r="M387" s="7">
        <v>-14.7</v>
      </c>
      <c r="N387" s="7">
        <v>-5.2</v>
      </c>
      <c r="O387" s="2">
        <v>0</v>
      </c>
      <c r="P387" s="2">
        <v>0</v>
      </c>
      <c r="Q387" s="2">
        <v>1</v>
      </c>
      <c r="R387" s="2">
        <v>1</v>
      </c>
      <c r="S387" s="2">
        <v>2</v>
      </c>
      <c r="T387" s="2">
        <v>1</v>
      </c>
      <c r="U387" s="2">
        <v>0</v>
      </c>
      <c r="V387" s="2">
        <v>0</v>
      </c>
      <c r="W387" s="2">
        <v>0</v>
      </c>
    </row>
    <row r="388" spans="1:23" x14ac:dyDescent="0.2">
      <c r="A388" t="s">
        <v>365</v>
      </c>
      <c r="B388" s="2">
        <v>22</v>
      </c>
      <c r="C388" t="s">
        <v>54</v>
      </c>
      <c r="D388" s="2" t="s">
        <v>27</v>
      </c>
      <c r="E388" s="2">
        <v>18</v>
      </c>
      <c r="F388" s="2">
        <v>2</v>
      </c>
      <c r="G388" s="2">
        <v>319</v>
      </c>
      <c r="H388" s="2">
        <v>0</v>
      </c>
      <c r="I388" s="2">
        <v>0</v>
      </c>
      <c r="J388" s="2">
        <v>2</v>
      </c>
      <c r="K388" s="2">
        <v>37</v>
      </c>
      <c r="L388" s="2">
        <v>61</v>
      </c>
      <c r="M388" s="6">
        <v>3.5</v>
      </c>
      <c r="N388" s="6">
        <v>5.9</v>
      </c>
      <c r="O388" s="2">
        <v>5</v>
      </c>
      <c r="P388" s="2">
        <v>3</v>
      </c>
      <c r="Q388" s="2">
        <v>23</v>
      </c>
      <c r="R388" s="2">
        <v>4</v>
      </c>
      <c r="S388" s="2">
        <v>5</v>
      </c>
      <c r="T388" s="2">
        <v>0</v>
      </c>
      <c r="U388" s="2">
        <v>47</v>
      </c>
      <c r="V388" s="2">
        <v>2</v>
      </c>
      <c r="W388" s="2">
        <v>4</v>
      </c>
    </row>
    <row r="389" spans="1:23" x14ac:dyDescent="0.2">
      <c r="A389" t="s">
        <v>395</v>
      </c>
      <c r="B389" s="2">
        <v>21</v>
      </c>
      <c r="C389" t="s">
        <v>32</v>
      </c>
      <c r="D389" s="2" t="s">
        <v>27</v>
      </c>
      <c r="E389" s="2">
        <v>16</v>
      </c>
      <c r="F389" s="2">
        <v>0</v>
      </c>
      <c r="G389" s="2">
        <v>186</v>
      </c>
      <c r="H389" s="2">
        <v>0</v>
      </c>
      <c r="I389" s="2">
        <v>0</v>
      </c>
      <c r="J389" s="2">
        <v>0</v>
      </c>
      <c r="K389" s="2">
        <v>6</v>
      </c>
      <c r="L389" s="2">
        <v>94</v>
      </c>
      <c r="M389" s="6">
        <v>7.1</v>
      </c>
      <c r="N389" s="7">
        <v>-6.3</v>
      </c>
      <c r="O389" s="2">
        <v>2</v>
      </c>
      <c r="P389" s="2">
        <v>1</v>
      </c>
      <c r="Q389" s="2">
        <v>11</v>
      </c>
      <c r="R389" s="2">
        <v>0</v>
      </c>
      <c r="S389" s="2">
        <v>6</v>
      </c>
      <c r="T389" s="2">
        <v>0</v>
      </c>
      <c r="U389" s="2">
        <v>31</v>
      </c>
      <c r="V389" s="2">
        <v>1</v>
      </c>
      <c r="W389" s="2">
        <v>3</v>
      </c>
    </row>
    <row r="390" spans="1:23" x14ac:dyDescent="0.2">
      <c r="A390" t="s">
        <v>201</v>
      </c>
      <c r="B390" s="2">
        <v>26</v>
      </c>
      <c r="C390" t="s">
        <v>63</v>
      </c>
      <c r="D390" s="2" t="s">
        <v>27</v>
      </c>
      <c r="E390" s="2">
        <v>19</v>
      </c>
      <c r="F390" s="2">
        <v>18</v>
      </c>
      <c r="G390" s="2">
        <v>619</v>
      </c>
      <c r="H390" s="2">
        <v>0</v>
      </c>
      <c r="I390" s="2">
        <v>0</v>
      </c>
      <c r="J390" s="2">
        <v>6</v>
      </c>
      <c r="K390" s="2">
        <v>87</v>
      </c>
      <c r="L390" s="2">
        <v>6</v>
      </c>
      <c r="M390" s="6">
        <v>7.6</v>
      </c>
      <c r="N390" s="6">
        <v>2.4</v>
      </c>
      <c r="O390" s="2">
        <v>10</v>
      </c>
      <c r="P390" s="2">
        <v>13</v>
      </c>
      <c r="Q390" s="2">
        <v>17</v>
      </c>
      <c r="R390" s="2">
        <v>5</v>
      </c>
      <c r="S390" s="2">
        <v>22</v>
      </c>
      <c r="T390" s="2">
        <v>3</v>
      </c>
      <c r="U390" s="2">
        <v>114</v>
      </c>
      <c r="V390" s="2">
        <v>6</v>
      </c>
      <c r="W390" s="2">
        <v>11</v>
      </c>
    </row>
    <row r="391" spans="1:23" x14ac:dyDescent="0.2">
      <c r="A391" t="s">
        <v>470</v>
      </c>
      <c r="B391" s="2">
        <v>19</v>
      </c>
      <c r="C391" t="s">
        <v>44</v>
      </c>
      <c r="D391" s="2" t="s">
        <v>52</v>
      </c>
      <c r="E391" s="2">
        <v>11</v>
      </c>
      <c r="F391" s="2">
        <v>0</v>
      </c>
      <c r="G391" s="2">
        <v>77</v>
      </c>
      <c r="H391" s="2">
        <v>0</v>
      </c>
      <c r="I391" s="2">
        <v>29</v>
      </c>
      <c r="J391" s="2">
        <v>56</v>
      </c>
      <c r="K391" s="2">
        <v>15</v>
      </c>
      <c r="L391" s="2">
        <v>0</v>
      </c>
      <c r="M391" s="6">
        <v>5.0999999999999996</v>
      </c>
      <c r="N391" s="7">
        <v>-1.6</v>
      </c>
      <c r="O391" s="2">
        <v>1</v>
      </c>
      <c r="P391" s="2">
        <v>0</v>
      </c>
      <c r="Q391" s="2">
        <v>1</v>
      </c>
      <c r="R391" s="2">
        <v>0</v>
      </c>
      <c r="S391" s="2">
        <v>1</v>
      </c>
      <c r="T391" s="2">
        <v>1</v>
      </c>
      <c r="U391" s="2">
        <v>11</v>
      </c>
      <c r="V391" s="2">
        <v>0</v>
      </c>
      <c r="W391" s="2">
        <v>1</v>
      </c>
    </row>
    <row r="392" spans="1:23" x14ac:dyDescent="0.2">
      <c r="A392" t="s">
        <v>286</v>
      </c>
      <c r="B392" s="2">
        <v>22</v>
      </c>
      <c r="C392" t="s">
        <v>48</v>
      </c>
      <c r="D392" s="2" t="s">
        <v>27</v>
      </c>
      <c r="E392" s="2">
        <v>5</v>
      </c>
      <c r="F392" s="2">
        <v>5</v>
      </c>
      <c r="G392" s="2">
        <v>182</v>
      </c>
      <c r="H392" s="2">
        <v>0</v>
      </c>
      <c r="I392" s="2">
        <v>0</v>
      </c>
      <c r="J392" s="2">
        <v>0</v>
      </c>
      <c r="K392" s="2">
        <v>98</v>
      </c>
      <c r="L392" s="2">
        <v>2</v>
      </c>
      <c r="M392" s="6">
        <v>6.5</v>
      </c>
      <c r="N392" s="6">
        <v>3.6</v>
      </c>
      <c r="O392" s="2">
        <v>6</v>
      </c>
      <c r="P392" s="2">
        <v>4</v>
      </c>
      <c r="Q392" s="2">
        <v>9</v>
      </c>
      <c r="R392" s="2">
        <v>0</v>
      </c>
      <c r="S392" s="2">
        <v>29</v>
      </c>
      <c r="T392" s="2">
        <v>0</v>
      </c>
      <c r="U392" s="2">
        <v>70</v>
      </c>
      <c r="V392" s="2">
        <v>5</v>
      </c>
      <c r="W392" s="2">
        <v>6</v>
      </c>
    </row>
    <row r="393" spans="1:23" x14ac:dyDescent="0.2">
      <c r="A393" t="s">
        <v>81</v>
      </c>
      <c r="B393" s="2">
        <v>30</v>
      </c>
      <c r="C393" t="s">
        <v>82</v>
      </c>
      <c r="D393" s="2" t="s">
        <v>27</v>
      </c>
      <c r="E393" s="2">
        <v>25</v>
      </c>
      <c r="F393" s="2">
        <v>25</v>
      </c>
      <c r="G393" s="2">
        <v>861</v>
      </c>
      <c r="H393" s="2">
        <v>0</v>
      </c>
      <c r="I393" s="2">
        <v>0</v>
      </c>
      <c r="J393" s="2">
        <v>27</v>
      </c>
      <c r="K393" s="2">
        <v>69</v>
      </c>
      <c r="L393" s="2">
        <v>4</v>
      </c>
      <c r="M393" s="7">
        <v>-1.5</v>
      </c>
      <c r="N393" s="6">
        <v>9</v>
      </c>
      <c r="O393" s="2">
        <v>10</v>
      </c>
      <c r="P393" s="2">
        <v>18</v>
      </c>
      <c r="Q393" s="2">
        <v>26</v>
      </c>
      <c r="R393" s="2">
        <v>7</v>
      </c>
      <c r="S393" s="2">
        <v>46</v>
      </c>
      <c r="T393" s="2">
        <v>2</v>
      </c>
      <c r="U393" s="2">
        <v>213</v>
      </c>
      <c r="V393" s="2">
        <v>13</v>
      </c>
      <c r="W393" s="2">
        <v>13</v>
      </c>
    </row>
    <row r="394" spans="1:23" x14ac:dyDescent="0.2">
      <c r="A394" t="s">
        <v>373</v>
      </c>
      <c r="B394" s="2">
        <v>32</v>
      </c>
      <c r="C394" t="s">
        <v>35</v>
      </c>
      <c r="D394" s="2" t="s">
        <v>52</v>
      </c>
      <c r="E394" s="2">
        <v>15</v>
      </c>
      <c r="F394" s="2">
        <v>0</v>
      </c>
      <c r="G394" s="2">
        <v>255</v>
      </c>
      <c r="H394" s="2">
        <v>2</v>
      </c>
      <c r="I394" s="2">
        <v>34</v>
      </c>
      <c r="J394" s="2">
        <v>60</v>
      </c>
      <c r="K394" s="2">
        <v>4</v>
      </c>
      <c r="L394" s="2">
        <v>0</v>
      </c>
      <c r="M394" s="7">
        <v>-0.6</v>
      </c>
      <c r="N394" s="7">
        <v>-1.8</v>
      </c>
      <c r="O394" s="2">
        <v>10</v>
      </c>
      <c r="P394" s="2">
        <v>1</v>
      </c>
      <c r="Q394" s="2">
        <v>9</v>
      </c>
      <c r="R394" s="2">
        <v>0</v>
      </c>
      <c r="S394" s="2">
        <v>4</v>
      </c>
      <c r="T394" s="2">
        <v>3</v>
      </c>
      <c r="U394" s="2">
        <v>61</v>
      </c>
      <c r="V394" s="2">
        <v>0</v>
      </c>
      <c r="W394" s="2">
        <v>5</v>
      </c>
    </row>
    <row r="395" spans="1:23" x14ac:dyDescent="0.2">
      <c r="A395" t="s">
        <v>492</v>
      </c>
      <c r="B395" s="2">
        <v>28</v>
      </c>
      <c r="C395" t="s">
        <v>100</v>
      </c>
      <c r="D395" s="2" t="s">
        <v>33</v>
      </c>
      <c r="E395" s="2">
        <v>8</v>
      </c>
      <c r="F395" s="2">
        <v>0</v>
      </c>
      <c r="G395" s="2">
        <v>44</v>
      </c>
      <c r="H395" s="2">
        <v>90</v>
      </c>
      <c r="I395" s="2">
        <v>10</v>
      </c>
      <c r="J395" s="2">
        <v>0</v>
      </c>
      <c r="K395" s="2">
        <v>0</v>
      </c>
      <c r="L395" s="2">
        <v>0</v>
      </c>
      <c r="M395" s="7">
        <v>-5.5</v>
      </c>
      <c r="N395" s="7">
        <v>-10.7</v>
      </c>
      <c r="O395" s="2">
        <v>4</v>
      </c>
      <c r="P395" s="2">
        <v>0</v>
      </c>
      <c r="Q395" s="2">
        <v>3</v>
      </c>
      <c r="R395" s="2">
        <v>0</v>
      </c>
      <c r="S395" s="2">
        <v>1</v>
      </c>
      <c r="T395" s="2">
        <v>1</v>
      </c>
      <c r="U395" s="2">
        <v>28</v>
      </c>
      <c r="V395" s="2">
        <v>0</v>
      </c>
      <c r="W395" s="2">
        <v>3</v>
      </c>
    </row>
    <row r="396" spans="1:23" x14ac:dyDescent="0.2">
      <c r="A396" t="s">
        <v>452</v>
      </c>
      <c r="B396" s="2">
        <v>22</v>
      </c>
      <c r="C396" t="s">
        <v>114</v>
      </c>
      <c r="D396" s="2" t="s">
        <v>49</v>
      </c>
      <c r="E396" s="2">
        <v>11</v>
      </c>
      <c r="F396" s="2">
        <v>0</v>
      </c>
      <c r="G396" s="2">
        <v>56</v>
      </c>
      <c r="H396" s="2">
        <v>0</v>
      </c>
      <c r="I396" s="2">
        <v>0</v>
      </c>
      <c r="J396" s="2">
        <v>59</v>
      </c>
      <c r="K396" s="2">
        <v>41</v>
      </c>
      <c r="L396" s="2">
        <v>0</v>
      </c>
      <c r="M396" s="6">
        <v>17</v>
      </c>
      <c r="N396" s="6">
        <v>34.799999999999997</v>
      </c>
      <c r="O396" s="2">
        <v>1</v>
      </c>
      <c r="P396" s="2">
        <v>1</v>
      </c>
      <c r="Q396" s="2">
        <v>3</v>
      </c>
      <c r="R396" s="2">
        <v>0</v>
      </c>
      <c r="S396" s="2">
        <v>1</v>
      </c>
      <c r="T396" s="2">
        <v>0</v>
      </c>
      <c r="U396" s="2">
        <v>2</v>
      </c>
      <c r="V396" s="2">
        <v>0</v>
      </c>
      <c r="W396" s="2">
        <v>2</v>
      </c>
    </row>
    <row r="397" spans="1:23" x14ac:dyDescent="0.2">
      <c r="A397" t="s">
        <v>283</v>
      </c>
      <c r="B397" s="2">
        <v>23</v>
      </c>
      <c r="C397" t="s">
        <v>70</v>
      </c>
      <c r="D397" s="2" t="s">
        <v>27</v>
      </c>
      <c r="E397" s="2">
        <v>15</v>
      </c>
      <c r="F397" s="2">
        <v>15</v>
      </c>
      <c r="G397" s="2">
        <v>433</v>
      </c>
      <c r="H397" s="2">
        <v>0</v>
      </c>
      <c r="I397" s="2">
        <v>0</v>
      </c>
      <c r="J397" s="2">
        <v>0</v>
      </c>
      <c r="K397" s="2">
        <v>98</v>
      </c>
      <c r="L397" s="2">
        <v>2</v>
      </c>
      <c r="M397" s="7">
        <v>-6.7</v>
      </c>
      <c r="N397" s="7">
        <v>-5.6</v>
      </c>
      <c r="O397" s="2">
        <v>10</v>
      </c>
      <c r="P397" s="2">
        <v>8</v>
      </c>
      <c r="Q397" s="2">
        <v>9</v>
      </c>
      <c r="R397" s="2">
        <v>4</v>
      </c>
      <c r="S397" s="2">
        <v>11</v>
      </c>
      <c r="T397" s="2">
        <v>0</v>
      </c>
      <c r="U397" s="2">
        <v>86</v>
      </c>
      <c r="V397" s="2">
        <v>1</v>
      </c>
      <c r="W397" s="2">
        <v>11</v>
      </c>
    </row>
    <row r="398" spans="1:23" x14ac:dyDescent="0.2">
      <c r="A398" t="s">
        <v>436</v>
      </c>
      <c r="B398" s="2">
        <v>36</v>
      </c>
      <c r="C398" t="s">
        <v>120</v>
      </c>
      <c r="D398" s="2" t="s">
        <v>33</v>
      </c>
      <c r="E398" s="2">
        <v>9</v>
      </c>
      <c r="F398" s="2">
        <v>0</v>
      </c>
      <c r="G398" s="2">
        <v>138</v>
      </c>
      <c r="H398" s="2">
        <v>90</v>
      </c>
      <c r="I398" s="2">
        <v>10</v>
      </c>
      <c r="J398" s="2">
        <v>0</v>
      </c>
      <c r="K398" s="2">
        <v>0</v>
      </c>
      <c r="L398" s="2">
        <v>0</v>
      </c>
      <c r="M398" s="6">
        <v>3.7</v>
      </c>
      <c r="N398" s="6">
        <v>15.2</v>
      </c>
      <c r="O398" s="2">
        <v>8</v>
      </c>
      <c r="P398" s="2">
        <v>0</v>
      </c>
      <c r="Q398" s="2">
        <v>4</v>
      </c>
      <c r="R398" s="2">
        <v>0</v>
      </c>
      <c r="S398" s="2">
        <v>1</v>
      </c>
      <c r="T398" s="2">
        <v>5</v>
      </c>
      <c r="U398" s="2">
        <v>31</v>
      </c>
      <c r="V398" s="2">
        <v>0</v>
      </c>
      <c r="W398" s="2">
        <v>0</v>
      </c>
    </row>
    <row r="399" spans="1:23" x14ac:dyDescent="0.2">
      <c r="A399" t="s">
        <v>239</v>
      </c>
      <c r="B399" s="2">
        <v>34</v>
      </c>
      <c r="C399" t="s">
        <v>122</v>
      </c>
      <c r="D399" s="2" t="s">
        <v>27</v>
      </c>
      <c r="E399" s="2">
        <v>12</v>
      </c>
      <c r="F399" s="2">
        <v>12</v>
      </c>
      <c r="G399" s="2">
        <v>367</v>
      </c>
      <c r="H399" s="2">
        <v>0</v>
      </c>
      <c r="I399" s="2">
        <v>0</v>
      </c>
      <c r="J399" s="2">
        <v>9</v>
      </c>
      <c r="K399" s="2">
        <v>88</v>
      </c>
      <c r="L399" s="2">
        <v>3</v>
      </c>
      <c r="M399" s="7">
        <v>-3.2</v>
      </c>
      <c r="N399" s="6">
        <v>2.5</v>
      </c>
      <c r="O399" s="2">
        <v>17</v>
      </c>
      <c r="P399" s="2">
        <v>8</v>
      </c>
      <c r="Q399" s="2">
        <v>10</v>
      </c>
      <c r="R399" s="2">
        <v>4</v>
      </c>
      <c r="S399" s="2">
        <v>19</v>
      </c>
      <c r="T399" s="2">
        <v>1</v>
      </c>
      <c r="U399" s="2">
        <v>151</v>
      </c>
      <c r="V399" s="2">
        <v>4</v>
      </c>
      <c r="W399" s="2">
        <v>5</v>
      </c>
    </row>
    <row r="400" spans="1:23" x14ac:dyDescent="0.2">
      <c r="A400" t="s">
        <v>392</v>
      </c>
      <c r="B400" s="2">
        <v>25</v>
      </c>
      <c r="C400" t="s">
        <v>75</v>
      </c>
      <c r="D400" s="2" t="s">
        <v>42</v>
      </c>
      <c r="E400" s="2">
        <v>12</v>
      </c>
      <c r="F400" s="2">
        <v>0</v>
      </c>
      <c r="G400" s="2">
        <v>125</v>
      </c>
      <c r="H400" s="2">
        <v>0</v>
      </c>
      <c r="I400" s="2">
        <v>0</v>
      </c>
      <c r="J400" s="2">
        <v>0</v>
      </c>
      <c r="K400" s="2">
        <v>8</v>
      </c>
      <c r="L400" s="2">
        <v>92</v>
      </c>
      <c r="M400" s="7">
        <v>-4.0999999999999996</v>
      </c>
      <c r="N400" s="7">
        <v>-0.6</v>
      </c>
      <c r="O400" s="2">
        <v>4</v>
      </c>
      <c r="P400" s="2">
        <v>2</v>
      </c>
      <c r="Q400" s="2">
        <v>12</v>
      </c>
      <c r="R400" s="2">
        <v>1</v>
      </c>
      <c r="S400" s="2">
        <v>6</v>
      </c>
      <c r="T400" s="2">
        <v>0</v>
      </c>
      <c r="U400" s="2">
        <v>18</v>
      </c>
      <c r="V400" s="2">
        <v>1</v>
      </c>
      <c r="W400" s="2">
        <v>1</v>
      </c>
    </row>
    <row r="401" spans="1:23" x14ac:dyDescent="0.2">
      <c r="A401" t="s">
        <v>111</v>
      </c>
      <c r="B401" s="2">
        <v>27</v>
      </c>
      <c r="C401" t="s">
        <v>39</v>
      </c>
      <c r="D401" s="2" t="s">
        <v>33</v>
      </c>
      <c r="E401" s="2">
        <v>25</v>
      </c>
      <c r="F401" s="2">
        <v>0</v>
      </c>
      <c r="G401" s="2">
        <v>709</v>
      </c>
      <c r="H401" s="2">
        <v>100</v>
      </c>
      <c r="I401" s="2">
        <v>0</v>
      </c>
      <c r="J401" s="2">
        <v>0</v>
      </c>
      <c r="K401" s="2">
        <v>0</v>
      </c>
      <c r="L401" s="2">
        <v>0</v>
      </c>
      <c r="M401" s="6">
        <v>8.6</v>
      </c>
      <c r="N401" s="7">
        <v>-2.6</v>
      </c>
      <c r="O401" s="2">
        <v>10</v>
      </c>
      <c r="P401" s="2">
        <v>9</v>
      </c>
      <c r="Q401" s="2">
        <v>18</v>
      </c>
      <c r="R401" s="2">
        <v>1</v>
      </c>
      <c r="S401" s="2">
        <v>11</v>
      </c>
      <c r="T401" s="2">
        <v>3</v>
      </c>
      <c r="U401" s="2">
        <v>197</v>
      </c>
      <c r="V401" s="2">
        <v>3</v>
      </c>
      <c r="W401" s="2">
        <v>11</v>
      </c>
    </row>
    <row r="402" spans="1:23" x14ac:dyDescent="0.2">
      <c r="A402" t="s">
        <v>354</v>
      </c>
      <c r="B402" s="2">
        <v>23</v>
      </c>
      <c r="C402" t="s">
        <v>61</v>
      </c>
      <c r="D402" s="2" t="s">
        <v>52</v>
      </c>
      <c r="E402" s="2">
        <v>15</v>
      </c>
      <c r="F402" s="2">
        <v>0</v>
      </c>
      <c r="G402" s="2">
        <v>245</v>
      </c>
      <c r="H402" s="2">
        <v>10</v>
      </c>
      <c r="I402" s="2">
        <v>54</v>
      </c>
      <c r="J402" s="2">
        <v>35</v>
      </c>
      <c r="K402" s="2">
        <v>1</v>
      </c>
      <c r="L402" s="2">
        <v>0</v>
      </c>
      <c r="M402" s="6">
        <v>8.1</v>
      </c>
      <c r="N402" s="6">
        <v>5.9</v>
      </c>
      <c r="O402" s="2">
        <v>6</v>
      </c>
      <c r="P402" s="2">
        <v>1</v>
      </c>
      <c r="Q402" s="2">
        <v>20</v>
      </c>
      <c r="R402" s="2">
        <v>0</v>
      </c>
      <c r="S402" s="2">
        <v>10</v>
      </c>
      <c r="T402" s="2">
        <v>0</v>
      </c>
      <c r="U402" s="2">
        <v>57</v>
      </c>
      <c r="V402" s="2">
        <v>2</v>
      </c>
      <c r="W402" s="2">
        <v>1</v>
      </c>
    </row>
    <row r="403" spans="1:23" x14ac:dyDescent="0.2">
      <c r="A403" t="s">
        <v>238</v>
      </c>
      <c r="B403" s="2">
        <v>22</v>
      </c>
      <c r="C403" t="s">
        <v>46</v>
      </c>
      <c r="D403" s="2" t="s">
        <v>49</v>
      </c>
      <c r="E403" s="2">
        <v>22</v>
      </c>
      <c r="F403" s="2">
        <v>12</v>
      </c>
      <c r="G403" s="2">
        <v>547</v>
      </c>
      <c r="H403" s="2">
        <v>0</v>
      </c>
      <c r="I403" s="2">
        <v>0</v>
      </c>
      <c r="J403" s="2">
        <v>72</v>
      </c>
      <c r="K403" s="2">
        <v>27</v>
      </c>
      <c r="L403" s="2">
        <v>0</v>
      </c>
      <c r="M403" s="6">
        <v>0.5</v>
      </c>
      <c r="N403" s="7">
        <v>-3.6</v>
      </c>
      <c r="O403" s="2">
        <v>10</v>
      </c>
      <c r="P403" s="2">
        <v>4</v>
      </c>
      <c r="Q403" s="2">
        <v>29</v>
      </c>
      <c r="R403" s="2">
        <v>2</v>
      </c>
      <c r="S403" s="2">
        <v>19</v>
      </c>
      <c r="T403" s="2">
        <v>1</v>
      </c>
      <c r="U403" s="2">
        <v>66</v>
      </c>
      <c r="V403" s="2">
        <v>3</v>
      </c>
      <c r="W403" s="2">
        <v>15</v>
      </c>
    </row>
    <row r="404" spans="1:23" x14ac:dyDescent="0.2">
      <c r="A404" t="s">
        <v>506</v>
      </c>
      <c r="B404" s="2">
        <v>28</v>
      </c>
      <c r="C404" t="s">
        <v>51</v>
      </c>
      <c r="D404" s="2" t="s">
        <v>52</v>
      </c>
      <c r="E404" s="2">
        <v>7</v>
      </c>
      <c r="F404" s="2">
        <v>0</v>
      </c>
      <c r="G404" s="2">
        <v>30</v>
      </c>
      <c r="H404" s="2">
        <v>0</v>
      </c>
      <c r="I404" s="2">
        <v>100</v>
      </c>
      <c r="J404" s="2">
        <v>0</v>
      </c>
      <c r="K404" s="2">
        <v>0</v>
      </c>
      <c r="L404" s="2">
        <v>0</v>
      </c>
      <c r="M404" s="6">
        <v>0.1</v>
      </c>
      <c r="N404" s="7">
        <v>-3.9</v>
      </c>
      <c r="O404" s="2">
        <v>1</v>
      </c>
      <c r="P404" s="2">
        <v>0</v>
      </c>
      <c r="Q404" s="2">
        <v>1</v>
      </c>
      <c r="R404" s="2">
        <v>0</v>
      </c>
      <c r="S404" s="2">
        <v>2</v>
      </c>
      <c r="T404" s="2">
        <v>0</v>
      </c>
      <c r="U404" s="2">
        <v>10</v>
      </c>
      <c r="V404" s="2">
        <v>0</v>
      </c>
      <c r="W404" s="2">
        <v>0</v>
      </c>
    </row>
    <row r="405" spans="1:23" x14ac:dyDescent="0.2">
      <c r="A405" t="s">
        <v>525</v>
      </c>
      <c r="B405" s="2">
        <v>22</v>
      </c>
      <c r="C405" t="s">
        <v>46</v>
      </c>
      <c r="D405" s="2" t="s">
        <v>42</v>
      </c>
      <c r="E405" s="2">
        <v>5</v>
      </c>
      <c r="F405" s="2">
        <v>0</v>
      </c>
      <c r="G405" s="2">
        <v>11</v>
      </c>
      <c r="H405" s="2">
        <v>0</v>
      </c>
      <c r="I405" s="2">
        <v>0</v>
      </c>
      <c r="J405" s="2">
        <v>0</v>
      </c>
      <c r="K405" s="2">
        <v>0</v>
      </c>
      <c r="L405" s="2">
        <v>100</v>
      </c>
      <c r="M405" s="6">
        <v>4.8</v>
      </c>
      <c r="N405" s="6">
        <v>2.5</v>
      </c>
      <c r="O405" s="2">
        <v>0</v>
      </c>
      <c r="P405" s="2">
        <v>0</v>
      </c>
      <c r="Q405" s="2">
        <v>0</v>
      </c>
      <c r="R405" s="2">
        <v>0</v>
      </c>
      <c r="S405" s="2">
        <v>0</v>
      </c>
      <c r="T405" s="2">
        <v>0</v>
      </c>
      <c r="U405" s="2">
        <v>0</v>
      </c>
      <c r="V405" s="2">
        <v>0</v>
      </c>
      <c r="W405" s="2">
        <v>0</v>
      </c>
    </row>
    <row r="406" spans="1:23" x14ac:dyDescent="0.2">
      <c r="A406" t="s">
        <v>479</v>
      </c>
      <c r="B406" s="2">
        <v>25</v>
      </c>
      <c r="C406" t="s">
        <v>44</v>
      </c>
      <c r="D406" s="2" t="s">
        <v>27</v>
      </c>
      <c r="E406" s="2">
        <v>4</v>
      </c>
      <c r="F406" s="2">
        <v>0</v>
      </c>
      <c r="G406" s="2">
        <v>75</v>
      </c>
      <c r="H406" s="2">
        <v>0</v>
      </c>
      <c r="I406" s="2">
        <v>0</v>
      </c>
      <c r="J406" s="2">
        <v>0</v>
      </c>
      <c r="K406" s="2">
        <v>30</v>
      </c>
      <c r="L406" s="2">
        <v>70</v>
      </c>
      <c r="M406" s="6">
        <v>15.7</v>
      </c>
      <c r="N406" s="6">
        <v>9.6999999999999993</v>
      </c>
      <c r="O406" s="2">
        <v>0</v>
      </c>
      <c r="P406" s="2">
        <v>2</v>
      </c>
      <c r="Q406" s="2">
        <v>3</v>
      </c>
      <c r="R406" s="2">
        <v>1</v>
      </c>
      <c r="S406" s="2">
        <v>5</v>
      </c>
      <c r="T406" s="2">
        <v>0</v>
      </c>
      <c r="U406" s="2">
        <v>14</v>
      </c>
      <c r="V406" s="2">
        <v>2</v>
      </c>
      <c r="W406" s="2">
        <v>1</v>
      </c>
    </row>
    <row r="407" spans="1:23" x14ac:dyDescent="0.2">
      <c r="A407" t="s">
        <v>237</v>
      </c>
      <c r="B407" s="2">
        <v>24</v>
      </c>
      <c r="C407" t="s">
        <v>63</v>
      </c>
      <c r="D407" s="2" t="s">
        <v>52</v>
      </c>
      <c r="E407" s="2">
        <v>23</v>
      </c>
      <c r="F407" s="2">
        <v>8</v>
      </c>
      <c r="G407" s="2">
        <v>468</v>
      </c>
      <c r="H407" s="2">
        <v>0</v>
      </c>
      <c r="I407" s="2">
        <v>40</v>
      </c>
      <c r="J407" s="2">
        <v>57</v>
      </c>
      <c r="K407" s="2">
        <v>3</v>
      </c>
      <c r="L407" s="2">
        <v>0</v>
      </c>
      <c r="M407" s="6">
        <v>11.6</v>
      </c>
      <c r="N407" s="6">
        <v>8.3000000000000007</v>
      </c>
      <c r="O407" s="2">
        <v>12</v>
      </c>
      <c r="P407" s="2">
        <v>9</v>
      </c>
      <c r="Q407" s="2">
        <v>11</v>
      </c>
      <c r="R407" s="2">
        <v>3</v>
      </c>
      <c r="S407" s="2">
        <v>17</v>
      </c>
      <c r="T407" s="2">
        <v>6</v>
      </c>
      <c r="U407" s="2">
        <v>84</v>
      </c>
      <c r="V407" s="2">
        <v>6</v>
      </c>
      <c r="W407" s="2">
        <v>3</v>
      </c>
    </row>
    <row r="408" spans="1:23" x14ac:dyDescent="0.2">
      <c r="A408" t="s">
        <v>344</v>
      </c>
      <c r="B408" s="2">
        <v>26</v>
      </c>
      <c r="C408" t="s">
        <v>82</v>
      </c>
      <c r="D408" s="2" t="s">
        <v>33</v>
      </c>
      <c r="E408" s="2">
        <v>14</v>
      </c>
      <c r="F408" s="2">
        <v>7</v>
      </c>
      <c r="G408" s="2">
        <v>240</v>
      </c>
      <c r="H408" s="2">
        <v>84</v>
      </c>
      <c r="I408" s="2">
        <v>16</v>
      </c>
      <c r="J408" s="2">
        <v>0</v>
      </c>
      <c r="K408" s="2">
        <v>0</v>
      </c>
      <c r="L408" s="2">
        <v>0</v>
      </c>
      <c r="M408" s="7">
        <v>-5.3</v>
      </c>
      <c r="N408" s="7">
        <v>-1.5</v>
      </c>
      <c r="O408" s="2">
        <v>4</v>
      </c>
      <c r="P408" s="2">
        <v>2</v>
      </c>
      <c r="Q408" s="2">
        <v>13</v>
      </c>
      <c r="R408" s="2">
        <v>3</v>
      </c>
      <c r="S408" s="2">
        <v>8</v>
      </c>
      <c r="T408" s="2">
        <v>13</v>
      </c>
      <c r="U408" s="2">
        <v>64</v>
      </c>
      <c r="V408" s="2">
        <v>3</v>
      </c>
      <c r="W408" s="2">
        <v>9</v>
      </c>
    </row>
    <row r="409" spans="1:23" x14ac:dyDescent="0.2">
      <c r="A409" t="s">
        <v>539</v>
      </c>
      <c r="B409" s="2">
        <v>23</v>
      </c>
      <c r="C409" t="s">
        <v>41</v>
      </c>
      <c r="D409" s="2" t="s">
        <v>33</v>
      </c>
      <c r="E409" s="2">
        <v>1</v>
      </c>
      <c r="F409" s="2">
        <v>0</v>
      </c>
      <c r="G409" s="2">
        <v>8</v>
      </c>
      <c r="H409" s="2">
        <v>32</v>
      </c>
      <c r="I409" s="2">
        <v>68</v>
      </c>
      <c r="J409" s="2">
        <v>0</v>
      </c>
      <c r="K409" s="2">
        <v>0</v>
      </c>
      <c r="L409" s="2">
        <v>0</v>
      </c>
      <c r="M409" s="7">
        <v>-71.7</v>
      </c>
      <c r="N409" s="7">
        <v>-69</v>
      </c>
      <c r="O409" s="2">
        <v>1</v>
      </c>
      <c r="P409" s="2">
        <v>0</v>
      </c>
      <c r="Q409" s="2">
        <v>0</v>
      </c>
      <c r="R409" s="2">
        <v>0</v>
      </c>
      <c r="S409" s="2">
        <v>0</v>
      </c>
      <c r="T409" s="2">
        <v>0</v>
      </c>
      <c r="U409" s="2">
        <v>0</v>
      </c>
      <c r="V409" s="2">
        <v>0</v>
      </c>
      <c r="W409" s="2">
        <v>0</v>
      </c>
    </row>
    <row r="410" spans="1:23" x14ac:dyDescent="0.2">
      <c r="A410" t="s">
        <v>374</v>
      </c>
      <c r="B410" s="2">
        <v>20</v>
      </c>
      <c r="C410" t="s">
        <v>135</v>
      </c>
      <c r="D410" s="2" t="s">
        <v>52</v>
      </c>
      <c r="E410" s="2">
        <v>21</v>
      </c>
      <c r="F410" s="2">
        <v>0</v>
      </c>
      <c r="G410" s="2">
        <v>223</v>
      </c>
      <c r="H410" s="2">
        <v>1</v>
      </c>
      <c r="I410" s="2">
        <v>56</v>
      </c>
      <c r="J410" s="2">
        <v>42</v>
      </c>
      <c r="K410" s="2">
        <v>1</v>
      </c>
      <c r="L410" s="2">
        <v>0</v>
      </c>
      <c r="M410" s="7">
        <v>-10.9</v>
      </c>
      <c r="N410" s="7">
        <v>-1.6</v>
      </c>
      <c r="O410" s="2">
        <v>6</v>
      </c>
      <c r="P410" s="2">
        <v>5</v>
      </c>
      <c r="Q410" s="2">
        <v>8</v>
      </c>
      <c r="R410" s="2">
        <v>0</v>
      </c>
      <c r="S410" s="2">
        <v>6</v>
      </c>
      <c r="T410" s="2">
        <v>2</v>
      </c>
      <c r="U410" s="2">
        <v>27</v>
      </c>
      <c r="V410" s="2">
        <v>2</v>
      </c>
      <c r="W410" s="2">
        <v>9</v>
      </c>
    </row>
    <row r="411" spans="1:23" x14ac:dyDescent="0.2">
      <c r="A411" t="s">
        <v>543</v>
      </c>
      <c r="B411" s="2">
        <v>23</v>
      </c>
      <c r="C411" t="s">
        <v>100</v>
      </c>
      <c r="D411" s="2" t="s">
        <v>33</v>
      </c>
      <c r="E411" s="2">
        <v>2</v>
      </c>
      <c r="F411" s="2">
        <v>0</v>
      </c>
      <c r="G411" s="2">
        <v>4</v>
      </c>
      <c r="H411" s="2">
        <v>100</v>
      </c>
      <c r="I411" s="2">
        <v>0</v>
      </c>
      <c r="J411" s="2">
        <v>0</v>
      </c>
      <c r="K411" s="2">
        <v>0</v>
      </c>
      <c r="L411" s="2">
        <v>0</v>
      </c>
      <c r="M411" s="6">
        <v>21.4</v>
      </c>
      <c r="N411" s="6">
        <v>16.600000000000001</v>
      </c>
      <c r="O411" s="2">
        <v>0</v>
      </c>
      <c r="P411" s="2">
        <v>0</v>
      </c>
      <c r="Q411" s="2">
        <v>1</v>
      </c>
      <c r="R411" s="2">
        <v>0</v>
      </c>
      <c r="S411" s="2">
        <v>0</v>
      </c>
      <c r="T411" s="2">
        <v>0</v>
      </c>
      <c r="U411" s="2">
        <v>2</v>
      </c>
      <c r="V411" s="2">
        <v>0</v>
      </c>
      <c r="W411" s="2">
        <v>0</v>
      </c>
    </row>
    <row r="412" spans="1:23" x14ac:dyDescent="0.2">
      <c r="A412" t="s">
        <v>352</v>
      </c>
      <c r="B412" s="2">
        <v>20</v>
      </c>
      <c r="C412" t="s">
        <v>87</v>
      </c>
      <c r="D412" s="2" t="s">
        <v>33</v>
      </c>
      <c r="E412" s="2">
        <v>24</v>
      </c>
      <c r="F412" s="2">
        <v>0</v>
      </c>
      <c r="G412" s="2">
        <v>282</v>
      </c>
      <c r="H412" s="2">
        <v>61</v>
      </c>
      <c r="I412" s="2">
        <v>40</v>
      </c>
      <c r="J412" s="2">
        <v>0</v>
      </c>
      <c r="K412" s="2">
        <v>0</v>
      </c>
      <c r="L412" s="2">
        <v>0</v>
      </c>
      <c r="M412" s="6">
        <v>0.7</v>
      </c>
      <c r="N412" s="7">
        <v>-7.9</v>
      </c>
      <c r="O412" s="2">
        <v>6</v>
      </c>
      <c r="P412" s="2">
        <v>6</v>
      </c>
      <c r="Q412" s="2">
        <v>18</v>
      </c>
      <c r="R412" s="2">
        <v>0</v>
      </c>
      <c r="S412" s="2">
        <v>1</v>
      </c>
      <c r="T412" s="2">
        <v>0</v>
      </c>
      <c r="U412" s="2">
        <v>76</v>
      </c>
      <c r="V412" s="2">
        <v>0</v>
      </c>
      <c r="W412" s="2">
        <v>5</v>
      </c>
    </row>
    <row r="413" spans="1:23" x14ac:dyDescent="0.2">
      <c r="A413" t="s">
        <v>416</v>
      </c>
      <c r="B413" s="2">
        <v>34</v>
      </c>
      <c r="C413" t="s">
        <v>122</v>
      </c>
      <c r="D413" s="2" t="s">
        <v>33</v>
      </c>
      <c r="E413" s="2">
        <v>10</v>
      </c>
      <c r="F413" s="2">
        <v>0</v>
      </c>
      <c r="G413" s="2">
        <v>119</v>
      </c>
      <c r="H413" s="2">
        <v>92</v>
      </c>
      <c r="I413" s="2">
        <v>8</v>
      </c>
      <c r="J413" s="2">
        <v>0</v>
      </c>
      <c r="K413" s="2">
        <v>0</v>
      </c>
      <c r="L413" s="2">
        <v>0</v>
      </c>
      <c r="M413" s="7">
        <v>-2.4</v>
      </c>
      <c r="N413" s="6">
        <v>2.7</v>
      </c>
      <c r="O413" s="2">
        <v>6</v>
      </c>
      <c r="P413" s="2">
        <v>0</v>
      </c>
      <c r="Q413" s="2">
        <v>3</v>
      </c>
      <c r="R413" s="2">
        <v>0</v>
      </c>
      <c r="S413" s="2">
        <v>0</v>
      </c>
      <c r="T413" s="2">
        <v>0</v>
      </c>
      <c r="U413" s="2">
        <v>50</v>
      </c>
      <c r="V413" s="2">
        <v>0</v>
      </c>
      <c r="W413" s="2">
        <v>2</v>
      </c>
    </row>
    <row r="414" spans="1:23" x14ac:dyDescent="0.2">
      <c r="A414" t="s">
        <v>493</v>
      </c>
      <c r="B414" s="2">
        <v>31</v>
      </c>
      <c r="C414" t="s">
        <v>114</v>
      </c>
      <c r="D414" s="2" t="s">
        <v>27</v>
      </c>
      <c r="E414" s="2">
        <v>3</v>
      </c>
      <c r="F414" s="2">
        <v>0</v>
      </c>
      <c r="G414" s="2">
        <v>20</v>
      </c>
      <c r="H414" s="2">
        <v>0</v>
      </c>
      <c r="I414" s="2">
        <v>0</v>
      </c>
      <c r="J414" s="2">
        <v>0</v>
      </c>
      <c r="K414" s="2">
        <v>0</v>
      </c>
      <c r="L414" s="2">
        <v>100</v>
      </c>
      <c r="M414" s="7">
        <v>-9.3000000000000007</v>
      </c>
      <c r="N414" s="6">
        <v>6.8</v>
      </c>
      <c r="O414" s="2">
        <v>0</v>
      </c>
      <c r="P414" s="2">
        <v>1</v>
      </c>
      <c r="Q414" s="2">
        <v>1</v>
      </c>
      <c r="R414" s="2">
        <v>0</v>
      </c>
      <c r="S414" s="2">
        <v>1</v>
      </c>
      <c r="T414" s="2">
        <v>0</v>
      </c>
      <c r="U414" s="2">
        <v>0</v>
      </c>
      <c r="V414" s="2">
        <v>0</v>
      </c>
      <c r="W414" s="2">
        <v>0</v>
      </c>
    </row>
    <row r="415" spans="1:23" x14ac:dyDescent="0.2">
      <c r="A415" t="s">
        <v>369</v>
      </c>
      <c r="B415" s="2">
        <v>23</v>
      </c>
      <c r="C415" t="s">
        <v>122</v>
      </c>
      <c r="D415" s="2" t="s">
        <v>49</v>
      </c>
      <c r="E415" s="2">
        <v>17</v>
      </c>
      <c r="F415" s="2">
        <v>0</v>
      </c>
      <c r="G415" s="2">
        <v>200</v>
      </c>
      <c r="H415" s="2">
        <v>0</v>
      </c>
      <c r="I415" s="2">
        <v>17</v>
      </c>
      <c r="J415" s="2">
        <v>65</v>
      </c>
      <c r="K415" s="2">
        <v>18</v>
      </c>
      <c r="L415" s="2">
        <v>0</v>
      </c>
      <c r="M415" s="7">
        <v>-4.8</v>
      </c>
      <c r="N415" s="7">
        <v>-0.1</v>
      </c>
      <c r="O415" s="2">
        <v>0</v>
      </c>
      <c r="P415" s="2">
        <v>2</v>
      </c>
      <c r="Q415" s="2">
        <v>7</v>
      </c>
      <c r="R415" s="2">
        <v>1</v>
      </c>
      <c r="S415" s="2">
        <v>10</v>
      </c>
      <c r="T415" s="2">
        <v>1</v>
      </c>
      <c r="U415" s="2">
        <v>34</v>
      </c>
      <c r="V415" s="2">
        <v>1</v>
      </c>
      <c r="W415" s="2">
        <v>7</v>
      </c>
    </row>
    <row r="416" spans="1:23" x14ac:dyDescent="0.2">
      <c r="A416" t="s">
        <v>565</v>
      </c>
      <c r="B416" s="2">
        <v>24</v>
      </c>
      <c r="C416" t="s">
        <v>93</v>
      </c>
      <c r="D416" s="2" t="s">
        <v>49</v>
      </c>
      <c r="E416" s="2">
        <v>1</v>
      </c>
      <c r="F416" s="2">
        <v>0</v>
      </c>
      <c r="G416" s="2">
        <v>7</v>
      </c>
      <c r="H416" s="2">
        <v>0</v>
      </c>
      <c r="I416" s="2">
        <v>0</v>
      </c>
      <c r="J416" s="2">
        <v>0</v>
      </c>
      <c r="K416" s="2">
        <v>100</v>
      </c>
      <c r="L416" s="2">
        <v>0</v>
      </c>
      <c r="M416" s="6">
        <v>6.7</v>
      </c>
      <c r="N416" s="6">
        <v>9</v>
      </c>
      <c r="O416" s="2">
        <v>0</v>
      </c>
      <c r="P416" s="2">
        <v>0</v>
      </c>
      <c r="Q416" s="2">
        <v>0</v>
      </c>
      <c r="R416" s="2">
        <v>0</v>
      </c>
      <c r="S416" s="2">
        <v>0</v>
      </c>
      <c r="T416" s="2">
        <v>0</v>
      </c>
      <c r="U416" s="2">
        <v>0</v>
      </c>
      <c r="V416" s="2">
        <v>0</v>
      </c>
      <c r="W416" s="2">
        <v>0</v>
      </c>
    </row>
    <row r="417" spans="1:23" x14ac:dyDescent="0.2">
      <c r="A417" t="s">
        <v>65</v>
      </c>
      <c r="B417" s="2">
        <v>24</v>
      </c>
      <c r="C417" t="s">
        <v>66</v>
      </c>
      <c r="D417" s="2" t="s">
        <v>52</v>
      </c>
      <c r="E417" s="2">
        <v>23</v>
      </c>
      <c r="F417" s="2">
        <v>23</v>
      </c>
      <c r="G417" s="2">
        <v>787</v>
      </c>
      <c r="H417" s="2">
        <v>0</v>
      </c>
      <c r="I417" s="2">
        <v>15</v>
      </c>
      <c r="J417" s="2">
        <v>51</v>
      </c>
      <c r="K417" s="2">
        <v>33</v>
      </c>
      <c r="L417" s="2">
        <v>0</v>
      </c>
      <c r="M417" s="7">
        <v>-4.4000000000000004</v>
      </c>
      <c r="N417" s="6">
        <v>2</v>
      </c>
      <c r="O417" s="2">
        <v>44</v>
      </c>
      <c r="P417" s="2">
        <v>26</v>
      </c>
      <c r="Q417" s="2">
        <v>36</v>
      </c>
      <c r="R417" s="2">
        <v>2</v>
      </c>
      <c r="S417" s="2">
        <v>68</v>
      </c>
      <c r="T417" s="2">
        <v>6</v>
      </c>
      <c r="U417" s="2">
        <v>324</v>
      </c>
      <c r="V417" s="2">
        <v>12</v>
      </c>
      <c r="W417" s="2">
        <v>34</v>
      </c>
    </row>
    <row r="418" spans="1:23" x14ac:dyDescent="0.2">
      <c r="A418" t="s">
        <v>417</v>
      </c>
      <c r="B418" s="2">
        <v>20</v>
      </c>
      <c r="C418" t="s">
        <v>51</v>
      </c>
      <c r="D418" s="2" t="s">
        <v>33</v>
      </c>
      <c r="E418" s="2">
        <v>11</v>
      </c>
      <c r="F418" s="2">
        <v>0</v>
      </c>
      <c r="G418" s="2">
        <v>92</v>
      </c>
      <c r="H418" s="2">
        <v>100</v>
      </c>
      <c r="I418" s="2">
        <v>0</v>
      </c>
      <c r="J418" s="2">
        <v>0</v>
      </c>
      <c r="K418" s="2">
        <v>0</v>
      </c>
      <c r="L418" s="2">
        <v>0</v>
      </c>
      <c r="M418" s="7">
        <v>-7.3</v>
      </c>
      <c r="N418" s="7">
        <v>-12.2</v>
      </c>
      <c r="O418" s="2">
        <v>8</v>
      </c>
      <c r="P418" s="2">
        <v>2</v>
      </c>
      <c r="Q418" s="2">
        <v>2</v>
      </c>
      <c r="R418" s="2">
        <v>0</v>
      </c>
      <c r="S418" s="2">
        <v>0</v>
      </c>
      <c r="T418" s="2">
        <v>0</v>
      </c>
      <c r="U418" s="2">
        <v>36</v>
      </c>
      <c r="V418" s="2">
        <v>0</v>
      </c>
      <c r="W418" s="2">
        <v>1</v>
      </c>
    </row>
    <row r="419" spans="1:23" x14ac:dyDescent="0.2">
      <c r="A419" t="s">
        <v>381</v>
      </c>
      <c r="B419" s="2">
        <v>27</v>
      </c>
      <c r="C419" t="s">
        <v>135</v>
      </c>
      <c r="D419" s="2" t="s">
        <v>42</v>
      </c>
      <c r="E419" s="2">
        <v>7</v>
      </c>
      <c r="F419" s="2">
        <v>1</v>
      </c>
      <c r="G419" s="2">
        <v>131</v>
      </c>
      <c r="H419" s="2">
        <v>0</v>
      </c>
      <c r="I419" s="2">
        <v>0</v>
      </c>
      <c r="J419" s="2">
        <v>0</v>
      </c>
      <c r="K419" s="2">
        <v>8</v>
      </c>
      <c r="L419" s="2">
        <v>92</v>
      </c>
      <c r="M419" s="7">
        <v>-9.8000000000000007</v>
      </c>
      <c r="N419" s="7">
        <v>-0.3</v>
      </c>
      <c r="O419" s="2">
        <v>5</v>
      </c>
      <c r="P419" s="2">
        <v>1</v>
      </c>
      <c r="Q419" s="2">
        <v>4</v>
      </c>
      <c r="R419" s="2">
        <v>1</v>
      </c>
      <c r="S419" s="2">
        <v>7</v>
      </c>
      <c r="T419" s="2">
        <v>0</v>
      </c>
      <c r="U419" s="2">
        <v>24</v>
      </c>
      <c r="V419" s="2">
        <v>3</v>
      </c>
      <c r="W419" s="2">
        <v>3</v>
      </c>
    </row>
    <row r="420" spans="1:23" x14ac:dyDescent="0.2">
      <c r="A420" t="s">
        <v>267</v>
      </c>
      <c r="B420" s="2">
        <v>19</v>
      </c>
      <c r="C420" t="s">
        <v>75</v>
      </c>
      <c r="D420" s="2" t="s">
        <v>49</v>
      </c>
      <c r="E420" s="2">
        <v>26</v>
      </c>
      <c r="F420" s="2">
        <v>1</v>
      </c>
      <c r="G420" s="2">
        <v>418</v>
      </c>
      <c r="H420" s="2">
        <v>0</v>
      </c>
      <c r="I420" s="2">
        <v>2</v>
      </c>
      <c r="J420" s="2">
        <v>80</v>
      </c>
      <c r="K420" s="2">
        <v>18</v>
      </c>
      <c r="L420" s="2">
        <v>0</v>
      </c>
      <c r="M420" s="7">
        <v>-4.3</v>
      </c>
      <c r="N420" s="7">
        <v>-1.1000000000000001</v>
      </c>
      <c r="O420" s="2">
        <v>9</v>
      </c>
      <c r="P420" s="2">
        <v>13</v>
      </c>
      <c r="Q420" s="2">
        <v>19</v>
      </c>
      <c r="R420" s="2">
        <v>2</v>
      </c>
      <c r="S420" s="2">
        <v>18</v>
      </c>
      <c r="T420" s="2">
        <v>2</v>
      </c>
      <c r="U420" s="2">
        <v>48</v>
      </c>
      <c r="V420" s="2">
        <v>6</v>
      </c>
      <c r="W420" s="2">
        <v>10</v>
      </c>
    </row>
    <row r="421" spans="1:23" x14ac:dyDescent="0.2">
      <c r="A421" t="s">
        <v>190</v>
      </c>
      <c r="B421" s="2">
        <v>31</v>
      </c>
      <c r="C421" t="s">
        <v>54</v>
      </c>
      <c r="D421" s="2" t="s">
        <v>49</v>
      </c>
      <c r="E421" s="2">
        <v>23</v>
      </c>
      <c r="F421" s="2">
        <v>5</v>
      </c>
      <c r="G421" s="2">
        <v>595</v>
      </c>
      <c r="H421" s="2">
        <v>0</v>
      </c>
      <c r="I421" s="2">
        <v>3</v>
      </c>
      <c r="J421" s="2">
        <v>48</v>
      </c>
      <c r="K421" s="2">
        <v>49</v>
      </c>
      <c r="L421" s="2">
        <v>1</v>
      </c>
      <c r="M421" s="6">
        <v>1.6</v>
      </c>
      <c r="N421" s="6">
        <v>5.0999999999999996</v>
      </c>
      <c r="O421" s="2">
        <v>15</v>
      </c>
      <c r="P421" s="2">
        <v>5</v>
      </c>
      <c r="Q421" s="2">
        <v>32</v>
      </c>
      <c r="R421" s="2">
        <v>2</v>
      </c>
      <c r="S421" s="2">
        <v>9</v>
      </c>
      <c r="T421" s="2">
        <v>1</v>
      </c>
      <c r="U421" s="2">
        <v>122</v>
      </c>
      <c r="V421" s="2">
        <v>1</v>
      </c>
      <c r="W421" s="2">
        <v>7</v>
      </c>
    </row>
    <row r="422" spans="1:23" x14ac:dyDescent="0.2">
      <c r="A422" t="s">
        <v>197</v>
      </c>
      <c r="B422" s="2">
        <v>32</v>
      </c>
      <c r="C422" t="s">
        <v>51</v>
      </c>
      <c r="D422" s="2" t="s">
        <v>42</v>
      </c>
      <c r="E422" s="2">
        <v>23</v>
      </c>
      <c r="F422" s="2">
        <v>23</v>
      </c>
      <c r="G422" s="2">
        <v>788</v>
      </c>
      <c r="H422" s="2">
        <v>0</v>
      </c>
      <c r="I422" s="2">
        <v>0</v>
      </c>
      <c r="J422" s="2">
        <v>0</v>
      </c>
      <c r="K422" s="2">
        <v>0</v>
      </c>
      <c r="L422" s="2">
        <v>100</v>
      </c>
      <c r="M422" s="6">
        <v>5.8</v>
      </c>
      <c r="N422" s="6">
        <v>6.5</v>
      </c>
      <c r="O422" s="2">
        <v>9</v>
      </c>
      <c r="P422" s="2">
        <v>15</v>
      </c>
      <c r="Q422" s="2">
        <v>25</v>
      </c>
      <c r="R422" s="2">
        <v>13</v>
      </c>
      <c r="S422" s="2">
        <v>38</v>
      </c>
      <c r="T422" s="2">
        <v>9</v>
      </c>
      <c r="U422" s="2">
        <v>122</v>
      </c>
      <c r="V422" s="2">
        <v>7</v>
      </c>
      <c r="W422" s="2">
        <v>19</v>
      </c>
    </row>
    <row r="423" spans="1:23" x14ac:dyDescent="0.2">
      <c r="A423" t="s">
        <v>202</v>
      </c>
      <c r="B423" s="2">
        <v>26</v>
      </c>
      <c r="C423" t="s">
        <v>41</v>
      </c>
      <c r="D423" s="2" t="s">
        <v>27</v>
      </c>
      <c r="E423" s="2">
        <v>19</v>
      </c>
      <c r="F423" s="2">
        <v>19</v>
      </c>
      <c r="G423" s="2">
        <v>616</v>
      </c>
      <c r="H423" s="2">
        <v>0</v>
      </c>
      <c r="I423" s="2">
        <v>0</v>
      </c>
      <c r="J423" s="2">
        <v>0</v>
      </c>
      <c r="K423" s="2">
        <v>95</v>
      </c>
      <c r="L423" s="2">
        <v>5</v>
      </c>
      <c r="M423" s="6">
        <v>1.5</v>
      </c>
      <c r="N423" s="6">
        <v>9.8000000000000007</v>
      </c>
      <c r="O423" s="2">
        <v>7</v>
      </c>
      <c r="P423" s="2">
        <v>4</v>
      </c>
      <c r="Q423" s="2">
        <v>17</v>
      </c>
      <c r="R423" s="2">
        <v>0</v>
      </c>
      <c r="S423" s="2">
        <v>19</v>
      </c>
      <c r="T423" s="2">
        <v>3</v>
      </c>
      <c r="U423" s="2">
        <v>79</v>
      </c>
      <c r="V423" s="2">
        <v>4</v>
      </c>
      <c r="W423" s="2">
        <v>13</v>
      </c>
    </row>
    <row r="424" spans="1:23" x14ac:dyDescent="0.2">
      <c r="A424" t="s">
        <v>191</v>
      </c>
      <c r="B424" s="2">
        <v>36</v>
      </c>
      <c r="C424" t="s">
        <v>46</v>
      </c>
      <c r="D424" s="2" t="s">
        <v>33</v>
      </c>
      <c r="E424" s="2">
        <v>22</v>
      </c>
      <c r="F424" s="2">
        <v>5</v>
      </c>
      <c r="G424" s="2">
        <v>545</v>
      </c>
      <c r="H424" s="2">
        <v>100</v>
      </c>
      <c r="I424" s="2">
        <v>0</v>
      </c>
      <c r="J424" s="2">
        <v>0</v>
      </c>
      <c r="K424" s="2">
        <v>0</v>
      </c>
      <c r="L424" s="2">
        <v>0</v>
      </c>
      <c r="M424" s="7">
        <v>-7.9</v>
      </c>
      <c r="N424" s="7">
        <v>-21.3</v>
      </c>
      <c r="O424" s="2">
        <v>32</v>
      </c>
      <c r="P424" s="2">
        <v>11</v>
      </c>
      <c r="Q424" s="2">
        <v>18</v>
      </c>
      <c r="R424" s="2">
        <v>6</v>
      </c>
      <c r="S424" s="2">
        <v>35</v>
      </c>
      <c r="T424" s="2">
        <v>4</v>
      </c>
      <c r="U424" s="2">
        <v>315</v>
      </c>
      <c r="V424" s="2">
        <v>4</v>
      </c>
      <c r="W424" s="2">
        <v>20</v>
      </c>
    </row>
    <row r="425" spans="1:23" x14ac:dyDescent="0.2">
      <c r="A425" t="s">
        <v>318</v>
      </c>
      <c r="B425" s="2">
        <v>22</v>
      </c>
      <c r="C425" t="s">
        <v>54</v>
      </c>
      <c r="D425" s="2" t="s">
        <v>49</v>
      </c>
      <c r="E425" s="2">
        <v>19</v>
      </c>
      <c r="F425" s="2">
        <v>9</v>
      </c>
      <c r="G425" s="2">
        <v>339</v>
      </c>
      <c r="H425" s="2">
        <v>0</v>
      </c>
      <c r="I425" s="2">
        <v>0</v>
      </c>
      <c r="J425" s="2">
        <v>32</v>
      </c>
      <c r="K425" s="2">
        <v>66</v>
      </c>
      <c r="L425" s="2">
        <v>2</v>
      </c>
      <c r="M425" s="7">
        <v>-0.2</v>
      </c>
      <c r="N425" s="6">
        <v>0.9</v>
      </c>
      <c r="O425" s="2">
        <v>2</v>
      </c>
      <c r="P425" s="2">
        <v>4</v>
      </c>
      <c r="Q425" s="2">
        <v>29</v>
      </c>
      <c r="R425" s="2">
        <v>3</v>
      </c>
      <c r="S425" s="2">
        <v>4</v>
      </c>
      <c r="T425" s="2">
        <v>0</v>
      </c>
      <c r="U425" s="2">
        <v>40</v>
      </c>
      <c r="V425" s="2">
        <v>0</v>
      </c>
      <c r="W425" s="2">
        <v>3</v>
      </c>
    </row>
    <row r="426" spans="1:23" x14ac:dyDescent="0.2">
      <c r="A426" t="s">
        <v>439</v>
      </c>
      <c r="B426" s="2">
        <v>22</v>
      </c>
      <c r="C426" t="s">
        <v>35</v>
      </c>
      <c r="D426" s="2" t="s">
        <v>33</v>
      </c>
      <c r="E426" s="2">
        <v>11</v>
      </c>
      <c r="F426" s="2">
        <v>1</v>
      </c>
      <c r="G426" s="2">
        <v>72</v>
      </c>
      <c r="H426" s="2">
        <v>99</v>
      </c>
      <c r="I426" s="2">
        <v>1</v>
      </c>
      <c r="J426" s="2">
        <v>0</v>
      </c>
      <c r="K426" s="2">
        <v>0</v>
      </c>
      <c r="L426" s="2">
        <v>0</v>
      </c>
      <c r="M426" s="6">
        <v>29.3</v>
      </c>
      <c r="N426" s="6">
        <v>30.5</v>
      </c>
      <c r="O426" s="2">
        <v>4</v>
      </c>
      <c r="P426" s="2">
        <v>3</v>
      </c>
      <c r="Q426" s="2">
        <v>6</v>
      </c>
      <c r="R426" s="2">
        <v>0</v>
      </c>
      <c r="S426" s="2">
        <v>1</v>
      </c>
      <c r="T426" s="2">
        <v>3</v>
      </c>
      <c r="U426" s="2">
        <v>21</v>
      </c>
      <c r="V426" s="2">
        <v>0</v>
      </c>
      <c r="W426" s="2">
        <v>2</v>
      </c>
    </row>
    <row r="427" spans="1:23" x14ac:dyDescent="0.2">
      <c r="A427" t="s">
        <v>262</v>
      </c>
      <c r="B427" s="2">
        <v>27</v>
      </c>
      <c r="C427" t="s">
        <v>39</v>
      </c>
      <c r="D427" s="2" t="s">
        <v>27</v>
      </c>
      <c r="E427" s="2">
        <v>20</v>
      </c>
      <c r="F427" s="2">
        <v>2</v>
      </c>
      <c r="G427" s="2">
        <v>443</v>
      </c>
      <c r="H427" s="2">
        <v>0</v>
      </c>
      <c r="I427" s="2">
        <v>0</v>
      </c>
      <c r="J427" s="2">
        <v>21</v>
      </c>
      <c r="K427" s="2">
        <v>79</v>
      </c>
      <c r="L427" s="2">
        <v>0</v>
      </c>
      <c r="M427" s="6">
        <v>10.3</v>
      </c>
      <c r="N427" s="6">
        <v>0.8</v>
      </c>
      <c r="O427" s="2">
        <v>4</v>
      </c>
      <c r="P427" s="2">
        <v>4</v>
      </c>
      <c r="Q427" s="2">
        <v>8</v>
      </c>
      <c r="R427" s="2">
        <v>0</v>
      </c>
      <c r="S427" s="2">
        <v>2</v>
      </c>
      <c r="T427" s="2">
        <v>3</v>
      </c>
      <c r="U427" s="2">
        <v>56</v>
      </c>
      <c r="V427" s="2">
        <v>2</v>
      </c>
      <c r="W427" s="2">
        <v>1</v>
      </c>
    </row>
    <row r="428" spans="1:23" x14ac:dyDescent="0.2">
      <c r="A428" t="s">
        <v>281</v>
      </c>
      <c r="B428" s="2">
        <v>28</v>
      </c>
      <c r="C428" t="s">
        <v>57</v>
      </c>
      <c r="D428" s="2" t="s">
        <v>52</v>
      </c>
      <c r="E428" s="2">
        <v>21</v>
      </c>
      <c r="F428" s="2">
        <v>1</v>
      </c>
      <c r="G428" s="2">
        <v>417</v>
      </c>
      <c r="H428" s="2">
        <v>6</v>
      </c>
      <c r="I428" s="2">
        <v>85</v>
      </c>
      <c r="J428" s="2">
        <v>10</v>
      </c>
      <c r="K428" s="2">
        <v>0</v>
      </c>
      <c r="L428" s="2">
        <v>0</v>
      </c>
      <c r="M428" s="6">
        <v>9.1999999999999993</v>
      </c>
      <c r="N428" s="7">
        <v>-2.2999999999999998</v>
      </c>
      <c r="O428" s="2">
        <v>6</v>
      </c>
      <c r="P428" s="2">
        <v>0</v>
      </c>
      <c r="Q428" s="2">
        <v>20</v>
      </c>
      <c r="R428" s="2">
        <v>2</v>
      </c>
      <c r="S428" s="2">
        <v>1</v>
      </c>
      <c r="T428" s="2">
        <v>6</v>
      </c>
      <c r="U428" s="2">
        <v>91</v>
      </c>
      <c r="V428" s="2">
        <v>0</v>
      </c>
      <c r="W428" s="2">
        <v>3</v>
      </c>
    </row>
    <row r="429" spans="1:23" x14ac:dyDescent="0.2">
      <c r="A429" t="s">
        <v>360</v>
      </c>
      <c r="B429" s="2">
        <v>25</v>
      </c>
      <c r="C429" t="s">
        <v>93</v>
      </c>
      <c r="D429" s="2" t="s">
        <v>27</v>
      </c>
      <c r="E429" s="2">
        <v>17</v>
      </c>
      <c r="F429" s="2">
        <v>0</v>
      </c>
      <c r="G429" s="2">
        <v>160</v>
      </c>
      <c r="H429" s="2">
        <v>0</v>
      </c>
      <c r="I429" s="2">
        <v>0</v>
      </c>
      <c r="J429" s="2">
        <v>0</v>
      </c>
      <c r="K429" s="2">
        <v>87</v>
      </c>
      <c r="L429" s="2">
        <v>13</v>
      </c>
      <c r="M429" s="6">
        <v>4.7</v>
      </c>
      <c r="N429" s="6">
        <v>8.1999999999999993</v>
      </c>
      <c r="O429" s="2">
        <v>3</v>
      </c>
      <c r="P429" s="2">
        <v>3</v>
      </c>
      <c r="Q429" s="2">
        <v>8</v>
      </c>
      <c r="R429" s="2">
        <v>1</v>
      </c>
      <c r="S429" s="2">
        <v>6</v>
      </c>
      <c r="T429" s="2">
        <v>0</v>
      </c>
      <c r="U429" s="2">
        <v>14</v>
      </c>
      <c r="V429" s="2">
        <v>1</v>
      </c>
      <c r="W429" s="2">
        <v>0</v>
      </c>
    </row>
    <row r="430" spans="1:23" x14ac:dyDescent="0.2">
      <c r="A430" t="s">
        <v>145</v>
      </c>
      <c r="B430" s="2">
        <v>24</v>
      </c>
      <c r="C430" t="s">
        <v>80</v>
      </c>
      <c r="D430" s="2" t="s">
        <v>27</v>
      </c>
      <c r="E430" s="2">
        <v>25</v>
      </c>
      <c r="F430" s="2">
        <v>11</v>
      </c>
      <c r="G430" s="2">
        <v>672</v>
      </c>
      <c r="H430" s="2">
        <v>0</v>
      </c>
      <c r="I430" s="2">
        <v>0</v>
      </c>
      <c r="J430" s="2">
        <v>14</v>
      </c>
      <c r="K430" s="2">
        <v>75</v>
      </c>
      <c r="L430" s="2">
        <v>11</v>
      </c>
      <c r="M430" s="6">
        <v>8.6</v>
      </c>
      <c r="N430" s="7">
        <v>-0.3</v>
      </c>
      <c r="O430" s="2">
        <v>19</v>
      </c>
      <c r="P430" s="2">
        <v>7</v>
      </c>
      <c r="Q430" s="2">
        <v>15</v>
      </c>
      <c r="R430" s="2">
        <v>2</v>
      </c>
      <c r="S430" s="2">
        <v>16</v>
      </c>
      <c r="T430" s="2">
        <v>4</v>
      </c>
      <c r="U430" s="2">
        <v>197</v>
      </c>
      <c r="V430" s="2">
        <v>5</v>
      </c>
      <c r="W430" s="2">
        <v>8</v>
      </c>
    </row>
    <row r="431" spans="1:23" x14ac:dyDescent="0.2">
      <c r="A431" t="s">
        <v>231</v>
      </c>
      <c r="B431" s="2">
        <v>20</v>
      </c>
      <c r="C431" t="s">
        <v>135</v>
      </c>
      <c r="D431" s="2" t="s">
        <v>33</v>
      </c>
      <c r="E431" s="2">
        <v>17</v>
      </c>
      <c r="F431" s="2">
        <v>3</v>
      </c>
      <c r="G431" s="2">
        <v>445</v>
      </c>
      <c r="H431" s="2">
        <v>100</v>
      </c>
      <c r="I431" s="2">
        <v>0</v>
      </c>
      <c r="J431" s="2">
        <v>0</v>
      </c>
      <c r="K431" s="2">
        <v>0</v>
      </c>
      <c r="L431" s="2">
        <v>0</v>
      </c>
      <c r="M431" s="7">
        <v>-12.2</v>
      </c>
      <c r="N431" s="7">
        <v>-4.4000000000000004</v>
      </c>
      <c r="O431" s="2">
        <v>28</v>
      </c>
      <c r="P431" s="2">
        <v>16</v>
      </c>
      <c r="Q431" s="2">
        <v>14</v>
      </c>
      <c r="R431" s="2">
        <v>4</v>
      </c>
      <c r="S431" s="2">
        <v>18</v>
      </c>
      <c r="T431" s="2">
        <v>5</v>
      </c>
      <c r="U431" s="2">
        <v>209</v>
      </c>
      <c r="V431" s="2">
        <v>3</v>
      </c>
      <c r="W431" s="2">
        <v>14</v>
      </c>
    </row>
    <row r="432" spans="1:23" x14ac:dyDescent="0.2">
      <c r="A432" t="s">
        <v>167</v>
      </c>
      <c r="B432" s="2">
        <v>23</v>
      </c>
      <c r="C432" t="s">
        <v>66</v>
      </c>
      <c r="D432" s="2" t="s">
        <v>27</v>
      </c>
      <c r="E432" s="2">
        <v>14</v>
      </c>
      <c r="F432" s="2">
        <v>14</v>
      </c>
      <c r="G432" s="2">
        <v>465</v>
      </c>
      <c r="H432" s="2">
        <v>0</v>
      </c>
      <c r="I432" s="2">
        <v>0</v>
      </c>
      <c r="J432" s="2">
        <v>30</v>
      </c>
      <c r="K432" s="2">
        <v>69</v>
      </c>
      <c r="L432" s="2">
        <v>1</v>
      </c>
      <c r="M432" s="7">
        <v>-2.6</v>
      </c>
      <c r="N432" s="6">
        <v>4</v>
      </c>
      <c r="O432" s="2">
        <v>31</v>
      </c>
      <c r="P432" s="2">
        <v>12</v>
      </c>
      <c r="Q432" s="2">
        <v>13</v>
      </c>
      <c r="R432" s="2">
        <v>3</v>
      </c>
      <c r="S432" s="2">
        <v>25</v>
      </c>
      <c r="T432" s="2">
        <v>1</v>
      </c>
      <c r="U432" s="2">
        <v>248</v>
      </c>
      <c r="V432" s="2">
        <v>5</v>
      </c>
      <c r="W432" s="2">
        <v>11</v>
      </c>
    </row>
    <row r="433" spans="1:23" x14ac:dyDescent="0.2">
      <c r="A433" t="s">
        <v>181</v>
      </c>
      <c r="B433" s="2">
        <v>24</v>
      </c>
      <c r="C433" t="s">
        <v>80</v>
      </c>
      <c r="D433" s="2" t="s">
        <v>33</v>
      </c>
      <c r="E433" s="2">
        <v>25</v>
      </c>
      <c r="F433" s="2">
        <v>10</v>
      </c>
      <c r="G433" s="2">
        <v>583</v>
      </c>
      <c r="H433" s="2">
        <v>85</v>
      </c>
      <c r="I433" s="2">
        <v>15</v>
      </c>
      <c r="J433" s="2">
        <v>0</v>
      </c>
      <c r="K433" s="2">
        <v>0</v>
      </c>
      <c r="L433" s="2">
        <v>0</v>
      </c>
      <c r="M433" s="6">
        <v>4.3</v>
      </c>
      <c r="N433" s="7">
        <v>-8.6</v>
      </c>
      <c r="O433" s="2">
        <v>32</v>
      </c>
      <c r="P433" s="2">
        <v>9</v>
      </c>
      <c r="Q433" s="2">
        <v>20</v>
      </c>
      <c r="R433" s="2">
        <v>4</v>
      </c>
      <c r="S433" s="2">
        <v>22</v>
      </c>
      <c r="T433" s="2">
        <v>14</v>
      </c>
      <c r="U433" s="2">
        <v>327</v>
      </c>
      <c r="V433" s="2">
        <v>7</v>
      </c>
      <c r="W433" s="2">
        <v>15</v>
      </c>
    </row>
    <row r="434" spans="1:23" x14ac:dyDescent="0.2">
      <c r="A434" t="s">
        <v>323</v>
      </c>
      <c r="B434" s="2">
        <v>34</v>
      </c>
      <c r="C434" t="s">
        <v>59</v>
      </c>
      <c r="D434" s="2" t="s">
        <v>52</v>
      </c>
      <c r="E434" s="2">
        <v>23</v>
      </c>
      <c r="F434" s="2">
        <v>4</v>
      </c>
      <c r="G434" s="2">
        <v>285</v>
      </c>
      <c r="H434" s="2">
        <v>1</v>
      </c>
      <c r="I434" s="2">
        <v>85</v>
      </c>
      <c r="J434" s="2">
        <v>14</v>
      </c>
      <c r="K434" s="2">
        <v>0</v>
      </c>
      <c r="L434" s="2">
        <v>0</v>
      </c>
      <c r="M434" s="7">
        <v>-5.7</v>
      </c>
      <c r="N434" s="6">
        <v>0.1</v>
      </c>
      <c r="O434" s="2">
        <v>4</v>
      </c>
      <c r="P434" s="2">
        <v>1</v>
      </c>
      <c r="Q434" s="2">
        <v>7</v>
      </c>
      <c r="R434" s="2">
        <v>0</v>
      </c>
      <c r="S434" s="2">
        <v>4</v>
      </c>
      <c r="T434" s="2">
        <v>1</v>
      </c>
      <c r="U434" s="2">
        <v>22</v>
      </c>
      <c r="V434" s="2">
        <v>0</v>
      </c>
      <c r="W434" s="2">
        <v>0</v>
      </c>
    </row>
    <row r="435" spans="1:23" x14ac:dyDescent="0.2">
      <c r="A435" t="s">
        <v>174</v>
      </c>
      <c r="B435" s="2">
        <v>21</v>
      </c>
      <c r="C435" t="s">
        <v>135</v>
      </c>
      <c r="D435" s="2" t="s">
        <v>52</v>
      </c>
      <c r="E435" s="2">
        <v>16</v>
      </c>
      <c r="F435" s="2">
        <v>14</v>
      </c>
      <c r="G435" s="2">
        <v>489</v>
      </c>
      <c r="H435" s="2">
        <v>2</v>
      </c>
      <c r="I435" s="2">
        <v>82</v>
      </c>
      <c r="J435" s="2">
        <v>16</v>
      </c>
      <c r="K435" s="2">
        <v>1</v>
      </c>
      <c r="L435" s="2">
        <v>0</v>
      </c>
      <c r="M435" s="7">
        <v>-10.6</v>
      </c>
      <c r="N435" s="7">
        <v>-1.7</v>
      </c>
      <c r="O435" s="2">
        <v>14</v>
      </c>
      <c r="P435" s="2">
        <v>15</v>
      </c>
      <c r="Q435" s="2">
        <v>8</v>
      </c>
      <c r="R435" s="2">
        <v>2</v>
      </c>
      <c r="S435" s="2">
        <v>30</v>
      </c>
      <c r="T435" s="2">
        <v>1</v>
      </c>
      <c r="U435" s="2">
        <v>97</v>
      </c>
      <c r="V435" s="2">
        <v>6</v>
      </c>
      <c r="W435" s="2">
        <v>15</v>
      </c>
    </row>
    <row r="436" spans="1:23" x14ac:dyDescent="0.2">
      <c r="A436" t="s">
        <v>31</v>
      </c>
      <c r="B436" s="2">
        <v>26</v>
      </c>
      <c r="C436" t="s">
        <v>32</v>
      </c>
      <c r="D436" s="2" t="s">
        <v>33</v>
      </c>
      <c r="E436" s="2">
        <v>24</v>
      </c>
      <c r="F436" s="2">
        <v>24</v>
      </c>
      <c r="G436" s="2">
        <v>823</v>
      </c>
      <c r="H436" s="2">
        <v>100</v>
      </c>
      <c r="I436" s="2">
        <v>0</v>
      </c>
      <c r="J436" s="2">
        <v>0</v>
      </c>
      <c r="K436" s="2">
        <v>0</v>
      </c>
      <c r="L436" s="2">
        <v>0</v>
      </c>
      <c r="M436" s="6">
        <v>16.399999999999999</v>
      </c>
      <c r="N436" s="6">
        <v>14.1</v>
      </c>
      <c r="O436" s="2">
        <v>34</v>
      </c>
      <c r="P436" s="2">
        <v>18</v>
      </c>
      <c r="Q436" s="2">
        <v>32</v>
      </c>
      <c r="R436" s="2">
        <v>2</v>
      </c>
      <c r="S436" s="2">
        <v>74</v>
      </c>
      <c r="T436" s="2">
        <v>1</v>
      </c>
      <c r="U436" s="2">
        <v>383</v>
      </c>
      <c r="V436" s="2">
        <v>13</v>
      </c>
      <c r="W436" s="2">
        <v>18</v>
      </c>
    </row>
    <row r="437" spans="1:23" x14ac:dyDescent="0.2">
      <c r="A437" t="s">
        <v>316</v>
      </c>
      <c r="B437" s="2">
        <v>28</v>
      </c>
      <c r="C437" t="s">
        <v>103</v>
      </c>
      <c r="D437" s="2" t="s">
        <v>52</v>
      </c>
      <c r="E437" s="2">
        <v>20</v>
      </c>
      <c r="F437" s="2">
        <v>0</v>
      </c>
      <c r="G437" s="2">
        <v>327</v>
      </c>
      <c r="H437" s="2">
        <v>4</v>
      </c>
      <c r="I437" s="2">
        <v>63</v>
      </c>
      <c r="J437" s="2">
        <v>31</v>
      </c>
      <c r="K437" s="2">
        <v>2</v>
      </c>
      <c r="L437" s="2">
        <v>0</v>
      </c>
      <c r="M437" s="7">
        <v>-7.8</v>
      </c>
      <c r="N437" s="7">
        <v>-4.8</v>
      </c>
      <c r="O437" s="2">
        <v>5</v>
      </c>
      <c r="P437" s="2">
        <v>7</v>
      </c>
      <c r="Q437" s="2">
        <v>13</v>
      </c>
      <c r="R437" s="2">
        <v>1</v>
      </c>
      <c r="S437" s="2">
        <v>8</v>
      </c>
      <c r="T437" s="2">
        <v>4</v>
      </c>
      <c r="U437" s="2">
        <v>105</v>
      </c>
      <c r="V437" s="2">
        <v>3</v>
      </c>
      <c r="W437" s="2">
        <v>7</v>
      </c>
    </row>
    <row r="438" spans="1:23" x14ac:dyDescent="0.2">
      <c r="A438" t="s">
        <v>517</v>
      </c>
      <c r="B438" s="2">
        <v>20</v>
      </c>
      <c r="C438" t="s">
        <v>93</v>
      </c>
      <c r="D438" s="2" t="s">
        <v>49</v>
      </c>
      <c r="E438" s="2">
        <v>10</v>
      </c>
      <c r="F438" s="2">
        <v>0</v>
      </c>
      <c r="G438" s="2">
        <v>30</v>
      </c>
      <c r="H438" s="2">
        <v>0</v>
      </c>
      <c r="I438" s="2">
        <v>0</v>
      </c>
      <c r="J438" s="2">
        <v>91</v>
      </c>
      <c r="K438" s="2">
        <v>9</v>
      </c>
      <c r="L438" s="2">
        <v>0</v>
      </c>
      <c r="M438" s="7">
        <v>-6.9</v>
      </c>
      <c r="N438" s="7">
        <v>-4.7</v>
      </c>
      <c r="O438" s="2">
        <v>1</v>
      </c>
      <c r="P438" s="2">
        <v>0</v>
      </c>
      <c r="Q438" s="2">
        <v>3</v>
      </c>
      <c r="R438" s="2">
        <v>0</v>
      </c>
      <c r="S438" s="2">
        <v>2</v>
      </c>
      <c r="T438" s="2">
        <v>0</v>
      </c>
      <c r="U438" s="2">
        <v>13</v>
      </c>
      <c r="V438" s="2">
        <v>0</v>
      </c>
      <c r="W438" s="2">
        <v>2</v>
      </c>
    </row>
    <row r="439" spans="1:23" x14ac:dyDescent="0.2">
      <c r="A439" t="s">
        <v>278</v>
      </c>
      <c r="B439" s="2">
        <v>29</v>
      </c>
      <c r="C439" t="s">
        <v>75</v>
      </c>
      <c r="D439" s="2" t="s">
        <v>49</v>
      </c>
      <c r="E439" s="2">
        <v>24</v>
      </c>
      <c r="F439" s="2">
        <v>0</v>
      </c>
      <c r="G439" s="2">
        <v>432</v>
      </c>
      <c r="H439" s="2">
        <v>0</v>
      </c>
      <c r="I439" s="2">
        <v>0</v>
      </c>
      <c r="J439" s="2">
        <v>23</v>
      </c>
      <c r="K439" s="2">
        <v>77</v>
      </c>
      <c r="L439" s="2">
        <v>1</v>
      </c>
      <c r="M439" s="7">
        <v>-4.8</v>
      </c>
      <c r="N439" s="7">
        <v>-1.9</v>
      </c>
      <c r="O439" s="2">
        <v>8</v>
      </c>
      <c r="P439" s="2">
        <v>6</v>
      </c>
      <c r="Q439" s="2">
        <v>14</v>
      </c>
      <c r="R439" s="2">
        <v>0</v>
      </c>
      <c r="S439" s="2">
        <v>12</v>
      </c>
      <c r="T439" s="2">
        <v>4</v>
      </c>
      <c r="U439" s="2">
        <v>54</v>
      </c>
      <c r="V439" s="2">
        <v>3</v>
      </c>
      <c r="W439" s="2">
        <v>5</v>
      </c>
    </row>
    <row r="440" spans="1:23" x14ac:dyDescent="0.2">
      <c r="A440" t="s">
        <v>243</v>
      </c>
      <c r="B440" s="2">
        <v>31</v>
      </c>
      <c r="C440" t="s">
        <v>63</v>
      </c>
      <c r="D440" s="2" t="s">
        <v>33</v>
      </c>
      <c r="E440" s="2">
        <v>23</v>
      </c>
      <c r="F440" s="2">
        <v>0</v>
      </c>
      <c r="G440" s="2">
        <v>492</v>
      </c>
      <c r="H440" s="2">
        <v>97</v>
      </c>
      <c r="I440" s="2">
        <v>3</v>
      </c>
      <c r="J440" s="2">
        <v>0</v>
      </c>
      <c r="K440" s="2">
        <v>0</v>
      </c>
      <c r="L440" s="2">
        <v>0</v>
      </c>
      <c r="M440" s="6">
        <v>4.5999999999999996</v>
      </c>
      <c r="N440" s="7">
        <v>-3.2</v>
      </c>
      <c r="O440" s="2">
        <v>13</v>
      </c>
      <c r="P440" s="2">
        <v>1</v>
      </c>
      <c r="Q440" s="2">
        <v>16</v>
      </c>
      <c r="R440" s="2">
        <v>4</v>
      </c>
      <c r="S440" s="2">
        <v>24</v>
      </c>
      <c r="T440" s="2">
        <v>4</v>
      </c>
      <c r="U440" s="2">
        <v>167</v>
      </c>
      <c r="V440" s="2">
        <v>2</v>
      </c>
      <c r="W440" s="2">
        <v>2</v>
      </c>
    </row>
    <row r="441" spans="1:23" x14ac:dyDescent="0.2">
      <c r="A441" t="s">
        <v>562</v>
      </c>
      <c r="B441" s="2">
        <v>23</v>
      </c>
      <c r="C441" t="s">
        <v>46</v>
      </c>
      <c r="D441" s="2" t="s">
        <v>49</v>
      </c>
      <c r="E441" s="2">
        <v>2</v>
      </c>
      <c r="F441" s="2">
        <v>0</v>
      </c>
      <c r="G441" s="2">
        <v>4</v>
      </c>
      <c r="H441" s="2">
        <v>0</v>
      </c>
      <c r="I441" s="2">
        <v>43</v>
      </c>
      <c r="J441" s="2">
        <v>57</v>
      </c>
      <c r="K441" s="2">
        <v>0</v>
      </c>
      <c r="L441" s="2">
        <v>0</v>
      </c>
      <c r="M441" s="6">
        <v>3.6</v>
      </c>
      <c r="N441" s="6">
        <v>1.3</v>
      </c>
      <c r="O441" s="2">
        <v>0</v>
      </c>
      <c r="P441" s="2">
        <v>0</v>
      </c>
      <c r="Q441" s="2">
        <v>0</v>
      </c>
      <c r="R441" s="2">
        <v>0</v>
      </c>
      <c r="S441" s="2">
        <v>0</v>
      </c>
      <c r="T441" s="2">
        <v>0</v>
      </c>
      <c r="U441" s="2">
        <v>0</v>
      </c>
      <c r="V441" s="2">
        <v>0</v>
      </c>
      <c r="W441" s="2">
        <v>0</v>
      </c>
    </row>
    <row r="442" spans="1:23" x14ac:dyDescent="0.2">
      <c r="A442" t="s">
        <v>542</v>
      </c>
      <c r="B442" s="2">
        <v>25</v>
      </c>
      <c r="C442" t="s">
        <v>35</v>
      </c>
      <c r="D442" s="2" t="s">
        <v>52</v>
      </c>
      <c r="E442" s="2">
        <v>6</v>
      </c>
      <c r="F442" s="2">
        <v>0</v>
      </c>
      <c r="G442" s="2">
        <v>17</v>
      </c>
      <c r="H442" s="2">
        <v>0</v>
      </c>
      <c r="I442" s="2">
        <v>81</v>
      </c>
      <c r="J442" s="2">
        <v>9</v>
      </c>
      <c r="K442" s="2">
        <v>10</v>
      </c>
      <c r="L442" s="2">
        <v>0</v>
      </c>
      <c r="M442" s="6">
        <v>13.2</v>
      </c>
      <c r="N442" s="6">
        <v>12.5</v>
      </c>
      <c r="O442" s="2">
        <v>0</v>
      </c>
      <c r="P442" s="2">
        <v>0</v>
      </c>
      <c r="Q442" s="2">
        <v>0</v>
      </c>
      <c r="R442" s="2">
        <v>0</v>
      </c>
      <c r="S442" s="2">
        <v>1</v>
      </c>
      <c r="T442" s="2">
        <v>0</v>
      </c>
      <c r="U442" s="2">
        <v>2</v>
      </c>
      <c r="V442" s="2">
        <v>0</v>
      </c>
      <c r="W442" s="2">
        <v>0</v>
      </c>
    </row>
    <row r="443" spans="1:23" x14ac:dyDescent="0.2">
      <c r="A443" t="s">
        <v>99</v>
      </c>
      <c r="B443" s="2">
        <v>36</v>
      </c>
      <c r="C443" t="s">
        <v>100</v>
      </c>
      <c r="D443" s="2" t="s">
        <v>33</v>
      </c>
      <c r="E443" s="2">
        <v>19</v>
      </c>
      <c r="F443" s="2">
        <v>19</v>
      </c>
      <c r="G443" s="2">
        <v>583</v>
      </c>
      <c r="H443" s="2">
        <v>100</v>
      </c>
      <c r="I443" s="2">
        <v>0</v>
      </c>
      <c r="J443" s="2">
        <v>0</v>
      </c>
      <c r="K443" s="2">
        <v>0</v>
      </c>
      <c r="L443" s="2">
        <v>0</v>
      </c>
      <c r="M443" s="6">
        <v>10.3</v>
      </c>
      <c r="N443" s="6">
        <v>11.2</v>
      </c>
      <c r="O443" s="2">
        <v>47</v>
      </c>
      <c r="P443" s="2">
        <v>9</v>
      </c>
      <c r="Q443" s="2">
        <v>6</v>
      </c>
      <c r="R443" s="2">
        <v>3</v>
      </c>
      <c r="S443" s="2">
        <v>28</v>
      </c>
      <c r="T443" s="2">
        <v>4</v>
      </c>
      <c r="U443" s="2">
        <v>284</v>
      </c>
      <c r="V443" s="2">
        <v>10</v>
      </c>
      <c r="W443" s="2">
        <v>13</v>
      </c>
    </row>
    <row r="444" spans="1:23" x14ac:dyDescent="0.2">
      <c r="A444" t="s">
        <v>163</v>
      </c>
      <c r="B444" s="2">
        <v>20</v>
      </c>
      <c r="C444" t="s">
        <v>93</v>
      </c>
      <c r="D444" s="2" t="s">
        <v>33</v>
      </c>
      <c r="E444" s="2">
        <v>24</v>
      </c>
      <c r="F444" s="2">
        <v>17</v>
      </c>
      <c r="G444" s="2">
        <v>658</v>
      </c>
      <c r="H444" s="2">
        <v>37</v>
      </c>
      <c r="I444" s="2">
        <v>62</v>
      </c>
      <c r="J444" s="2">
        <v>1</v>
      </c>
      <c r="K444" s="2">
        <v>0</v>
      </c>
      <c r="L444" s="2">
        <v>0</v>
      </c>
      <c r="M444" s="7">
        <v>-0.5</v>
      </c>
      <c r="N444" s="6">
        <v>4.2</v>
      </c>
      <c r="O444" s="2">
        <v>23</v>
      </c>
      <c r="P444" s="2">
        <v>12</v>
      </c>
      <c r="Q444" s="2">
        <v>18</v>
      </c>
      <c r="R444" s="2">
        <v>2</v>
      </c>
      <c r="S444" s="2">
        <v>41</v>
      </c>
      <c r="T444" s="2">
        <v>4</v>
      </c>
      <c r="U444" s="2">
        <v>220</v>
      </c>
      <c r="V444" s="2">
        <v>8</v>
      </c>
      <c r="W444" s="2">
        <v>15</v>
      </c>
    </row>
    <row r="445" spans="1:23" x14ac:dyDescent="0.2">
      <c r="A445" t="s">
        <v>428</v>
      </c>
      <c r="B445" s="2">
        <v>31</v>
      </c>
      <c r="C445" t="s">
        <v>87</v>
      </c>
      <c r="D445" s="2" t="s">
        <v>42</v>
      </c>
      <c r="E445" s="2">
        <v>13</v>
      </c>
      <c r="F445" s="2">
        <v>0</v>
      </c>
      <c r="G445" s="2">
        <v>144</v>
      </c>
      <c r="H445" s="2">
        <v>0</v>
      </c>
      <c r="I445" s="2">
        <v>0</v>
      </c>
      <c r="J445" s="2">
        <v>0</v>
      </c>
      <c r="K445" s="2">
        <v>0</v>
      </c>
      <c r="L445" s="2">
        <v>100</v>
      </c>
      <c r="M445" s="6">
        <v>3</v>
      </c>
      <c r="N445" s="7">
        <v>-4.2</v>
      </c>
      <c r="O445" s="2">
        <v>8</v>
      </c>
      <c r="P445" s="2">
        <v>5</v>
      </c>
      <c r="Q445" s="2">
        <v>10</v>
      </c>
      <c r="R445" s="2">
        <v>4</v>
      </c>
      <c r="S445" s="2">
        <v>8</v>
      </c>
      <c r="T445" s="2">
        <v>1</v>
      </c>
      <c r="U445" s="2">
        <v>33</v>
      </c>
      <c r="V445" s="2">
        <v>2</v>
      </c>
      <c r="W445" s="2">
        <v>4</v>
      </c>
    </row>
    <row r="446" spans="1:23" x14ac:dyDescent="0.2">
      <c r="A446" t="s">
        <v>441</v>
      </c>
      <c r="B446" s="2">
        <v>27</v>
      </c>
      <c r="C446" t="s">
        <v>120</v>
      </c>
      <c r="D446" s="2" t="s">
        <v>49</v>
      </c>
      <c r="E446" s="2">
        <v>6</v>
      </c>
      <c r="F446" s="2">
        <v>2</v>
      </c>
      <c r="G446" s="2">
        <v>81</v>
      </c>
      <c r="H446" s="2">
        <v>0</v>
      </c>
      <c r="I446" s="2">
        <v>8</v>
      </c>
      <c r="J446" s="2">
        <v>79</v>
      </c>
      <c r="K446" s="2">
        <v>13</v>
      </c>
      <c r="L446" s="2">
        <v>0</v>
      </c>
      <c r="M446" s="6">
        <v>6.3</v>
      </c>
      <c r="N446" s="6">
        <v>17.2</v>
      </c>
      <c r="O446" s="2">
        <v>7</v>
      </c>
      <c r="P446" s="2">
        <v>3</v>
      </c>
      <c r="Q446" s="2">
        <v>4</v>
      </c>
      <c r="R446" s="2">
        <v>0</v>
      </c>
      <c r="S446" s="2">
        <v>2</v>
      </c>
      <c r="T446" s="2">
        <v>2</v>
      </c>
      <c r="U446" s="2">
        <v>18</v>
      </c>
      <c r="V446" s="2">
        <v>0</v>
      </c>
      <c r="W446" s="2">
        <v>0</v>
      </c>
    </row>
    <row r="447" spans="1:23" x14ac:dyDescent="0.2">
      <c r="A447" t="s">
        <v>178</v>
      </c>
      <c r="B447" s="2">
        <v>32</v>
      </c>
      <c r="C447" t="s">
        <v>82</v>
      </c>
      <c r="D447" s="2" t="s">
        <v>33</v>
      </c>
      <c r="E447" s="2">
        <v>24</v>
      </c>
      <c r="F447" s="2">
        <v>0</v>
      </c>
      <c r="G447" s="2">
        <v>480</v>
      </c>
      <c r="H447" s="2">
        <v>100</v>
      </c>
      <c r="I447" s="2">
        <v>0</v>
      </c>
      <c r="J447" s="2">
        <v>0</v>
      </c>
      <c r="K447" s="2">
        <v>0</v>
      </c>
      <c r="L447" s="2">
        <v>0</v>
      </c>
      <c r="M447" s="7">
        <v>-1.8</v>
      </c>
      <c r="N447" s="6">
        <v>4</v>
      </c>
      <c r="O447" s="2">
        <v>23</v>
      </c>
      <c r="P447" s="2">
        <v>11</v>
      </c>
      <c r="Q447" s="2">
        <v>14</v>
      </c>
      <c r="R447" s="2">
        <v>0</v>
      </c>
      <c r="S447" s="2">
        <v>10</v>
      </c>
      <c r="T447" s="2">
        <v>16</v>
      </c>
      <c r="U447" s="2">
        <v>232</v>
      </c>
      <c r="V447" s="2">
        <v>2</v>
      </c>
      <c r="W447" s="2">
        <v>15</v>
      </c>
    </row>
    <row r="448" spans="1:23" x14ac:dyDescent="0.2">
      <c r="A448" t="s">
        <v>422</v>
      </c>
      <c r="B448" s="2">
        <v>39</v>
      </c>
      <c r="C448" t="s">
        <v>59</v>
      </c>
      <c r="D448" s="2" t="s">
        <v>42</v>
      </c>
      <c r="E448" s="2">
        <v>13</v>
      </c>
      <c r="F448" s="2">
        <v>8</v>
      </c>
      <c r="G448" s="2">
        <v>150</v>
      </c>
      <c r="H448" s="2">
        <v>0</v>
      </c>
      <c r="I448" s="2">
        <v>0</v>
      </c>
      <c r="J448" s="2">
        <v>0</v>
      </c>
      <c r="K448" s="2">
        <v>0</v>
      </c>
      <c r="L448" s="2">
        <v>100</v>
      </c>
      <c r="M448" s="7">
        <v>-17</v>
      </c>
      <c r="N448" s="7">
        <v>-12.8</v>
      </c>
      <c r="O448" s="2">
        <v>2</v>
      </c>
      <c r="P448" s="2">
        <v>4</v>
      </c>
      <c r="Q448" s="2">
        <v>10</v>
      </c>
      <c r="R448" s="2">
        <v>1</v>
      </c>
      <c r="S448" s="2">
        <v>3</v>
      </c>
      <c r="T448" s="2">
        <v>1</v>
      </c>
      <c r="U448" s="2">
        <v>19</v>
      </c>
      <c r="V448" s="2">
        <v>1</v>
      </c>
      <c r="W448" s="2">
        <v>5</v>
      </c>
    </row>
    <row r="449" spans="1:23" x14ac:dyDescent="0.2">
      <c r="A449" t="s">
        <v>298</v>
      </c>
      <c r="B449" s="2">
        <v>24</v>
      </c>
      <c r="C449" t="s">
        <v>70</v>
      </c>
      <c r="D449" s="2" t="s">
        <v>52</v>
      </c>
      <c r="E449" s="2">
        <v>19</v>
      </c>
      <c r="F449" s="2">
        <v>0</v>
      </c>
      <c r="G449" s="2">
        <v>208</v>
      </c>
      <c r="H449" s="2">
        <v>2</v>
      </c>
      <c r="I449" s="2">
        <v>41</v>
      </c>
      <c r="J449" s="2">
        <v>56</v>
      </c>
      <c r="K449" s="2">
        <v>3</v>
      </c>
      <c r="L449" s="2">
        <v>0</v>
      </c>
      <c r="M449" s="6">
        <v>4.9000000000000004</v>
      </c>
      <c r="N449" s="6">
        <v>9.6999999999999993</v>
      </c>
      <c r="O449" s="2">
        <v>4</v>
      </c>
      <c r="P449" s="2">
        <v>4</v>
      </c>
      <c r="Q449" s="2">
        <v>8</v>
      </c>
      <c r="R449" s="2">
        <v>2</v>
      </c>
      <c r="S449" s="2">
        <v>13</v>
      </c>
      <c r="T449" s="2">
        <v>1</v>
      </c>
      <c r="U449" s="2">
        <v>69</v>
      </c>
      <c r="V449" s="2">
        <v>3</v>
      </c>
      <c r="W449" s="2">
        <v>4</v>
      </c>
    </row>
    <row r="450" spans="1:23" x14ac:dyDescent="0.2">
      <c r="A450" t="s">
        <v>187</v>
      </c>
      <c r="B450" s="2">
        <v>23</v>
      </c>
      <c r="C450" t="s">
        <v>87</v>
      </c>
      <c r="D450" s="2" t="s">
        <v>27</v>
      </c>
      <c r="E450" s="2">
        <v>23</v>
      </c>
      <c r="F450" s="2">
        <v>0</v>
      </c>
      <c r="G450" s="2">
        <v>529</v>
      </c>
      <c r="H450" s="2">
        <v>0</v>
      </c>
      <c r="I450" s="2">
        <v>0</v>
      </c>
      <c r="J450" s="2">
        <v>24</v>
      </c>
      <c r="K450" s="2">
        <v>72</v>
      </c>
      <c r="L450" s="2">
        <v>4</v>
      </c>
      <c r="M450" s="6">
        <v>9.9</v>
      </c>
      <c r="N450" s="6">
        <v>5.7</v>
      </c>
      <c r="O450" s="2">
        <v>6</v>
      </c>
      <c r="P450" s="2">
        <v>5</v>
      </c>
      <c r="Q450" s="2">
        <v>22</v>
      </c>
      <c r="R450" s="2">
        <v>5</v>
      </c>
      <c r="S450" s="2">
        <v>18</v>
      </c>
      <c r="T450" s="2">
        <v>1</v>
      </c>
      <c r="U450" s="2">
        <v>60</v>
      </c>
      <c r="V450" s="2">
        <v>2</v>
      </c>
      <c r="W450" s="2">
        <v>13</v>
      </c>
    </row>
    <row r="451" spans="1:23" x14ac:dyDescent="0.2">
      <c r="A451" t="s">
        <v>242</v>
      </c>
      <c r="B451" s="2">
        <v>30</v>
      </c>
      <c r="C451" t="s">
        <v>35</v>
      </c>
      <c r="D451" s="2" t="s">
        <v>49</v>
      </c>
      <c r="E451" s="2">
        <v>24</v>
      </c>
      <c r="F451" s="2">
        <v>24</v>
      </c>
      <c r="G451" s="2">
        <v>644</v>
      </c>
      <c r="H451" s="2">
        <v>0</v>
      </c>
      <c r="I451" s="2">
        <v>1</v>
      </c>
      <c r="J451" s="2">
        <v>86</v>
      </c>
      <c r="K451" s="2">
        <v>13</v>
      </c>
      <c r="L451" s="2">
        <v>0</v>
      </c>
      <c r="M451" s="7">
        <v>-3.6</v>
      </c>
      <c r="N451" s="7">
        <v>-10.1</v>
      </c>
      <c r="O451" s="2">
        <v>15</v>
      </c>
      <c r="P451" s="2">
        <v>5</v>
      </c>
      <c r="Q451" s="2">
        <v>22</v>
      </c>
      <c r="R451" s="2">
        <v>1</v>
      </c>
      <c r="S451" s="2">
        <v>2</v>
      </c>
      <c r="T451" s="2">
        <v>7</v>
      </c>
      <c r="U451" s="2">
        <v>103</v>
      </c>
      <c r="V451" s="2">
        <v>1</v>
      </c>
      <c r="W451" s="2">
        <v>10</v>
      </c>
    </row>
    <row r="452" spans="1:23" x14ac:dyDescent="0.2">
      <c r="A452" t="s">
        <v>489</v>
      </c>
      <c r="B452" s="2">
        <v>21</v>
      </c>
      <c r="C452" t="s">
        <v>120</v>
      </c>
      <c r="D452" s="2" t="s">
        <v>27</v>
      </c>
      <c r="E452" s="2">
        <v>3</v>
      </c>
      <c r="F452" s="2">
        <v>3</v>
      </c>
      <c r="G452" s="2">
        <v>75</v>
      </c>
      <c r="H452" s="2"/>
      <c r="I452" s="2"/>
      <c r="J452" s="2"/>
      <c r="K452" s="2"/>
      <c r="L452" s="2"/>
      <c r="M452" s="7">
        <v>-13.1</v>
      </c>
      <c r="N452" s="7">
        <v>-3.8</v>
      </c>
      <c r="O452" s="2">
        <v>2</v>
      </c>
      <c r="P452" s="2">
        <v>0</v>
      </c>
      <c r="Q452" s="2">
        <v>5</v>
      </c>
      <c r="R452" s="2">
        <v>0</v>
      </c>
      <c r="S452" s="2">
        <v>2</v>
      </c>
      <c r="T452" s="2">
        <v>0</v>
      </c>
      <c r="U452" s="2">
        <v>4</v>
      </c>
      <c r="V452" s="2">
        <v>0</v>
      </c>
      <c r="W452" s="2">
        <v>0</v>
      </c>
    </row>
    <row r="453" spans="1:23" x14ac:dyDescent="0.2">
      <c r="A453" t="s">
        <v>510</v>
      </c>
      <c r="B453" s="2">
        <v>26</v>
      </c>
      <c r="C453" t="s">
        <v>135</v>
      </c>
      <c r="D453" s="2" t="s">
        <v>52</v>
      </c>
      <c r="E453" s="2">
        <v>2</v>
      </c>
      <c r="F453" s="2">
        <v>0</v>
      </c>
      <c r="G453" s="2">
        <v>20</v>
      </c>
      <c r="H453" s="2">
        <v>85</v>
      </c>
      <c r="I453" s="2">
        <v>15</v>
      </c>
      <c r="J453" s="2">
        <v>0</v>
      </c>
      <c r="K453" s="2">
        <v>0</v>
      </c>
      <c r="L453" s="2">
        <v>0</v>
      </c>
      <c r="M453" s="7">
        <v>-17.3</v>
      </c>
      <c r="N453" s="7">
        <v>-7.9</v>
      </c>
      <c r="O453" s="2">
        <v>1</v>
      </c>
      <c r="P453" s="2">
        <v>0</v>
      </c>
      <c r="Q453" s="2">
        <v>0</v>
      </c>
      <c r="R453" s="2">
        <v>0</v>
      </c>
      <c r="S453" s="2">
        <v>1</v>
      </c>
      <c r="T453" s="2">
        <v>0</v>
      </c>
      <c r="U453" s="2">
        <v>3</v>
      </c>
      <c r="V453" s="2">
        <v>0</v>
      </c>
      <c r="W453" s="2">
        <v>1</v>
      </c>
    </row>
    <row r="454" spans="1:23" x14ac:dyDescent="0.2">
      <c r="A454" t="s">
        <v>290</v>
      </c>
      <c r="B454" s="2">
        <v>28</v>
      </c>
      <c r="C454" t="s">
        <v>77</v>
      </c>
      <c r="D454" s="2" t="s">
        <v>52</v>
      </c>
      <c r="E454" s="2">
        <v>23</v>
      </c>
      <c r="F454" s="2">
        <v>11</v>
      </c>
      <c r="G454" s="2">
        <v>484</v>
      </c>
      <c r="H454" s="2">
        <v>2</v>
      </c>
      <c r="I454" s="2">
        <v>29</v>
      </c>
      <c r="J454" s="2">
        <v>64</v>
      </c>
      <c r="K454" s="2">
        <v>5</v>
      </c>
      <c r="L454" s="2">
        <v>0</v>
      </c>
      <c r="M454" s="7">
        <v>-4.2</v>
      </c>
      <c r="N454" s="7">
        <v>-8.9</v>
      </c>
      <c r="O454" s="2">
        <v>4</v>
      </c>
      <c r="P454" s="2">
        <v>5</v>
      </c>
      <c r="Q454" s="2">
        <v>18</v>
      </c>
      <c r="R454" s="2">
        <v>3</v>
      </c>
      <c r="S454" s="2">
        <v>11</v>
      </c>
      <c r="T454" s="2">
        <v>3</v>
      </c>
      <c r="U454" s="2">
        <v>93</v>
      </c>
      <c r="V454" s="2">
        <v>2</v>
      </c>
      <c r="W454" s="2">
        <v>16</v>
      </c>
    </row>
    <row r="455" spans="1:23" x14ac:dyDescent="0.2">
      <c r="A455" t="s">
        <v>501</v>
      </c>
      <c r="B455" s="2">
        <v>24</v>
      </c>
      <c r="C455" t="s">
        <v>51</v>
      </c>
      <c r="D455" s="2" t="s">
        <v>52</v>
      </c>
      <c r="E455" s="2">
        <v>7</v>
      </c>
      <c r="F455" s="2">
        <v>0</v>
      </c>
      <c r="G455" s="2">
        <v>30</v>
      </c>
      <c r="H455" s="2">
        <v>0</v>
      </c>
      <c r="I455" s="2">
        <v>0</v>
      </c>
      <c r="J455" s="2">
        <v>100</v>
      </c>
      <c r="K455" s="2">
        <v>0</v>
      </c>
      <c r="L455" s="2">
        <v>0</v>
      </c>
      <c r="M455" s="6">
        <v>0.1</v>
      </c>
      <c r="N455" s="7">
        <v>-3.9</v>
      </c>
      <c r="O455" s="2">
        <v>2</v>
      </c>
      <c r="P455" s="2">
        <v>0</v>
      </c>
      <c r="Q455" s="2">
        <v>0</v>
      </c>
      <c r="R455" s="2">
        <v>0</v>
      </c>
      <c r="S455" s="2">
        <v>0</v>
      </c>
      <c r="T455" s="2">
        <v>0</v>
      </c>
      <c r="U455" s="2">
        <v>10</v>
      </c>
      <c r="V455" s="2">
        <v>0</v>
      </c>
      <c r="W455" s="2">
        <v>1</v>
      </c>
    </row>
    <row r="456" spans="1:23" x14ac:dyDescent="0.2">
      <c r="A456" t="s">
        <v>193</v>
      </c>
      <c r="B456" s="2">
        <v>30</v>
      </c>
      <c r="C456" t="s">
        <v>61</v>
      </c>
      <c r="D456" s="2" t="s">
        <v>33</v>
      </c>
      <c r="E456" s="2">
        <v>21</v>
      </c>
      <c r="F456" s="2">
        <v>12</v>
      </c>
      <c r="G456" s="2">
        <v>597</v>
      </c>
      <c r="H456" s="2">
        <v>100</v>
      </c>
      <c r="I456" s="2">
        <v>0</v>
      </c>
      <c r="J456" s="2">
        <v>0</v>
      </c>
      <c r="K456" s="2">
        <v>0</v>
      </c>
      <c r="L456" s="2">
        <v>0</v>
      </c>
      <c r="M456" s="6">
        <v>0.1</v>
      </c>
      <c r="N456" s="7">
        <v>-7.3</v>
      </c>
      <c r="O456" s="2">
        <v>20</v>
      </c>
      <c r="P456" s="2">
        <v>4</v>
      </c>
      <c r="Q456" s="2">
        <v>16</v>
      </c>
      <c r="R456" s="2">
        <v>4</v>
      </c>
      <c r="S456" s="2">
        <v>19</v>
      </c>
      <c r="T456" s="2">
        <v>7</v>
      </c>
      <c r="U456" s="2">
        <v>153</v>
      </c>
      <c r="V456" s="2">
        <v>7</v>
      </c>
      <c r="W456" s="2">
        <v>9</v>
      </c>
    </row>
    <row r="457" spans="1:23" x14ac:dyDescent="0.2">
      <c r="A457" t="s">
        <v>419</v>
      </c>
      <c r="B457" s="2">
        <v>27</v>
      </c>
      <c r="C457" t="s">
        <v>61</v>
      </c>
      <c r="D457" s="2" t="s">
        <v>42</v>
      </c>
      <c r="E457" s="2">
        <v>10</v>
      </c>
      <c r="F457" s="2">
        <v>0</v>
      </c>
      <c r="G457" s="2">
        <v>115</v>
      </c>
      <c r="H457" s="2">
        <v>0</v>
      </c>
      <c r="I457" s="2">
        <v>0</v>
      </c>
      <c r="J457" s="2">
        <v>0</v>
      </c>
      <c r="K457" s="2">
        <v>0</v>
      </c>
      <c r="L457" s="2">
        <v>100</v>
      </c>
      <c r="M457" s="6">
        <v>9.6999999999999993</v>
      </c>
      <c r="N457" s="6">
        <v>6.9</v>
      </c>
      <c r="O457" s="2">
        <v>2</v>
      </c>
      <c r="P457" s="2">
        <v>0</v>
      </c>
      <c r="Q457" s="2">
        <v>5</v>
      </c>
      <c r="R457" s="2">
        <v>0</v>
      </c>
      <c r="S457" s="2">
        <v>4</v>
      </c>
      <c r="T457" s="2">
        <v>1</v>
      </c>
      <c r="U457" s="2">
        <v>8</v>
      </c>
      <c r="V457" s="2">
        <v>0</v>
      </c>
      <c r="W457" s="2">
        <v>1</v>
      </c>
    </row>
    <row r="458" spans="1:23" x14ac:dyDescent="0.2">
      <c r="A458" t="s">
        <v>337</v>
      </c>
      <c r="B458" s="2">
        <v>19</v>
      </c>
      <c r="C458" t="s">
        <v>59</v>
      </c>
      <c r="D458" s="2" t="s">
        <v>27</v>
      </c>
      <c r="E458" s="2">
        <v>20</v>
      </c>
      <c r="F458" s="2">
        <v>8</v>
      </c>
      <c r="G458" s="2">
        <v>376</v>
      </c>
      <c r="H458" s="2">
        <v>0</v>
      </c>
      <c r="I458" s="2">
        <v>0</v>
      </c>
      <c r="J458" s="2">
        <v>0</v>
      </c>
      <c r="K458" s="2">
        <v>80</v>
      </c>
      <c r="L458" s="2">
        <v>20</v>
      </c>
      <c r="M458" s="7">
        <v>-11.5</v>
      </c>
      <c r="N458" s="7">
        <v>-8.4</v>
      </c>
      <c r="O458" s="2">
        <v>1</v>
      </c>
      <c r="P458" s="2">
        <v>8</v>
      </c>
      <c r="Q458" s="2">
        <v>16</v>
      </c>
      <c r="R458" s="2">
        <v>5</v>
      </c>
      <c r="S458" s="2">
        <v>8</v>
      </c>
      <c r="T458" s="2">
        <v>2</v>
      </c>
      <c r="U458" s="2">
        <v>47</v>
      </c>
      <c r="V458" s="2">
        <v>0</v>
      </c>
      <c r="W458" s="2">
        <v>10</v>
      </c>
    </row>
    <row r="459" spans="1:23" x14ac:dyDescent="0.2">
      <c r="A459" t="s">
        <v>214</v>
      </c>
      <c r="B459" s="2">
        <v>32</v>
      </c>
      <c r="C459" t="s">
        <v>75</v>
      </c>
      <c r="D459" s="2" t="s">
        <v>52</v>
      </c>
      <c r="E459" s="2">
        <v>23</v>
      </c>
      <c r="F459" s="2">
        <v>23</v>
      </c>
      <c r="G459" s="2">
        <v>627</v>
      </c>
      <c r="H459" s="2">
        <v>0</v>
      </c>
      <c r="I459" s="2">
        <v>14</v>
      </c>
      <c r="J459" s="2">
        <v>83</v>
      </c>
      <c r="K459" s="2">
        <v>3</v>
      </c>
      <c r="L459" s="2">
        <v>0</v>
      </c>
      <c r="M459" s="7">
        <v>-9</v>
      </c>
      <c r="N459" s="7">
        <v>-10.6</v>
      </c>
      <c r="O459" s="2">
        <v>7</v>
      </c>
      <c r="P459" s="2">
        <v>5</v>
      </c>
      <c r="Q459" s="2">
        <v>16</v>
      </c>
      <c r="R459" s="2">
        <v>1</v>
      </c>
      <c r="S459" s="2">
        <v>14</v>
      </c>
      <c r="T459" s="2">
        <v>21</v>
      </c>
      <c r="U459" s="2">
        <v>85</v>
      </c>
      <c r="V459" s="2">
        <v>1</v>
      </c>
      <c r="W459" s="2">
        <v>2</v>
      </c>
    </row>
    <row r="460" spans="1:23" x14ac:dyDescent="0.2">
      <c r="A460" t="s">
        <v>132</v>
      </c>
      <c r="B460" s="2">
        <v>32</v>
      </c>
      <c r="C460" t="s">
        <v>75</v>
      </c>
      <c r="D460" s="2" t="s">
        <v>27</v>
      </c>
      <c r="E460" s="2">
        <v>25</v>
      </c>
      <c r="F460" s="2">
        <v>25</v>
      </c>
      <c r="G460" s="2">
        <v>807</v>
      </c>
      <c r="H460" s="2">
        <v>0</v>
      </c>
      <c r="I460" s="2">
        <v>0</v>
      </c>
      <c r="J460" s="2">
        <v>0</v>
      </c>
      <c r="K460" s="2">
        <v>97</v>
      </c>
      <c r="L460" s="2">
        <v>3</v>
      </c>
      <c r="M460" s="7">
        <v>-2.2999999999999998</v>
      </c>
      <c r="N460" s="6">
        <v>3.5</v>
      </c>
      <c r="O460" s="2">
        <v>8</v>
      </c>
      <c r="P460" s="2">
        <v>11</v>
      </c>
      <c r="Q460" s="2">
        <v>26</v>
      </c>
      <c r="R460" s="2">
        <v>7</v>
      </c>
      <c r="S460" s="2">
        <v>31</v>
      </c>
      <c r="T460" s="2">
        <v>1</v>
      </c>
      <c r="U460" s="2">
        <v>145</v>
      </c>
      <c r="V460" s="2">
        <v>11</v>
      </c>
      <c r="W460" s="2">
        <v>19</v>
      </c>
    </row>
    <row r="461" spans="1:23" x14ac:dyDescent="0.2">
      <c r="A461" t="s">
        <v>438</v>
      </c>
      <c r="B461" s="2">
        <v>34</v>
      </c>
      <c r="C461" t="s">
        <v>70</v>
      </c>
      <c r="D461" s="2" t="s">
        <v>49</v>
      </c>
      <c r="E461" s="2">
        <v>6</v>
      </c>
      <c r="F461" s="2">
        <v>1</v>
      </c>
      <c r="G461" s="2">
        <v>67</v>
      </c>
      <c r="H461" s="2">
        <v>0</v>
      </c>
      <c r="I461" s="2">
        <v>0</v>
      </c>
      <c r="J461" s="2">
        <v>2</v>
      </c>
      <c r="K461" s="2">
        <v>93</v>
      </c>
      <c r="L461" s="2">
        <v>5</v>
      </c>
      <c r="M461" s="7">
        <v>-18.5</v>
      </c>
      <c r="N461" s="7">
        <v>-16.3</v>
      </c>
      <c r="O461" s="2">
        <v>0</v>
      </c>
      <c r="P461" s="2">
        <v>0</v>
      </c>
      <c r="Q461" s="2">
        <v>5</v>
      </c>
      <c r="R461" s="2">
        <v>0</v>
      </c>
      <c r="S461" s="2">
        <v>1</v>
      </c>
      <c r="T461" s="2">
        <v>0</v>
      </c>
      <c r="U461" s="2">
        <v>6</v>
      </c>
      <c r="V461" s="2">
        <v>0</v>
      </c>
      <c r="W461" s="2">
        <v>0</v>
      </c>
    </row>
    <row r="462" spans="1:23" x14ac:dyDescent="0.2">
      <c r="A462" t="s">
        <v>217</v>
      </c>
      <c r="B462" s="2">
        <v>24</v>
      </c>
      <c r="C462" t="s">
        <v>135</v>
      </c>
      <c r="D462" s="2" t="s">
        <v>27</v>
      </c>
      <c r="E462" s="2">
        <v>24</v>
      </c>
      <c r="F462" s="2">
        <v>24</v>
      </c>
      <c r="G462" s="2">
        <v>720</v>
      </c>
      <c r="H462" s="2">
        <v>0</v>
      </c>
      <c r="I462" s="2">
        <v>0</v>
      </c>
      <c r="J462" s="2">
        <v>0</v>
      </c>
      <c r="K462" s="2">
        <v>88</v>
      </c>
      <c r="L462" s="2">
        <v>12</v>
      </c>
      <c r="M462" s="7">
        <v>-8.6999999999999993</v>
      </c>
      <c r="N462" s="6">
        <v>2.2999999999999998</v>
      </c>
      <c r="O462" s="2">
        <v>17</v>
      </c>
      <c r="P462" s="2">
        <v>11</v>
      </c>
      <c r="Q462" s="2">
        <v>32</v>
      </c>
      <c r="R462" s="2">
        <v>8</v>
      </c>
      <c r="S462" s="2">
        <v>13</v>
      </c>
      <c r="T462" s="2">
        <v>23</v>
      </c>
      <c r="U462" s="2">
        <v>121</v>
      </c>
      <c r="V462" s="2">
        <v>2</v>
      </c>
      <c r="W462" s="2">
        <v>11</v>
      </c>
    </row>
    <row r="463" spans="1:23" x14ac:dyDescent="0.2">
      <c r="A463" t="s">
        <v>71</v>
      </c>
      <c r="B463" s="2">
        <v>26</v>
      </c>
      <c r="C463" t="s">
        <v>72</v>
      </c>
      <c r="D463" s="2" t="s">
        <v>33</v>
      </c>
      <c r="E463" s="2">
        <v>25</v>
      </c>
      <c r="F463" s="2">
        <v>25</v>
      </c>
      <c r="G463" s="2">
        <v>899</v>
      </c>
      <c r="H463" s="2">
        <v>100</v>
      </c>
      <c r="I463" s="2">
        <v>0</v>
      </c>
      <c r="J463" s="2">
        <v>0</v>
      </c>
      <c r="K463" s="2">
        <v>0</v>
      </c>
      <c r="L463" s="2">
        <v>0</v>
      </c>
      <c r="M463" s="2">
        <v>0</v>
      </c>
      <c r="N463" s="6">
        <v>8.1999999999999993</v>
      </c>
      <c r="O463" s="2">
        <v>89</v>
      </c>
      <c r="P463" s="2">
        <v>19</v>
      </c>
      <c r="Q463" s="2">
        <v>28</v>
      </c>
      <c r="R463" s="2">
        <v>2</v>
      </c>
      <c r="S463" s="2">
        <v>49</v>
      </c>
      <c r="T463" s="2">
        <v>9</v>
      </c>
      <c r="U463" s="2">
        <v>696</v>
      </c>
      <c r="V463" s="2">
        <v>7</v>
      </c>
      <c r="W463" s="2">
        <v>23</v>
      </c>
    </row>
    <row r="464" spans="1:23" x14ac:dyDescent="0.2">
      <c r="A464" t="s">
        <v>259</v>
      </c>
      <c r="B464" s="2">
        <v>24</v>
      </c>
      <c r="C464" t="s">
        <v>100</v>
      </c>
      <c r="D464" s="2" t="s">
        <v>42</v>
      </c>
      <c r="E464" s="2">
        <v>23</v>
      </c>
      <c r="F464" s="2">
        <v>18</v>
      </c>
      <c r="G464" s="2">
        <v>388</v>
      </c>
      <c r="H464" s="2">
        <v>0</v>
      </c>
      <c r="I464" s="2">
        <v>0</v>
      </c>
      <c r="J464" s="2">
        <v>0</v>
      </c>
      <c r="K464" s="2">
        <v>0</v>
      </c>
      <c r="L464" s="2">
        <v>100</v>
      </c>
      <c r="M464" s="6">
        <v>1.8</v>
      </c>
      <c r="N464" s="7">
        <v>-4.7</v>
      </c>
      <c r="O464" s="2">
        <v>9</v>
      </c>
      <c r="P464" s="2">
        <v>2</v>
      </c>
      <c r="Q464" s="2">
        <v>14</v>
      </c>
      <c r="R464" s="2">
        <v>6</v>
      </c>
      <c r="S464" s="2">
        <v>17</v>
      </c>
      <c r="T464" s="2">
        <v>0</v>
      </c>
      <c r="U464" s="2">
        <v>115</v>
      </c>
      <c r="V464" s="2">
        <v>2</v>
      </c>
      <c r="W464" s="2">
        <v>16</v>
      </c>
    </row>
    <row r="465" spans="1:23" x14ac:dyDescent="0.2">
      <c r="A465" t="s">
        <v>432</v>
      </c>
      <c r="B465" s="2">
        <v>25</v>
      </c>
      <c r="C465" t="s">
        <v>93</v>
      </c>
      <c r="D465" s="2" t="s">
        <v>33</v>
      </c>
      <c r="E465" s="2">
        <v>8</v>
      </c>
      <c r="F465" s="2">
        <v>0</v>
      </c>
      <c r="G465" s="2">
        <v>140</v>
      </c>
      <c r="H465" s="2">
        <v>87</v>
      </c>
      <c r="I465" s="2">
        <v>13</v>
      </c>
      <c r="J465" s="2">
        <v>0</v>
      </c>
      <c r="K465" s="2">
        <v>0</v>
      </c>
      <c r="L465" s="2">
        <v>0</v>
      </c>
      <c r="M465" s="6">
        <v>0.1</v>
      </c>
      <c r="N465" s="6">
        <v>2.7</v>
      </c>
      <c r="O465" s="2">
        <v>3</v>
      </c>
      <c r="P465" s="2">
        <v>2</v>
      </c>
      <c r="Q465" s="2">
        <v>3</v>
      </c>
      <c r="R465" s="2">
        <v>0</v>
      </c>
      <c r="S465" s="2">
        <v>2</v>
      </c>
      <c r="T465" s="2">
        <v>3</v>
      </c>
      <c r="U465" s="2">
        <v>66</v>
      </c>
      <c r="V465" s="2">
        <v>1</v>
      </c>
      <c r="W465" s="2">
        <v>1</v>
      </c>
    </row>
    <row r="466" spans="1:23" x14ac:dyDescent="0.2">
      <c r="A466" t="s">
        <v>246</v>
      </c>
      <c r="B466" s="2">
        <v>23</v>
      </c>
      <c r="C466" t="s">
        <v>59</v>
      </c>
      <c r="D466" s="2" t="s">
        <v>33</v>
      </c>
      <c r="E466" s="2">
        <v>13</v>
      </c>
      <c r="F466" s="2">
        <v>0</v>
      </c>
      <c r="G466" s="2">
        <v>319</v>
      </c>
      <c r="H466" s="2">
        <v>100</v>
      </c>
      <c r="I466" s="2">
        <v>0</v>
      </c>
      <c r="J466" s="2">
        <v>0</v>
      </c>
      <c r="K466" s="2">
        <v>0</v>
      </c>
      <c r="L466" s="2">
        <v>0</v>
      </c>
      <c r="M466" s="7">
        <v>-8.4</v>
      </c>
      <c r="N466" s="7">
        <v>-3.6</v>
      </c>
      <c r="O466" s="2">
        <v>10</v>
      </c>
      <c r="P466" s="2">
        <v>9</v>
      </c>
      <c r="Q466" s="2">
        <v>13</v>
      </c>
      <c r="R466" s="2">
        <v>4</v>
      </c>
      <c r="S466" s="2">
        <v>9</v>
      </c>
      <c r="T466" s="2">
        <v>1</v>
      </c>
      <c r="U466" s="2">
        <v>102</v>
      </c>
      <c r="V466" s="2">
        <v>3</v>
      </c>
      <c r="W466" s="2">
        <v>13</v>
      </c>
    </row>
    <row r="467" spans="1:23" x14ac:dyDescent="0.2">
      <c r="A467" t="s">
        <v>338</v>
      </c>
      <c r="B467" s="2">
        <v>24</v>
      </c>
      <c r="C467" t="s">
        <v>103</v>
      </c>
      <c r="D467" s="2" t="s">
        <v>27</v>
      </c>
      <c r="E467" s="2">
        <v>11</v>
      </c>
      <c r="F467" s="2">
        <v>0</v>
      </c>
      <c r="G467" s="2">
        <v>199</v>
      </c>
      <c r="H467" s="2">
        <v>0</v>
      </c>
      <c r="I467" s="2">
        <v>0</v>
      </c>
      <c r="J467" s="2">
        <v>0</v>
      </c>
      <c r="K467" s="2">
        <v>35</v>
      </c>
      <c r="L467" s="2">
        <v>66</v>
      </c>
      <c r="M467" s="7">
        <v>-10.3</v>
      </c>
      <c r="N467" s="7">
        <v>-7.1</v>
      </c>
      <c r="O467" s="2">
        <v>3</v>
      </c>
      <c r="P467" s="2">
        <v>6</v>
      </c>
      <c r="Q467" s="2">
        <v>14</v>
      </c>
      <c r="R467" s="2">
        <v>5</v>
      </c>
      <c r="S467" s="2">
        <v>15</v>
      </c>
      <c r="T467" s="2">
        <v>2</v>
      </c>
      <c r="U467" s="2">
        <v>40</v>
      </c>
      <c r="V467" s="2">
        <v>4</v>
      </c>
      <c r="W467" s="2">
        <v>11</v>
      </c>
    </row>
    <row r="468" spans="1:23" x14ac:dyDescent="0.2">
      <c r="A468" t="s">
        <v>499</v>
      </c>
      <c r="B468" s="2">
        <v>19</v>
      </c>
      <c r="C468" t="s">
        <v>77</v>
      </c>
      <c r="D468" s="2" t="s">
        <v>49</v>
      </c>
      <c r="E468" s="2">
        <v>1</v>
      </c>
      <c r="F468" s="2">
        <v>0</v>
      </c>
      <c r="G468" s="2">
        <v>14</v>
      </c>
      <c r="H468" s="2">
        <v>0</v>
      </c>
      <c r="I468" s="2">
        <v>0</v>
      </c>
      <c r="J468" s="2">
        <v>100</v>
      </c>
      <c r="K468" s="2">
        <v>0</v>
      </c>
      <c r="L468" s="2">
        <v>0</v>
      </c>
      <c r="M468" s="6">
        <v>32.9</v>
      </c>
      <c r="N468" s="6">
        <v>32.200000000000003</v>
      </c>
      <c r="O468" s="2">
        <v>0</v>
      </c>
      <c r="P468" s="2">
        <v>1</v>
      </c>
      <c r="Q468" s="2">
        <v>1</v>
      </c>
      <c r="R468" s="2">
        <v>0</v>
      </c>
      <c r="S468" s="2">
        <v>1</v>
      </c>
      <c r="T468" s="2">
        <v>0</v>
      </c>
      <c r="U468" s="2">
        <v>0</v>
      </c>
      <c r="V468" s="2">
        <v>1</v>
      </c>
      <c r="W468" s="2">
        <v>0</v>
      </c>
    </row>
    <row r="469" spans="1:23" x14ac:dyDescent="0.2">
      <c r="A469" t="s">
        <v>540</v>
      </c>
      <c r="B469" s="2">
        <v>27</v>
      </c>
      <c r="C469" t="s">
        <v>48</v>
      </c>
      <c r="D469" s="2" t="s">
        <v>52</v>
      </c>
      <c r="E469" s="2">
        <v>2</v>
      </c>
      <c r="F469" s="2">
        <v>0</v>
      </c>
      <c r="G469" s="2">
        <v>5</v>
      </c>
      <c r="H469" s="2">
        <v>0</v>
      </c>
      <c r="I469" s="2">
        <v>0</v>
      </c>
      <c r="J469" s="2">
        <v>100</v>
      </c>
      <c r="K469" s="2">
        <v>0</v>
      </c>
      <c r="L469" s="2">
        <v>0</v>
      </c>
      <c r="M469" s="6">
        <v>40.9</v>
      </c>
      <c r="N469" s="6">
        <v>37.700000000000003</v>
      </c>
      <c r="O469" s="2">
        <v>1</v>
      </c>
      <c r="P469" s="2">
        <v>0</v>
      </c>
      <c r="Q469" s="2">
        <v>0</v>
      </c>
      <c r="R469" s="2">
        <v>0</v>
      </c>
      <c r="S469" s="2">
        <v>0</v>
      </c>
      <c r="T469" s="2">
        <v>0</v>
      </c>
      <c r="U469" s="2">
        <v>0</v>
      </c>
      <c r="V469" s="2">
        <v>0</v>
      </c>
      <c r="W469" s="2">
        <v>0</v>
      </c>
    </row>
    <row r="470" spans="1:23" x14ac:dyDescent="0.2">
      <c r="A470" t="s">
        <v>497</v>
      </c>
      <c r="B470" s="2">
        <v>21</v>
      </c>
      <c r="C470" t="s">
        <v>46</v>
      </c>
      <c r="D470" s="2" t="s">
        <v>52</v>
      </c>
      <c r="E470" s="2">
        <v>9</v>
      </c>
      <c r="F470" s="2">
        <v>0</v>
      </c>
      <c r="G470" s="2">
        <v>44</v>
      </c>
      <c r="H470" s="2">
        <v>40</v>
      </c>
      <c r="I470" s="2">
        <v>58</v>
      </c>
      <c r="J470" s="2">
        <v>2</v>
      </c>
      <c r="K470" s="2">
        <v>0</v>
      </c>
      <c r="L470" s="2">
        <v>0</v>
      </c>
      <c r="M470" s="6">
        <v>0.9</v>
      </c>
      <c r="N470" s="7">
        <v>-1.4</v>
      </c>
      <c r="O470" s="2">
        <v>0</v>
      </c>
      <c r="P470" s="2">
        <v>0</v>
      </c>
      <c r="Q470" s="2">
        <v>2</v>
      </c>
      <c r="R470" s="2">
        <v>1</v>
      </c>
      <c r="S470" s="2">
        <v>0</v>
      </c>
      <c r="T470" s="2">
        <v>0</v>
      </c>
      <c r="U470" s="2">
        <v>5</v>
      </c>
      <c r="V470" s="2">
        <v>0</v>
      </c>
      <c r="W470" s="2">
        <v>0</v>
      </c>
    </row>
    <row r="471" spans="1:23" x14ac:dyDescent="0.2">
      <c r="A471" t="s">
        <v>426</v>
      </c>
      <c r="B471" s="2">
        <v>25</v>
      </c>
      <c r="C471" t="s">
        <v>117</v>
      </c>
      <c r="D471" s="2" t="s">
        <v>42</v>
      </c>
      <c r="E471" s="2">
        <v>15</v>
      </c>
      <c r="F471" s="2">
        <v>0</v>
      </c>
      <c r="G471" s="2">
        <v>152</v>
      </c>
      <c r="H471" s="2">
        <v>0</v>
      </c>
      <c r="I471" s="2">
        <v>0</v>
      </c>
      <c r="J471" s="2">
        <v>0</v>
      </c>
      <c r="K471" s="2">
        <v>0</v>
      </c>
      <c r="L471" s="2">
        <v>100</v>
      </c>
      <c r="M471" s="7">
        <v>-6.8</v>
      </c>
      <c r="N471" s="6">
        <v>6.2</v>
      </c>
      <c r="O471" s="2">
        <v>2</v>
      </c>
      <c r="P471" s="2">
        <v>3</v>
      </c>
      <c r="Q471" s="2">
        <v>9</v>
      </c>
      <c r="R471" s="2">
        <v>5</v>
      </c>
      <c r="S471" s="2">
        <v>8</v>
      </c>
      <c r="T471" s="2">
        <v>0</v>
      </c>
      <c r="U471" s="2">
        <v>18</v>
      </c>
      <c r="V471" s="2">
        <v>1</v>
      </c>
      <c r="W471" s="2">
        <v>6</v>
      </c>
    </row>
    <row r="472" spans="1:23" x14ac:dyDescent="0.2">
      <c r="A472" t="s">
        <v>340</v>
      </c>
      <c r="B472" s="2">
        <v>29</v>
      </c>
      <c r="C472" t="s">
        <v>37</v>
      </c>
      <c r="D472" s="2" t="s">
        <v>27</v>
      </c>
      <c r="E472" s="2">
        <v>18</v>
      </c>
      <c r="F472" s="2">
        <v>2</v>
      </c>
      <c r="G472" s="2">
        <v>353</v>
      </c>
      <c r="H472" s="2">
        <v>0</v>
      </c>
      <c r="I472" s="2">
        <v>0</v>
      </c>
      <c r="J472" s="2">
        <v>0</v>
      </c>
      <c r="K472" s="2">
        <v>54</v>
      </c>
      <c r="L472" s="2">
        <v>46</v>
      </c>
      <c r="M472" s="6">
        <v>2</v>
      </c>
      <c r="N472" s="7">
        <v>-2</v>
      </c>
      <c r="O472" s="2">
        <v>4</v>
      </c>
      <c r="P472" s="2">
        <v>5</v>
      </c>
      <c r="Q472" s="2">
        <v>15</v>
      </c>
      <c r="R472" s="2">
        <v>1</v>
      </c>
      <c r="S472" s="2">
        <v>7</v>
      </c>
      <c r="T472" s="2">
        <v>7</v>
      </c>
      <c r="U472" s="2">
        <v>42</v>
      </c>
      <c r="V472" s="2">
        <v>0</v>
      </c>
      <c r="W472" s="2">
        <v>1</v>
      </c>
    </row>
    <row r="473" spans="1:23" x14ac:dyDescent="0.2">
      <c r="A473" t="s">
        <v>205</v>
      </c>
      <c r="B473" s="2">
        <v>24</v>
      </c>
      <c r="C473" t="s">
        <v>117</v>
      </c>
      <c r="D473" s="2" t="s">
        <v>49</v>
      </c>
      <c r="E473" s="2">
        <v>13</v>
      </c>
      <c r="F473" s="2">
        <v>11</v>
      </c>
      <c r="G473" s="2">
        <v>438</v>
      </c>
      <c r="H473" s="2">
        <v>0</v>
      </c>
      <c r="I473" s="2">
        <v>0</v>
      </c>
      <c r="J473" s="2">
        <v>35</v>
      </c>
      <c r="K473" s="2">
        <v>65</v>
      </c>
      <c r="L473" s="2">
        <v>0</v>
      </c>
      <c r="M473" s="7">
        <v>-13</v>
      </c>
      <c r="N473" s="7">
        <v>-1.2</v>
      </c>
      <c r="O473" s="2">
        <v>10</v>
      </c>
      <c r="P473" s="2">
        <v>7</v>
      </c>
      <c r="Q473" s="2">
        <v>14</v>
      </c>
      <c r="R473" s="2">
        <v>3</v>
      </c>
      <c r="S473" s="2">
        <v>21</v>
      </c>
      <c r="T473" s="2">
        <v>1</v>
      </c>
      <c r="U473" s="2">
        <v>72</v>
      </c>
      <c r="V473" s="2">
        <v>6</v>
      </c>
      <c r="W473" s="2">
        <v>2</v>
      </c>
    </row>
    <row r="474" spans="1:23" x14ac:dyDescent="0.2">
      <c r="A474" t="s">
        <v>268</v>
      </c>
      <c r="B474" s="2">
        <v>23</v>
      </c>
      <c r="C474" t="s">
        <v>48</v>
      </c>
      <c r="D474" s="2" t="s">
        <v>49</v>
      </c>
      <c r="E474" s="2">
        <v>23</v>
      </c>
      <c r="F474" s="2">
        <v>16</v>
      </c>
      <c r="G474" s="2">
        <v>523</v>
      </c>
      <c r="H474" s="2">
        <v>0</v>
      </c>
      <c r="I474" s="2">
        <v>5</v>
      </c>
      <c r="J474" s="2">
        <v>73</v>
      </c>
      <c r="K474" s="2">
        <v>15</v>
      </c>
      <c r="L474" s="2">
        <v>7</v>
      </c>
      <c r="M474" s="7">
        <v>-0.8</v>
      </c>
      <c r="N474" s="7">
        <v>-6.9</v>
      </c>
      <c r="O474" s="2">
        <v>4</v>
      </c>
      <c r="P474" s="2">
        <v>6</v>
      </c>
      <c r="Q474" s="2">
        <v>21</v>
      </c>
      <c r="R474" s="2">
        <v>4</v>
      </c>
      <c r="S474" s="2">
        <v>12</v>
      </c>
      <c r="T474" s="2">
        <v>2</v>
      </c>
      <c r="U474" s="2">
        <v>79</v>
      </c>
      <c r="V474" s="2">
        <v>3</v>
      </c>
      <c r="W474" s="2">
        <v>7</v>
      </c>
    </row>
    <row r="475" spans="1:23" x14ac:dyDescent="0.2">
      <c r="A475" t="s">
        <v>451</v>
      </c>
      <c r="B475" s="2">
        <v>33</v>
      </c>
      <c r="C475" t="s">
        <v>57</v>
      </c>
      <c r="D475" s="2" t="s">
        <v>27</v>
      </c>
      <c r="E475" s="2">
        <v>8</v>
      </c>
      <c r="F475" s="2">
        <v>0</v>
      </c>
      <c r="G475" s="2">
        <v>58</v>
      </c>
      <c r="H475" s="2">
        <v>0</v>
      </c>
      <c r="I475" s="2">
        <v>0</v>
      </c>
      <c r="J475" s="2">
        <v>0</v>
      </c>
      <c r="K475" s="2">
        <v>0</v>
      </c>
      <c r="L475" s="2">
        <v>100</v>
      </c>
      <c r="M475" s="7">
        <v>-8.9</v>
      </c>
      <c r="N475" s="7">
        <v>-20.5</v>
      </c>
      <c r="O475" s="2">
        <v>0</v>
      </c>
      <c r="P475" s="2">
        <v>1</v>
      </c>
      <c r="Q475" s="2">
        <v>3</v>
      </c>
      <c r="R475" s="2">
        <v>1</v>
      </c>
      <c r="S475" s="2">
        <v>4</v>
      </c>
      <c r="T475" s="2">
        <v>0</v>
      </c>
      <c r="U475" s="2">
        <v>11</v>
      </c>
      <c r="V475" s="2">
        <v>2</v>
      </c>
      <c r="W475" s="2">
        <v>1</v>
      </c>
    </row>
    <row r="476" spans="1:23" x14ac:dyDescent="0.2">
      <c r="A476" t="s">
        <v>538</v>
      </c>
      <c r="B476" s="2">
        <v>23</v>
      </c>
      <c r="C476" t="s">
        <v>82</v>
      </c>
      <c r="D476" s="2" t="s">
        <v>52</v>
      </c>
      <c r="E476" s="2">
        <v>5</v>
      </c>
      <c r="F476" s="2">
        <v>0</v>
      </c>
      <c r="G476" s="2">
        <v>8</v>
      </c>
      <c r="H476" s="2">
        <v>5</v>
      </c>
      <c r="I476" s="2">
        <v>95</v>
      </c>
      <c r="J476" s="2">
        <v>0</v>
      </c>
      <c r="K476" s="2">
        <v>0</v>
      </c>
      <c r="L476" s="2">
        <v>0</v>
      </c>
      <c r="M476" s="7">
        <v>-19.7</v>
      </c>
      <c r="N476" s="7">
        <v>-15.7</v>
      </c>
      <c r="O476" s="2">
        <v>1</v>
      </c>
      <c r="P476" s="2">
        <v>0</v>
      </c>
      <c r="Q476" s="2">
        <v>1</v>
      </c>
      <c r="R476" s="2">
        <v>0</v>
      </c>
      <c r="S476" s="2">
        <v>0</v>
      </c>
      <c r="T476" s="2">
        <v>0</v>
      </c>
      <c r="U476" s="2">
        <v>3</v>
      </c>
      <c r="V476" s="2">
        <v>0</v>
      </c>
      <c r="W476" s="2">
        <v>0</v>
      </c>
    </row>
    <row r="477" spans="1:23" x14ac:dyDescent="0.2">
      <c r="A477" t="s">
        <v>180</v>
      </c>
      <c r="B477" s="2">
        <v>27</v>
      </c>
      <c r="C477" t="s">
        <v>57</v>
      </c>
      <c r="D477" s="2" t="s">
        <v>52</v>
      </c>
      <c r="E477" s="2">
        <v>24</v>
      </c>
      <c r="F477" s="2">
        <v>2</v>
      </c>
      <c r="G477" s="2">
        <v>441</v>
      </c>
      <c r="H477" s="2">
        <v>3</v>
      </c>
      <c r="I477" s="2">
        <v>56</v>
      </c>
      <c r="J477" s="2">
        <v>41</v>
      </c>
      <c r="K477" s="2">
        <v>0</v>
      </c>
      <c r="L477" s="2">
        <v>0</v>
      </c>
      <c r="M477" s="6">
        <v>6.1</v>
      </c>
      <c r="N477" s="7">
        <v>-7.2</v>
      </c>
      <c r="O477" s="2">
        <v>14</v>
      </c>
      <c r="P477" s="2">
        <v>12</v>
      </c>
      <c r="Q477" s="2">
        <v>12</v>
      </c>
      <c r="R477" s="2">
        <v>2</v>
      </c>
      <c r="S477" s="2">
        <v>24</v>
      </c>
      <c r="T477" s="2">
        <v>0</v>
      </c>
      <c r="U477" s="2">
        <v>192</v>
      </c>
      <c r="V477" s="2">
        <v>7</v>
      </c>
      <c r="W477" s="2">
        <v>8</v>
      </c>
    </row>
    <row r="478" spans="1:23" x14ac:dyDescent="0.2">
      <c r="A478" t="s">
        <v>60</v>
      </c>
      <c r="B478" s="2">
        <v>25</v>
      </c>
      <c r="C478" t="s">
        <v>61</v>
      </c>
      <c r="D478" s="2" t="s">
        <v>52</v>
      </c>
      <c r="E478" s="2">
        <v>23</v>
      </c>
      <c r="F478" s="2">
        <v>23</v>
      </c>
      <c r="G478" s="2">
        <v>797</v>
      </c>
      <c r="H478" s="2">
        <v>39</v>
      </c>
      <c r="I478" s="2">
        <v>59</v>
      </c>
      <c r="J478" s="2">
        <v>3</v>
      </c>
      <c r="K478" s="2">
        <v>0</v>
      </c>
      <c r="L478" s="2">
        <v>0</v>
      </c>
      <c r="M478" s="6">
        <v>2.2000000000000002</v>
      </c>
      <c r="N478" s="7">
        <v>-4.5</v>
      </c>
      <c r="O478" s="2">
        <v>29</v>
      </c>
      <c r="P478" s="2">
        <v>18</v>
      </c>
      <c r="Q478" s="2">
        <v>18</v>
      </c>
      <c r="R478" s="2">
        <v>5</v>
      </c>
      <c r="S478" s="2">
        <v>41</v>
      </c>
      <c r="T478" s="2">
        <v>2</v>
      </c>
      <c r="U478" s="2">
        <v>283</v>
      </c>
      <c r="V478" s="2">
        <v>11</v>
      </c>
      <c r="W478" s="2">
        <v>23</v>
      </c>
    </row>
    <row r="479" spans="1:23" x14ac:dyDescent="0.2">
      <c r="A479" t="s">
        <v>411</v>
      </c>
      <c r="B479" s="2">
        <v>23</v>
      </c>
      <c r="C479" t="s">
        <v>44</v>
      </c>
      <c r="D479" s="2" t="s">
        <v>33</v>
      </c>
      <c r="E479" s="2">
        <v>16</v>
      </c>
      <c r="F479" s="2">
        <v>0</v>
      </c>
      <c r="G479" s="2">
        <v>110</v>
      </c>
      <c r="H479" s="2">
        <v>100</v>
      </c>
      <c r="I479" s="2">
        <v>0</v>
      </c>
      <c r="J479" s="2">
        <v>0</v>
      </c>
      <c r="K479" s="2">
        <v>0</v>
      </c>
      <c r="L479" s="2">
        <v>0</v>
      </c>
      <c r="M479" s="7">
        <v>-5.2</v>
      </c>
      <c r="N479" s="7">
        <v>-13</v>
      </c>
      <c r="O479" s="2">
        <v>5</v>
      </c>
      <c r="P479" s="2">
        <v>2</v>
      </c>
      <c r="Q479" s="2">
        <v>6</v>
      </c>
      <c r="R479" s="2">
        <v>0</v>
      </c>
      <c r="S479" s="2">
        <v>1</v>
      </c>
      <c r="T479" s="2">
        <v>0</v>
      </c>
      <c r="U479" s="2">
        <v>28</v>
      </c>
      <c r="V479" s="2">
        <v>0</v>
      </c>
      <c r="W479" s="2">
        <v>1</v>
      </c>
    </row>
    <row r="480" spans="1:23" x14ac:dyDescent="0.2">
      <c r="A480" t="s">
        <v>469</v>
      </c>
      <c r="B480" s="2">
        <v>20</v>
      </c>
      <c r="C480" t="s">
        <v>35</v>
      </c>
      <c r="D480" s="2" t="s">
        <v>27</v>
      </c>
      <c r="E480" s="2">
        <v>10</v>
      </c>
      <c r="F480" s="2">
        <v>0</v>
      </c>
      <c r="G480" s="2">
        <v>34</v>
      </c>
      <c r="H480" s="2">
        <v>0</v>
      </c>
      <c r="I480" s="2">
        <v>0</v>
      </c>
      <c r="J480" s="2">
        <v>0</v>
      </c>
      <c r="K480" s="2">
        <v>56</v>
      </c>
      <c r="L480" s="2">
        <v>44</v>
      </c>
      <c r="M480" s="6">
        <v>16.899999999999999</v>
      </c>
      <c r="N480" s="6">
        <v>16.600000000000001</v>
      </c>
      <c r="O480" s="2">
        <v>1</v>
      </c>
      <c r="P480" s="2">
        <v>0</v>
      </c>
      <c r="Q480" s="2">
        <v>2</v>
      </c>
      <c r="R480" s="2">
        <v>1</v>
      </c>
      <c r="S480" s="2">
        <v>1</v>
      </c>
      <c r="T480" s="2">
        <v>1</v>
      </c>
      <c r="U480" s="2">
        <v>3</v>
      </c>
      <c r="V480" s="2">
        <v>0</v>
      </c>
      <c r="W480" s="2">
        <v>0</v>
      </c>
    </row>
    <row r="481" spans="1:23" x14ac:dyDescent="0.2">
      <c r="A481" t="s">
        <v>97</v>
      </c>
      <c r="B481" s="2">
        <v>24</v>
      </c>
      <c r="C481" t="s">
        <v>82</v>
      </c>
      <c r="D481" s="2" t="s">
        <v>33</v>
      </c>
      <c r="E481" s="2">
        <v>25</v>
      </c>
      <c r="F481" s="2">
        <v>25</v>
      </c>
      <c r="G481" s="2">
        <v>884</v>
      </c>
      <c r="H481" s="2">
        <v>58</v>
      </c>
      <c r="I481" s="2">
        <v>41</v>
      </c>
      <c r="J481" s="2">
        <v>1</v>
      </c>
      <c r="K481" s="2">
        <v>0</v>
      </c>
      <c r="L481" s="2">
        <v>0</v>
      </c>
      <c r="M481" s="7">
        <v>-5.3</v>
      </c>
      <c r="N481" s="7">
        <v>-3.9</v>
      </c>
      <c r="O481" s="2">
        <v>33</v>
      </c>
      <c r="P481" s="2">
        <v>13</v>
      </c>
      <c r="Q481" s="2">
        <v>21</v>
      </c>
      <c r="R481" s="2">
        <v>1</v>
      </c>
      <c r="S481" s="2">
        <v>29</v>
      </c>
      <c r="T481" s="2">
        <v>7</v>
      </c>
      <c r="U481" s="2">
        <v>506</v>
      </c>
      <c r="V481" s="2">
        <v>6</v>
      </c>
      <c r="W481" s="2">
        <v>9</v>
      </c>
    </row>
    <row r="482" spans="1:23" x14ac:dyDescent="0.2">
      <c r="A482" t="s">
        <v>383</v>
      </c>
      <c r="B482" s="2">
        <v>25</v>
      </c>
      <c r="C482" t="s">
        <v>103</v>
      </c>
      <c r="D482" s="2" t="s">
        <v>52</v>
      </c>
      <c r="E482" s="2">
        <v>9</v>
      </c>
      <c r="F482" s="2">
        <v>2</v>
      </c>
      <c r="G482" s="2">
        <v>132</v>
      </c>
      <c r="H482" s="2">
        <v>0</v>
      </c>
      <c r="I482" s="2">
        <v>16</v>
      </c>
      <c r="J482" s="2">
        <v>67</v>
      </c>
      <c r="K482" s="2">
        <v>17</v>
      </c>
      <c r="L482" s="2">
        <v>0</v>
      </c>
      <c r="M482" s="7">
        <v>-16.2</v>
      </c>
      <c r="N482" s="7">
        <v>-13.4</v>
      </c>
      <c r="O482" s="2">
        <v>2</v>
      </c>
      <c r="P482" s="2">
        <v>1</v>
      </c>
      <c r="Q482" s="2">
        <v>2</v>
      </c>
      <c r="R482" s="2">
        <v>1</v>
      </c>
      <c r="S482" s="2">
        <v>2</v>
      </c>
      <c r="T482" s="2">
        <v>1</v>
      </c>
      <c r="U482" s="2">
        <v>25</v>
      </c>
      <c r="V482" s="2">
        <v>0</v>
      </c>
      <c r="W482" s="2">
        <v>2</v>
      </c>
    </row>
    <row r="483" spans="1:23" x14ac:dyDescent="0.2">
      <c r="A483" t="s">
        <v>121</v>
      </c>
      <c r="B483" s="2">
        <v>24</v>
      </c>
      <c r="C483" t="s">
        <v>122</v>
      </c>
      <c r="D483" s="2" t="s">
        <v>33</v>
      </c>
      <c r="E483" s="2">
        <v>16</v>
      </c>
      <c r="F483" s="2">
        <v>16</v>
      </c>
      <c r="G483" s="2">
        <v>587</v>
      </c>
      <c r="H483" s="2">
        <v>78</v>
      </c>
      <c r="I483" s="2">
        <v>22</v>
      </c>
      <c r="J483" s="2">
        <v>0</v>
      </c>
      <c r="K483" s="2">
        <v>0</v>
      </c>
      <c r="L483" s="2">
        <v>0</v>
      </c>
      <c r="M483" s="7">
        <v>-2.4</v>
      </c>
      <c r="N483" s="6">
        <v>5.4</v>
      </c>
      <c r="O483" s="2">
        <v>16</v>
      </c>
      <c r="P483" s="2">
        <v>6</v>
      </c>
      <c r="Q483" s="2">
        <v>16</v>
      </c>
      <c r="R483" s="2">
        <v>2</v>
      </c>
      <c r="S483" s="2">
        <v>27</v>
      </c>
      <c r="T483" s="2">
        <v>2</v>
      </c>
      <c r="U483" s="2">
        <v>201</v>
      </c>
      <c r="V483" s="2">
        <v>9</v>
      </c>
      <c r="W483" s="2">
        <v>23</v>
      </c>
    </row>
    <row r="484" spans="1:23" x14ac:dyDescent="0.2">
      <c r="A484" t="s">
        <v>505</v>
      </c>
      <c r="B484" s="2">
        <v>23</v>
      </c>
      <c r="C484" t="s">
        <v>54</v>
      </c>
      <c r="D484" s="2" t="s">
        <v>33</v>
      </c>
      <c r="E484" s="2">
        <v>3</v>
      </c>
      <c r="F484" s="2">
        <v>0</v>
      </c>
      <c r="G484" s="2">
        <v>27</v>
      </c>
      <c r="H484" s="2">
        <v>63</v>
      </c>
      <c r="I484" s="2">
        <v>21</v>
      </c>
      <c r="J484" s="2">
        <v>16</v>
      </c>
      <c r="K484" s="2">
        <v>0</v>
      </c>
      <c r="L484" s="2">
        <v>0</v>
      </c>
      <c r="M484" s="7">
        <v>-10.8</v>
      </c>
      <c r="N484" s="7">
        <v>-10.3</v>
      </c>
      <c r="O484" s="2">
        <v>0</v>
      </c>
      <c r="P484" s="2">
        <v>0</v>
      </c>
      <c r="Q484" s="2">
        <v>0</v>
      </c>
      <c r="R484" s="2">
        <v>0</v>
      </c>
      <c r="S484" s="2">
        <v>0</v>
      </c>
      <c r="T484" s="2">
        <v>0</v>
      </c>
      <c r="U484" s="2">
        <v>9</v>
      </c>
      <c r="V484" s="2">
        <v>0</v>
      </c>
      <c r="W484" s="2">
        <v>0</v>
      </c>
    </row>
    <row r="485" spans="1:23" x14ac:dyDescent="0.2">
      <c r="A485" t="s">
        <v>171</v>
      </c>
      <c r="B485" s="2">
        <v>28</v>
      </c>
      <c r="C485" t="s">
        <v>54</v>
      </c>
      <c r="D485" s="2" t="s">
        <v>33</v>
      </c>
      <c r="E485" s="2">
        <v>23</v>
      </c>
      <c r="F485" s="2">
        <v>23</v>
      </c>
      <c r="G485" s="2">
        <v>742</v>
      </c>
      <c r="H485" s="2">
        <v>98</v>
      </c>
      <c r="I485" s="2">
        <v>2</v>
      </c>
      <c r="J485" s="2">
        <v>0</v>
      </c>
      <c r="K485" s="2">
        <v>0</v>
      </c>
      <c r="L485" s="2">
        <v>0</v>
      </c>
      <c r="M485" s="7">
        <v>-2.2999999999999998</v>
      </c>
      <c r="N485" s="7">
        <v>-4.5999999999999996</v>
      </c>
      <c r="O485" s="2">
        <v>16</v>
      </c>
      <c r="P485" s="2">
        <v>2</v>
      </c>
      <c r="Q485" s="2">
        <v>11</v>
      </c>
      <c r="R485" s="2">
        <v>3</v>
      </c>
      <c r="S485" s="2">
        <v>5</v>
      </c>
      <c r="T485" s="2">
        <v>7</v>
      </c>
      <c r="U485" s="2">
        <v>397</v>
      </c>
      <c r="V485" s="2">
        <v>0</v>
      </c>
      <c r="W485" s="2">
        <v>9</v>
      </c>
    </row>
    <row r="486" spans="1:23" x14ac:dyDescent="0.2">
      <c r="A486" t="s">
        <v>544</v>
      </c>
      <c r="B486" s="2">
        <v>19</v>
      </c>
      <c r="C486" t="s">
        <v>66</v>
      </c>
      <c r="D486" s="2" t="s">
        <v>27</v>
      </c>
      <c r="E486" s="2">
        <v>1</v>
      </c>
      <c r="F486" s="2">
        <v>0</v>
      </c>
      <c r="G486" s="2">
        <v>5</v>
      </c>
      <c r="H486" s="2">
        <v>0</v>
      </c>
      <c r="I486" s="2">
        <v>0</v>
      </c>
      <c r="J486" s="2">
        <v>0</v>
      </c>
      <c r="K486" s="2">
        <v>0</v>
      </c>
      <c r="L486" s="2">
        <v>100</v>
      </c>
      <c r="M486" s="7">
        <v>-44.4</v>
      </c>
      <c r="N486" s="7">
        <v>-39.5</v>
      </c>
      <c r="O486" s="2">
        <v>0</v>
      </c>
      <c r="P486" s="2">
        <v>0</v>
      </c>
      <c r="Q486" s="2">
        <v>0</v>
      </c>
      <c r="R486" s="2">
        <v>0</v>
      </c>
      <c r="S486" s="2">
        <v>0</v>
      </c>
      <c r="T486" s="2">
        <v>0</v>
      </c>
      <c r="U486" s="2">
        <v>0</v>
      </c>
      <c r="V486" s="2">
        <v>0</v>
      </c>
      <c r="W486" s="2">
        <v>0</v>
      </c>
    </row>
    <row r="487" spans="1:23" x14ac:dyDescent="0.2">
      <c r="A487" t="s">
        <v>336</v>
      </c>
      <c r="B487" s="2">
        <v>31</v>
      </c>
      <c r="C487" t="s">
        <v>59</v>
      </c>
      <c r="D487" s="2" t="s">
        <v>33</v>
      </c>
      <c r="E487" s="2">
        <v>13</v>
      </c>
      <c r="F487" s="2">
        <v>6</v>
      </c>
      <c r="G487" s="2">
        <v>283</v>
      </c>
      <c r="H487" s="2">
        <v>87</v>
      </c>
      <c r="I487" s="2">
        <v>13</v>
      </c>
      <c r="J487" s="2">
        <v>0</v>
      </c>
      <c r="K487" s="2">
        <v>0</v>
      </c>
      <c r="L487" s="2">
        <v>0</v>
      </c>
      <c r="M487" s="7">
        <v>-7.7</v>
      </c>
      <c r="N487" s="7">
        <v>-2.5</v>
      </c>
      <c r="O487" s="2">
        <v>16</v>
      </c>
      <c r="P487" s="2">
        <v>7</v>
      </c>
      <c r="Q487" s="2">
        <v>9</v>
      </c>
      <c r="R487" s="2">
        <v>1</v>
      </c>
      <c r="S487" s="2">
        <v>3</v>
      </c>
      <c r="T487" s="2">
        <v>2</v>
      </c>
      <c r="U487" s="2">
        <v>121</v>
      </c>
      <c r="V487" s="2">
        <v>1</v>
      </c>
      <c r="W487" s="2">
        <v>13</v>
      </c>
    </row>
    <row r="488" spans="1:23" x14ac:dyDescent="0.2">
      <c r="A488" t="s">
        <v>92</v>
      </c>
      <c r="B488" s="2">
        <v>21</v>
      </c>
      <c r="C488" t="s">
        <v>93</v>
      </c>
      <c r="D488" s="2" t="s">
        <v>42</v>
      </c>
      <c r="E488" s="2">
        <v>19</v>
      </c>
      <c r="F488" s="2">
        <v>19</v>
      </c>
      <c r="G488" s="2">
        <v>611</v>
      </c>
      <c r="H488" s="2">
        <v>0</v>
      </c>
      <c r="I488" s="2">
        <v>0</v>
      </c>
      <c r="J488" s="2">
        <v>0</v>
      </c>
      <c r="K488" s="2">
        <v>0</v>
      </c>
      <c r="L488" s="2">
        <v>100</v>
      </c>
      <c r="M488" s="6">
        <v>3.6</v>
      </c>
      <c r="N488" s="6">
        <v>12.4</v>
      </c>
      <c r="O488" s="2">
        <v>26</v>
      </c>
      <c r="P488" s="2">
        <v>30</v>
      </c>
      <c r="Q488" s="2">
        <v>23</v>
      </c>
      <c r="R488" s="2">
        <v>5</v>
      </c>
      <c r="S488" s="2">
        <v>28</v>
      </c>
      <c r="T488" s="2">
        <v>5</v>
      </c>
      <c r="U488" s="2">
        <v>165</v>
      </c>
      <c r="V488" s="2">
        <v>8</v>
      </c>
      <c r="W488" s="2">
        <v>10</v>
      </c>
    </row>
    <row r="489" spans="1:23" x14ac:dyDescent="0.2">
      <c r="A489" t="s">
        <v>483</v>
      </c>
      <c r="B489" s="2">
        <v>24</v>
      </c>
      <c r="C489" t="s">
        <v>80</v>
      </c>
      <c r="D489" s="2" t="s">
        <v>52</v>
      </c>
      <c r="E489" s="2">
        <v>3</v>
      </c>
      <c r="F489" s="2">
        <v>0</v>
      </c>
      <c r="G489" s="2">
        <v>45</v>
      </c>
      <c r="H489" s="2">
        <v>48</v>
      </c>
      <c r="I489" s="2">
        <v>51</v>
      </c>
      <c r="J489" s="2">
        <v>1</v>
      </c>
      <c r="K489" s="2">
        <v>0</v>
      </c>
      <c r="L489" s="2">
        <v>0</v>
      </c>
      <c r="M489" s="6">
        <v>14.5</v>
      </c>
      <c r="N489" s="6">
        <v>6.1</v>
      </c>
      <c r="O489" s="2">
        <v>3</v>
      </c>
      <c r="P489" s="2">
        <v>4</v>
      </c>
      <c r="Q489" s="2">
        <v>6</v>
      </c>
      <c r="R489" s="2">
        <v>0</v>
      </c>
      <c r="S489" s="2">
        <v>0</v>
      </c>
      <c r="T489" s="2">
        <v>2</v>
      </c>
      <c r="U489" s="2">
        <v>20</v>
      </c>
      <c r="V489" s="2">
        <v>0</v>
      </c>
      <c r="W489" s="2">
        <v>0</v>
      </c>
    </row>
    <row r="490" spans="1:23" x14ac:dyDescent="0.2">
      <c r="A490" t="s">
        <v>433</v>
      </c>
      <c r="B490" s="2">
        <v>24</v>
      </c>
      <c r="C490" t="s">
        <v>72</v>
      </c>
      <c r="D490" s="2" t="s">
        <v>33</v>
      </c>
      <c r="E490" s="2">
        <v>12</v>
      </c>
      <c r="F490" s="2">
        <v>0</v>
      </c>
      <c r="G490" s="2">
        <v>140</v>
      </c>
      <c r="H490" s="2">
        <v>58</v>
      </c>
      <c r="I490" s="2">
        <v>41</v>
      </c>
      <c r="J490" s="2">
        <v>1</v>
      </c>
      <c r="K490" s="2">
        <v>0</v>
      </c>
      <c r="L490" s="2">
        <v>0</v>
      </c>
      <c r="M490" s="7">
        <v>-4.8</v>
      </c>
      <c r="N490" s="7">
        <v>-2.9</v>
      </c>
      <c r="O490" s="2">
        <v>5</v>
      </c>
      <c r="P490" s="2">
        <v>1</v>
      </c>
      <c r="Q490" s="2">
        <v>8</v>
      </c>
      <c r="R490" s="2">
        <v>0</v>
      </c>
      <c r="S490" s="2">
        <v>5</v>
      </c>
      <c r="T490" s="2">
        <v>1</v>
      </c>
      <c r="U490" s="2">
        <v>41</v>
      </c>
      <c r="V490" s="2">
        <v>1</v>
      </c>
      <c r="W490" s="2">
        <v>4</v>
      </c>
    </row>
    <row r="491" spans="1:23" x14ac:dyDescent="0.2">
      <c r="A491" t="s">
        <v>498</v>
      </c>
      <c r="B491" s="2">
        <v>27</v>
      </c>
      <c r="C491" t="s">
        <v>46</v>
      </c>
      <c r="D491" s="2" t="s">
        <v>27</v>
      </c>
      <c r="E491" s="2">
        <v>4</v>
      </c>
      <c r="F491" s="2">
        <v>0</v>
      </c>
      <c r="G491" s="2">
        <v>34</v>
      </c>
      <c r="H491" s="2">
        <v>0</v>
      </c>
      <c r="I491" s="2">
        <v>0</v>
      </c>
      <c r="J491" s="2">
        <v>4</v>
      </c>
      <c r="K491" s="2">
        <v>49</v>
      </c>
      <c r="L491" s="2">
        <v>47</v>
      </c>
      <c r="M491" s="7">
        <v>-9</v>
      </c>
      <c r="N491" s="7">
        <v>-11.7</v>
      </c>
      <c r="O491" s="2">
        <v>1</v>
      </c>
      <c r="P491" s="2">
        <v>0</v>
      </c>
      <c r="Q491" s="2">
        <v>1</v>
      </c>
      <c r="R491" s="2">
        <v>0</v>
      </c>
      <c r="S491" s="2">
        <v>0</v>
      </c>
      <c r="T491" s="2">
        <v>0</v>
      </c>
      <c r="U491" s="2">
        <v>0</v>
      </c>
      <c r="V491" s="2">
        <v>0</v>
      </c>
      <c r="W491" s="2">
        <v>1</v>
      </c>
    </row>
    <row r="492" spans="1:23" x14ac:dyDescent="0.2">
      <c r="A492" t="s">
        <v>245</v>
      </c>
      <c r="B492" s="2">
        <v>23</v>
      </c>
      <c r="C492" t="s">
        <v>120</v>
      </c>
      <c r="D492" s="2" t="s">
        <v>42</v>
      </c>
      <c r="E492" s="2">
        <v>17</v>
      </c>
      <c r="F492" s="2">
        <v>17</v>
      </c>
      <c r="G492" s="2">
        <v>495</v>
      </c>
      <c r="H492" s="2">
        <v>0</v>
      </c>
      <c r="I492" s="2">
        <v>0</v>
      </c>
      <c r="J492" s="2">
        <v>0</v>
      </c>
      <c r="K492" s="2">
        <v>0</v>
      </c>
      <c r="L492" s="2">
        <v>100</v>
      </c>
      <c r="M492" s="7">
        <v>-9.3000000000000007</v>
      </c>
      <c r="N492" s="6">
        <v>0.5</v>
      </c>
      <c r="O492" s="2">
        <v>7</v>
      </c>
      <c r="P492" s="2">
        <v>10</v>
      </c>
      <c r="Q492" s="2">
        <v>21</v>
      </c>
      <c r="R492" s="2">
        <v>5</v>
      </c>
      <c r="S492" s="2">
        <v>23</v>
      </c>
      <c r="T492" s="2">
        <v>0</v>
      </c>
      <c r="U492" s="2">
        <v>58</v>
      </c>
      <c r="V492" s="2">
        <v>7</v>
      </c>
      <c r="W492" s="2">
        <v>12</v>
      </c>
    </row>
    <row r="493" spans="1:23" x14ac:dyDescent="0.2">
      <c r="A493" t="s">
        <v>329</v>
      </c>
      <c r="B493" s="2">
        <v>25</v>
      </c>
      <c r="C493" t="s">
        <v>48</v>
      </c>
      <c r="D493" s="2" t="s">
        <v>42</v>
      </c>
      <c r="E493" s="2">
        <v>14</v>
      </c>
      <c r="F493" s="2">
        <v>14</v>
      </c>
      <c r="G493" s="2">
        <v>362</v>
      </c>
      <c r="H493" s="2">
        <v>0</v>
      </c>
      <c r="I493" s="2">
        <v>0</v>
      </c>
      <c r="J493" s="2">
        <v>0</v>
      </c>
      <c r="K493" s="2">
        <v>47</v>
      </c>
      <c r="L493" s="2">
        <v>53</v>
      </c>
      <c r="M493" s="6">
        <v>13.7</v>
      </c>
      <c r="N493" s="6">
        <v>14.4</v>
      </c>
      <c r="O493" s="2">
        <v>4</v>
      </c>
      <c r="P493" s="2">
        <v>5</v>
      </c>
      <c r="Q493" s="2">
        <v>27</v>
      </c>
      <c r="R493" s="2">
        <v>4</v>
      </c>
      <c r="S493" s="2">
        <v>16</v>
      </c>
      <c r="T493" s="2">
        <v>2</v>
      </c>
      <c r="U493" s="2">
        <v>75</v>
      </c>
      <c r="V493" s="2">
        <v>0</v>
      </c>
      <c r="W493" s="2">
        <v>3</v>
      </c>
    </row>
    <row r="494" spans="1:23" x14ac:dyDescent="0.2">
      <c r="A494" t="s">
        <v>402</v>
      </c>
      <c r="B494" s="2">
        <v>23</v>
      </c>
      <c r="C494" t="s">
        <v>75</v>
      </c>
      <c r="D494" s="2" t="s">
        <v>52</v>
      </c>
      <c r="E494" s="2">
        <v>12</v>
      </c>
      <c r="F494" s="2">
        <v>0</v>
      </c>
      <c r="G494" s="2">
        <v>171</v>
      </c>
      <c r="H494" s="2">
        <v>2</v>
      </c>
      <c r="I494" s="2">
        <v>49</v>
      </c>
      <c r="J494" s="2">
        <v>38</v>
      </c>
      <c r="K494" s="2">
        <v>11</v>
      </c>
      <c r="L494" s="2">
        <v>0</v>
      </c>
      <c r="M494" s="7">
        <v>-0.5</v>
      </c>
      <c r="N494" s="6">
        <v>3.5</v>
      </c>
      <c r="O494" s="2">
        <v>4</v>
      </c>
      <c r="P494" s="2">
        <v>4</v>
      </c>
      <c r="Q494" s="2">
        <v>5</v>
      </c>
      <c r="R494" s="2">
        <v>0</v>
      </c>
      <c r="S494" s="2">
        <v>7</v>
      </c>
      <c r="T494" s="2">
        <v>0</v>
      </c>
      <c r="U494" s="2">
        <v>35</v>
      </c>
      <c r="V494" s="2">
        <v>2</v>
      </c>
      <c r="W494" s="2">
        <v>4</v>
      </c>
    </row>
    <row r="495" spans="1:23" x14ac:dyDescent="0.2">
      <c r="A495" t="s">
        <v>477</v>
      </c>
      <c r="B495" s="2">
        <v>26</v>
      </c>
      <c r="C495" t="s">
        <v>39</v>
      </c>
      <c r="D495" s="2" t="s">
        <v>42</v>
      </c>
      <c r="E495" s="2">
        <v>16</v>
      </c>
      <c r="F495" s="2">
        <v>1</v>
      </c>
      <c r="G495" s="2">
        <v>144</v>
      </c>
      <c r="H495" s="2">
        <v>0</v>
      </c>
      <c r="I495" s="2">
        <v>0</v>
      </c>
      <c r="J495" s="2">
        <v>0</v>
      </c>
      <c r="K495" s="2">
        <v>66</v>
      </c>
      <c r="L495" s="2">
        <v>34</v>
      </c>
      <c r="M495" s="6">
        <v>2.6</v>
      </c>
      <c r="N495" s="7">
        <v>-8.1</v>
      </c>
      <c r="O495" s="2">
        <v>2</v>
      </c>
      <c r="P495" s="2">
        <v>1</v>
      </c>
      <c r="Q495" s="2">
        <v>9</v>
      </c>
      <c r="R495" s="2">
        <v>0</v>
      </c>
      <c r="S495" s="2">
        <v>1</v>
      </c>
      <c r="T495" s="2">
        <v>0</v>
      </c>
      <c r="U495" s="2">
        <v>17</v>
      </c>
      <c r="V495" s="2">
        <v>0</v>
      </c>
      <c r="W495" s="2">
        <v>3</v>
      </c>
    </row>
    <row r="496" spans="1:23" x14ac:dyDescent="0.2">
      <c r="A496" t="s">
        <v>490</v>
      </c>
      <c r="B496" s="2">
        <v>23</v>
      </c>
      <c r="C496" t="s">
        <v>80</v>
      </c>
      <c r="D496" s="2" t="s">
        <v>33</v>
      </c>
      <c r="E496" s="2">
        <v>13</v>
      </c>
      <c r="F496" s="2">
        <v>0</v>
      </c>
      <c r="G496" s="2">
        <v>40</v>
      </c>
      <c r="H496" s="2">
        <v>100</v>
      </c>
      <c r="I496" s="2">
        <v>0</v>
      </c>
      <c r="J496" s="2">
        <v>0</v>
      </c>
      <c r="K496" s="2">
        <v>0</v>
      </c>
      <c r="L496" s="2">
        <v>0</v>
      </c>
      <c r="M496" s="6">
        <v>4.5999999999999996</v>
      </c>
      <c r="N496" s="7">
        <v>-4.2</v>
      </c>
      <c r="O496" s="2">
        <v>3</v>
      </c>
      <c r="P496" s="2">
        <v>1</v>
      </c>
      <c r="Q496" s="2">
        <v>2</v>
      </c>
      <c r="R496" s="2">
        <v>0</v>
      </c>
      <c r="S496" s="2">
        <v>1</v>
      </c>
      <c r="T496" s="2">
        <v>0</v>
      </c>
      <c r="U496" s="2">
        <v>16</v>
      </c>
      <c r="V496" s="2">
        <v>0</v>
      </c>
      <c r="W496" s="2">
        <v>0</v>
      </c>
    </row>
    <row r="497" spans="1:23" x14ac:dyDescent="0.2">
      <c r="A497" t="s">
        <v>206</v>
      </c>
      <c r="B497" s="2">
        <v>20</v>
      </c>
      <c r="C497" t="s">
        <v>117</v>
      </c>
      <c r="D497" s="2" t="s">
        <v>42</v>
      </c>
      <c r="E497" s="2">
        <v>25</v>
      </c>
      <c r="F497" s="2">
        <v>19</v>
      </c>
      <c r="G497" s="2">
        <v>634</v>
      </c>
      <c r="H497" s="2">
        <v>0</v>
      </c>
      <c r="I497" s="2">
        <v>0</v>
      </c>
      <c r="J497" s="2">
        <v>0</v>
      </c>
      <c r="K497" s="2">
        <v>0</v>
      </c>
      <c r="L497" s="2">
        <v>100</v>
      </c>
      <c r="M497" s="7">
        <v>-14.5</v>
      </c>
      <c r="N497" s="7">
        <v>-4.5</v>
      </c>
      <c r="O497" s="2">
        <v>15</v>
      </c>
      <c r="P497" s="2">
        <v>7</v>
      </c>
      <c r="Q497" s="2">
        <v>34</v>
      </c>
      <c r="R497" s="2">
        <v>3</v>
      </c>
      <c r="S497" s="2">
        <v>42</v>
      </c>
      <c r="T497" s="2">
        <v>0</v>
      </c>
      <c r="U497" s="2">
        <v>71</v>
      </c>
      <c r="V497" s="2">
        <v>11</v>
      </c>
      <c r="W497" s="2">
        <v>23</v>
      </c>
    </row>
    <row r="498" spans="1:23" x14ac:dyDescent="0.2">
      <c r="A498" t="s">
        <v>165</v>
      </c>
      <c r="B498" s="2">
        <v>19</v>
      </c>
      <c r="C498" t="s">
        <v>72</v>
      </c>
      <c r="D498" s="2" t="s">
        <v>49</v>
      </c>
      <c r="E498" s="2">
        <v>26</v>
      </c>
      <c r="F498" s="2">
        <v>24</v>
      </c>
      <c r="G498" s="2">
        <v>623</v>
      </c>
      <c r="H498" s="2">
        <v>0</v>
      </c>
      <c r="I498" s="2">
        <v>10</v>
      </c>
      <c r="J498" s="2">
        <v>80</v>
      </c>
      <c r="K498" s="2">
        <v>10</v>
      </c>
      <c r="L498" s="2">
        <v>0</v>
      </c>
      <c r="M498" s="7">
        <v>-4.0999999999999996</v>
      </c>
      <c r="N498" s="7">
        <v>-3.7</v>
      </c>
      <c r="O498" s="2">
        <v>9</v>
      </c>
      <c r="P498" s="2">
        <v>12</v>
      </c>
      <c r="Q498" s="2">
        <v>35</v>
      </c>
      <c r="R498" s="2">
        <v>1</v>
      </c>
      <c r="S498" s="2">
        <v>29</v>
      </c>
      <c r="T498" s="2">
        <v>3</v>
      </c>
      <c r="U498" s="2">
        <v>81</v>
      </c>
      <c r="V498" s="2">
        <v>4</v>
      </c>
      <c r="W498" s="2">
        <v>20</v>
      </c>
    </row>
    <row r="499" spans="1:23" x14ac:dyDescent="0.2">
      <c r="A499" t="s">
        <v>296</v>
      </c>
      <c r="B499" s="2">
        <v>27</v>
      </c>
      <c r="C499" t="s">
        <v>93</v>
      </c>
      <c r="D499" s="2" t="s">
        <v>42</v>
      </c>
      <c r="E499" s="2">
        <v>24</v>
      </c>
      <c r="F499" s="2">
        <v>4</v>
      </c>
      <c r="G499" s="2">
        <v>341</v>
      </c>
      <c r="H499" s="2">
        <v>0</v>
      </c>
      <c r="I499" s="2">
        <v>0</v>
      </c>
      <c r="J499" s="2">
        <v>0</v>
      </c>
      <c r="K499" s="2">
        <v>0</v>
      </c>
      <c r="L499" s="2">
        <v>100</v>
      </c>
      <c r="M499" s="7">
        <v>-11.1</v>
      </c>
      <c r="N499" s="7">
        <v>-12.5</v>
      </c>
      <c r="O499" s="2">
        <v>5</v>
      </c>
      <c r="P499" s="2">
        <v>8</v>
      </c>
      <c r="Q499" s="2">
        <v>28</v>
      </c>
      <c r="R499" s="2">
        <v>7</v>
      </c>
      <c r="S499" s="2">
        <v>13</v>
      </c>
      <c r="T499" s="2">
        <v>2</v>
      </c>
      <c r="U499" s="2">
        <v>90</v>
      </c>
      <c r="V499" s="2">
        <v>4</v>
      </c>
      <c r="W499" s="2">
        <v>10</v>
      </c>
    </row>
    <row r="500" spans="1:23" x14ac:dyDescent="0.2">
      <c r="A500" t="s">
        <v>274</v>
      </c>
      <c r="B500" s="2">
        <v>22</v>
      </c>
      <c r="C500" t="s">
        <v>80</v>
      </c>
      <c r="D500" s="2" t="s">
        <v>42</v>
      </c>
      <c r="E500" s="2">
        <v>14</v>
      </c>
      <c r="F500" s="2">
        <v>9</v>
      </c>
      <c r="G500" s="2">
        <v>281</v>
      </c>
      <c r="H500" s="2">
        <v>0</v>
      </c>
      <c r="I500" s="2">
        <v>0</v>
      </c>
      <c r="J500" s="2">
        <v>0</v>
      </c>
      <c r="K500" s="2">
        <v>0</v>
      </c>
      <c r="L500" s="2">
        <v>100</v>
      </c>
      <c r="M500" s="6">
        <v>7.1</v>
      </c>
      <c r="N500" s="7">
        <v>-2.1</v>
      </c>
      <c r="O500" s="2">
        <v>5</v>
      </c>
      <c r="P500" s="2">
        <v>8</v>
      </c>
      <c r="Q500" s="2">
        <v>23</v>
      </c>
      <c r="R500" s="2">
        <v>7</v>
      </c>
      <c r="S500" s="2">
        <v>16</v>
      </c>
      <c r="T500" s="2">
        <v>1</v>
      </c>
      <c r="U500" s="2">
        <v>29</v>
      </c>
      <c r="V500" s="2">
        <v>4</v>
      </c>
      <c r="W500" s="2">
        <v>9</v>
      </c>
    </row>
    <row r="501" spans="1:23" x14ac:dyDescent="0.2">
      <c r="A501" t="s">
        <v>85</v>
      </c>
      <c r="B501" s="2">
        <v>29</v>
      </c>
      <c r="C501" t="s">
        <v>70</v>
      </c>
      <c r="D501" s="2" t="s">
        <v>49</v>
      </c>
      <c r="E501" s="2">
        <v>22</v>
      </c>
      <c r="F501" s="2">
        <v>22</v>
      </c>
      <c r="G501" s="2">
        <v>733</v>
      </c>
      <c r="H501" s="2">
        <v>0</v>
      </c>
      <c r="I501" s="2">
        <v>5</v>
      </c>
      <c r="J501" s="2">
        <v>74</v>
      </c>
      <c r="K501" s="2">
        <v>22</v>
      </c>
      <c r="L501" s="2">
        <v>0</v>
      </c>
      <c r="M501" s="7">
        <v>-0.1</v>
      </c>
      <c r="N501" s="6">
        <v>7.7</v>
      </c>
      <c r="O501" s="2">
        <v>29</v>
      </c>
      <c r="P501" s="2">
        <v>26</v>
      </c>
      <c r="Q501" s="2">
        <v>28</v>
      </c>
      <c r="R501" s="2">
        <v>1</v>
      </c>
      <c r="S501" s="2">
        <v>36</v>
      </c>
      <c r="T501" s="2">
        <v>1</v>
      </c>
      <c r="U501" s="2">
        <v>223</v>
      </c>
      <c r="V501" s="2">
        <v>10</v>
      </c>
      <c r="W501" s="2">
        <v>12</v>
      </c>
    </row>
    <row r="502" spans="1:23" x14ac:dyDescent="0.2">
      <c r="A502" t="s">
        <v>471</v>
      </c>
      <c r="B502" s="2">
        <v>24</v>
      </c>
      <c r="C502" t="s">
        <v>46</v>
      </c>
      <c r="D502" s="2" t="s">
        <v>27</v>
      </c>
      <c r="E502" s="2">
        <v>15</v>
      </c>
      <c r="F502" s="2">
        <v>0</v>
      </c>
      <c r="G502" s="2">
        <v>75</v>
      </c>
      <c r="H502" s="2">
        <v>0</v>
      </c>
      <c r="I502" s="2">
        <v>0</v>
      </c>
      <c r="J502" s="2">
        <v>0</v>
      </c>
      <c r="K502" s="2">
        <v>32</v>
      </c>
      <c r="L502" s="2">
        <v>68</v>
      </c>
      <c r="M502" s="7">
        <v>-41.2</v>
      </c>
      <c r="N502" s="7">
        <v>-46.6</v>
      </c>
      <c r="O502" s="2">
        <v>1</v>
      </c>
      <c r="P502" s="2">
        <v>0</v>
      </c>
      <c r="Q502" s="2">
        <v>6</v>
      </c>
      <c r="R502" s="2">
        <v>0</v>
      </c>
      <c r="S502" s="2">
        <v>3</v>
      </c>
      <c r="T502" s="2">
        <v>1</v>
      </c>
      <c r="U502" s="2">
        <v>7</v>
      </c>
      <c r="V502" s="2">
        <v>1</v>
      </c>
      <c r="W502" s="2">
        <v>3</v>
      </c>
    </row>
    <row r="503" spans="1:23" x14ac:dyDescent="0.2">
      <c r="A503" t="s">
        <v>248</v>
      </c>
      <c r="B503" s="2">
        <v>23</v>
      </c>
      <c r="C503" t="s">
        <v>103</v>
      </c>
      <c r="D503" s="2" t="s">
        <v>49</v>
      </c>
      <c r="E503" s="2">
        <v>21</v>
      </c>
      <c r="F503" s="2">
        <v>7</v>
      </c>
      <c r="G503" s="2">
        <v>459</v>
      </c>
      <c r="H503" s="2">
        <v>0</v>
      </c>
      <c r="I503" s="2">
        <v>22</v>
      </c>
      <c r="J503" s="2">
        <v>60</v>
      </c>
      <c r="K503" s="2">
        <v>17</v>
      </c>
      <c r="L503" s="2">
        <v>1</v>
      </c>
      <c r="M503" s="7">
        <v>-6.4</v>
      </c>
      <c r="N503" s="7">
        <v>-3.4</v>
      </c>
      <c r="O503" s="2">
        <v>12</v>
      </c>
      <c r="P503" s="2">
        <v>5</v>
      </c>
      <c r="Q503" s="2">
        <v>25</v>
      </c>
      <c r="R503" s="2">
        <v>1</v>
      </c>
      <c r="S503" s="2">
        <v>16</v>
      </c>
      <c r="T503" s="2">
        <v>6</v>
      </c>
      <c r="U503" s="2">
        <v>59</v>
      </c>
      <c r="V503" s="2">
        <v>0</v>
      </c>
      <c r="W503" s="2">
        <v>18</v>
      </c>
    </row>
    <row r="504" spans="1:23" x14ac:dyDescent="0.2">
      <c r="A504" t="s">
        <v>300</v>
      </c>
      <c r="B504" s="2">
        <v>24</v>
      </c>
      <c r="C504" t="s">
        <v>117</v>
      </c>
      <c r="D504" s="2" t="s">
        <v>27</v>
      </c>
      <c r="E504" s="2">
        <v>6</v>
      </c>
      <c r="F504" s="2">
        <v>6</v>
      </c>
      <c r="G504" s="2">
        <v>186</v>
      </c>
      <c r="H504" s="2">
        <v>0</v>
      </c>
      <c r="I504" s="2">
        <v>0</v>
      </c>
      <c r="J504" s="2">
        <v>2</v>
      </c>
      <c r="K504" s="2">
        <v>85</v>
      </c>
      <c r="L504" s="2">
        <v>13</v>
      </c>
      <c r="M504" s="7">
        <v>-6.3</v>
      </c>
      <c r="N504" s="6">
        <v>7.1</v>
      </c>
      <c r="O504" s="2">
        <v>10</v>
      </c>
      <c r="P504" s="2">
        <v>4</v>
      </c>
      <c r="Q504" s="2">
        <v>4</v>
      </c>
      <c r="R504" s="2">
        <v>8</v>
      </c>
      <c r="S504" s="2">
        <v>32</v>
      </c>
      <c r="T504" s="2">
        <v>0</v>
      </c>
      <c r="U504" s="2">
        <v>80</v>
      </c>
      <c r="V504" s="2">
        <v>8</v>
      </c>
      <c r="W504" s="2">
        <v>19</v>
      </c>
    </row>
  </sheetData>
  <sortState xmlns:xlrd2="http://schemas.microsoft.com/office/spreadsheetml/2017/richdata2" ref="A3:W504">
    <sortCondition ref="A461:A504"/>
  </sortState>
  <mergeCells count="6">
    <mergeCell ref="U1:W1"/>
    <mergeCell ref="H1:L1"/>
    <mergeCell ref="M1:N1"/>
    <mergeCell ref="O1:P1"/>
    <mergeCell ref="Q1:R1"/>
    <mergeCell ref="S1:T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43811C-DAA4-AF44-AD62-B14CA4935403}">
  <dimension ref="A1:AC504"/>
  <sheetViews>
    <sheetView workbookViewId="0">
      <selection sqref="A1:A1048576"/>
    </sheetView>
  </sheetViews>
  <sheetFormatPr baseColWidth="10" defaultRowHeight="16" x14ac:dyDescent="0.2"/>
  <sheetData>
    <row r="1" spans="1:29" x14ac:dyDescent="0.2">
      <c r="A1" s="1"/>
      <c r="B1" s="1"/>
      <c r="C1" s="1"/>
      <c r="D1" s="1"/>
      <c r="E1" s="1"/>
      <c r="F1" s="1"/>
      <c r="G1" s="1"/>
      <c r="H1" s="1"/>
      <c r="I1" s="1"/>
      <c r="J1" s="20" t="s">
        <v>609</v>
      </c>
      <c r="K1" s="20"/>
      <c r="L1" s="20"/>
      <c r="M1" s="20"/>
      <c r="N1" s="20"/>
      <c r="O1" s="20"/>
      <c r="P1" s="20" t="s">
        <v>610</v>
      </c>
      <c r="Q1" s="20"/>
      <c r="R1" s="20"/>
      <c r="S1" s="20"/>
      <c r="T1" s="20"/>
      <c r="U1" s="20"/>
      <c r="V1" s="20" t="s">
        <v>611</v>
      </c>
      <c r="W1" s="20"/>
      <c r="X1" s="20" t="s">
        <v>612</v>
      </c>
      <c r="Y1" s="20"/>
      <c r="Z1" s="20" t="s">
        <v>613</v>
      </c>
      <c r="AA1" s="20"/>
      <c r="AB1" s="20" t="s">
        <v>614</v>
      </c>
      <c r="AC1" s="20"/>
    </row>
    <row r="2" spans="1:29" x14ac:dyDescent="0.2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9</v>
      </c>
      <c r="I2" s="1" t="s">
        <v>615</v>
      </c>
      <c r="J2" s="1" t="s">
        <v>13</v>
      </c>
      <c r="K2" s="1" t="s">
        <v>616</v>
      </c>
      <c r="L2" s="9">
        <v>45361</v>
      </c>
      <c r="M2" s="9">
        <v>45581</v>
      </c>
      <c r="N2" s="1" t="s">
        <v>617</v>
      </c>
      <c r="O2" s="1" t="s">
        <v>10</v>
      </c>
      <c r="P2" s="1" t="s">
        <v>13</v>
      </c>
      <c r="Q2" s="1" t="s">
        <v>616</v>
      </c>
      <c r="R2" s="15" t="s">
        <v>682</v>
      </c>
      <c r="S2" s="15" t="s">
        <v>683</v>
      </c>
      <c r="T2" s="1" t="s">
        <v>617</v>
      </c>
      <c r="U2" s="1" t="s">
        <v>10</v>
      </c>
      <c r="V2" s="1" t="s">
        <v>13</v>
      </c>
      <c r="W2" s="1" t="s">
        <v>10</v>
      </c>
      <c r="X2" s="1" t="s">
        <v>618</v>
      </c>
      <c r="Y2" s="1" t="s">
        <v>619</v>
      </c>
      <c r="Z2" s="1" t="s">
        <v>620</v>
      </c>
      <c r="AA2" s="1" t="s">
        <v>12</v>
      </c>
      <c r="AB2" s="1" t="s">
        <v>621</v>
      </c>
      <c r="AC2" s="1" t="s">
        <v>622</v>
      </c>
    </row>
    <row r="3" spans="1:29" x14ac:dyDescent="0.2">
      <c r="A3" t="s">
        <v>244</v>
      </c>
      <c r="B3" s="2">
        <v>25</v>
      </c>
      <c r="C3" t="s">
        <v>35</v>
      </c>
      <c r="D3" s="2" t="s">
        <v>52</v>
      </c>
      <c r="E3" s="2">
        <v>23</v>
      </c>
      <c r="F3" s="2">
        <v>3</v>
      </c>
      <c r="G3" s="2">
        <v>488</v>
      </c>
      <c r="H3" s="2">
        <v>0.47699999999999998</v>
      </c>
      <c r="I3" s="2">
        <v>24.8</v>
      </c>
      <c r="J3" s="2">
        <v>9.1999999999999998E-2</v>
      </c>
      <c r="K3" s="2">
        <v>8.0000000000000002E-3</v>
      </c>
      <c r="L3" s="2">
        <v>1.4999999999999999E-2</v>
      </c>
      <c r="M3" s="2">
        <v>2.3E-2</v>
      </c>
      <c r="N3" s="2">
        <v>4.5999999999999999E-2</v>
      </c>
      <c r="O3" s="2">
        <v>0.90800000000000003</v>
      </c>
      <c r="P3" s="2">
        <v>0.5</v>
      </c>
      <c r="Q3" s="2">
        <v>0</v>
      </c>
      <c r="R3" s="2">
        <v>0</v>
      </c>
      <c r="S3" s="2">
        <v>0.66700000000000004</v>
      </c>
      <c r="T3" s="2">
        <v>0.66700000000000004</v>
      </c>
      <c r="U3" s="2">
        <v>0.47499999999999998</v>
      </c>
      <c r="V3" s="2">
        <v>0.83299999999999996</v>
      </c>
      <c r="W3" s="2">
        <v>0.98199999999999998</v>
      </c>
      <c r="X3" s="2">
        <v>0</v>
      </c>
      <c r="Y3" s="2">
        <v>0</v>
      </c>
      <c r="Z3" s="2">
        <v>0.27100000000000002</v>
      </c>
      <c r="AA3" s="2">
        <v>0.625</v>
      </c>
      <c r="AB3" s="2">
        <v>1</v>
      </c>
      <c r="AC3" s="2">
        <v>1</v>
      </c>
    </row>
    <row r="4" spans="1:29" x14ac:dyDescent="0.2">
      <c r="A4" t="s">
        <v>273</v>
      </c>
      <c r="B4" s="2">
        <v>29</v>
      </c>
      <c r="C4" t="s">
        <v>46</v>
      </c>
      <c r="D4" s="2" t="s">
        <v>27</v>
      </c>
      <c r="E4" s="2">
        <v>11</v>
      </c>
      <c r="F4" s="2">
        <v>10</v>
      </c>
      <c r="G4" s="2">
        <v>326</v>
      </c>
      <c r="H4" s="2">
        <v>0.52900000000000003</v>
      </c>
      <c r="I4" s="2">
        <v>10.8</v>
      </c>
      <c r="J4" s="2">
        <v>0.66700000000000004</v>
      </c>
      <c r="K4" s="2">
        <v>0.45100000000000001</v>
      </c>
      <c r="L4" s="2">
        <v>0.127</v>
      </c>
      <c r="M4" s="2">
        <v>5.8999999999999997E-2</v>
      </c>
      <c r="N4" s="2">
        <v>2.9000000000000001E-2</v>
      </c>
      <c r="O4" s="2">
        <v>0.33300000000000002</v>
      </c>
      <c r="P4" s="2">
        <v>0.55900000000000005</v>
      </c>
      <c r="Q4" s="2">
        <v>0.65200000000000002</v>
      </c>
      <c r="R4" s="2">
        <v>0.38500000000000001</v>
      </c>
      <c r="S4" s="2">
        <v>0.33300000000000002</v>
      </c>
      <c r="T4" s="2">
        <v>0.33300000000000002</v>
      </c>
      <c r="U4" s="2">
        <v>0.47099999999999997</v>
      </c>
      <c r="V4" s="2">
        <v>0.57899999999999996</v>
      </c>
      <c r="W4" s="2">
        <v>0.875</v>
      </c>
      <c r="X4" s="2">
        <v>0.13700000000000001</v>
      </c>
      <c r="Y4" s="2">
        <v>12</v>
      </c>
      <c r="Z4" s="2">
        <v>0.32400000000000001</v>
      </c>
      <c r="AA4" s="2">
        <v>0.54500000000000004</v>
      </c>
      <c r="AB4" s="2">
        <v>0</v>
      </c>
      <c r="AC4" s="2">
        <v>0</v>
      </c>
    </row>
    <row r="5" spans="1:29" x14ac:dyDescent="0.2">
      <c r="A5" t="s">
        <v>384</v>
      </c>
      <c r="B5" s="2">
        <v>28</v>
      </c>
      <c r="C5" t="s">
        <v>87</v>
      </c>
      <c r="D5" s="2" t="s">
        <v>33</v>
      </c>
      <c r="E5" s="2">
        <v>15</v>
      </c>
      <c r="F5" s="2">
        <v>0</v>
      </c>
      <c r="G5" s="2">
        <v>145</v>
      </c>
      <c r="H5" s="2">
        <v>0.46700000000000003</v>
      </c>
      <c r="I5" s="2">
        <v>21.7</v>
      </c>
      <c r="J5" s="2">
        <v>0.24399999999999999</v>
      </c>
      <c r="K5" s="2">
        <v>4.3999999999999997E-2</v>
      </c>
      <c r="L5" s="2">
        <v>8.8999999999999996E-2</v>
      </c>
      <c r="M5" s="2">
        <v>8.8999999999999996E-2</v>
      </c>
      <c r="N5" s="2">
        <v>2.1999999999999999E-2</v>
      </c>
      <c r="O5" s="2">
        <v>0.75600000000000001</v>
      </c>
      <c r="P5" s="2">
        <v>0.54500000000000004</v>
      </c>
      <c r="Q5" s="2">
        <v>1</v>
      </c>
      <c r="R5" s="2">
        <v>0.25</v>
      </c>
      <c r="S5" s="2">
        <v>0.75</v>
      </c>
      <c r="T5" s="2">
        <v>0</v>
      </c>
      <c r="U5" s="2">
        <v>0.441</v>
      </c>
      <c r="V5" s="2">
        <v>0.33300000000000002</v>
      </c>
      <c r="W5" s="2">
        <v>0.8</v>
      </c>
      <c r="X5" s="2">
        <v>0</v>
      </c>
      <c r="Y5" s="2">
        <v>0</v>
      </c>
      <c r="Z5" s="2">
        <v>5.8999999999999997E-2</v>
      </c>
      <c r="AA5" s="2">
        <v>1</v>
      </c>
      <c r="AB5" s="2">
        <v>0</v>
      </c>
      <c r="AC5" s="2">
        <v>0</v>
      </c>
    </row>
    <row r="6" spans="1:29" x14ac:dyDescent="0.2">
      <c r="A6" t="s">
        <v>398</v>
      </c>
      <c r="B6" s="2">
        <v>25</v>
      </c>
      <c r="C6" t="s">
        <v>82</v>
      </c>
      <c r="D6" s="2" t="s">
        <v>49</v>
      </c>
      <c r="E6" s="2">
        <v>6</v>
      </c>
      <c r="F6" s="2">
        <v>6</v>
      </c>
      <c r="G6" s="2">
        <v>136</v>
      </c>
      <c r="H6" s="2">
        <v>0.52800000000000002</v>
      </c>
      <c r="I6" s="2">
        <v>11.1</v>
      </c>
      <c r="J6" s="2">
        <v>0.69399999999999995</v>
      </c>
      <c r="K6" s="2">
        <v>0.36099999999999999</v>
      </c>
      <c r="L6" s="2">
        <v>0.19400000000000001</v>
      </c>
      <c r="M6" s="2">
        <v>0.111</v>
      </c>
      <c r="N6" s="2">
        <v>2.8000000000000001E-2</v>
      </c>
      <c r="O6" s="2">
        <v>0.30599999999999999</v>
      </c>
      <c r="P6" s="2">
        <v>0.52</v>
      </c>
      <c r="Q6" s="2">
        <v>0.76900000000000002</v>
      </c>
      <c r="R6" s="2">
        <v>0.28599999999999998</v>
      </c>
      <c r="S6" s="2">
        <v>0.25</v>
      </c>
      <c r="T6" s="2">
        <v>0</v>
      </c>
      <c r="U6" s="2">
        <v>0.54500000000000004</v>
      </c>
      <c r="V6" s="2">
        <v>0.84599999999999997</v>
      </c>
      <c r="W6" s="2">
        <v>1</v>
      </c>
      <c r="X6" s="2">
        <v>8.3000000000000004E-2</v>
      </c>
      <c r="Y6" s="2">
        <v>2</v>
      </c>
      <c r="Z6" s="2">
        <v>0.27300000000000002</v>
      </c>
      <c r="AA6" s="2">
        <v>0.66700000000000004</v>
      </c>
      <c r="AB6" s="2">
        <v>0</v>
      </c>
      <c r="AC6" s="2">
        <v>0</v>
      </c>
    </row>
    <row r="7" spans="1:29" x14ac:dyDescent="0.2">
      <c r="A7" t="s">
        <v>215</v>
      </c>
      <c r="B7" s="2">
        <v>26</v>
      </c>
      <c r="C7" t="s">
        <v>32</v>
      </c>
      <c r="D7" s="2" t="s">
        <v>52</v>
      </c>
      <c r="E7" s="2">
        <v>24</v>
      </c>
      <c r="F7" s="2">
        <v>8</v>
      </c>
      <c r="G7" s="2">
        <v>489</v>
      </c>
      <c r="H7" s="2">
        <v>0.45100000000000001</v>
      </c>
      <c r="I7" s="2">
        <v>14.1</v>
      </c>
      <c r="J7" s="2">
        <v>0.53900000000000003</v>
      </c>
      <c r="K7" s="2">
        <v>0.249</v>
      </c>
      <c r="L7" s="2">
        <v>0.218</v>
      </c>
      <c r="M7" s="2">
        <v>5.1999999999999998E-2</v>
      </c>
      <c r="N7" s="2">
        <v>2.1000000000000001E-2</v>
      </c>
      <c r="O7" s="2">
        <v>0.46100000000000002</v>
      </c>
      <c r="P7" s="2">
        <v>0.5</v>
      </c>
      <c r="Q7" s="2">
        <v>0.68799999999999994</v>
      </c>
      <c r="R7" s="2">
        <v>0.35699999999999998</v>
      </c>
      <c r="S7" s="2">
        <v>0.3</v>
      </c>
      <c r="T7" s="2">
        <v>0.25</v>
      </c>
      <c r="U7" s="2">
        <v>0.39300000000000002</v>
      </c>
      <c r="V7" s="2">
        <v>0.57699999999999996</v>
      </c>
      <c r="W7" s="2">
        <v>0.94299999999999995</v>
      </c>
      <c r="X7" s="2">
        <v>3.5999999999999997E-2</v>
      </c>
      <c r="Y7" s="2">
        <v>5</v>
      </c>
      <c r="Z7" s="2">
        <v>0.33700000000000002</v>
      </c>
      <c r="AA7" s="2">
        <v>0.4</v>
      </c>
      <c r="AB7" s="2">
        <v>0</v>
      </c>
      <c r="AC7" s="2">
        <v>0</v>
      </c>
    </row>
    <row r="8" spans="1:29" x14ac:dyDescent="0.2">
      <c r="A8" t="s">
        <v>484</v>
      </c>
      <c r="B8" s="2">
        <v>25</v>
      </c>
      <c r="C8" t="s">
        <v>32</v>
      </c>
      <c r="D8" s="2" t="s">
        <v>52</v>
      </c>
      <c r="E8" s="2">
        <v>11</v>
      </c>
      <c r="F8" s="2">
        <v>0</v>
      </c>
      <c r="G8" s="2">
        <v>40</v>
      </c>
      <c r="H8" s="2">
        <v>0.25</v>
      </c>
      <c r="I8" s="2">
        <v>25.5</v>
      </c>
      <c r="J8" s="2">
        <v>0.05</v>
      </c>
      <c r="K8" s="2">
        <v>0</v>
      </c>
      <c r="L8" s="2">
        <v>0</v>
      </c>
      <c r="M8" s="2">
        <v>0</v>
      </c>
      <c r="N8" s="2">
        <v>0.05</v>
      </c>
      <c r="O8" s="2">
        <v>0.95</v>
      </c>
      <c r="P8" s="2">
        <v>0</v>
      </c>
      <c r="Q8" s="2"/>
      <c r="R8" s="2"/>
      <c r="S8" s="2"/>
      <c r="T8" s="2">
        <v>0</v>
      </c>
      <c r="U8" s="2">
        <v>0.26300000000000001</v>
      </c>
      <c r="V8" s="2"/>
      <c r="W8" s="2">
        <v>0.8</v>
      </c>
      <c r="X8" s="2">
        <v>0</v>
      </c>
      <c r="Y8" s="2">
        <v>0</v>
      </c>
      <c r="Z8" s="2">
        <v>0.105</v>
      </c>
      <c r="AA8" s="2">
        <v>0</v>
      </c>
      <c r="AB8" s="2">
        <v>0</v>
      </c>
      <c r="AC8" s="2">
        <v>0</v>
      </c>
    </row>
    <row r="9" spans="1:29" x14ac:dyDescent="0.2">
      <c r="A9" t="s">
        <v>511</v>
      </c>
      <c r="B9" s="2">
        <v>22</v>
      </c>
      <c r="C9" t="s">
        <v>70</v>
      </c>
      <c r="D9" s="2" t="s">
        <v>42</v>
      </c>
      <c r="E9" s="2">
        <v>3</v>
      </c>
      <c r="F9" s="2">
        <v>0</v>
      </c>
      <c r="G9" s="2">
        <v>14</v>
      </c>
      <c r="H9" s="2">
        <v>0.6</v>
      </c>
      <c r="I9" s="2">
        <v>1.6</v>
      </c>
      <c r="J9" s="2">
        <v>1</v>
      </c>
      <c r="K9" s="2">
        <v>0.8</v>
      </c>
      <c r="L9" s="2">
        <v>0.2</v>
      </c>
      <c r="M9" s="2">
        <v>0</v>
      </c>
      <c r="N9" s="2">
        <v>0</v>
      </c>
      <c r="O9" s="2">
        <v>0</v>
      </c>
      <c r="P9" s="2">
        <v>0.6</v>
      </c>
      <c r="Q9" s="2">
        <v>0.5</v>
      </c>
      <c r="R9" s="2">
        <v>1</v>
      </c>
      <c r="S9" s="2"/>
      <c r="T9" s="2"/>
      <c r="U9" s="2"/>
      <c r="V9" s="2">
        <v>0.66700000000000004</v>
      </c>
      <c r="W9" s="2"/>
      <c r="X9" s="2">
        <v>0.2</v>
      </c>
      <c r="Y9" s="2">
        <v>0</v>
      </c>
      <c r="Z9" s="2"/>
      <c r="AA9" s="2"/>
      <c r="AB9" s="2">
        <v>0</v>
      </c>
      <c r="AC9" s="2">
        <v>0</v>
      </c>
    </row>
    <row r="10" spans="1:29" x14ac:dyDescent="0.2">
      <c r="A10" t="s">
        <v>461</v>
      </c>
      <c r="B10" s="2">
        <v>21</v>
      </c>
      <c r="C10" t="s">
        <v>122</v>
      </c>
      <c r="D10" s="2" t="s">
        <v>42</v>
      </c>
      <c r="E10" s="2">
        <v>14</v>
      </c>
      <c r="F10" s="2">
        <v>0</v>
      </c>
      <c r="G10" s="2">
        <v>90</v>
      </c>
      <c r="H10" s="2">
        <v>0.61499999999999999</v>
      </c>
      <c r="I10" s="2">
        <v>1.4</v>
      </c>
      <c r="J10" s="2">
        <v>1</v>
      </c>
      <c r="K10" s="2">
        <v>0.92300000000000004</v>
      </c>
      <c r="L10" s="2">
        <v>7.6999999999999999E-2</v>
      </c>
      <c r="M10" s="2">
        <v>0</v>
      </c>
      <c r="N10" s="2">
        <v>0</v>
      </c>
      <c r="O10" s="2">
        <v>0</v>
      </c>
      <c r="P10" s="2">
        <v>0.61499999999999999</v>
      </c>
      <c r="Q10" s="2">
        <v>0.58299999999999996</v>
      </c>
      <c r="R10" s="2">
        <v>1</v>
      </c>
      <c r="S10" s="2"/>
      <c r="T10" s="2"/>
      <c r="U10" s="2"/>
      <c r="V10" s="2">
        <v>0.5</v>
      </c>
      <c r="W10" s="2"/>
      <c r="X10" s="2">
        <v>0.38500000000000001</v>
      </c>
      <c r="Y10" s="2">
        <v>3</v>
      </c>
      <c r="Z10" s="2"/>
      <c r="AA10" s="2"/>
      <c r="AB10" s="2">
        <v>0</v>
      </c>
      <c r="AC10" s="2">
        <v>0</v>
      </c>
    </row>
    <row r="11" spans="1:29" x14ac:dyDescent="0.2">
      <c r="A11" t="s">
        <v>507</v>
      </c>
      <c r="B11" s="2">
        <v>20</v>
      </c>
      <c r="C11" t="s">
        <v>35</v>
      </c>
      <c r="D11" s="2" t="s">
        <v>52</v>
      </c>
      <c r="E11" s="2">
        <v>5</v>
      </c>
      <c r="F11" s="2">
        <v>0</v>
      </c>
      <c r="G11" s="2">
        <v>11</v>
      </c>
      <c r="H11" s="2">
        <v>0.5</v>
      </c>
      <c r="I11" s="2">
        <v>6.2</v>
      </c>
      <c r="J11" s="2">
        <v>0.83299999999999996</v>
      </c>
      <c r="K11" s="2">
        <v>0.66700000000000004</v>
      </c>
      <c r="L11" s="2">
        <v>0.16700000000000001</v>
      </c>
      <c r="M11" s="2">
        <v>0</v>
      </c>
      <c r="N11" s="2">
        <v>0</v>
      </c>
      <c r="O11" s="2">
        <v>0.16700000000000001</v>
      </c>
      <c r="P11" s="2">
        <v>0.4</v>
      </c>
      <c r="Q11" s="2">
        <v>0.5</v>
      </c>
      <c r="R11" s="2">
        <v>0</v>
      </c>
      <c r="S11" s="2"/>
      <c r="T11" s="2"/>
      <c r="U11" s="2">
        <v>1</v>
      </c>
      <c r="V11" s="2">
        <v>0.5</v>
      </c>
      <c r="W11" s="2">
        <v>1</v>
      </c>
      <c r="X11" s="2">
        <v>0</v>
      </c>
      <c r="Y11" s="2">
        <v>0</v>
      </c>
      <c r="Z11" s="2">
        <v>1</v>
      </c>
      <c r="AA11" s="2">
        <v>1</v>
      </c>
      <c r="AB11" s="2">
        <v>0</v>
      </c>
      <c r="AC11" s="2">
        <v>0</v>
      </c>
    </row>
    <row r="12" spans="1:29" x14ac:dyDescent="0.2">
      <c r="A12" t="s">
        <v>301</v>
      </c>
      <c r="B12" s="2">
        <v>22</v>
      </c>
      <c r="C12" t="s">
        <v>32</v>
      </c>
      <c r="D12" s="2" t="s">
        <v>52</v>
      </c>
      <c r="E12" s="2">
        <v>24</v>
      </c>
      <c r="F12" s="2">
        <v>0</v>
      </c>
      <c r="G12" s="2">
        <v>383</v>
      </c>
      <c r="H12" s="2">
        <v>0.47799999999999998</v>
      </c>
      <c r="I12" s="2">
        <v>10.8</v>
      </c>
      <c r="J12" s="2">
        <v>0.73</v>
      </c>
      <c r="K12" s="2">
        <v>0.26100000000000001</v>
      </c>
      <c r="L12" s="2">
        <v>0.36499999999999999</v>
      </c>
      <c r="M12" s="2">
        <v>7.0000000000000007E-2</v>
      </c>
      <c r="N12" s="2">
        <v>3.5000000000000003E-2</v>
      </c>
      <c r="O12" s="2">
        <v>0.27</v>
      </c>
      <c r="P12" s="2">
        <v>0.5</v>
      </c>
      <c r="Q12" s="2">
        <v>0.56699999999999995</v>
      </c>
      <c r="R12" s="2">
        <v>0.45200000000000001</v>
      </c>
      <c r="S12" s="2">
        <v>0.75</v>
      </c>
      <c r="T12" s="2">
        <v>0</v>
      </c>
      <c r="U12" s="2">
        <v>0.41899999999999998</v>
      </c>
      <c r="V12" s="2">
        <v>0.45200000000000001</v>
      </c>
      <c r="W12" s="2">
        <v>0.92300000000000004</v>
      </c>
      <c r="X12" s="2">
        <v>0</v>
      </c>
      <c r="Y12" s="2">
        <v>0</v>
      </c>
      <c r="Z12" s="2">
        <v>0.28999999999999998</v>
      </c>
      <c r="AA12" s="2">
        <v>0.33300000000000002</v>
      </c>
      <c r="AB12" s="2">
        <v>0</v>
      </c>
      <c r="AC12" s="2">
        <v>0</v>
      </c>
    </row>
    <row r="13" spans="1:29" x14ac:dyDescent="0.2">
      <c r="A13" t="s">
        <v>255</v>
      </c>
      <c r="B13" s="2">
        <v>38</v>
      </c>
      <c r="C13" t="s">
        <v>39</v>
      </c>
      <c r="D13" s="2" t="s">
        <v>42</v>
      </c>
      <c r="E13" s="2">
        <v>19</v>
      </c>
      <c r="F13" s="2">
        <v>18</v>
      </c>
      <c r="G13" s="2">
        <v>532</v>
      </c>
      <c r="H13" s="2">
        <v>0.46700000000000003</v>
      </c>
      <c r="I13" s="2">
        <v>20.2</v>
      </c>
      <c r="J13" s="2">
        <v>0.26300000000000001</v>
      </c>
      <c r="K13" s="2">
        <v>0.10199999999999999</v>
      </c>
      <c r="L13" s="2">
        <v>0.13900000000000001</v>
      </c>
      <c r="M13" s="2">
        <v>0</v>
      </c>
      <c r="N13" s="2">
        <v>2.1999999999999999E-2</v>
      </c>
      <c r="O13" s="2">
        <v>0.73699999999999999</v>
      </c>
      <c r="P13" s="2">
        <v>0.63900000000000001</v>
      </c>
      <c r="Q13" s="2">
        <v>0.78600000000000003</v>
      </c>
      <c r="R13" s="2">
        <v>0.57899999999999996</v>
      </c>
      <c r="S13" s="2"/>
      <c r="T13" s="2">
        <v>0.33300000000000002</v>
      </c>
      <c r="U13" s="2">
        <v>0.40600000000000003</v>
      </c>
      <c r="V13" s="2">
        <v>0.87</v>
      </c>
      <c r="W13" s="2">
        <v>0.97599999999999998</v>
      </c>
      <c r="X13" s="2">
        <v>1.4999999999999999E-2</v>
      </c>
      <c r="Y13" s="2">
        <v>2</v>
      </c>
      <c r="Z13" s="2">
        <v>0.317</v>
      </c>
      <c r="AA13" s="2">
        <v>0.40600000000000003</v>
      </c>
      <c r="AB13" s="2">
        <v>0</v>
      </c>
      <c r="AC13" s="2">
        <v>0</v>
      </c>
    </row>
    <row r="14" spans="1:29" x14ac:dyDescent="0.2">
      <c r="A14" t="s">
        <v>388</v>
      </c>
      <c r="B14" s="2">
        <v>33</v>
      </c>
      <c r="C14" t="s">
        <v>61</v>
      </c>
      <c r="D14" s="2" t="s">
        <v>52</v>
      </c>
      <c r="E14" s="2">
        <v>12</v>
      </c>
      <c r="F14" s="2">
        <v>0</v>
      </c>
      <c r="G14" s="2">
        <v>181</v>
      </c>
      <c r="H14" s="2">
        <v>0.45700000000000002</v>
      </c>
      <c r="I14" s="2">
        <v>20.3</v>
      </c>
      <c r="J14" s="2">
        <v>0.30399999999999999</v>
      </c>
      <c r="K14" s="2">
        <v>6.5000000000000002E-2</v>
      </c>
      <c r="L14" s="2">
        <v>0.109</v>
      </c>
      <c r="M14" s="2">
        <v>4.2999999999999997E-2</v>
      </c>
      <c r="N14" s="2">
        <v>8.6999999999999994E-2</v>
      </c>
      <c r="O14" s="2">
        <v>0.69599999999999995</v>
      </c>
      <c r="P14" s="2">
        <v>0.42899999999999999</v>
      </c>
      <c r="Q14" s="2">
        <v>0.66700000000000004</v>
      </c>
      <c r="R14" s="2">
        <v>0.2</v>
      </c>
      <c r="S14" s="2">
        <v>0.5</v>
      </c>
      <c r="T14" s="2">
        <v>0.5</v>
      </c>
      <c r="U14" s="2">
        <v>0.46899999999999997</v>
      </c>
      <c r="V14" s="2">
        <v>0.5</v>
      </c>
      <c r="W14" s="2">
        <v>1</v>
      </c>
      <c r="X14" s="2">
        <v>0</v>
      </c>
      <c r="Y14" s="2">
        <v>0</v>
      </c>
      <c r="Z14" s="2">
        <v>0.53100000000000003</v>
      </c>
      <c r="AA14" s="2">
        <v>0.52900000000000003</v>
      </c>
      <c r="AB14" s="2">
        <v>0</v>
      </c>
      <c r="AC14" s="2">
        <v>0</v>
      </c>
    </row>
    <row r="15" spans="1:29" x14ac:dyDescent="0.2">
      <c r="A15" t="s">
        <v>349</v>
      </c>
      <c r="B15" s="2">
        <v>30</v>
      </c>
      <c r="C15" t="s">
        <v>32</v>
      </c>
      <c r="D15" s="2" t="s">
        <v>52</v>
      </c>
      <c r="E15" s="2">
        <v>16</v>
      </c>
      <c r="F15" s="2">
        <v>0</v>
      </c>
      <c r="G15" s="2">
        <v>320</v>
      </c>
      <c r="H15" s="2">
        <v>0.39400000000000002</v>
      </c>
      <c r="I15" s="2">
        <v>14.9</v>
      </c>
      <c r="J15" s="2">
        <v>0.45700000000000002</v>
      </c>
      <c r="K15" s="2">
        <v>0.309</v>
      </c>
      <c r="L15" s="2">
        <v>0.11700000000000001</v>
      </c>
      <c r="M15" s="2">
        <v>3.2000000000000001E-2</v>
      </c>
      <c r="N15" s="2">
        <v>0</v>
      </c>
      <c r="O15" s="2">
        <v>0.54300000000000004</v>
      </c>
      <c r="P15" s="2">
        <v>0.53500000000000003</v>
      </c>
      <c r="Q15" s="2">
        <v>0.621</v>
      </c>
      <c r="R15" s="2">
        <v>0.36399999999999999</v>
      </c>
      <c r="S15" s="2">
        <v>0.33300000000000002</v>
      </c>
      <c r="T15" s="2"/>
      <c r="U15" s="2">
        <v>0.27500000000000002</v>
      </c>
      <c r="V15" s="2">
        <v>0.60899999999999999</v>
      </c>
      <c r="W15" s="2">
        <v>0.92900000000000005</v>
      </c>
      <c r="X15" s="2">
        <v>4.2999999999999997E-2</v>
      </c>
      <c r="Y15" s="2">
        <v>4</v>
      </c>
      <c r="Z15" s="2">
        <v>0.27500000000000002</v>
      </c>
      <c r="AA15" s="2">
        <v>0.42899999999999999</v>
      </c>
      <c r="AB15" s="2">
        <v>0</v>
      </c>
      <c r="AC15" s="2">
        <v>0</v>
      </c>
    </row>
    <row r="16" spans="1:29" x14ac:dyDescent="0.2">
      <c r="A16" t="s">
        <v>556</v>
      </c>
      <c r="B16" s="2">
        <v>24</v>
      </c>
      <c r="C16" t="s">
        <v>32</v>
      </c>
      <c r="D16" s="2" t="s">
        <v>52</v>
      </c>
      <c r="E16" s="2">
        <v>4</v>
      </c>
      <c r="F16" s="2">
        <v>0</v>
      </c>
      <c r="G16" s="2">
        <v>7</v>
      </c>
      <c r="H16" s="2">
        <v>0</v>
      </c>
      <c r="I16" s="2">
        <v>19.399999999999999</v>
      </c>
      <c r="J16" s="2">
        <v>0.33300000000000002</v>
      </c>
      <c r="K16" s="2">
        <v>0</v>
      </c>
      <c r="L16" s="2">
        <v>0</v>
      </c>
      <c r="M16" s="2">
        <v>0.33300000000000002</v>
      </c>
      <c r="N16" s="2">
        <v>0</v>
      </c>
      <c r="O16" s="2">
        <v>0.66700000000000004</v>
      </c>
      <c r="P16" s="2">
        <v>0</v>
      </c>
      <c r="Q16" s="2"/>
      <c r="R16" s="2"/>
      <c r="S16" s="2">
        <v>0</v>
      </c>
      <c r="T16" s="2"/>
      <c r="U16" s="2">
        <v>0</v>
      </c>
      <c r="V16" s="2"/>
      <c r="W16" s="2"/>
      <c r="X16" s="2">
        <v>0</v>
      </c>
      <c r="Y16" s="2">
        <v>0</v>
      </c>
      <c r="Z16" s="2">
        <v>1</v>
      </c>
      <c r="AA16" s="2">
        <v>0</v>
      </c>
      <c r="AB16" s="2">
        <v>0</v>
      </c>
      <c r="AC16" s="2">
        <v>0</v>
      </c>
    </row>
    <row r="17" spans="1:29" x14ac:dyDescent="0.2">
      <c r="A17" t="s">
        <v>450</v>
      </c>
      <c r="B17" s="2">
        <v>31</v>
      </c>
      <c r="C17" t="s">
        <v>37</v>
      </c>
      <c r="D17" s="2" t="s">
        <v>42</v>
      </c>
      <c r="E17" s="2">
        <v>19</v>
      </c>
      <c r="F17" s="2">
        <v>2</v>
      </c>
      <c r="G17" s="2">
        <v>135</v>
      </c>
      <c r="H17" s="2">
        <v>0.54500000000000004</v>
      </c>
      <c r="I17" s="2">
        <v>8.4</v>
      </c>
      <c r="J17" s="2">
        <v>0.81799999999999995</v>
      </c>
      <c r="K17" s="2">
        <v>0.45500000000000002</v>
      </c>
      <c r="L17" s="2">
        <v>0.27300000000000002</v>
      </c>
      <c r="M17" s="2">
        <v>4.4999999999999998E-2</v>
      </c>
      <c r="N17" s="2">
        <v>4.4999999999999998E-2</v>
      </c>
      <c r="O17" s="2">
        <v>0.182</v>
      </c>
      <c r="P17" s="2">
        <v>0.66700000000000004</v>
      </c>
      <c r="Q17" s="2">
        <v>0.9</v>
      </c>
      <c r="R17" s="2">
        <v>0.5</v>
      </c>
      <c r="S17" s="2">
        <v>0</v>
      </c>
      <c r="T17" s="2">
        <v>0</v>
      </c>
      <c r="U17" s="2">
        <v>0</v>
      </c>
      <c r="V17" s="2">
        <v>0.83299999999999996</v>
      </c>
      <c r="W17" s="2"/>
      <c r="X17" s="2">
        <v>0.22700000000000001</v>
      </c>
      <c r="Y17" s="2">
        <v>5</v>
      </c>
      <c r="Z17" s="2">
        <v>0.75</v>
      </c>
      <c r="AA17" s="2">
        <v>0</v>
      </c>
      <c r="AB17" s="2">
        <v>0</v>
      </c>
      <c r="AC17" s="2">
        <v>0</v>
      </c>
    </row>
    <row r="18" spans="1:29" x14ac:dyDescent="0.2">
      <c r="A18" t="s">
        <v>550</v>
      </c>
      <c r="B18" s="2">
        <v>25</v>
      </c>
      <c r="C18" t="s">
        <v>32</v>
      </c>
      <c r="D18" s="2" t="s">
        <v>27</v>
      </c>
      <c r="E18" s="2">
        <v>1</v>
      </c>
      <c r="F18" s="2">
        <v>0</v>
      </c>
      <c r="G18" s="2">
        <v>2</v>
      </c>
      <c r="H18" s="2">
        <v>1</v>
      </c>
      <c r="I18" s="2">
        <v>0</v>
      </c>
      <c r="J18" s="2">
        <v>1</v>
      </c>
      <c r="K18" s="2">
        <v>1</v>
      </c>
      <c r="L18" s="2">
        <v>0</v>
      </c>
      <c r="M18" s="2">
        <v>0</v>
      </c>
      <c r="N18" s="2">
        <v>0</v>
      </c>
      <c r="O18" s="2">
        <v>0</v>
      </c>
      <c r="P18" s="2">
        <v>1</v>
      </c>
      <c r="Q18" s="2">
        <v>1</v>
      </c>
      <c r="R18" s="2"/>
      <c r="S18" s="2"/>
      <c r="T18" s="2"/>
      <c r="U18" s="2"/>
      <c r="V18" s="2">
        <v>0</v>
      </c>
      <c r="W18" s="2"/>
      <c r="X18" s="2">
        <v>0</v>
      </c>
      <c r="Y18" s="2">
        <v>0</v>
      </c>
      <c r="Z18" s="2"/>
      <c r="AA18" s="2"/>
      <c r="AB18" s="2">
        <v>0</v>
      </c>
      <c r="AC18" s="2">
        <v>0</v>
      </c>
    </row>
    <row r="19" spans="1:29" x14ac:dyDescent="0.2">
      <c r="A19" t="s">
        <v>222</v>
      </c>
      <c r="B19" s="2">
        <v>19</v>
      </c>
      <c r="C19" t="s">
        <v>114</v>
      </c>
      <c r="D19" s="2" t="s">
        <v>42</v>
      </c>
      <c r="E19" s="2">
        <v>20</v>
      </c>
      <c r="F19" s="2">
        <v>20</v>
      </c>
      <c r="G19" s="2">
        <v>536</v>
      </c>
      <c r="H19" s="2">
        <v>0.38300000000000001</v>
      </c>
      <c r="I19" s="2">
        <v>14.4</v>
      </c>
      <c r="J19" s="2">
        <v>0.57899999999999996</v>
      </c>
      <c r="K19" s="2">
        <v>0.23</v>
      </c>
      <c r="L19" s="2">
        <v>0.21099999999999999</v>
      </c>
      <c r="M19" s="2">
        <v>0.1</v>
      </c>
      <c r="N19" s="2">
        <v>3.7999999999999999E-2</v>
      </c>
      <c r="O19" s="2">
        <v>0.42099999999999999</v>
      </c>
      <c r="P19" s="2">
        <v>0.47899999999999998</v>
      </c>
      <c r="Q19" s="2">
        <v>0.70799999999999996</v>
      </c>
      <c r="R19" s="2">
        <v>0.318</v>
      </c>
      <c r="S19" s="2">
        <v>0.33300000000000002</v>
      </c>
      <c r="T19" s="2">
        <v>0.375</v>
      </c>
      <c r="U19" s="2">
        <v>0.25</v>
      </c>
      <c r="V19" s="2">
        <v>0.65500000000000003</v>
      </c>
      <c r="W19" s="2">
        <v>1</v>
      </c>
      <c r="X19" s="2">
        <v>0.115</v>
      </c>
      <c r="Y19" s="2">
        <v>23</v>
      </c>
      <c r="Z19" s="2">
        <v>0.216</v>
      </c>
      <c r="AA19" s="2">
        <v>0.36799999999999999</v>
      </c>
      <c r="AB19" s="2">
        <v>0</v>
      </c>
      <c r="AC19" s="2">
        <v>0</v>
      </c>
    </row>
    <row r="20" spans="1:29" x14ac:dyDescent="0.2">
      <c r="A20" t="s">
        <v>522</v>
      </c>
      <c r="B20" s="2">
        <v>25</v>
      </c>
      <c r="C20" t="s">
        <v>75</v>
      </c>
      <c r="D20" s="2" t="s">
        <v>52</v>
      </c>
      <c r="E20" s="2">
        <v>1</v>
      </c>
      <c r="F20" s="2">
        <v>0</v>
      </c>
      <c r="G20" s="2">
        <v>4</v>
      </c>
      <c r="H20" s="2">
        <v>1</v>
      </c>
      <c r="I20" s="2">
        <v>13.5</v>
      </c>
      <c r="J20" s="2">
        <v>0.5</v>
      </c>
      <c r="K20" s="2">
        <v>0.5</v>
      </c>
      <c r="L20" s="2">
        <v>0</v>
      </c>
      <c r="M20" s="2">
        <v>0</v>
      </c>
      <c r="N20" s="2">
        <v>0</v>
      </c>
      <c r="O20" s="2">
        <v>0.5</v>
      </c>
      <c r="P20" s="2">
        <v>1</v>
      </c>
      <c r="Q20" s="2">
        <v>1</v>
      </c>
      <c r="R20" s="2"/>
      <c r="S20" s="2"/>
      <c r="T20" s="2"/>
      <c r="U20" s="2">
        <v>1</v>
      </c>
      <c r="V20" s="2">
        <v>0</v>
      </c>
      <c r="W20" s="2">
        <v>1</v>
      </c>
      <c r="X20" s="2">
        <v>0</v>
      </c>
      <c r="Y20" s="2">
        <v>0</v>
      </c>
      <c r="Z20" s="2">
        <v>0</v>
      </c>
      <c r="AA20" s="2"/>
      <c r="AB20" s="2">
        <v>0</v>
      </c>
      <c r="AC20" s="2">
        <v>0</v>
      </c>
    </row>
    <row r="21" spans="1:29" x14ac:dyDescent="0.2">
      <c r="A21" t="s">
        <v>90</v>
      </c>
      <c r="B21" s="2">
        <v>22</v>
      </c>
      <c r="C21" t="s">
        <v>87</v>
      </c>
      <c r="D21" s="2" t="s">
        <v>42</v>
      </c>
      <c r="E21" s="2">
        <v>25</v>
      </c>
      <c r="F21" s="2">
        <v>25</v>
      </c>
      <c r="G21" s="2">
        <v>776</v>
      </c>
      <c r="H21" s="2">
        <v>0.47599999999999998</v>
      </c>
      <c r="I21" s="2">
        <v>7.6</v>
      </c>
      <c r="J21" s="2">
        <v>0.90300000000000002</v>
      </c>
      <c r="K21" s="2">
        <v>0.33200000000000002</v>
      </c>
      <c r="L21" s="2">
        <v>0.38700000000000001</v>
      </c>
      <c r="M21" s="2">
        <v>0.152</v>
      </c>
      <c r="N21" s="2">
        <v>3.1E-2</v>
      </c>
      <c r="O21" s="2">
        <v>9.7000000000000003E-2</v>
      </c>
      <c r="P21" s="2">
        <v>0.501</v>
      </c>
      <c r="Q21" s="2">
        <v>0.59099999999999997</v>
      </c>
      <c r="R21" s="2">
        <v>0.439</v>
      </c>
      <c r="S21" s="2">
        <v>0.51700000000000002</v>
      </c>
      <c r="T21" s="2">
        <v>0.25</v>
      </c>
      <c r="U21" s="2">
        <v>0.24299999999999999</v>
      </c>
      <c r="V21" s="2">
        <v>0.42199999999999999</v>
      </c>
      <c r="W21" s="2">
        <v>1</v>
      </c>
      <c r="X21" s="2">
        <v>4.7E-2</v>
      </c>
      <c r="Y21" s="2">
        <v>14</v>
      </c>
      <c r="Z21" s="2">
        <v>5.3999999999999999E-2</v>
      </c>
      <c r="AA21" s="2">
        <v>0.5</v>
      </c>
      <c r="AB21" s="2">
        <v>0</v>
      </c>
      <c r="AC21" s="2">
        <v>0</v>
      </c>
    </row>
    <row r="22" spans="1:29" x14ac:dyDescent="0.2">
      <c r="A22" t="s">
        <v>158</v>
      </c>
      <c r="B22" s="2">
        <v>22</v>
      </c>
      <c r="C22" t="s">
        <v>87</v>
      </c>
      <c r="D22" s="2" t="s">
        <v>49</v>
      </c>
      <c r="E22" s="2">
        <v>25</v>
      </c>
      <c r="F22" s="2">
        <v>2</v>
      </c>
      <c r="G22" s="2">
        <v>675</v>
      </c>
      <c r="H22" s="2">
        <v>0.55200000000000005</v>
      </c>
      <c r="I22" s="2">
        <v>8.1</v>
      </c>
      <c r="J22" s="2">
        <v>0.85099999999999998</v>
      </c>
      <c r="K22" s="2">
        <v>0.41299999999999998</v>
      </c>
      <c r="L22" s="2">
        <v>0.27400000000000002</v>
      </c>
      <c r="M22" s="2">
        <v>9.5000000000000001E-2</v>
      </c>
      <c r="N22" s="2">
        <v>7.0000000000000007E-2</v>
      </c>
      <c r="O22" s="2">
        <v>0.14899999999999999</v>
      </c>
      <c r="P22" s="2">
        <v>0.59599999999999997</v>
      </c>
      <c r="Q22" s="2">
        <v>0.77100000000000002</v>
      </c>
      <c r="R22" s="2">
        <v>0.45500000000000002</v>
      </c>
      <c r="S22" s="2">
        <v>0.42099999999999999</v>
      </c>
      <c r="T22" s="2">
        <v>0.35699999999999998</v>
      </c>
      <c r="U22" s="2">
        <v>0.3</v>
      </c>
      <c r="V22" s="2">
        <v>0.5</v>
      </c>
      <c r="W22" s="2">
        <v>1</v>
      </c>
      <c r="X22" s="2">
        <v>0.159</v>
      </c>
      <c r="Y22" s="2">
        <v>32</v>
      </c>
      <c r="Z22" s="2">
        <v>0.7</v>
      </c>
      <c r="AA22" s="2">
        <v>0.42899999999999999</v>
      </c>
      <c r="AB22" s="2">
        <v>0</v>
      </c>
      <c r="AC22" s="2">
        <v>0</v>
      </c>
    </row>
    <row r="23" spans="1:29" x14ac:dyDescent="0.2">
      <c r="A23" t="s">
        <v>195</v>
      </c>
      <c r="B23" s="2">
        <v>27</v>
      </c>
      <c r="C23" t="s">
        <v>77</v>
      </c>
      <c r="D23" s="2" t="s">
        <v>52</v>
      </c>
      <c r="E23" s="2">
        <v>24</v>
      </c>
      <c r="F23" s="2">
        <v>7</v>
      </c>
      <c r="G23" s="2">
        <v>576</v>
      </c>
      <c r="H23" s="2">
        <v>0.48599999999999999</v>
      </c>
      <c r="I23" s="2">
        <v>16.5</v>
      </c>
      <c r="J23" s="2">
        <v>0.47499999999999998</v>
      </c>
      <c r="K23" s="2">
        <v>0.16400000000000001</v>
      </c>
      <c r="L23" s="2">
        <v>0.18099999999999999</v>
      </c>
      <c r="M23" s="2">
        <v>0.09</v>
      </c>
      <c r="N23" s="2">
        <v>0.04</v>
      </c>
      <c r="O23" s="2">
        <v>0.52500000000000002</v>
      </c>
      <c r="P23" s="2">
        <v>0.54800000000000004</v>
      </c>
      <c r="Q23" s="2">
        <v>0.72399999999999998</v>
      </c>
      <c r="R23" s="2">
        <v>0.438</v>
      </c>
      <c r="S23" s="2">
        <v>0.5</v>
      </c>
      <c r="T23" s="2">
        <v>0.42899999999999999</v>
      </c>
      <c r="U23" s="2">
        <v>0.43</v>
      </c>
      <c r="V23" s="2">
        <v>0.71699999999999997</v>
      </c>
      <c r="W23" s="2">
        <v>0.97499999999999998</v>
      </c>
      <c r="X23" s="2">
        <v>6.8000000000000005E-2</v>
      </c>
      <c r="Y23" s="2">
        <v>11</v>
      </c>
      <c r="Z23" s="2">
        <v>0.312</v>
      </c>
      <c r="AA23" s="2">
        <v>0.51700000000000002</v>
      </c>
      <c r="AB23" s="2">
        <v>0</v>
      </c>
      <c r="AC23" s="2">
        <v>0</v>
      </c>
    </row>
    <row r="24" spans="1:29" x14ac:dyDescent="0.2">
      <c r="A24" t="s">
        <v>284</v>
      </c>
      <c r="B24" s="2">
        <v>31</v>
      </c>
      <c r="C24" t="s">
        <v>122</v>
      </c>
      <c r="D24" s="2" t="s">
        <v>42</v>
      </c>
      <c r="E24" s="2">
        <v>19</v>
      </c>
      <c r="F24" s="2">
        <v>12</v>
      </c>
      <c r="G24" s="2">
        <v>380</v>
      </c>
      <c r="H24" s="2">
        <v>0.51800000000000002</v>
      </c>
      <c r="I24" s="2">
        <v>4.3</v>
      </c>
      <c r="J24" s="2">
        <v>0.94699999999999995</v>
      </c>
      <c r="K24" s="2">
        <v>0.64900000000000002</v>
      </c>
      <c r="L24" s="2">
        <v>0.28100000000000003</v>
      </c>
      <c r="M24" s="2">
        <v>8.9999999999999993E-3</v>
      </c>
      <c r="N24" s="2">
        <v>8.9999999999999993E-3</v>
      </c>
      <c r="O24" s="2">
        <v>5.2999999999999999E-2</v>
      </c>
      <c r="P24" s="2">
        <v>0.53700000000000003</v>
      </c>
      <c r="Q24" s="2">
        <v>0.59499999999999997</v>
      </c>
      <c r="R24" s="2">
        <v>0.438</v>
      </c>
      <c r="S24" s="2">
        <v>0</v>
      </c>
      <c r="T24" s="2">
        <v>0</v>
      </c>
      <c r="U24" s="2">
        <v>0.16700000000000001</v>
      </c>
      <c r="V24" s="2">
        <v>0.67200000000000004</v>
      </c>
      <c r="W24" s="2">
        <v>0</v>
      </c>
      <c r="X24" s="2">
        <v>0.21099999999999999</v>
      </c>
      <c r="Y24" s="2">
        <v>21</v>
      </c>
      <c r="Z24" s="2">
        <v>0.66700000000000004</v>
      </c>
      <c r="AA24" s="2">
        <v>0.25</v>
      </c>
      <c r="AB24" s="2">
        <v>2</v>
      </c>
      <c r="AC24" s="2">
        <v>0</v>
      </c>
    </row>
    <row r="25" spans="1:29" x14ac:dyDescent="0.2">
      <c r="A25" t="s">
        <v>361</v>
      </c>
      <c r="B25" s="2">
        <v>23</v>
      </c>
      <c r="C25" t="s">
        <v>35</v>
      </c>
      <c r="D25" s="2" t="s">
        <v>52</v>
      </c>
      <c r="E25" s="2">
        <v>23</v>
      </c>
      <c r="F25" s="2">
        <v>15</v>
      </c>
      <c r="G25" s="2">
        <v>407</v>
      </c>
      <c r="H25" s="2">
        <v>0.40500000000000003</v>
      </c>
      <c r="I25" s="2">
        <v>14.9</v>
      </c>
      <c r="J25" s="2">
        <v>0.48099999999999998</v>
      </c>
      <c r="K25" s="2">
        <v>0.29099999999999998</v>
      </c>
      <c r="L25" s="2">
        <v>0.127</v>
      </c>
      <c r="M25" s="2">
        <v>6.3E-2</v>
      </c>
      <c r="N25" s="2">
        <v>0</v>
      </c>
      <c r="O25" s="2">
        <v>0.51900000000000002</v>
      </c>
      <c r="P25" s="2">
        <v>0.44700000000000001</v>
      </c>
      <c r="Q25" s="2">
        <v>0.56499999999999995</v>
      </c>
      <c r="R25" s="2">
        <v>0.3</v>
      </c>
      <c r="S25" s="2">
        <v>0.2</v>
      </c>
      <c r="T25" s="2"/>
      <c r="U25" s="2">
        <v>0.36599999999999999</v>
      </c>
      <c r="V25" s="2">
        <v>0.52900000000000003</v>
      </c>
      <c r="W25" s="2">
        <v>1</v>
      </c>
      <c r="X25" s="2">
        <v>0.10100000000000001</v>
      </c>
      <c r="Y25" s="2">
        <v>4</v>
      </c>
      <c r="Z25" s="2">
        <v>0.56100000000000005</v>
      </c>
      <c r="AA25" s="2">
        <v>0.39100000000000001</v>
      </c>
      <c r="AB25" s="2">
        <v>0</v>
      </c>
      <c r="AC25" s="2">
        <v>0</v>
      </c>
    </row>
    <row r="26" spans="1:29" x14ac:dyDescent="0.2">
      <c r="A26" t="s">
        <v>356</v>
      </c>
      <c r="B26" s="2">
        <v>25</v>
      </c>
      <c r="C26" t="s">
        <v>82</v>
      </c>
      <c r="D26" s="2" t="s">
        <v>52</v>
      </c>
      <c r="E26" s="2">
        <v>11</v>
      </c>
      <c r="F26" s="2">
        <v>11</v>
      </c>
      <c r="G26" s="2">
        <v>272</v>
      </c>
      <c r="H26" s="2">
        <v>0.436</v>
      </c>
      <c r="I26" s="2">
        <v>13.8</v>
      </c>
      <c r="J26" s="2">
        <v>0.70499999999999996</v>
      </c>
      <c r="K26" s="2">
        <v>0.192</v>
      </c>
      <c r="L26" s="2">
        <v>0.128</v>
      </c>
      <c r="M26" s="2">
        <v>0.25600000000000001</v>
      </c>
      <c r="N26" s="2">
        <v>0.128</v>
      </c>
      <c r="O26" s="2">
        <v>0.29499999999999998</v>
      </c>
      <c r="P26" s="2">
        <v>0.49099999999999999</v>
      </c>
      <c r="Q26" s="2">
        <v>0.93300000000000005</v>
      </c>
      <c r="R26" s="2">
        <v>0.3</v>
      </c>
      <c r="S26" s="2">
        <v>0.35</v>
      </c>
      <c r="T26" s="2">
        <v>0.3</v>
      </c>
      <c r="U26" s="2">
        <v>0.30399999999999999</v>
      </c>
      <c r="V26" s="2">
        <v>0.37</v>
      </c>
      <c r="W26" s="2">
        <v>1</v>
      </c>
      <c r="X26" s="2">
        <v>0</v>
      </c>
      <c r="Y26" s="2">
        <v>0</v>
      </c>
      <c r="Z26" s="2">
        <v>0.30399999999999999</v>
      </c>
      <c r="AA26" s="2">
        <v>0.42899999999999999</v>
      </c>
      <c r="AB26" s="2">
        <v>0</v>
      </c>
      <c r="AC26" s="2">
        <v>0</v>
      </c>
    </row>
    <row r="27" spans="1:29" x14ac:dyDescent="0.2">
      <c r="A27" t="s">
        <v>137</v>
      </c>
      <c r="B27" s="2">
        <v>29</v>
      </c>
      <c r="C27" t="s">
        <v>100</v>
      </c>
      <c r="D27" s="2" t="s">
        <v>49</v>
      </c>
      <c r="E27" s="2">
        <v>20</v>
      </c>
      <c r="F27" s="2">
        <v>20</v>
      </c>
      <c r="G27" s="2">
        <v>572</v>
      </c>
      <c r="H27" s="2">
        <v>0.46</v>
      </c>
      <c r="I27" s="2">
        <v>14.6</v>
      </c>
      <c r="J27" s="2">
        <v>0.59099999999999997</v>
      </c>
      <c r="K27" s="2">
        <v>0.20599999999999999</v>
      </c>
      <c r="L27" s="2">
        <v>0.246</v>
      </c>
      <c r="M27" s="2">
        <v>5.1999999999999998E-2</v>
      </c>
      <c r="N27" s="2">
        <v>8.6999999999999994E-2</v>
      </c>
      <c r="O27" s="2">
        <v>0.40899999999999997</v>
      </c>
      <c r="P27" s="2">
        <v>0.48299999999999998</v>
      </c>
      <c r="Q27" s="2">
        <v>0.61499999999999999</v>
      </c>
      <c r="R27" s="2">
        <v>0.41899999999999998</v>
      </c>
      <c r="S27" s="2">
        <v>0.53800000000000003</v>
      </c>
      <c r="T27" s="2">
        <v>0.318</v>
      </c>
      <c r="U27" s="2">
        <v>0.42699999999999999</v>
      </c>
      <c r="V27" s="2">
        <v>0.56899999999999995</v>
      </c>
      <c r="W27" s="2">
        <v>0.88600000000000001</v>
      </c>
      <c r="X27" s="2">
        <v>7.4999999999999997E-2</v>
      </c>
      <c r="Y27" s="2">
        <v>18</v>
      </c>
      <c r="Z27" s="2">
        <v>0.13600000000000001</v>
      </c>
      <c r="AA27" s="2">
        <v>0.35699999999999998</v>
      </c>
      <c r="AB27" s="2">
        <v>0</v>
      </c>
      <c r="AC27" s="2">
        <v>0</v>
      </c>
    </row>
    <row r="28" spans="1:29" x14ac:dyDescent="0.2">
      <c r="A28" t="s">
        <v>134</v>
      </c>
      <c r="B28" s="2">
        <v>25</v>
      </c>
      <c r="C28" t="s">
        <v>135</v>
      </c>
      <c r="D28" s="2" t="s">
        <v>52</v>
      </c>
      <c r="E28" s="2">
        <v>21</v>
      </c>
      <c r="F28" s="2">
        <v>21</v>
      </c>
      <c r="G28" s="2">
        <v>636</v>
      </c>
      <c r="H28" s="2">
        <v>0.40100000000000002</v>
      </c>
      <c r="I28" s="2">
        <v>17</v>
      </c>
      <c r="J28" s="2">
        <v>0.49</v>
      </c>
      <c r="K28" s="2">
        <v>0.17799999999999999</v>
      </c>
      <c r="L28" s="2">
        <v>0.188</v>
      </c>
      <c r="M28" s="2">
        <v>8.8999999999999996E-2</v>
      </c>
      <c r="N28" s="2">
        <v>3.5999999999999997E-2</v>
      </c>
      <c r="O28" s="2">
        <v>0.51</v>
      </c>
      <c r="P28" s="2">
        <v>0.48299999999999998</v>
      </c>
      <c r="Q28" s="2">
        <v>0.63</v>
      </c>
      <c r="R28" s="2">
        <v>0.42099999999999999</v>
      </c>
      <c r="S28" s="2">
        <v>0.25900000000000001</v>
      </c>
      <c r="T28" s="2">
        <v>0.63600000000000001</v>
      </c>
      <c r="U28" s="2">
        <v>0.32300000000000001</v>
      </c>
      <c r="V28" s="2">
        <v>0.16700000000000001</v>
      </c>
      <c r="W28" s="2">
        <v>0.5</v>
      </c>
      <c r="X28" s="2">
        <v>1.2999999999999999E-2</v>
      </c>
      <c r="Y28" s="2">
        <v>3</v>
      </c>
      <c r="Z28" s="2">
        <v>5.8000000000000003E-2</v>
      </c>
      <c r="AA28" s="2">
        <v>0.111</v>
      </c>
      <c r="AB28" s="2">
        <v>1</v>
      </c>
      <c r="AC28" s="2">
        <v>0</v>
      </c>
    </row>
    <row r="29" spans="1:29" x14ac:dyDescent="0.2">
      <c r="A29" t="s">
        <v>212</v>
      </c>
      <c r="B29" s="2">
        <v>21</v>
      </c>
      <c r="C29" t="s">
        <v>48</v>
      </c>
      <c r="D29" s="2" t="s">
        <v>33</v>
      </c>
      <c r="E29" s="4">
        <v>27</v>
      </c>
      <c r="F29" s="2">
        <v>1</v>
      </c>
      <c r="G29" s="2">
        <v>655</v>
      </c>
      <c r="H29" s="2">
        <v>0.42099999999999999</v>
      </c>
      <c r="I29" s="2">
        <v>12.3</v>
      </c>
      <c r="J29" s="2">
        <v>0.65800000000000003</v>
      </c>
      <c r="K29" s="2">
        <v>0.29499999999999998</v>
      </c>
      <c r="L29" s="2">
        <v>0.26800000000000002</v>
      </c>
      <c r="M29" s="2">
        <v>6.8000000000000005E-2</v>
      </c>
      <c r="N29" s="2">
        <v>2.5999999999999999E-2</v>
      </c>
      <c r="O29" s="2">
        <v>0.34200000000000003</v>
      </c>
      <c r="P29" s="2">
        <v>0.51200000000000001</v>
      </c>
      <c r="Q29" s="2">
        <v>0.64300000000000002</v>
      </c>
      <c r="R29" s="2">
        <v>0.45100000000000001</v>
      </c>
      <c r="S29" s="2">
        <v>0.23100000000000001</v>
      </c>
      <c r="T29" s="2">
        <v>0.4</v>
      </c>
      <c r="U29" s="2">
        <v>0.246</v>
      </c>
      <c r="V29" s="2">
        <v>0.375</v>
      </c>
      <c r="W29" s="2">
        <v>0.875</v>
      </c>
      <c r="X29" s="2">
        <v>5.2999999999999999E-2</v>
      </c>
      <c r="Y29" s="2">
        <v>7</v>
      </c>
      <c r="Z29" s="2">
        <v>0.43099999999999999</v>
      </c>
      <c r="AA29" s="2">
        <v>0.28599999999999998</v>
      </c>
      <c r="AB29" s="2">
        <v>1</v>
      </c>
      <c r="AC29" s="2">
        <v>0</v>
      </c>
    </row>
    <row r="30" spans="1:29" x14ac:dyDescent="0.2">
      <c r="A30" t="s">
        <v>40</v>
      </c>
      <c r="B30" s="2">
        <v>31</v>
      </c>
      <c r="C30" t="s">
        <v>41</v>
      </c>
      <c r="D30" s="2" t="s">
        <v>42</v>
      </c>
      <c r="E30" s="2">
        <v>23</v>
      </c>
      <c r="F30" s="2">
        <v>23</v>
      </c>
      <c r="G30" s="2">
        <v>813</v>
      </c>
      <c r="H30" s="2">
        <v>0.52900000000000003</v>
      </c>
      <c r="I30" s="2">
        <v>9</v>
      </c>
      <c r="J30" s="2">
        <v>0.88300000000000001</v>
      </c>
      <c r="K30" s="2">
        <v>0.35</v>
      </c>
      <c r="L30" s="2">
        <v>0.28399999999999997</v>
      </c>
      <c r="M30" s="2">
        <v>0.13800000000000001</v>
      </c>
      <c r="N30" s="2">
        <v>0.112</v>
      </c>
      <c r="O30" s="2">
        <v>0.11700000000000001</v>
      </c>
      <c r="P30" s="2">
        <v>0.55700000000000005</v>
      </c>
      <c r="Q30" s="2">
        <v>0.77300000000000002</v>
      </c>
      <c r="R30" s="2">
        <v>0.49199999999999999</v>
      </c>
      <c r="S30" s="2">
        <v>0.27100000000000002</v>
      </c>
      <c r="T30" s="2">
        <v>0.39600000000000002</v>
      </c>
      <c r="U30" s="2">
        <v>0.32</v>
      </c>
      <c r="V30" s="2">
        <v>0.61099999999999999</v>
      </c>
      <c r="W30" s="2">
        <v>1</v>
      </c>
      <c r="X30" s="2">
        <v>0.121</v>
      </c>
      <c r="Y30" s="2">
        <v>49</v>
      </c>
      <c r="Z30" s="2">
        <v>0.02</v>
      </c>
      <c r="AA30" s="2">
        <v>0</v>
      </c>
      <c r="AB30" s="2">
        <v>0</v>
      </c>
      <c r="AC30" s="2">
        <v>0</v>
      </c>
    </row>
    <row r="31" spans="1:29" x14ac:dyDescent="0.2">
      <c r="A31" t="s">
        <v>50</v>
      </c>
      <c r="B31" s="2">
        <v>23</v>
      </c>
      <c r="C31" t="s">
        <v>51</v>
      </c>
      <c r="D31" s="2" t="s">
        <v>52</v>
      </c>
      <c r="E31" s="2">
        <v>23</v>
      </c>
      <c r="F31" s="2">
        <v>23</v>
      </c>
      <c r="G31" s="2">
        <v>836</v>
      </c>
      <c r="H31" s="2">
        <v>0.45300000000000001</v>
      </c>
      <c r="I31" s="2">
        <v>17.3</v>
      </c>
      <c r="J31" s="2">
        <v>0.48299999999999998</v>
      </c>
      <c r="K31" s="2">
        <v>0.14799999999999999</v>
      </c>
      <c r="L31" s="2">
        <v>0.17</v>
      </c>
      <c r="M31" s="2">
        <v>8.4000000000000005E-2</v>
      </c>
      <c r="N31" s="2">
        <v>8.2000000000000003E-2</v>
      </c>
      <c r="O31" s="2">
        <v>0.51700000000000002</v>
      </c>
      <c r="P31" s="2">
        <v>0.48</v>
      </c>
      <c r="Q31" s="2">
        <v>0.63800000000000001</v>
      </c>
      <c r="R31" s="2">
        <v>0.45600000000000002</v>
      </c>
      <c r="S31" s="2">
        <v>0.308</v>
      </c>
      <c r="T31" s="2">
        <v>0.42099999999999999</v>
      </c>
      <c r="U31" s="2">
        <v>0.42699999999999999</v>
      </c>
      <c r="V31" s="2">
        <v>0.37</v>
      </c>
      <c r="W31" s="2">
        <v>0.495</v>
      </c>
      <c r="X31" s="2">
        <v>2.4E-2</v>
      </c>
      <c r="Y31" s="2">
        <v>9</v>
      </c>
      <c r="Z31" s="2">
        <v>0.14099999999999999</v>
      </c>
      <c r="AA31" s="2">
        <v>0.38200000000000001</v>
      </c>
      <c r="AB31" s="2">
        <v>2</v>
      </c>
      <c r="AC31" s="2">
        <v>0</v>
      </c>
    </row>
    <row r="32" spans="1:29" x14ac:dyDescent="0.2">
      <c r="A32" t="s">
        <v>414</v>
      </c>
      <c r="B32" s="2">
        <v>32</v>
      </c>
      <c r="C32" t="s">
        <v>114</v>
      </c>
      <c r="D32" s="2" t="s">
        <v>27</v>
      </c>
      <c r="E32" s="2">
        <v>17</v>
      </c>
      <c r="F32" s="2">
        <v>0</v>
      </c>
      <c r="G32" s="2">
        <v>131</v>
      </c>
      <c r="H32" s="2">
        <v>0.53600000000000003</v>
      </c>
      <c r="I32" s="2">
        <v>11.5</v>
      </c>
      <c r="J32" s="2">
        <v>0.67900000000000005</v>
      </c>
      <c r="K32" s="2">
        <v>0.28599999999999998</v>
      </c>
      <c r="L32" s="2">
        <v>0.35699999999999998</v>
      </c>
      <c r="M32" s="2">
        <v>0</v>
      </c>
      <c r="N32" s="2">
        <v>3.5999999999999997E-2</v>
      </c>
      <c r="O32" s="2">
        <v>0.32100000000000001</v>
      </c>
      <c r="P32" s="2">
        <v>0.57899999999999996</v>
      </c>
      <c r="Q32" s="2">
        <v>0.75</v>
      </c>
      <c r="R32" s="2">
        <v>0.5</v>
      </c>
      <c r="S32" s="2"/>
      <c r="T32" s="2">
        <v>0</v>
      </c>
      <c r="U32" s="2">
        <v>0.44400000000000001</v>
      </c>
      <c r="V32" s="2">
        <v>0.72699999999999998</v>
      </c>
      <c r="W32" s="2">
        <v>1</v>
      </c>
      <c r="X32" s="2">
        <v>3.5999999999999997E-2</v>
      </c>
      <c r="Y32" s="2">
        <v>1</v>
      </c>
      <c r="Z32" s="2">
        <v>0.33300000000000002</v>
      </c>
      <c r="AA32" s="2">
        <v>0.33300000000000002</v>
      </c>
      <c r="AB32" s="2">
        <v>0</v>
      </c>
      <c r="AC32" s="2">
        <v>0</v>
      </c>
    </row>
    <row r="33" spans="1:29" x14ac:dyDescent="0.2">
      <c r="A33" t="s">
        <v>386</v>
      </c>
      <c r="B33" s="2">
        <v>24</v>
      </c>
      <c r="C33" t="s">
        <v>117</v>
      </c>
      <c r="D33" s="2" t="s">
        <v>52</v>
      </c>
      <c r="E33" s="2">
        <v>14</v>
      </c>
      <c r="F33" s="2">
        <v>0</v>
      </c>
      <c r="G33" s="2">
        <v>138</v>
      </c>
      <c r="H33" s="2">
        <v>0.39700000000000002</v>
      </c>
      <c r="I33" s="2">
        <v>14.8</v>
      </c>
      <c r="J33" s="2">
        <v>0.50800000000000001</v>
      </c>
      <c r="K33" s="2">
        <v>0.27</v>
      </c>
      <c r="L33" s="2">
        <v>0.17499999999999999</v>
      </c>
      <c r="M33" s="2">
        <v>1.6E-2</v>
      </c>
      <c r="N33" s="2">
        <v>4.8000000000000001E-2</v>
      </c>
      <c r="O33" s="2">
        <v>0.49199999999999999</v>
      </c>
      <c r="P33" s="2">
        <v>0.53100000000000003</v>
      </c>
      <c r="Q33" s="2">
        <v>0.58799999999999997</v>
      </c>
      <c r="R33" s="2">
        <v>0.45500000000000002</v>
      </c>
      <c r="S33" s="2">
        <v>1</v>
      </c>
      <c r="T33" s="2">
        <v>0.33300000000000002</v>
      </c>
      <c r="U33" s="2">
        <v>0.25800000000000001</v>
      </c>
      <c r="V33" s="2">
        <v>0.70599999999999996</v>
      </c>
      <c r="W33" s="2">
        <v>0.75</v>
      </c>
      <c r="X33" s="2">
        <v>1.6E-2</v>
      </c>
      <c r="Y33" s="2">
        <v>1</v>
      </c>
      <c r="Z33" s="2">
        <v>0.38700000000000001</v>
      </c>
      <c r="AA33" s="2">
        <v>8.3000000000000004E-2</v>
      </c>
      <c r="AB33" s="2">
        <v>0</v>
      </c>
      <c r="AC33" s="2">
        <v>0</v>
      </c>
    </row>
    <row r="34" spans="1:29" x14ac:dyDescent="0.2">
      <c r="A34" t="s">
        <v>463</v>
      </c>
      <c r="B34" s="2">
        <v>22</v>
      </c>
      <c r="C34" t="s">
        <v>44</v>
      </c>
      <c r="D34" s="2" t="s">
        <v>42</v>
      </c>
      <c r="E34" s="2">
        <v>11</v>
      </c>
      <c r="F34" s="2">
        <v>0</v>
      </c>
      <c r="G34" s="2">
        <v>97</v>
      </c>
      <c r="H34" s="2">
        <v>0.64300000000000002</v>
      </c>
      <c r="I34" s="2">
        <v>3.1</v>
      </c>
      <c r="J34" s="2">
        <v>1</v>
      </c>
      <c r="K34" s="2">
        <v>0.71399999999999997</v>
      </c>
      <c r="L34" s="2">
        <v>0.214</v>
      </c>
      <c r="M34" s="2">
        <v>7.0999999999999994E-2</v>
      </c>
      <c r="N34" s="2">
        <v>0</v>
      </c>
      <c r="O34" s="2">
        <v>0</v>
      </c>
      <c r="P34" s="2">
        <v>0.64300000000000002</v>
      </c>
      <c r="Q34" s="2">
        <v>0.7</v>
      </c>
      <c r="R34" s="2">
        <v>0.66700000000000004</v>
      </c>
      <c r="S34" s="2">
        <v>0</v>
      </c>
      <c r="T34" s="2"/>
      <c r="U34" s="2"/>
      <c r="V34" s="2">
        <v>1</v>
      </c>
      <c r="W34" s="2"/>
      <c r="X34" s="2">
        <v>0.28599999999999998</v>
      </c>
      <c r="Y34" s="2">
        <v>4</v>
      </c>
      <c r="Z34" s="2"/>
      <c r="AA34" s="2"/>
      <c r="AB34" s="2">
        <v>0</v>
      </c>
      <c r="AC34" s="2">
        <v>0</v>
      </c>
    </row>
    <row r="35" spans="1:29" x14ac:dyDescent="0.2">
      <c r="A35" t="s">
        <v>494</v>
      </c>
      <c r="B35" s="2">
        <v>22</v>
      </c>
      <c r="C35" t="s">
        <v>41</v>
      </c>
      <c r="D35" s="2" t="s">
        <v>49</v>
      </c>
      <c r="E35" s="2">
        <v>8</v>
      </c>
      <c r="F35" s="2">
        <v>0</v>
      </c>
      <c r="G35" s="2">
        <v>61</v>
      </c>
      <c r="H35" s="2">
        <v>0.27800000000000002</v>
      </c>
      <c r="I35" s="2">
        <v>10.8</v>
      </c>
      <c r="J35" s="2">
        <v>0.61099999999999999</v>
      </c>
      <c r="K35" s="2">
        <v>0.44400000000000001</v>
      </c>
      <c r="L35" s="2">
        <v>0.16700000000000001</v>
      </c>
      <c r="M35" s="2">
        <v>0</v>
      </c>
      <c r="N35" s="2">
        <v>0</v>
      </c>
      <c r="O35" s="2">
        <v>0.38900000000000001</v>
      </c>
      <c r="P35" s="2">
        <v>0.45500000000000002</v>
      </c>
      <c r="Q35" s="2">
        <v>0.5</v>
      </c>
      <c r="R35" s="2">
        <v>0.33300000000000002</v>
      </c>
      <c r="S35" s="2"/>
      <c r="T35" s="2"/>
      <c r="U35" s="2">
        <v>0</v>
      </c>
      <c r="V35" s="2">
        <v>0.8</v>
      </c>
      <c r="W35" s="2"/>
      <c r="X35" s="2">
        <v>0.111</v>
      </c>
      <c r="Y35" s="2">
        <v>2</v>
      </c>
      <c r="Z35" s="2">
        <v>0.71399999999999997</v>
      </c>
      <c r="AA35" s="2">
        <v>0</v>
      </c>
      <c r="AB35" s="2">
        <v>0</v>
      </c>
      <c r="AC35" s="2">
        <v>0</v>
      </c>
    </row>
    <row r="36" spans="1:29" x14ac:dyDescent="0.2">
      <c r="A36" t="s">
        <v>430</v>
      </c>
      <c r="B36" s="2">
        <v>22</v>
      </c>
      <c r="C36" t="s">
        <v>75</v>
      </c>
      <c r="D36" s="2" t="s">
        <v>49</v>
      </c>
      <c r="E36" s="2">
        <v>6</v>
      </c>
      <c r="F36" s="2">
        <v>1</v>
      </c>
      <c r="G36" s="2">
        <v>90</v>
      </c>
      <c r="H36" s="2">
        <v>0.4</v>
      </c>
      <c r="I36" s="2">
        <v>10.1</v>
      </c>
      <c r="J36" s="2">
        <v>0.71399999999999997</v>
      </c>
      <c r="K36" s="2">
        <v>0.28599999999999998</v>
      </c>
      <c r="L36" s="2">
        <v>0.371</v>
      </c>
      <c r="M36" s="2">
        <v>5.7000000000000002E-2</v>
      </c>
      <c r="N36" s="2">
        <v>0</v>
      </c>
      <c r="O36" s="2">
        <v>0.28599999999999998</v>
      </c>
      <c r="P36" s="2">
        <v>0.44</v>
      </c>
      <c r="Q36" s="2">
        <v>0.6</v>
      </c>
      <c r="R36" s="2">
        <v>0.38500000000000001</v>
      </c>
      <c r="S36" s="2">
        <v>0</v>
      </c>
      <c r="T36" s="2"/>
      <c r="U36" s="2">
        <v>0.3</v>
      </c>
      <c r="V36" s="2">
        <v>0.54500000000000004</v>
      </c>
      <c r="W36" s="2">
        <v>1</v>
      </c>
      <c r="X36" s="2">
        <v>0.17100000000000001</v>
      </c>
      <c r="Y36" s="2">
        <v>5</v>
      </c>
      <c r="Z36" s="2">
        <v>0.7</v>
      </c>
      <c r="AA36" s="2">
        <v>0.42899999999999999</v>
      </c>
      <c r="AB36" s="2">
        <v>0</v>
      </c>
      <c r="AC36" s="2">
        <v>0</v>
      </c>
    </row>
    <row r="37" spans="1:29" x14ac:dyDescent="0.2">
      <c r="A37" t="s">
        <v>148</v>
      </c>
      <c r="B37" s="2">
        <v>26</v>
      </c>
      <c r="C37" t="s">
        <v>41</v>
      </c>
      <c r="D37" s="2" t="s">
        <v>52</v>
      </c>
      <c r="E37" s="2">
        <v>19</v>
      </c>
      <c r="F37" s="2">
        <v>19</v>
      </c>
      <c r="G37" s="2">
        <v>641</v>
      </c>
      <c r="H37" s="2">
        <v>0.44</v>
      </c>
      <c r="I37" s="2">
        <v>18.3</v>
      </c>
      <c r="J37" s="2">
        <v>0.436</v>
      </c>
      <c r="K37" s="2">
        <v>0.14399999999999999</v>
      </c>
      <c r="L37" s="2">
        <v>0.17199999999999999</v>
      </c>
      <c r="M37" s="2">
        <v>0.1</v>
      </c>
      <c r="N37" s="2">
        <v>0.02</v>
      </c>
      <c r="O37" s="2">
        <v>0.56399999999999995</v>
      </c>
      <c r="P37" s="2">
        <v>0.55000000000000004</v>
      </c>
      <c r="Q37" s="2">
        <v>0.83299999999999996</v>
      </c>
      <c r="R37" s="2">
        <v>0.41899999999999998</v>
      </c>
      <c r="S37" s="2">
        <v>0.4</v>
      </c>
      <c r="T37" s="2">
        <v>0.4</v>
      </c>
      <c r="U37" s="2">
        <v>0.35499999999999998</v>
      </c>
      <c r="V37" s="2">
        <v>0.58299999999999996</v>
      </c>
      <c r="W37" s="2">
        <v>0.76</v>
      </c>
      <c r="X37" s="2">
        <v>4.0000000000000001E-3</v>
      </c>
      <c r="Y37" s="2">
        <v>1</v>
      </c>
      <c r="Z37" s="2">
        <v>0.14899999999999999</v>
      </c>
      <c r="AA37" s="2">
        <v>0.38100000000000001</v>
      </c>
      <c r="AB37" s="2">
        <v>3</v>
      </c>
      <c r="AC37" s="2">
        <v>0</v>
      </c>
    </row>
    <row r="38" spans="1:29" x14ac:dyDescent="0.2">
      <c r="A38" t="s">
        <v>149</v>
      </c>
      <c r="B38" s="2">
        <v>25</v>
      </c>
      <c r="C38" t="s">
        <v>70</v>
      </c>
      <c r="D38" s="2" t="s">
        <v>52</v>
      </c>
      <c r="E38" s="2">
        <v>25</v>
      </c>
      <c r="F38" s="2">
        <v>12</v>
      </c>
      <c r="G38" s="2">
        <v>748</v>
      </c>
      <c r="H38" s="2">
        <v>0.502</v>
      </c>
      <c r="I38" s="2">
        <v>11.8</v>
      </c>
      <c r="J38" s="2">
        <v>0.59299999999999997</v>
      </c>
      <c r="K38" s="2">
        <v>0.40699999999999997</v>
      </c>
      <c r="L38" s="2">
        <v>0.16</v>
      </c>
      <c r="M38" s="2">
        <v>2.1000000000000001E-2</v>
      </c>
      <c r="N38" s="2">
        <v>4.0000000000000001E-3</v>
      </c>
      <c r="O38" s="2">
        <v>0.40699999999999997</v>
      </c>
      <c r="P38" s="2">
        <v>0.625</v>
      </c>
      <c r="Q38" s="2">
        <v>0.71699999999999997</v>
      </c>
      <c r="R38" s="2">
        <v>0.41</v>
      </c>
      <c r="S38" s="2">
        <v>0.6</v>
      </c>
      <c r="T38" s="2">
        <v>0</v>
      </c>
      <c r="U38" s="2">
        <v>0.32300000000000001</v>
      </c>
      <c r="V38" s="2">
        <v>0.58899999999999997</v>
      </c>
      <c r="W38" s="2">
        <v>0.96899999999999997</v>
      </c>
      <c r="X38" s="2">
        <v>2.9000000000000001E-2</v>
      </c>
      <c r="Y38" s="2">
        <v>6</v>
      </c>
      <c r="Z38" s="2">
        <v>0.495</v>
      </c>
      <c r="AA38" s="2">
        <v>0.42899999999999999</v>
      </c>
      <c r="AB38" s="2">
        <v>0</v>
      </c>
      <c r="AC38" s="2">
        <v>0</v>
      </c>
    </row>
    <row r="39" spans="1:29" x14ac:dyDescent="0.2">
      <c r="A39" t="s">
        <v>125</v>
      </c>
      <c r="B39" s="2">
        <v>27</v>
      </c>
      <c r="C39" t="s">
        <v>61</v>
      </c>
      <c r="D39" s="2" t="s">
        <v>42</v>
      </c>
      <c r="E39" s="2">
        <v>23</v>
      </c>
      <c r="F39" s="2">
        <v>23</v>
      </c>
      <c r="G39" s="2">
        <v>799</v>
      </c>
      <c r="H39" s="2">
        <v>0.441</v>
      </c>
      <c r="I39" s="2">
        <v>10.5</v>
      </c>
      <c r="J39" s="2">
        <v>0.79500000000000004</v>
      </c>
      <c r="K39" s="2">
        <v>0.26400000000000001</v>
      </c>
      <c r="L39" s="2">
        <v>0.32</v>
      </c>
      <c r="M39" s="2">
        <v>0.186</v>
      </c>
      <c r="N39" s="2">
        <v>2.5000000000000001E-2</v>
      </c>
      <c r="O39" s="2">
        <v>0.20499999999999999</v>
      </c>
      <c r="P39" s="2">
        <v>0.46899999999999997</v>
      </c>
      <c r="Q39" s="2">
        <v>0.65900000000000003</v>
      </c>
      <c r="R39" s="2">
        <v>0.38800000000000001</v>
      </c>
      <c r="S39" s="2">
        <v>0.36699999999999999</v>
      </c>
      <c r="T39" s="2">
        <v>0.25</v>
      </c>
      <c r="U39" s="2">
        <v>0.33300000000000002</v>
      </c>
      <c r="V39" s="2">
        <v>0.56699999999999995</v>
      </c>
      <c r="W39" s="2">
        <v>0.81799999999999995</v>
      </c>
      <c r="X39" s="2">
        <v>0.155</v>
      </c>
      <c r="Y39" s="2">
        <v>46</v>
      </c>
      <c r="Z39" s="2">
        <v>0.27300000000000002</v>
      </c>
      <c r="AA39" s="2">
        <v>0.33300000000000002</v>
      </c>
      <c r="AB39" s="2">
        <v>0</v>
      </c>
      <c r="AC39" s="2">
        <v>0</v>
      </c>
    </row>
    <row r="40" spans="1:29" x14ac:dyDescent="0.2">
      <c r="A40" t="s">
        <v>532</v>
      </c>
      <c r="B40" s="2">
        <v>24</v>
      </c>
      <c r="C40" t="s">
        <v>39</v>
      </c>
      <c r="D40" s="2" t="s">
        <v>52</v>
      </c>
      <c r="E40" s="2">
        <v>5</v>
      </c>
      <c r="F40" s="2">
        <v>0</v>
      </c>
      <c r="G40" s="2">
        <v>34</v>
      </c>
      <c r="H40" s="2">
        <v>0.1</v>
      </c>
      <c r="I40" s="2">
        <v>18.600000000000001</v>
      </c>
      <c r="J40" s="2">
        <v>0.4</v>
      </c>
      <c r="K40" s="2">
        <v>0.1</v>
      </c>
      <c r="L40" s="2">
        <v>0.2</v>
      </c>
      <c r="M40" s="2">
        <v>0.1</v>
      </c>
      <c r="N40" s="2">
        <v>0</v>
      </c>
      <c r="O40" s="2">
        <v>0.6</v>
      </c>
      <c r="P40" s="2">
        <v>0.25</v>
      </c>
      <c r="Q40" s="2">
        <v>1</v>
      </c>
      <c r="R40" s="2">
        <v>0</v>
      </c>
      <c r="S40" s="2">
        <v>0</v>
      </c>
      <c r="T40" s="2"/>
      <c r="U40" s="2">
        <v>0</v>
      </c>
      <c r="V40" s="2">
        <v>1</v>
      </c>
      <c r="W40" s="2"/>
      <c r="X40" s="2">
        <v>0</v>
      </c>
      <c r="Y40" s="2">
        <v>0</v>
      </c>
      <c r="Z40" s="2">
        <v>0.16700000000000001</v>
      </c>
      <c r="AA40" s="2">
        <v>0</v>
      </c>
      <c r="AB40" s="2">
        <v>0</v>
      </c>
      <c r="AC40" s="2">
        <v>0</v>
      </c>
    </row>
    <row r="41" spans="1:29" x14ac:dyDescent="0.2">
      <c r="A41" t="s">
        <v>371</v>
      </c>
      <c r="B41" s="2">
        <v>23</v>
      </c>
      <c r="C41" t="s">
        <v>82</v>
      </c>
      <c r="D41" s="2" t="s">
        <v>52</v>
      </c>
      <c r="E41" s="2">
        <v>13</v>
      </c>
      <c r="F41" s="2">
        <v>5</v>
      </c>
      <c r="G41" s="2">
        <v>272</v>
      </c>
      <c r="H41" s="2">
        <v>0.42399999999999999</v>
      </c>
      <c r="I41" s="2">
        <v>18.5</v>
      </c>
      <c r="J41" s="2">
        <v>0.28799999999999998</v>
      </c>
      <c r="K41" s="2">
        <v>0.13600000000000001</v>
      </c>
      <c r="L41" s="2">
        <v>0.121</v>
      </c>
      <c r="M41" s="2">
        <v>1.4999999999999999E-2</v>
      </c>
      <c r="N41" s="2">
        <v>1.4999999999999999E-2</v>
      </c>
      <c r="O41" s="2">
        <v>0.71199999999999997</v>
      </c>
      <c r="P41" s="2">
        <v>0.47399999999999998</v>
      </c>
      <c r="Q41" s="2">
        <v>0.55600000000000005</v>
      </c>
      <c r="R41" s="2">
        <v>0.375</v>
      </c>
      <c r="S41" s="2">
        <v>1</v>
      </c>
      <c r="T41" s="2">
        <v>0</v>
      </c>
      <c r="U41" s="2">
        <v>0.40400000000000003</v>
      </c>
      <c r="V41" s="2">
        <v>0.66700000000000004</v>
      </c>
      <c r="W41" s="2">
        <v>1</v>
      </c>
      <c r="X41" s="2">
        <v>0</v>
      </c>
      <c r="Y41" s="2">
        <v>0</v>
      </c>
      <c r="Z41" s="2">
        <v>0.63800000000000001</v>
      </c>
      <c r="AA41" s="2">
        <v>0.4</v>
      </c>
      <c r="AB41" s="2">
        <v>0</v>
      </c>
      <c r="AC41" s="2">
        <v>0</v>
      </c>
    </row>
    <row r="42" spans="1:29" x14ac:dyDescent="0.2">
      <c r="A42" t="s">
        <v>347</v>
      </c>
      <c r="B42" s="2">
        <v>28</v>
      </c>
      <c r="C42" t="s">
        <v>103</v>
      </c>
      <c r="D42" s="2" t="s">
        <v>33</v>
      </c>
      <c r="E42" s="2">
        <v>18</v>
      </c>
      <c r="F42" s="2">
        <v>13</v>
      </c>
      <c r="G42" s="2">
        <v>425</v>
      </c>
      <c r="H42" s="2">
        <v>0.60799999999999998</v>
      </c>
      <c r="I42" s="2">
        <v>3.7</v>
      </c>
      <c r="J42" s="2">
        <v>1</v>
      </c>
      <c r="K42" s="2">
        <v>0.56799999999999995</v>
      </c>
      <c r="L42" s="2">
        <v>0.39200000000000002</v>
      </c>
      <c r="M42" s="2">
        <v>4.1000000000000002E-2</v>
      </c>
      <c r="N42" s="2">
        <v>0</v>
      </c>
      <c r="O42" s="2">
        <v>0</v>
      </c>
      <c r="P42" s="2">
        <v>0.60799999999999998</v>
      </c>
      <c r="Q42" s="2">
        <v>0.71399999999999997</v>
      </c>
      <c r="R42" s="2">
        <v>0.51700000000000002</v>
      </c>
      <c r="S42" s="2">
        <v>0</v>
      </c>
      <c r="T42" s="2"/>
      <c r="U42" s="2"/>
      <c r="V42" s="2">
        <v>0.55600000000000005</v>
      </c>
      <c r="W42" s="2"/>
      <c r="X42" s="2">
        <v>8.1000000000000003E-2</v>
      </c>
      <c r="Y42" s="2">
        <v>5</v>
      </c>
      <c r="Z42" s="2"/>
      <c r="AA42" s="2"/>
      <c r="AB42" s="2">
        <v>0</v>
      </c>
      <c r="AC42" s="2">
        <v>0</v>
      </c>
    </row>
    <row r="43" spans="1:29" x14ac:dyDescent="0.2">
      <c r="A43" t="s">
        <v>94</v>
      </c>
      <c r="B43" s="2">
        <v>22</v>
      </c>
      <c r="C43" t="s">
        <v>82</v>
      </c>
      <c r="D43" s="2" t="s">
        <v>52</v>
      </c>
      <c r="E43" s="2">
        <v>25</v>
      </c>
      <c r="F43" s="2">
        <v>20</v>
      </c>
      <c r="G43" s="2">
        <v>818</v>
      </c>
      <c r="H43" s="2">
        <v>0.47099999999999997</v>
      </c>
      <c r="I43" s="2">
        <v>12.4</v>
      </c>
      <c r="J43" s="2">
        <v>0.67900000000000005</v>
      </c>
      <c r="K43" s="2">
        <v>0.35299999999999998</v>
      </c>
      <c r="L43" s="2">
        <v>0.189</v>
      </c>
      <c r="M43" s="2">
        <v>5.3999999999999999E-2</v>
      </c>
      <c r="N43" s="2">
        <v>8.3000000000000004E-2</v>
      </c>
      <c r="O43" s="2">
        <v>0.32100000000000001</v>
      </c>
      <c r="P43" s="2">
        <v>0.50900000000000001</v>
      </c>
      <c r="Q43" s="2">
        <v>0.65500000000000003</v>
      </c>
      <c r="R43" s="2">
        <v>0.39</v>
      </c>
      <c r="S43" s="2">
        <v>0.35299999999999998</v>
      </c>
      <c r="T43" s="2">
        <v>0.26900000000000002</v>
      </c>
      <c r="U43" s="2">
        <v>0.39</v>
      </c>
      <c r="V43" s="2">
        <v>0.54600000000000004</v>
      </c>
      <c r="W43" s="2">
        <v>0.71799999999999997</v>
      </c>
      <c r="X43" s="2">
        <v>3.2000000000000001E-2</v>
      </c>
      <c r="Y43" s="2">
        <v>10</v>
      </c>
      <c r="Z43" s="2">
        <v>0.12</v>
      </c>
      <c r="AA43" s="2">
        <v>0.58299999999999996</v>
      </c>
      <c r="AB43" s="2">
        <v>1</v>
      </c>
      <c r="AC43" s="2">
        <v>0</v>
      </c>
    </row>
    <row r="44" spans="1:29" x14ac:dyDescent="0.2">
      <c r="A44" t="s">
        <v>192</v>
      </c>
      <c r="B44" s="2">
        <v>20</v>
      </c>
      <c r="C44" t="s">
        <v>114</v>
      </c>
      <c r="D44" s="2" t="s">
        <v>49</v>
      </c>
      <c r="E44" s="2">
        <v>21</v>
      </c>
      <c r="F44" s="2">
        <v>21</v>
      </c>
      <c r="G44" s="2">
        <v>726</v>
      </c>
      <c r="H44" s="2">
        <v>0.433</v>
      </c>
      <c r="I44" s="2">
        <v>13.2</v>
      </c>
      <c r="J44" s="2">
        <v>0.66500000000000004</v>
      </c>
      <c r="K44" s="2">
        <v>0.251</v>
      </c>
      <c r="L44" s="2">
        <v>0.20200000000000001</v>
      </c>
      <c r="M44" s="2">
        <v>0.13300000000000001</v>
      </c>
      <c r="N44" s="2">
        <v>7.9000000000000001E-2</v>
      </c>
      <c r="O44" s="2">
        <v>0.33500000000000002</v>
      </c>
      <c r="P44" s="2">
        <v>0.51900000000000002</v>
      </c>
      <c r="Q44" s="2">
        <v>0.745</v>
      </c>
      <c r="R44" s="2">
        <v>0.439</v>
      </c>
      <c r="S44" s="2">
        <v>0.29599999999999999</v>
      </c>
      <c r="T44" s="2">
        <v>0.375</v>
      </c>
      <c r="U44" s="2">
        <v>0.26500000000000001</v>
      </c>
      <c r="V44" s="2">
        <v>0.48599999999999999</v>
      </c>
      <c r="W44" s="2">
        <v>0.88900000000000001</v>
      </c>
      <c r="X44" s="2">
        <v>0.113</v>
      </c>
      <c r="Y44" s="2">
        <v>20</v>
      </c>
      <c r="Z44" s="2">
        <v>0.26500000000000001</v>
      </c>
      <c r="AA44" s="2">
        <v>0.38900000000000001</v>
      </c>
      <c r="AB44" s="2">
        <v>0</v>
      </c>
      <c r="AC44" s="2">
        <v>0</v>
      </c>
    </row>
    <row r="45" spans="1:29" x14ac:dyDescent="0.2">
      <c r="A45" t="s">
        <v>372</v>
      </c>
      <c r="B45" s="2">
        <v>21</v>
      </c>
      <c r="C45" t="s">
        <v>93</v>
      </c>
      <c r="D45" s="2" t="s">
        <v>52</v>
      </c>
      <c r="E45" s="2">
        <v>19</v>
      </c>
      <c r="F45" s="2">
        <v>0</v>
      </c>
      <c r="G45" s="2">
        <v>212</v>
      </c>
      <c r="H45" s="2">
        <v>0.439</v>
      </c>
      <c r="I45" s="2">
        <v>9.6</v>
      </c>
      <c r="J45" s="2">
        <v>0.69699999999999995</v>
      </c>
      <c r="K45" s="2">
        <v>0.59099999999999997</v>
      </c>
      <c r="L45" s="2">
        <v>6.0999999999999999E-2</v>
      </c>
      <c r="M45" s="2">
        <v>1.4999999999999999E-2</v>
      </c>
      <c r="N45" s="2">
        <v>0.03</v>
      </c>
      <c r="O45" s="2">
        <v>0.30299999999999999</v>
      </c>
      <c r="P45" s="2">
        <v>0.54300000000000004</v>
      </c>
      <c r="Q45" s="2">
        <v>0.61499999999999999</v>
      </c>
      <c r="R45" s="2">
        <v>0.25</v>
      </c>
      <c r="S45" s="2">
        <v>0</v>
      </c>
      <c r="T45" s="2">
        <v>0</v>
      </c>
      <c r="U45" s="2">
        <v>0.2</v>
      </c>
      <c r="V45" s="2">
        <v>0.64</v>
      </c>
      <c r="W45" s="2">
        <v>0.75</v>
      </c>
      <c r="X45" s="2">
        <v>9.0999999999999998E-2</v>
      </c>
      <c r="Y45" s="2">
        <v>6</v>
      </c>
      <c r="Z45" s="2">
        <v>0.35</v>
      </c>
      <c r="AA45" s="2">
        <v>0.28599999999999998</v>
      </c>
      <c r="AB45" s="2">
        <v>0</v>
      </c>
      <c r="AC45" s="2">
        <v>0</v>
      </c>
    </row>
    <row r="46" spans="1:29" x14ac:dyDescent="0.2">
      <c r="A46" t="s">
        <v>152</v>
      </c>
      <c r="B46" s="2">
        <v>29</v>
      </c>
      <c r="C46" t="s">
        <v>35</v>
      </c>
      <c r="D46" s="2" t="s">
        <v>27</v>
      </c>
      <c r="E46" s="2">
        <v>23</v>
      </c>
      <c r="F46" s="2">
        <v>1</v>
      </c>
      <c r="G46" s="2">
        <v>555</v>
      </c>
      <c r="H46" s="2">
        <v>0.47699999999999998</v>
      </c>
      <c r="I46" s="2">
        <v>13.6</v>
      </c>
      <c r="J46" s="2">
        <v>0.71399999999999997</v>
      </c>
      <c r="K46" s="2">
        <v>0.218</v>
      </c>
      <c r="L46" s="2">
        <v>0.188</v>
      </c>
      <c r="M46" s="2">
        <v>0.15</v>
      </c>
      <c r="N46" s="2">
        <v>0.158</v>
      </c>
      <c r="O46" s="2">
        <v>0.28599999999999998</v>
      </c>
      <c r="P46" s="2">
        <v>0.51600000000000001</v>
      </c>
      <c r="Q46" s="2">
        <v>0.65500000000000003</v>
      </c>
      <c r="R46" s="2">
        <v>0.42</v>
      </c>
      <c r="S46" s="2">
        <v>0.45</v>
      </c>
      <c r="T46" s="2">
        <v>0.5</v>
      </c>
      <c r="U46" s="2">
        <v>0.38200000000000001</v>
      </c>
      <c r="V46" s="2">
        <v>0.46899999999999997</v>
      </c>
      <c r="W46" s="2">
        <v>0.96599999999999997</v>
      </c>
      <c r="X46" s="2">
        <v>1.9E-2</v>
      </c>
      <c r="Y46" s="2">
        <v>4</v>
      </c>
      <c r="Z46" s="2">
        <v>0.32900000000000001</v>
      </c>
      <c r="AA46" s="2">
        <v>0.44</v>
      </c>
      <c r="AB46" s="2">
        <v>0</v>
      </c>
      <c r="AC46" s="2">
        <v>0</v>
      </c>
    </row>
    <row r="47" spans="1:29" x14ac:dyDescent="0.2">
      <c r="A47" t="s">
        <v>303</v>
      </c>
      <c r="B47" s="2">
        <v>32</v>
      </c>
      <c r="C47" t="s">
        <v>72</v>
      </c>
      <c r="D47" s="2" t="s">
        <v>52</v>
      </c>
      <c r="E47" s="2">
        <v>11</v>
      </c>
      <c r="F47" s="2">
        <v>0</v>
      </c>
      <c r="G47" s="2">
        <v>277</v>
      </c>
      <c r="H47" s="2">
        <v>0.40200000000000002</v>
      </c>
      <c r="I47" s="2">
        <v>19.5</v>
      </c>
      <c r="J47" s="2">
        <v>0.33</v>
      </c>
      <c r="K47" s="2">
        <v>0.14299999999999999</v>
      </c>
      <c r="L47" s="2">
        <v>6.3E-2</v>
      </c>
      <c r="M47" s="2">
        <v>7.0999999999999994E-2</v>
      </c>
      <c r="N47" s="2">
        <v>5.3999999999999999E-2</v>
      </c>
      <c r="O47" s="2">
        <v>0.67</v>
      </c>
      <c r="P47" s="2">
        <v>0.54100000000000004</v>
      </c>
      <c r="Q47" s="2">
        <v>0.625</v>
      </c>
      <c r="R47" s="2">
        <v>0.14299999999999999</v>
      </c>
      <c r="S47" s="2">
        <v>0.625</v>
      </c>
      <c r="T47" s="2">
        <v>0.66700000000000004</v>
      </c>
      <c r="U47" s="2">
        <v>0.33300000000000002</v>
      </c>
      <c r="V47" s="2">
        <v>0.75</v>
      </c>
      <c r="W47" s="2">
        <v>0.96</v>
      </c>
      <c r="X47" s="2">
        <v>0</v>
      </c>
      <c r="Y47" s="2">
        <v>0</v>
      </c>
      <c r="Z47" s="2">
        <v>0.253</v>
      </c>
      <c r="AA47" s="2">
        <v>0.42099999999999999</v>
      </c>
      <c r="AB47" s="2">
        <v>0</v>
      </c>
      <c r="AC47" s="2">
        <v>0</v>
      </c>
    </row>
    <row r="48" spans="1:29" x14ac:dyDescent="0.2">
      <c r="A48" t="s">
        <v>456</v>
      </c>
      <c r="B48" s="2">
        <v>25</v>
      </c>
      <c r="C48" t="s">
        <v>54</v>
      </c>
      <c r="D48" s="2" t="s">
        <v>27</v>
      </c>
      <c r="E48" s="2">
        <v>7</v>
      </c>
      <c r="F48" s="2">
        <v>0</v>
      </c>
      <c r="G48" s="2">
        <v>37</v>
      </c>
      <c r="H48" s="2">
        <v>0.6</v>
      </c>
      <c r="I48" s="2">
        <v>15</v>
      </c>
      <c r="J48" s="2">
        <v>0.66700000000000004</v>
      </c>
      <c r="K48" s="2">
        <v>6.7000000000000004E-2</v>
      </c>
      <c r="L48" s="2">
        <v>0.33300000000000002</v>
      </c>
      <c r="M48" s="2">
        <v>0.13300000000000001</v>
      </c>
      <c r="N48" s="2">
        <v>0.13300000000000001</v>
      </c>
      <c r="O48" s="2">
        <v>0.33300000000000002</v>
      </c>
      <c r="P48" s="2">
        <v>0.8</v>
      </c>
      <c r="Q48" s="2">
        <v>1</v>
      </c>
      <c r="R48" s="2">
        <v>0.8</v>
      </c>
      <c r="S48" s="2">
        <v>1</v>
      </c>
      <c r="T48" s="2">
        <v>0.5</v>
      </c>
      <c r="U48" s="2">
        <v>0.2</v>
      </c>
      <c r="V48" s="2">
        <v>0.75</v>
      </c>
      <c r="W48" s="2">
        <v>1</v>
      </c>
      <c r="X48" s="2">
        <v>6.7000000000000004E-2</v>
      </c>
      <c r="Y48" s="2">
        <v>1</v>
      </c>
      <c r="Z48" s="2">
        <v>0.4</v>
      </c>
      <c r="AA48" s="2">
        <v>0</v>
      </c>
      <c r="AB48" s="2">
        <v>0</v>
      </c>
      <c r="AC48" s="2">
        <v>0</v>
      </c>
    </row>
    <row r="49" spans="1:29" x14ac:dyDescent="0.2">
      <c r="A49" t="s">
        <v>368</v>
      </c>
      <c r="B49" s="2">
        <v>24</v>
      </c>
      <c r="C49" t="s">
        <v>77</v>
      </c>
      <c r="D49" s="2" t="s">
        <v>33</v>
      </c>
      <c r="E49" s="2">
        <v>10</v>
      </c>
      <c r="F49" s="2">
        <v>0</v>
      </c>
      <c r="G49" s="2">
        <v>104</v>
      </c>
      <c r="H49" s="2">
        <v>0.39</v>
      </c>
      <c r="I49" s="2">
        <v>21</v>
      </c>
      <c r="J49" s="2">
        <v>0.30499999999999999</v>
      </c>
      <c r="K49" s="2">
        <v>5.0999999999999997E-2</v>
      </c>
      <c r="L49" s="2">
        <v>0.13600000000000001</v>
      </c>
      <c r="M49" s="2">
        <v>5.0999999999999997E-2</v>
      </c>
      <c r="N49" s="2">
        <v>6.8000000000000005E-2</v>
      </c>
      <c r="O49" s="2">
        <v>0.69499999999999995</v>
      </c>
      <c r="P49" s="2">
        <v>0.27800000000000002</v>
      </c>
      <c r="Q49" s="2">
        <v>0.33300000000000002</v>
      </c>
      <c r="R49" s="2">
        <v>0.25</v>
      </c>
      <c r="S49" s="2">
        <v>0</v>
      </c>
      <c r="T49" s="2">
        <v>0.5</v>
      </c>
      <c r="U49" s="2">
        <v>0.439</v>
      </c>
      <c r="V49" s="2">
        <v>0.2</v>
      </c>
      <c r="W49" s="2">
        <v>0.5</v>
      </c>
      <c r="X49" s="2">
        <v>1.7000000000000001E-2</v>
      </c>
      <c r="Y49" s="2">
        <v>1</v>
      </c>
      <c r="Z49" s="2">
        <v>0.14599999999999999</v>
      </c>
      <c r="AA49" s="2">
        <v>0.66700000000000004</v>
      </c>
      <c r="AB49" s="2">
        <v>0</v>
      </c>
      <c r="AC49" s="2">
        <v>0</v>
      </c>
    </row>
    <row r="50" spans="1:29" x14ac:dyDescent="0.2">
      <c r="A50" t="s">
        <v>182</v>
      </c>
      <c r="B50" s="2">
        <v>31</v>
      </c>
      <c r="C50" t="s">
        <v>54</v>
      </c>
      <c r="D50" s="2" t="s">
        <v>52</v>
      </c>
      <c r="E50" s="2">
        <v>15</v>
      </c>
      <c r="F50" s="2">
        <v>15</v>
      </c>
      <c r="G50" s="2">
        <v>502</v>
      </c>
      <c r="H50" s="2">
        <v>0.49299999999999999</v>
      </c>
      <c r="I50" s="2">
        <v>15.7</v>
      </c>
      <c r="J50" s="2">
        <v>0.58499999999999996</v>
      </c>
      <c r="K50" s="2">
        <v>0.17399999999999999</v>
      </c>
      <c r="L50" s="2">
        <v>0.16900000000000001</v>
      </c>
      <c r="M50" s="2">
        <v>0.111</v>
      </c>
      <c r="N50" s="2">
        <v>0.13</v>
      </c>
      <c r="O50" s="2">
        <v>0.41499999999999998</v>
      </c>
      <c r="P50" s="2">
        <v>0.58699999999999997</v>
      </c>
      <c r="Q50" s="2">
        <v>0.83299999999999996</v>
      </c>
      <c r="R50" s="2">
        <v>0.57099999999999995</v>
      </c>
      <c r="S50" s="2">
        <v>0.39100000000000001</v>
      </c>
      <c r="T50" s="2">
        <v>0.44400000000000001</v>
      </c>
      <c r="U50" s="2">
        <v>0.36</v>
      </c>
      <c r="V50" s="2">
        <v>0.52100000000000002</v>
      </c>
      <c r="W50" s="2">
        <v>0.77400000000000002</v>
      </c>
      <c r="X50" s="2">
        <v>1.4E-2</v>
      </c>
      <c r="Y50" s="2">
        <v>3</v>
      </c>
      <c r="Z50" s="2">
        <v>0.25600000000000001</v>
      </c>
      <c r="AA50" s="2">
        <v>0.318</v>
      </c>
      <c r="AB50" s="2">
        <v>0</v>
      </c>
      <c r="AC50" s="2">
        <v>0</v>
      </c>
    </row>
    <row r="51" spans="1:29" x14ac:dyDescent="0.2">
      <c r="A51" t="s">
        <v>523</v>
      </c>
      <c r="B51" s="2">
        <v>25</v>
      </c>
      <c r="C51" t="s">
        <v>32</v>
      </c>
      <c r="D51" s="2" t="s">
        <v>42</v>
      </c>
      <c r="E51" s="2">
        <v>5</v>
      </c>
      <c r="F51" s="2">
        <v>0</v>
      </c>
      <c r="G51" s="2">
        <v>18</v>
      </c>
      <c r="H51" s="2">
        <v>0.14299999999999999</v>
      </c>
      <c r="I51" s="2">
        <v>20.5</v>
      </c>
      <c r="J51" s="2">
        <v>0.28599999999999998</v>
      </c>
      <c r="K51" s="2">
        <v>0</v>
      </c>
      <c r="L51" s="2">
        <v>0.28599999999999998</v>
      </c>
      <c r="M51" s="2">
        <v>0</v>
      </c>
      <c r="N51" s="2">
        <v>0</v>
      </c>
      <c r="O51" s="2">
        <v>0.71399999999999997</v>
      </c>
      <c r="P51" s="2">
        <v>0.5</v>
      </c>
      <c r="Q51" s="2"/>
      <c r="R51" s="2">
        <v>0.5</v>
      </c>
      <c r="S51" s="2"/>
      <c r="T51" s="2"/>
      <c r="U51" s="2">
        <v>0</v>
      </c>
      <c r="V51" s="2">
        <v>1</v>
      </c>
      <c r="W51" s="2"/>
      <c r="X51" s="2">
        <v>0</v>
      </c>
      <c r="Y51" s="2">
        <v>0</v>
      </c>
      <c r="Z51" s="2">
        <v>0.2</v>
      </c>
      <c r="AA51" s="2">
        <v>0</v>
      </c>
      <c r="AB51" s="2">
        <v>0</v>
      </c>
      <c r="AC51" s="2">
        <v>0</v>
      </c>
    </row>
    <row r="52" spans="1:29" x14ac:dyDescent="0.2">
      <c r="A52" t="s">
        <v>247</v>
      </c>
      <c r="B52" s="2">
        <v>21</v>
      </c>
      <c r="C52" t="s">
        <v>100</v>
      </c>
      <c r="D52" s="2" t="s">
        <v>52</v>
      </c>
      <c r="E52" s="2">
        <v>23</v>
      </c>
      <c r="F52" s="2">
        <v>8</v>
      </c>
      <c r="G52" s="2">
        <v>572</v>
      </c>
      <c r="H52" s="2">
        <v>0.38</v>
      </c>
      <c r="I52" s="2">
        <v>16.5</v>
      </c>
      <c r="J52" s="2">
        <v>0.53800000000000003</v>
      </c>
      <c r="K52" s="2">
        <v>0.114</v>
      </c>
      <c r="L52" s="2">
        <v>0.23899999999999999</v>
      </c>
      <c r="M52" s="2">
        <v>0.14099999999999999</v>
      </c>
      <c r="N52" s="2">
        <v>4.2999999999999997E-2</v>
      </c>
      <c r="O52" s="2">
        <v>0.46200000000000002</v>
      </c>
      <c r="P52" s="2">
        <v>0.495</v>
      </c>
      <c r="Q52" s="2">
        <v>0.52400000000000002</v>
      </c>
      <c r="R52" s="2">
        <v>0.5</v>
      </c>
      <c r="S52" s="2">
        <v>0.5</v>
      </c>
      <c r="T52" s="2">
        <v>0.375</v>
      </c>
      <c r="U52" s="2">
        <v>0.247</v>
      </c>
      <c r="V52" s="2">
        <v>0.51</v>
      </c>
      <c r="W52" s="2">
        <v>0.76200000000000001</v>
      </c>
      <c r="X52" s="2">
        <v>5.0000000000000001E-3</v>
      </c>
      <c r="Y52" s="2">
        <v>0</v>
      </c>
      <c r="Z52" s="2">
        <v>0.16500000000000001</v>
      </c>
      <c r="AA52" s="2">
        <v>0.35699999999999998</v>
      </c>
      <c r="AB52" s="2">
        <v>2</v>
      </c>
      <c r="AC52" s="2">
        <v>0</v>
      </c>
    </row>
    <row r="53" spans="1:29" x14ac:dyDescent="0.2">
      <c r="A53" t="s">
        <v>177</v>
      </c>
      <c r="B53" s="2">
        <v>23</v>
      </c>
      <c r="C53" t="s">
        <v>117</v>
      </c>
      <c r="D53" s="2" t="s">
        <v>52</v>
      </c>
      <c r="E53" s="2">
        <v>23</v>
      </c>
      <c r="F53" s="2">
        <v>10</v>
      </c>
      <c r="G53" s="2">
        <v>633</v>
      </c>
      <c r="H53" s="2">
        <v>0.436</v>
      </c>
      <c r="I53" s="2">
        <v>15.8</v>
      </c>
      <c r="J53" s="2">
        <v>0.60599999999999998</v>
      </c>
      <c r="K53" s="2">
        <v>0.20300000000000001</v>
      </c>
      <c r="L53" s="2">
        <v>0.10199999999999999</v>
      </c>
      <c r="M53" s="2">
        <v>0.161</v>
      </c>
      <c r="N53" s="2">
        <v>0.14000000000000001</v>
      </c>
      <c r="O53" s="2">
        <v>0.39400000000000002</v>
      </c>
      <c r="P53" s="2">
        <v>0.51</v>
      </c>
      <c r="Q53" s="2">
        <v>0.75</v>
      </c>
      <c r="R53" s="2">
        <v>0.20799999999999999</v>
      </c>
      <c r="S53" s="2">
        <v>0.36799999999999999</v>
      </c>
      <c r="T53" s="2">
        <v>0.54500000000000004</v>
      </c>
      <c r="U53" s="2">
        <v>0.32300000000000001</v>
      </c>
      <c r="V53" s="2">
        <v>0.46600000000000003</v>
      </c>
      <c r="W53" s="2">
        <v>0.86699999999999999</v>
      </c>
      <c r="X53" s="2">
        <v>5.0999999999999997E-2</v>
      </c>
      <c r="Y53" s="2">
        <v>10</v>
      </c>
      <c r="Z53" s="2">
        <v>0.22600000000000001</v>
      </c>
      <c r="AA53" s="2">
        <v>0.19</v>
      </c>
      <c r="AB53" s="2">
        <v>0</v>
      </c>
      <c r="AC53" s="2">
        <v>0</v>
      </c>
    </row>
    <row r="54" spans="1:29" x14ac:dyDescent="0.2">
      <c r="A54" t="s">
        <v>251</v>
      </c>
      <c r="B54" s="2">
        <v>28</v>
      </c>
      <c r="C54" t="s">
        <v>80</v>
      </c>
      <c r="D54" s="2" t="s">
        <v>27</v>
      </c>
      <c r="E54" s="2">
        <v>24</v>
      </c>
      <c r="F54" s="2">
        <v>15</v>
      </c>
      <c r="G54" s="2">
        <v>444</v>
      </c>
      <c r="H54" s="2">
        <v>0.61199999999999999</v>
      </c>
      <c r="I54" s="2">
        <v>7.1</v>
      </c>
      <c r="J54" s="2">
        <v>0.88100000000000001</v>
      </c>
      <c r="K54" s="2">
        <v>0.41</v>
      </c>
      <c r="L54" s="2">
        <v>0.35799999999999998</v>
      </c>
      <c r="M54" s="2">
        <v>0.112</v>
      </c>
      <c r="N54" s="2">
        <v>0</v>
      </c>
      <c r="O54" s="2">
        <v>0.11899999999999999</v>
      </c>
      <c r="P54" s="2">
        <v>0.68600000000000005</v>
      </c>
      <c r="Q54" s="2">
        <v>0.83599999999999997</v>
      </c>
      <c r="R54" s="2">
        <v>0.58299999999999996</v>
      </c>
      <c r="S54" s="2">
        <v>0.46700000000000003</v>
      </c>
      <c r="T54" s="2"/>
      <c r="U54" s="2">
        <v>6.3E-2</v>
      </c>
      <c r="V54" s="2">
        <v>0.80200000000000005</v>
      </c>
      <c r="W54" s="2">
        <v>1</v>
      </c>
      <c r="X54" s="2">
        <v>8.2000000000000003E-2</v>
      </c>
      <c r="Y54" s="2">
        <v>10</v>
      </c>
      <c r="Z54" s="2">
        <v>0.81299999999999994</v>
      </c>
      <c r="AA54" s="2">
        <v>7.6999999999999999E-2</v>
      </c>
      <c r="AB54" s="2">
        <v>0</v>
      </c>
      <c r="AC54" s="2">
        <v>0</v>
      </c>
    </row>
    <row r="55" spans="1:29" x14ac:dyDescent="0.2">
      <c r="A55" t="s">
        <v>116</v>
      </c>
      <c r="B55" s="2">
        <v>27</v>
      </c>
      <c r="C55" t="s">
        <v>117</v>
      </c>
      <c r="D55" s="2" t="s">
        <v>49</v>
      </c>
      <c r="E55" s="2">
        <v>18</v>
      </c>
      <c r="F55" s="2">
        <v>18</v>
      </c>
      <c r="G55" s="2">
        <v>595</v>
      </c>
      <c r="H55" s="2">
        <v>0.46500000000000002</v>
      </c>
      <c r="I55" s="2">
        <v>16</v>
      </c>
      <c r="J55" s="2">
        <v>0.65500000000000003</v>
      </c>
      <c r="K55" s="2">
        <v>0.11700000000000001</v>
      </c>
      <c r="L55" s="2">
        <v>0.153</v>
      </c>
      <c r="M55" s="2">
        <v>0.24</v>
      </c>
      <c r="N55" s="2">
        <v>0.14399999999999999</v>
      </c>
      <c r="O55" s="2">
        <v>0.34499999999999997</v>
      </c>
      <c r="P55" s="2">
        <v>0.51400000000000001</v>
      </c>
      <c r="Q55" s="2">
        <v>0.74399999999999999</v>
      </c>
      <c r="R55" s="2">
        <v>0.41199999999999998</v>
      </c>
      <c r="S55" s="2">
        <v>0.53800000000000003</v>
      </c>
      <c r="T55" s="2">
        <v>0.39600000000000002</v>
      </c>
      <c r="U55" s="2">
        <v>0.374</v>
      </c>
      <c r="V55" s="2">
        <v>0.40200000000000002</v>
      </c>
      <c r="W55" s="2">
        <v>0.83699999999999997</v>
      </c>
      <c r="X55" s="2">
        <v>2.7E-2</v>
      </c>
      <c r="Y55" s="2">
        <v>9</v>
      </c>
      <c r="Z55" s="2">
        <v>7.0000000000000007E-2</v>
      </c>
      <c r="AA55" s="2">
        <v>0.25</v>
      </c>
      <c r="AB55" s="2">
        <v>0</v>
      </c>
      <c r="AC55" s="2">
        <v>0</v>
      </c>
    </row>
    <row r="56" spans="1:29" x14ac:dyDescent="0.2">
      <c r="A56" t="s">
        <v>95</v>
      </c>
      <c r="B56" s="2">
        <v>22</v>
      </c>
      <c r="C56" t="s">
        <v>59</v>
      </c>
      <c r="D56" s="2" t="s">
        <v>49</v>
      </c>
      <c r="E56" s="2">
        <v>20</v>
      </c>
      <c r="F56" s="2">
        <v>20</v>
      </c>
      <c r="G56" s="2">
        <v>688</v>
      </c>
      <c r="H56" s="2">
        <v>0.40699999999999997</v>
      </c>
      <c r="I56" s="2">
        <v>18.7</v>
      </c>
      <c r="J56" s="2">
        <v>0.41799999999999998</v>
      </c>
      <c r="K56" s="2">
        <v>0.125</v>
      </c>
      <c r="L56" s="2">
        <v>0.16200000000000001</v>
      </c>
      <c r="M56" s="2">
        <v>8.7999999999999995E-2</v>
      </c>
      <c r="N56" s="2">
        <v>4.2999999999999997E-2</v>
      </c>
      <c r="O56" s="2">
        <v>0.58199999999999996</v>
      </c>
      <c r="P56" s="2">
        <v>0.46500000000000002</v>
      </c>
      <c r="Q56" s="2">
        <v>0.70199999999999996</v>
      </c>
      <c r="R56" s="2">
        <v>0.39300000000000002</v>
      </c>
      <c r="S56" s="2">
        <v>0.36399999999999999</v>
      </c>
      <c r="T56" s="2">
        <v>0.25</v>
      </c>
      <c r="U56" s="2">
        <v>0.36499999999999999</v>
      </c>
      <c r="V56" s="2">
        <v>0.53400000000000003</v>
      </c>
      <c r="W56" s="2">
        <v>0.82499999999999996</v>
      </c>
      <c r="X56" s="2">
        <v>4.2999999999999997E-2</v>
      </c>
      <c r="Y56" s="2">
        <v>15</v>
      </c>
      <c r="Z56" s="2">
        <v>6.8000000000000005E-2</v>
      </c>
      <c r="AA56" s="2">
        <v>0.33300000000000002</v>
      </c>
      <c r="AB56" s="2">
        <v>3</v>
      </c>
      <c r="AC56" s="2">
        <v>0</v>
      </c>
    </row>
    <row r="57" spans="1:29" x14ac:dyDescent="0.2">
      <c r="A57" t="s">
        <v>514</v>
      </c>
      <c r="B57" s="2">
        <v>25</v>
      </c>
      <c r="C57" t="s">
        <v>63</v>
      </c>
      <c r="D57" s="2" t="s">
        <v>33</v>
      </c>
      <c r="E57" s="2">
        <v>5</v>
      </c>
      <c r="F57" s="2">
        <v>0</v>
      </c>
      <c r="G57" s="2">
        <v>21</v>
      </c>
      <c r="H57" s="2">
        <v>0.222</v>
      </c>
      <c r="I57" s="2">
        <v>8.3000000000000007</v>
      </c>
      <c r="J57" s="2">
        <v>0.77800000000000002</v>
      </c>
      <c r="K57" s="2">
        <v>0.55600000000000005</v>
      </c>
      <c r="L57" s="2">
        <v>0.222</v>
      </c>
      <c r="M57" s="2">
        <v>0</v>
      </c>
      <c r="N57" s="2">
        <v>0</v>
      </c>
      <c r="O57" s="2">
        <v>0.222</v>
      </c>
      <c r="P57" s="2">
        <v>0.28599999999999998</v>
      </c>
      <c r="Q57" s="2">
        <v>0.2</v>
      </c>
      <c r="R57" s="2">
        <v>0.5</v>
      </c>
      <c r="S57" s="2"/>
      <c r="T57" s="2"/>
      <c r="U57" s="2">
        <v>0</v>
      </c>
      <c r="V57" s="2">
        <v>0.5</v>
      </c>
      <c r="W57" s="2"/>
      <c r="X57" s="2">
        <v>0</v>
      </c>
      <c r="Y57" s="2">
        <v>0</v>
      </c>
      <c r="Z57" s="2">
        <v>0</v>
      </c>
      <c r="AA57" s="2"/>
      <c r="AB57" s="2">
        <v>0</v>
      </c>
      <c r="AC57" s="2">
        <v>0</v>
      </c>
    </row>
    <row r="58" spans="1:29" x14ac:dyDescent="0.2">
      <c r="A58" t="s">
        <v>297</v>
      </c>
      <c r="B58" s="2">
        <v>21</v>
      </c>
      <c r="C58" t="s">
        <v>120</v>
      </c>
      <c r="D58" s="2" t="s">
        <v>49</v>
      </c>
      <c r="E58" s="2">
        <v>17</v>
      </c>
      <c r="F58" s="2">
        <v>0</v>
      </c>
      <c r="G58" s="2">
        <v>283</v>
      </c>
      <c r="H58" s="2">
        <v>0.46200000000000002</v>
      </c>
      <c r="I58" s="2">
        <v>18.899999999999999</v>
      </c>
      <c r="J58" s="2">
        <v>0.36799999999999999</v>
      </c>
      <c r="K58" s="2">
        <v>8.5000000000000006E-2</v>
      </c>
      <c r="L58" s="2">
        <v>0.17</v>
      </c>
      <c r="M58" s="2">
        <v>9.4E-2</v>
      </c>
      <c r="N58" s="2">
        <v>1.9E-2</v>
      </c>
      <c r="O58" s="2">
        <v>0.63200000000000001</v>
      </c>
      <c r="P58" s="2">
        <v>0.53800000000000003</v>
      </c>
      <c r="Q58" s="2">
        <v>0.66700000000000004</v>
      </c>
      <c r="R58" s="2">
        <v>0.55600000000000005</v>
      </c>
      <c r="S58" s="2">
        <v>0.4</v>
      </c>
      <c r="T58" s="2">
        <v>0.5</v>
      </c>
      <c r="U58" s="2">
        <v>0.41799999999999998</v>
      </c>
      <c r="V58" s="2">
        <v>0.33300000000000002</v>
      </c>
      <c r="W58" s="2">
        <v>0.92900000000000005</v>
      </c>
      <c r="X58" s="2">
        <v>8.9999999999999993E-3</v>
      </c>
      <c r="Y58" s="2">
        <v>1</v>
      </c>
      <c r="Z58" s="2">
        <v>0.28399999999999997</v>
      </c>
      <c r="AA58" s="2">
        <v>0.42099999999999999</v>
      </c>
      <c r="AB58" s="2">
        <v>1</v>
      </c>
      <c r="AC58" s="2">
        <v>0</v>
      </c>
    </row>
    <row r="59" spans="1:29" x14ac:dyDescent="0.2">
      <c r="A59" t="s">
        <v>527</v>
      </c>
      <c r="B59" s="2">
        <v>20</v>
      </c>
      <c r="C59" t="s">
        <v>41</v>
      </c>
      <c r="D59" s="2" t="s">
        <v>52</v>
      </c>
      <c r="E59" s="2">
        <v>7</v>
      </c>
      <c r="F59" s="2">
        <v>0</v>
      </c>
      <c r="G59" s="2">
        <v>18</v>
      </c>
      <c r="H59" s="2">
        <v>0.125</v>
      </c>
      <c r="I59" s="2">
        <v>16.7</v>
      </c>
      <c r="J59" s="2">
        <v>0.5</v>
      </c>
      <c r="K59" s="2">
        <v>0.125</v>
      </c>
      <c r="L59" s="2">
        <v>0.25</v>
      </c>
      <c r="M59" s="2">
        <v>0.125</v>
      </c>
      <c r="N59" s="2">
        <v>0</v>
      </c>
      <c r="O59" s="2">
        <v>0.5</v>
      </c>
      <c r="P59" s="2">
        <v>0.25</v>
      </c>
      <c r="Q59" s="2">
        <v>0</v>
      </c>
      <c r="R59" s="2">
        <v>0</v>
      </c>
      <c r="S59" s="2">
        <v>1</v>
      </c>
      <c r="T59" s="2"/>
      <c r="U59" s="2">
        <v>0</v>
      </c>
      <c r="V59" s="2">
        <v>0</v>
      </c>
      <c r="W59" s="2"/>
      <c r="X59" s="2">
        <v>0</v>
      </c>
      <c r="Y59" s="2">
        <v>0</v>
      </c>
      <c r="Z59" s="2">
        <v>0</v>
      </c>
      <c r="AA59" s="2"/>
      <c r="AB59" s="2">
        <v>0</v>
      </c>
      <c r="AC59" s="2">
        <v>0</v>
      </c>
    </row>
    <row r="60" spans="1:29" x14ac:dyDescent="0.2">
      <c r="A60" t="s">
        <v>185</v>
      </c>
      <c r="B60" s="2">
        <v>36</v>
      </c>
      <c r="C60" t="s">
        <v>35</v>
      </c>
      <c r="D60" s="2" t="s">
        <v>42</v>
      </c>
      <c r="E60" s="2">
        <v>24</v>
      </c>
      <c r="F60" s="2">
        <v>24</v>
      </c>
      <c r="G60" s="2">
        <v>784</v>
      </c>
      <c r="H60" s="2">
        <v>0.46500000000000002</v>
      </c>
      <c r="I60" s="2">
        <v>17.7</v>
      </c>
      <c r="J60" s="2">
        <v>0.432</v>
      </c>
      <c r="K60" s="2">
        <v>0.17799999999999999</v>
      </c>
      <c r="L60" s="2">
        <v>0.13600000000000001</v>
      </c>
      <c r="M60" s="2">
        <v>0.108</v>
      </c>
      <c r="N60" s="2">
        <v>8.9999999999999993E-3</v>
      </c>
      <c r="O60" s="2">
        <v>0.56799999999999995</v>
      </c>
      <c r="P60" s="2">
        <v>0.60899999999999999</v>
      </c>
      <c r="Q60" s="2">
        <v>0.76300000000000001</v>
      </c>
      <c r="R60" s="2">
        <v>0.51700000000000002</v>
      </c>
      <c r="S60" s="2">
        <v>0.435</v>
      </c>
      <c r="T60" s="2">
        <v>1</v>
      </c>
      <c r="U60" s="2">
        <v>0.35499999999999998</v>
      </c>
      <c r="V60" s="2">
        <v>0.78600000000000003</v>
      </c>
      <c r="W60" s="2">
        <v>1</v>
      </c>
      <c r="X60" s="2">
        <v>5.1999999999999998E-2</v>
      </c>
      <c r="Y60" s="2">
        <v>11</v>
      </c>
      <c r="Z60" s="2">
        <v>0.11600000000000001</v>
      </c>
      <c r="AA60" s="2">
        <v>0.71399999999999997</v>
      </c>
      <c r="AB60" s="2">
        <v>0</v>
      </c>
      <c r="AC60" s="2">
        <v>0</v>
      </c>
    </row>
    <row r="61" spans="1:29" x14ac:dyDescent="0.2">
      <c r="A61" t="s">
        <v>391</v>
      </c>
      <c r="B61" s="2">
        <v>26</v>
      </c>
      <c r="C61" t="s">
        <v>66</v>
      </c>
      <c r="D61" s="2" t="s">
        <v>42</v>
      </c>
      <c r="E61" s="2">
        <v>16</v>
      </c>
      <c r="F61" s="2">
        <v>2</v>
      </c>
      <c r="G61" s="2">
        <v>143</v>
      </c>
      <c r="H61" s="2">
        <v>0.54200000000000004</v>
      </c>
      <c r="I61" s="2">
        <v>4.0999999999999996</v>
      </c>
      <c r="J61" s="2">
        <v>1</v>
      </c>
      <c r="K61" s="2">
        <v>0.58299999999999996</v>
      </c>
      <c r="L61" s="2">
        <v>0.33300000000000002</v>
      </c>
      <c r="M61" s="2">
        <v>4.2000000000000003E-2</v>
      </c>
      <c r="N61" s="2">
        <v>4.2000000000000003E-2</v>
      </c>
      <c r="O61" s="2">
        <v>0</v>
      </c>
      <c r="P61" s="2">
        <v>0.54200000000000004</v>
      </c>
      <c r="Q61" s="2">
        <v>0.67900000000000005</v>
      </c>
      <c r="R61" s="2">
        <v>0.438</v>
      </c>
      <c r="S61" s="2">
        <v>0</v>
      </c>
      <c r="T61" s="2">
        <v>0</v>
      </c>
      <c r="U61" s="2"/>
      <c r="V61" s="2">
        <v>0.65400000000000003</v>
      </c>
      <c r="W61" s="2"/>
      <c r="X61" s="2">
        <v>0.14599999999999999</v>
      </c>
      <c r="Y61" s="2">
        <v>7</v>
      </c>
      <c r="Z61" s="2"/>
      <c r="AA61" s="2"/>
      <c r="AB61" s="2">
        <v>0</v>
      </c>
      <c r="AC61" s="2">
        <v>0</v>
      </c>
    </row>
    <row r="62" spans="1:29" x14ac:dyDescent="0.2">
      <c r="A62" t="s">
        <v>549</v>
      </c>
      <c r="B62" s="2">
        <v>22</v>
      </c>
      <c r="C62" t="s">
        <v>135</v>
      </c>
      <c r="D62" s="2" t="s">
        <v>52</v>
      </c>
      <c r="E62" s="2">
        <v>1</v>
      </c>
      <c r="F62" s="2">
        <v>0</v>
      </c>
      <c r="G62" s="2">
        <v>3</v>
      </c>
      <c r="H62" s="2">
        <v>0.5</v>
      </c>
      <c r="I62" s="2">
        <v>15.8</v>
      </c>
      <c r="J62" s="2">
        <v>0.5</v>
      </c>
      <c r="K62" s="2">
        <v>0</v>
      </c>
      <c r="L62" s="2">
        <v>0.5</v>
      </c>
      <c r="M62" s="2">
        <v>0</v>
      </c>
      <c r="N62" s="2">
        <v>0</v>
      </c>
      <c r="O62" s="2">
        <v>0.5</v>
      </c>
      <c r="P62" s="2">
        <v>1</v>
      </c>
      <c r="Q62" s="2"/>
      <c r="R62" s="2">
        <v>1</v>
      </c>
      <c r="S62" s="2"/>
      <c r="T62" s="2"/>
      <c r="U62" s="2">
        <v>0</v>
      </c>
      <c r="V62" s="2">
        <v>1</v>
      </c>
      <c r="W62" s="2"/>
      <c r="X62" s="2">
        <v>0</v>
      </c>
      <c r="Y62" s="2">
        <v>0</v>
      </c>
      <c r="Z62" s="2">
        <v>0</v>
      </c>
      <c r="AA62" s="2"/>
      <c r="AB62" s="2">
        <v>0</v>
      </c>
      <c r="AC62" s="2">
        <v>0</v>
      </c>
    </row>
    <row r="63" spans="1:29" x14ac:dyDescent="0.2">
      <c r="A63" t="s">
        <v>131</v>
      </c>
      <c r="B63" s="2">
        <v>32</v>
      </c>
      <c r="C63" t="s">
        <v>100</v>
      </c>
      <c r="D63" s="2" t="s">
        <v>52</v>
      </c>
      <c r="E63" s="2">
        <v>24</v>
      </c>
      <c r="F63" s="2">
        <v>4</v>
      </c>
      <c r="G63" s="2">
        <v>574</v>
      </c>
      <c r="H63" s="2">
        <v>0.45600000000000002</v>
      </c>
      <c r="I63" s="2">
        <v>19.3</v>
      </c>
      <c r="J63" s="2">
        <v>0.32200000000000001</v>
      </c>
      <c r="K63" s="2">
        <v>0.126</v>
      </c>
      <c r="L63" s="2">
        <v>0.122</v>
      </c>
      <c r="M63" s="2">
        <v>4.1000000000000002E-2</v>
      </c>
      <c r="N63" s="2">
        <v>3.3000000000000002E-2</v>
      </c>
      <c r="O63" s="2">
        <v>0.67800000000000005</v>
      </c>
      <c r="P63" s="2">
        <v>0.51700000000000002</v>
      </c>
      <c r="Q63" s="2">
        <v>0.64700000000000002</v>
      </c>
      <c r="R63" s="2">
        <v>0.45500000000000002</v>
      </c>
      <c r="S63" s="2">
        <v>0.54500000000000004</v>
      </c>
      <c r="T63" s="2">
        <v>0.222</v>
      </c>
      <c r="U63" s="2">
        <v>0.42599999999999999</v>
      </c>
      <c r="V63" s="2">
        <v>0.66700000000000004</v>
      </c>
      <c r="W63" s="2">
        <v>0.91</v>
      </c>
      <c r="X63" s="2">
        <v>1.4999999999999999E-2</v>
      </c>
      <c r="Y63" s="2">
        <v>4</v>
      </c>
      <c r="Z63" s="2">
        <v>0.219</v>
      </c>
      <c r="AA63" s="2">
        <v>0.45</v>
      </c>
      <c r="AB63" s="2">
        <v>0</v>
      </c>
      <c r="AC63" s="2">
        <v>0</v>
      </c>
    </row>
    <row r="64" spans="1:29" x14ac:dyDescent="0.2">
      <c r="A64" t="s">
        <v>74</v>
      </c>
      <c r="B64" s="2">
        <v>23</v>
      </c>
      <c r="C64" t="s">
        <v>75</v>
      </c>
      <c r="D64" s="2" t="s">
        <v>33</v>
      </c>
      <c r="E64" s="2">
        <v>22</v>
      </c>
      <c r="F64" s="2">
        <v>22</v>
      </c>
      <c r="G64" s="2">
        <v>789</v>
      </c>
      <c r="H64" s="2">
        <v>0.45300000000000001</v>
      </c>
      <c r="I64" s="2">
        <v>13.1</v>
      </c>
      <c r="J64" s="2">
        <v>0.68</v>
      </c>
      <c r="K64" s="2">
        <v>0.191</v>
      </c>
      <c r="L64" s="2">
        <v>0.30099999999999999</v>
      </c>
      <c r="M64" s="2">
        <v>0.129</v>
      </c>
      <c r="N64" s="2">
        <v>0.06</v>
      </c>
      <c r="O64" s="2">
        <v>0.32</v>
      </c>
      <c r="P64" s="2">
        <v>0.48599999999999999</v>
      </c>
      <c r="Q64" s="2">
        <v>0.54200000000000004</v>
      </c>
      <c r="R64" s="2">
        <v>0.46600000000000003</v>
      </c>
      <c r="S64" s="2">
        <v>0.48199999999999998</v>
      </c>
      <c r="T64" s="2">
        <v>0.42299999999999999</v>
      </c>
      <c r="U64" s="2">
        <v>0.38100000000000001</v>
      </c>
      <c r="V64" s="2">
        <v>0.222</v>
      </c>
      <c r="W64" s="2">
        <v>0.58499999999999996</v>
      </c>
      <c r="X64" s="2">
        <v>1.7999999999999999E-2</v>
      </c>
      <c r="Y64" s="2">
        <v>4</v>
      </c>
      <c r="Z64" s="2">
        <v>7.1999999999999995E-2</v>
      </c>
      <c r="AA64" s="2">
        <v>0.5</v>
      </c>
      <c r="AB64" s="2">
        <v>1</v>
      </c>
      <c r="AC64" s="2">
        <v>0</v>
      </c>
    </row>
    <row r="65" spans="1:29" x14ac:dyDescent="0.2">
      <c r="A65" t="s">
        <v>462</v>
      </c>
      <c r="B65" s="2">
        <v>22</v>
      </c>
      <c r="C65" t="s">
        <v>48</v>
      </c>
      <c r="D65" s="2" t="s">
        <v>49</v>
      </c>
      <c r="E65" s="2">
        <v>17</v>
      </c>
      <c r="F65" s="2">
        <v>0</v>
      </c>
      <c r="G65" s="2">
        <v>93</v>
      </c>
      <c r="H65" s="2">
        <v>0.29199999999999998</v>
      </c>
      <c r="I65" s="2">
        <v>21.9</v>
      </c>
      <c r="J65" s="2">
        <v>0.16700000000000001</v>
      </c>
      <c r="K65" s="2">
        <v>4.2000000000000003E-2</v>
      </c>
      <c r="L65" s="2">
        <v>8.3000000000000004E-2</v>
      </c>
      <c r="M65" s="2">
        <v>0</v>
      </c>
      <c r="N65" s="2">
        <v>4.2000000000000003E-2</v>
      </c>
      <c r="O65" s="2">
        <v>0.83299999999999996</v>
      </c>
      <c r="P65" s="2">
        <v>0.5</v>
      </c>
      <c r="Q65" s="2">
        <v>1</v>
      </c>
      <c r="R65" s="2">
        <v>0</v>
      </c>
      <c r="S65" s="2"/>
      <c r="T65" s="2">
        <v>1</v>
      </c>
      <c r="U65" s="2">
        <v>0.25</v>
      </c>
      <c r="V65" s="2">
        <v>0.5</v>
      </c>
      <c r="W65" s="2">
        <v>1</v>
      </c>
      <c r="X65" s="2">
        <v>0</v>
      </c>
      <c r="Y65" s="2">
        <v>0</v>
      </c>
      <c r="Z65" s="2">
        <v>0.4</v>
      </c>
      <c r="AA65" s="2">
        <v>0.25</v>
      </c>
      <c r="AB65" s="2">
        <v>0</v>
      </c>
      <c r="AC65" s="2">
        <v>0</v>
      </c>
    </row>
    <row r="66" spans="1:29" x14ac:dyDescent="0.2">
      <c r="A66" t="s">
        <v>257</v>
      </c>
      <c r="B66" s="2">
        <v>29</v>
      </c>
      <c r="C66" t="s">
        <v>122</v>
      </c>
      <c r="D66" s="2" t="s">
        <v>49</v>
      </c>
      <c r="E66" s="2">
        <v>20</v>
      </c>
      <c r="F66" s="2">
        <v>15</v>
      </c>
      <c r="G66" s="2">
        <v>582</v>
      </c>
      <c r="H66" s="2">
        <v>0.40500000000000003</v>
      </c>
      <c r="I66" s="2">
        <v>15.2</v>
      </c>
      <c r="J66" s="2">
        <v>0.65500000000000003</v>
      </c>
      <c r="K66" s="2">
        <v>0.216</v>
      </c>
      <c r="L66" s="2">
        <v>0.17599999999999999</v>
      </c>
      <c r="M66" s="2">
        <v>8.1000000000000003E-2</v>
      </c>
      <c r="N66" s="2">
        <v>0.182</v>
      </c>
      <c r="O66" s="2">
        <v>0.34499999999999997</v>
      </c>
      <c r="P66" s="2">
        <v>0.46400000000000002</v>
      </c>
      <c r="Q66" s="2">
        <v>0.625</v>
      </c>
      <c r="R66" s="2">
        <v>0.46200000000000002</v>
      </c>
      <c r="S66" s="2">
        <v>0.41699999999999998</v>
      </c>
      <c r="T66" s="2">
        <v>0.29599999999999999</v>
      </c>
      <c r="U66" s="2">
        <v>0.29399999999999998</v>
      </c>
      <c r="V66" s="2">
        <v>0.44400000000000001</v>
      </c>
      <c r="W66" s="2">
        <v>1</v>
      </c>
      <c r="X66" s="2">
        <v>0.02</v>
      </c>
      <c r="Y66" s="2">
        <v>3</v>
      </c>
      <c r="Z66" s="2">
        <v>0.373</v>
      </c>
      <c r="AA66" s="2">
        <v>0.52600000000000002</v>
      </c>
      <c r="AB66" s="2">
        <v>2</v>
      </c>
      <c r="AC66" s="2">
        <v>0</v>
      </c>
    </row>
    <row r="67" spans="1:29" x14ac:dyDescent="0.2">
      <c r="A67" t="s">
        <v>516</v>
      </c>
      <c r="B67" s="2">
        <v>19</v>
      </c>
      <c r="C67" t="s">
        <v>77</v>
      </c>
      <c r="D67" s="2" t="s">
        <v>52</v>
      </c>
      <c r="E67" s="2">
        <v>1</v>
      </c>
      <c r="F67" s="2">
        <v>0</v>
      </c>
      <c r="G67" s="2">
        <v>18</v>
      </c>
      <c r="H67" s="2">
        <v>0.28599999999999998</v>
      </c>
      <c r="I67" s="2">
        <v>18.600000000000001</v>
      </c>
      <c r="J67" s="2">
        <v>0.42899999999999999</v>
      </c>
      <c r="K67" s="2">
        <v>0.14299999999999999</v>
      </c>
      <c r="L67" s="2">
        <v>0.14299999999999999</v>
      </c>
      <c r="M67" s="2">
        <v>0</v>
      </c>
      <c r="N67" s="2">
        <v>0.14299999999999999</v>
      </c>
      <c r="O67" s="2">
        <v>0.57099999999999995</v>
      </c>
      <c r="P67" s="2">
        <v>0.33300000000000002</v>
      </c>
      <c r="Q67" s="2">
        <v>0</v>
      </c>
      <c r="R67" s="2">
        <v>1</v>
      </c>
      <c r="S67" s="2"/>
      <c r="T67" s="2">
        <v>0</v>
      </c>
      <c r="U67" s="2">
        <v>0.25</v>
      </c>
      <c r="V67" s="2">
        <v>0</v>
      </c>
      <c r="W67" s="2">
        <v>1</v>
      </c>
      <c r="X67" s="2">
        <v>0.14299999999999999</v>
      </c>
      <c r="Y67" s="2">
        <v>1</v>
      </c>
      <c r="Z67" s="2">
        <v>0.25</v>
      </c>
      <c r="AA67" s="2">
        <v>0</v>
      </c>
      <c r="AB67" s="2">
        <v>0</v>
      </c>
      <c r="AC67" s="2">
        <v>0</v>
      </c>
    </row>
    <row r="68" spans="1:29" x14ac:dyDescent="0.2">
      <c r="A68" t="s">
        <v>390</v>
      </c>
      <c r="B68" s="2">
        <v>25</v>
      </c>
      <c r="C68" t="s">
        <v>41</v>
      </c>
      <c r="D68" s="2" t="s">
        <v>49</v>
      </c>
      <c r="E68" s="2">
        <v>17</v>
      </c>
      <c r="F68" s="2">
        <v>8</v>
      </c>
      <c r="G68" s="2">
        <v>339</v>
      </c>
      <c r="H68" s="2">
        <v>0.48799999999999999</v>
      </c>
      <c r="I68" s="2">
        <v>14.9</v>
      </c>
      <c r="J68" s="2">
        <v>0.439</v>
      </c>
      <c r="K68" s="2">
        <v>0.317</v>
      </c>
      <c r="L68" s="2">
        <v>9.8000000000000004E-2</v>
      </c>
      <c r="M68" s="2">
        <v>2.4E-2</v>
      </c>
      <c r="N68" s="2">
        <v>0</v>
      </c>
      <c r="O68" s="2">
        <v>0.56100000000000005</v>
      </c>
      <c r="P68" s="2">
        <v>0.55600000000000005</v>
      </c>
      <c r="Q68" s="2">
        <v>0.76900000000000002</v>
      </c>
      <c r="R68" s="2">
        <v>0</v>
      </c>
      <c r="S68" s="2">
        <v>0</v>
      </c>
      <c r="T68" s="2"/>
      <c r="U68" s="2">
        <v>0.435</v>
      </c>
      <c r="V68" s="2">
        <v>0.5</v>
      </c>
      <c r="W68" s="2">
        <v>1</v>
      </c>
      <c r="X68" s="2">
        <v>7.2999999999999995E-2</v>
      </c>
      <c r="Y68" s="2">
        <v>2</v>
      </c>
      <c r="Z68" s="2">
        <v>0.56499999999999995</v>
      </c>
      <c r="AA68" s="2">
        <v>0.46200000000000002</v>
      </c>
      <c r="AB68" s="2">
        <v>0</v>
      </c>
      <c r="AC68" s="2">
        <v>0</v>
      </c>
    </row>
    <row r="69" spans="1:29" x14ac:dyDescent="0.2">
      <c r="A69" t="s">
        <v>482</v>
      </c>
      <c r="B69" s="2">
        <v>24</v>
      </c>
      <c r="C69" t="s">
        <v>80</v>
      </c>
      <c r="D69" s="2" t="s">
        <v>52</v>
      </c>
      <c r="E69" s="2">
        <v>3</v>
      </c>
      <c r="F69" s="2">
        <v>0</v>
      </c>
      <c r="G69" s="2">
        <v>46</v>
      </c>
      <c r="H69" s="2">
        <v>0.5</v>
      </c>
      <c r="I69" s="2">
        <v>16.7</v>
      </c>
      <c r="J69" s="2">
        <v>0.5</v>
      </c>
      <c r="K69" s="2">
        <v>0.2</v>
      </c>
      <c r="L69" s="2">
        <v>0.1</v>
      </c>
      <c r="M69" s="2">
        <v>0.1</v>
      </c>
      <c r="N69" s="2">
        <v>0.1</v>
      </c>
      <c r="O69" s="2">
        <v>0.5</v>
      </c>
      <c r="P69" s="2">
        <v>0.6</v>
      </c>
      <c r="Q69" s="2">
        <v>1</v>
      </c>
      <c r="R69" s="2">
        <v>1</v>
      </c>
      <c r="S69" s="2">
        <v>0</v>
      </c>
      <c r="T69" s="2">
        <v>0</v>
      </c>
      <c r="U69" s="2">
        <v>0.4</v>
      </c>
      <c r="V69" s="2">
        <v>1</v>
      </c>
      <c r="W69" s="2">
        <v>1</v>
      </c>
      <c r="X69" s="2">
        <v>0</v>
      </c>
      <c r="Y69" s="2">
        <v>0</v>
      </c>
      <c r="Z69" s="2">
        <v>0</v>
      </c>
      <c r="AA69" s="2"/>
      <c r="AB69" s="2">
        <v>0</v>
      </c>
      <c r="AC69" s="2">
        <v>0</v>
      </c>
    </row>
    <row r="70" spans="1:29" x14ac:dyDescent="0.2">
      <c r="A70" t="s">
        <v>107</v>
      </c>
      <c r="B70" s="2">
        <v>23</v>
      </c>
      <c r="C70" t="s">
        <v>103</v>
      </c>
      <c r="D70" s="2" t="s">
        <v>52</v>
      </c>
      <c r="E70" s="2">
        <v>17</v>
      </c>
      <c r="F70" s="2">
        <v>17</v>
      </c>
      <c r="G70" s="2">
        <v>568</v>
      </c>
      <c r="H70" s="2">
        <v>0.46100000000000002</v>
      </c>
      <c r="I70" s="2">
        <v>15.9</v>
      </c>
      <c r="J70" s="2">
        <v>0.57599999999999996</v>
      </c>
      <c r="K70" s="2">
        <v>0.16500000000000001</v>
      </c>
      <c r="L70" s="2">
        <v>0.16800000000000001</v>
      </c>
      <c r="M70" s="2">
        <v>0.14499999999999999</v>
      </c>
      <c r="N70" s="2">
        <v>9.8000000000000004E-2</v>
      </c>
      <c r="O70" s="2">
        <v>0.42399999999999999</v>
      </c>
      <c r="P70" s="2">
        <v>0.51500000000000001</v>
      </c>
      <c r="Q70" s="2">
        <v>0.61199999999999999</v>
      </c>
      <c r="R70" s="2">
        <v>0.42</v>
      </c>
      <c r="S70" s="2">
        <v>0.51200000000000001</v>
      </c>
      <c r="T70" s="2">
        <v>0.51700000000000002</v>
      </c>
      <c r="U70" s="2">
        <v>0.38900000000000001</v>
      </c>
      <c r="V70" s="2">
        <v>0.52300000000000002</v>
      </c>
      <c r="W70" s="2">
        <v>0.53100000000000003</v>
      </c>
      <c r="X70" s="2">
        <v>0</v>
      </c>
      <c r="Y70" s="2">
        <v>0</v>
      </c>
      <c r="Z70" s="2">
        <v>0.14299999999999999</v>
      </c>
      <c r="AA70" s="2">
        <v>0.16700000000000001</v>
      </c>
      <c r="AB70" s="2">
        <v>0</v>
      </c>
      <c r="AC70" s="2">
        <v>0</v>
      </c>
    </row>
    <row r="71" spans="1:29" x14ac:dyDescent="0.2">
      <c r="A71" t="s">
        <v>409</v>
      </c>
      <c r="B71" s="2">
        <v>20</v>
      </c>
      <c r="C71" t="s">
        <v>87</v>
      </c>
      <c r="D71" s="2" t="s">
        <v>49</v>
      </c>
      <c r="E71" s="2">
        <v>8</v>
      </c>
      <c r="F71" s="2">
        <v>0</v>
      </c>
      <c r="G71" s="2">
        <v>79</v>
      </c>
      <c r="H71" s="2">
        <v>0.375</v>
      </c>
      <c r="I71" s="2">
        <v>14</v>
      </c>
      <c r="J71" s="2">
        <v>0.56299999999999994</v>
      </c>
      <c r="K71" s="2">
        <v>0.33300000000000002</v>
      </c>
      <c r="L71" s="2">
        <v>0.14599999999999999</v>
      </c>
      <c r="M71" s="2">
        <v>6.3E-2</v>
      </c>
      <c r="N71" s="2">
        <v>2.1000000000000001E-2</v>
      </c>
      <c r="O71" s="2">
        <v>0.438</v>
      </c>
      <c r="P71" s="2">
        <v>0.63</v>
      </c>
      <c r="Q71" s="2">
        <v>0.81299999999999994</v>
      </c>
      <c r="R71" s="2">
        <v>0.14299999999999999</v>
      </c>
      <c r="S71" s="2">
        <v>0.66700000000000004</v>
      </c>
      <c r="T71" s="2">
        <v>1</v>
      </c>
      <c r="U71" s="2">
        <v>4.8000000000000001E-2</v>
      </c>
      <c r="V71" s="2">
        <v>0.58799999999999997</v>
      </c>
      <c r="W71" s="2">
        <v>0</v>
      </c>
      <c r="X71" s="2">
        <v>4.2000000000000003E-2</v>
      </c>
      <c r="Y71" s="2">
        <v>2</v>
      </c>
      <c r="Z71" s="2">
        <v>0.14299999999999999</v>
      </c>
      <c r="AA71" s="2">
        <v>0</v>
      </c>
      <c r="AB71" s="2">
        <v>0</v>
      </c>
      <c r="AC71" s="2">
        <v>0</v>
      </c>
    </row>
    <row r="72" spans="1:29" x14ac:dyDescent="0.2">
      <c r="A72" t="s">
        <v>102</v>
      </c>
      <c r="B72" s="2">
        <v>28</v>
      </c>
      <c r="C72" t="s">
        <v>103</v>
      </c>
      <c r="D72" s="2" t="s">
        <v>27</v>
      </c>
      <c r="E72" s="2">
        <v>23</v>
      </c>
      <c r="F72" s="2">
        <v>23</v>
      </c>
      <c r="G72" s="2">
        <v>755</v>
      </c>
      <c r="H72" s="2">
        <v>0.48799999999999999</v>
      </c>
      <c r="I72" s="2">
        <v>17.600000000000001</v>
      </c>
      <c r="J72" s="2">
        <v>0.40699999999999997</v>
      </c>
      <c r="K72" s="2">
        <v>0.214</v>
      </c>
      <c r="L72" s="2">
        <v>9.5000000000000001E-2</v>
      </c>
      <c r="M72" s="2">
        <v>4.7E-2</v>
      </c>
      <c r="N72" s="2">
        <v>5.0999999999999997E-2</v>
      </c>
      <c r="O72" s="2">
        <v>0.59299999999999997</v>
      </c>
      <c r="P72" s="2">
        <v>0.56699999999999995</v>
      </c>
      <c r="Q72" s="2">
        <v>0.73</v>
      </c>
      <c r="R72" s="2">
        <v>0.32100000000000001</v>
      </c>
      <c r="S72" s="2">
        <v>0.5</v>
      </c>
      <c r="T72" s="2">
        <v>0.4</v>
      </c>
      <c r="U72" s="2">
        <v>0.434</v>
      </c>
      <c r="V72" s="2">
        <v>0.58799999999999997</v>
      </c>
      <c r="W72" s="2">
        <v>0.90800000000000003</v>
      </c>
      <c r="X72" s="2">
        <v>3.4000000000000002E-2</v>
      </c>
      <c r="Y72" s="2">
        <v>9</v>
      </c>
      <c r="Z72" s="2">
        <v>0.217</v>
      </c>
      <c r="AA72" s="2">
        <v>0.47399999999999998</v>
      </c>
      <c r="AB72" s="2">
        <v>0</v>
      </c>
      <c r="AC72" s="2">
        <v>0</v>
      </c>
    </row>
    <row r="73" spans="1:29" x14ac:dyDescent="0.2">
      <c r="A73" t="s">
        <v>276</v>
      </c>
      <c r="B73" s="2">
        <v>30</v>
      </c>
      <c r="C73" t="s">
        <v>44</v>
      </c>
      <c r="D73" s="2" t="s">
        <v>33</v>
      </c>
      <c r="E73" s="2">
        <v>19</v>
      </c>
      <c r="F73" s="2">
        <v>0</v>
      </c>
      <c r="G73" s="2">
        <v>332</v>
      </c>
      <c r="H73" s="2">
        <v>0.438</v>
      </c>
      <c r="I73" s="2">
        <v>17.899999999999999</v>
      </c>
      <c r="J73" s="2">
        <v>0.40600000000000003</v>
      </c>
      <c r="K73" s="2">
        <v>0.13300000000000001</v>
      </c>
      <c r="L73" s="2">
        <v>0.17199999999999999</v>
      </c>
      <c r="M73" s="2">
        <v>7.8E-2</v>
      </c>
      <c r="N73" s="2">
        <v>2.3E-2</v>
      </c>
      <c r="O73" s="2">
        <v>0.59399999999999997</v>
      </c>
      <c r="P73" s="2">
        <v>0.46200000000000002</v>
      </c>
      <c r="Q73" s="2">
        <v>0.70599999999999996</v>
      </c>
      <c r="R73" s="2">
        <v>0.318</v>
      </c>
      <c r="S73" s="2">
        <v>0.4</v>
      </c>
      <c r="T73" s="2">
        <v>0.33300000000000002</v>
      </c>
      <c r="U73" s="2">
        <v>0.42099999999999999</v>
      </c>
      <c r="V73" s="2">
        <v>0.41699999999999998</v>
      </c>
      <c r="W73" s="2">
        <v>0.71899999999999997</v>
      </c>
      <c r="X73" s="2">
        <v>0</v>
      </c>
      <c r="Y73" s="2">
        <v>0</v>
      </c>
      <c r="Z73" s="2">
        <v>9.1999999999999998E-2</v>
      </c>
      <c r="AA73" s="2">
        <v>0.57099999999999995</v>
      </c>
      <c r="AB73" s="2">
        <v>0</v>
      </c>
      <c r="AC73" s="2">
        <v>0</v>
      </c>
    </row>
    <row r="74" spans="1:29" x14ac:dyDescent="0.2">
      <c r="A74" t="s">
        <v>211</v>
      </c>
      <c r="B74" s="2">
        <v>30</v>
      </c>
      <c r="C74" t="s">
        <v>57</v>
      </c>
      <c r="D74" s="2" t="s">
        <v>49</v>
      </c>
      <c r="E74" s="2">
        <v>19</v>
      </c>
      <c r="F74" s="2">
        <v>0</v>
      </c>
      <c r="G74" s="2">
        <v>465</v>
      </c>
      <c r="H74" s="2">
        <v>0.53700000000000003</v>
      </c>
      <c r="I74" s="2">
        <v>13.2</v>
      </c>
      <c r="J74" s="2">
        <v>0.54400000000000004</v>
      </c>
      <c r="K74" s="2">
        <v>0.39600000000000002</v>
      </c>
      <c r="L74" s="2">
        <v>9.4E-2</v>
      </c>
      <c r="M74" s="2">
        <v>0.04</v>
      </c>
      <c r="N74" s="2">
        <v>1.2999999999999999E-2</v>
      </c>
      <c r="O74" s="2">
        <v>0.45600000000000002</v>
      </c>
      <c r="P74" s="2">
        <v>0.57999999999999996</v>
      </c>
      <c r="Q74" s="2">
        <v>0.64400000000000002</v>
      </c>
      <c r="R74" s="2">
        <v>0.42899999999999999</v>
      </c>
      <c r="S74" s="2">
        <v>0.33300000000000002</v>
      </c>
      <c r="T74" s="2">
        <v>0.5</v>
      </c>
      <c r="U74" s="2">
        <v>0.48499999999999999</v>
      </c>
      <c r="V74" s="2">
        <v>0.61699999999999999</v>
      </c>
      <c r="W74" s="2">
        <v>0.75800000000000001</v>
      </c>
      <c r="X74" s="2">
        <v>0.06</v>
      </c>
      <c r="Y74" s="2">
        <v>7</v>
      </c>
      <c r="Z74" s="2">
        <v>0.32400000000000001</v>
      </c>
      <c r="AA74" s="2">
        <v>0.54500000000000004</v>
      </c>
      <c r="AB74" s="2">
        <v>0</v>
      </c>
      <c r="AC74" s="2">
        <v>0</v>
      </c>
    </row>
    <row r="75" spans="1:29" x14ac:dyDescent="0.2">
      <c r="A75" t="s">
        <v>229</v>
      </c>
      <c r="B75" s="2">
        <v>19</v>
      </c>
      <c r="C75" t="s">
        <v>114</v>
      </c>
      <c r="D75" s="2" t="s">
        <v>33</v>
      </c>
      <c r="E75" s="2">
        <v>22</v>
      </c>
      <c r="F75" s="2">
        <v>14</v>
      </c>
      <c r="G75" s="2">
        <v>630</v>
      </c>
      <c r="H75" s="2">
        <v>0.39100000000000001</v>
      </c>
      <c r="I75" s="2">
        <v>18.600000000000001</v>
      </c>
      <c r="J75" s="2">
        <v>0.47399999999999998</v>
      </c>
      <c r="K75" s="2">
        <v>0.14599999999999999</v>
      </c>
      <c r="L75" s="2">
        <v>0.104</v>
      </c>
      <c r="M75" s="2">
        <v>7.2999999999999995E-2</v>
      </c>
      <c r="N75" s="2">
        <v>0.151</v>
      </c>
      <c r="O75" s="2">
        <v>0.52600000000000002</v>
      </c>
      <c r="P75" s="2">
        <v>0.46200000000000002</v>
      </c>
      <c r="Q75" s="2">
        <v>0.57099999999999995</v>
      </c>
      <c r="R75" s="2">
        <v>0.25</v>
      </c>
      <c r="S75" s="2">
        <v>0.42899999999999999</v>
      </c>
      <c r="T75" s="2">
        <v>0.51700000000000002</v>
      </c>
      <c r="U75" s="2">
        <v>0.32700000000000001</v>
      </c>
      <c r="V75" s="2">
        <v>0.5</v>
      </c>
      <c r="W75" s="2">
        <v>0.63600000000000001</v>
      </c>
      <c r="X75" s="2">
        <v>3.1E-2</v>
      </c>
      <c r="Y75" s="2">
        <v>5</v>
      </c>
      <c r="Z75" s="2">
        <v>9.9000000000000005E-2</v>
      </c>
      <c r="AA75" s="2">
        <v>0.3</v>
      </c>
      <c r="AB75" s="2">
        <v>1</v>
      </c>
      <c r="AC75" s="2">
        <v>0</v>
      </c>
    </row>
    <row r="76" spans="1:29" x14ac:dyDescent="0.2">
      <c r="A76" t="s">
        <v>263</v>
      </c>
      <c r="B76" s="2">
        <v>21</v>
      </c>
      <c r="C76" t="s">
        <v>32</v>
      </c>
      <c r="D76" s="2" t="s">
        <v>52</v>
      </c>
      <c r="E76" s="2">
        <v>24</v>
      </c>
      <c r="F76" s="2">
        <v>13</v>
      </c>
      <c r="G76" s="2">
        <v>635</v>
      </c>
      <c r="H76" s="2">
        <v>0.42099999999999999</v>
      </c>
      <c r="I76" s="2">
        <v>14.6</v>
      </c>
      <c r="J76" s="2">
        <v>0.51200000000000001</v>
      </c>
      <c r="K76" s="2">
        <v>0.26200000000000001</v>
      </c>
      <c r="L76" s="2">
        <v>0.183</v>
      </c>
      <c r="M76" s="2">
        <v>3.6999999999999998E-2</v>
      </c>
      <c r="N76" s="2">
        <v>0.03</v>
      </c>
      <c r="O76" s="2">
        <v>0.48799999999999999</v>
      </c>
      <c r="P76" s="2">
        <v>0.53600000000000003</v>
      </c>
      <c r="Q76" s="2">
        <v>0.60499999999999998</v>
      </c>
      <c r="R76" s="2">
        <v>0.46700000000000003</v>
      </c>
      <c r="S76" s="2">
        <v>0.5</v>
      </c>
      <c r="T76" s="2">
        <v>0.4</v>
      </c>
      <c r="U76" s="2">
        <v>0.3</v>
      </c>
      <c r="V76" s="2">
        <v>0.64400000000000002</v>
      </c>
      <c r="W76" s="2">
        <v>1</v>
      </c>
      <c r="X76" s="2">
        <v>5.5E-2</v>
      </c>
      <c r="Y76" s="2">
        <v>9</v>
      </c>
      <c r="Z76" s="2">
        <v>0.42499999999999999</v>
      </c>
      <c r="AA76" s="2">
        <v>0.29399999999999998</v>
      </c>
      <c r="AB76" s="2">
        <v>0</v>
      </c>
      <c r="AC76" s="2">
        <v>0</v>
      </c>
    </row>
    <row r="77" spans="1:29" x14ac:dyDescent="0.2">
      <c r="A77" t="s">
        <v>387</v>
      </c>
      <c r="B77" s="2">
        <v>24</v>
      </c>
      <c r="C77" t="s">
        <v>93</v>
      </c>
      <c r="D77" s="2" t="s">
        <v>42</v>
      </c>
      <c r="E77" s="2">
        <v>15</v>
      </c>
      <c r="F77" s="2">
        <v>0</v>
      </c>
      <c r="G77" s="2">
        <v>158</v>
      </c>
      <c r="H77" s="2">
        <v>0.55300000000000005</v>
      </c>
      <c r="I77" s="2">
        <v>3</v>
      </c>
      <c r="J77" s="2">
        <v>1</v>
      </c>
      <c r="K77" s="2">
        <v>0.63800000000000001</v>
      </c>
      <c r="L77" s="2">
        <v>0.34</v>
      </c>
      <c r="M77" s="2">
        <v>2.1000000000000001E-2</v>
      </c>
      <c r="N77" s="2">
        <v>0</v>
      </c>
      <c r="O77" s="2">
        <v>0</v>
      </c>
      <c r="P77" s="2">
        <v>0.55300000000000005</v>
      </c>
      <c r="Q77" s="2">
        <v>0.56699999999999995</v>
      </c>
      <c r="R77" s="2">
        <v>0.56299999999999994</v>
      </c>
      <c r="S77" s="2">
        <v>0</v>
      </c>
      <c r="T77" s="2"/>
      <c r="U77" s="2"/>
      <c r="V77" s="2">
        <v>0.80800000000000005</v>
      </c>
      <c r="W77" s="2"/>
      <c r="X77" s="2">
        <v>0.29799999999999999</v>
      </c>
      <c r="Y77" s="2">
        <v>11</v>
      </c>
      <c r="Z77" s="2"/>
      <c r="AA77" s="2"/>
      <c r="AB77" s="2">
        <v>0</v>
      </c>
      <c r="AC77" s="2">
        <v>0</v>
      </c>
    </row>
    <row r="78" spans="1:29" x14ac:dyDescent="0.2">
      <c r="A78" t="s">
        <v>269</v>
      </c>
      <c r="B78" s="2">
        <v>22</v>
      </c>
      <c r="C78" t="s">
        <v>32</v>
      </c>
      <c r="D78" s="2" t="s">
        <v>42</v>
      </c>
      <c r="E78" s="2">
        <v>10</v>
      </c>
      <c r="F78" s="2">
        <v>10</v>
      </c>
      <c r="G78" s="2">
        <v>265</v>
      </c>
      <c r="H78" s="2">
        <v>0.505</v>
      </c>
      <c r="I78" s="2">
        <v>11.8</v>
      </c>
      <c r="J78" s="2">
        <v>0.66700000000000004</v>
      </c>
      <c r="K78" s="2">
        <v>0.36</v>
      </c>
      <c r="L78" s="2">
        <v>0.17100000000000001</v>
      </c>
      <c r="M78" s="2">
        <v>0.108</v>
      </c>
      <c r="N78" s="2">
        <v>2.7E-2</v>
      </c>
      <c r="O78" s="2">
        <v>0.33300000000000002</v>
      </c>
      <c r="P78" s="2">
        <v>0.56799999999999995</v>
      </c>
      <c r="Q78" s="2">
        <v>0.75</v>
      </c>
      <c r="R78" s="2">
        <v>0.21099999999999999</v>
      </c>
      <c r="S78" s="2">
        <v>0.41699999999999998</v>
      </c>
      <c r="T78" s="2">
        <v>1</v>
      </c>
      <c r="U78" s="2">
        <v>0.378</v>
      </c>
      <c r="V78" s="2">
        <v>0.66700000000000004</v>
      </c>
      <c r="W78" s="2">
        <v>1</v>
      </c>
      <c r="X78" s="2">
        <v>0.153</v>
      </c>
      <c r="Y78" s="2">
        <v>17</v>
      </c>
      <c r="Z78" s="2">
        <v>0.189</v>
      </c>
      <c r="AA78" s="2">
        <v>0.42899999999999999</v>
      </c>
      <c r="AB78" s="2">
        <v>0</v>
      </c>
      <c r="AC78" s="2">
        <v>0</v>
      </c>
    </row>
    <row r="79" spans="1:29" x14ac:dyDescent="0.2">
      <c r="A79" t="s">
        <v>207</v>
      </c>
      <c r="B79" s="2">
        <v>32</v>
      </c>
      <c r="C79" t="s">
        <v>66</v>
      </c>
      <c r="D79" s="2" t="s">
        <v>27</v>
      </c>
      <c r="E79" s="2">
        <v>23</v>
      </c>
      <c r="F79" s="2">
        <v>0</v>
      </c>
      <c r="G79" s="2">
        <v>413</v>
      </c>
      <c r="H79" s="2">
        <v>0.45400000000000001</v>
      </c>
      <c r="I79" s="2">
        <v>14</v>
      </c>
      <c r="J79" s="2">
        <v>0.52500000000000002</v>
      </c>
      <c r="K79" s="2">
        <v>0.30099999999999999</v>
      </c>
      <c r="L79" s="2">
        <v>0.14199999999999999</v>
      </c>
      <c r="M79" s="2">
        <v>7.0999999999999994E-2</v>
      </c>
      <c r="N79" s="2">
        <v>1.0999999999999999E-2</v>
      </c>
      <c r="O79" s="2">
        <v>0.47499999999999998</v>
      </c>
      <c r="P79" s="2">
        <v>0.61499999999999999</v>
      </c>
      <c r="Q79" s="2">
        <v>0.70899999999999996</v>
      </c>
      <c r="R79" s="2">
        <v>0.46200000000000002</v>
      </c>
      <c r="S79" s="2">
        <v>0.53800000000000003</v>
      </c>
      <c r="T79" s="2">
        <v>0.5</v>
      </c>
      <c r="U79" s="2">
        <v>0.27600000000000002</v>
      </c>
      <c r="V79" s="2">
        <v>0.64400000000000002</v>
      </c>
      <c r="W79" s="2">
        <v>1</v>
      </c>
      <c r="X79" s="2">
        <v>0.104</v>
      </c>
      <c r="Y79" s="2">
        <v>17</v>
      </c>
      <c r="Z79" s="2">
        <v>0.42499999999999999</v>
      </c>
      <c r="AA79" s="2">
        <v>0.35099999999999998</v>
      </c>
      <c r="AB79" s="2">
        <v>0</v>
      </c>
      <c r="AC79" s="2">
        <v>0</v>
      </c>
    </row>
    <row r="80" spans="1:29" x14ac:dyDescent="0.2">
      <c r="A80" t="s">
        <v>445</v>
      </c>
      <c r="B80" s="2">
        <v>27</v>
      </c>
      <c r="C80" t="s">
        <v>70</v>
      </c>
      <c r="D80" s="2" t="s">
        <v>52</v>
      </c>
      <c r="E80" s="2">
        <v>12</v>
      </c>
      <c r="F80" s="2">
        <v>0</v>
      </c>
      <c r="G80" s="2">
        <v>50</v>
      </c>
      <c r="H80" s="2">
        <v>0.5</v>
      </c>
      <c r="I80" s="2">
        <v>17.8</v>
      </c>
      <c r="J80" s="2">
        <v>0.33300000000000002</v>
      </c>
      <c r="K80" s="2">
        <v>0.222</v>
      </c>
      <c r="L80" s="2">
        <v>0.111</v>
      </c>
      <c r="M80" s="2">
        <v>0</v>
      </c>
      <c r="N80" s="2">
        <v>0</v>
      </c>
      <c r="O80" s="2">
        <v>0.66700000000000004</v>
      </c>
      <c r="P80" s="2">
        <v>0.66700000000000004</v>
      </c>
      <c r="Q80" s="2">
        <v>0.5</v>
      </c>
      <c r="R80" s="2">
        <v>1</v>
      </c>
      <c r="S80" s="2"/>
      <c r="T80" s="2"/>
      <c r="U80" s="2">
        <v>0.41699999999999998</v>
      </c>
      <c r="V80" s="2">
        <v>0.75</v>
      </c>
      <c r="W80" s="2">
        <v>0.8</v>
      </c>
      <c r="X80" s="2">
        <v>0</v>
      </c>
      <c r="Y80" s="2">
        <v>0</v>
      </c>
      <c r="Z80" s="2">
        <v>8.3000000000000004E-2</v>
      </c>
      <c r="AA80" s="2">
        <v>1</v>
      </c>
      <c r="AB80" s="2">
        <v>0</v>
      </c>
      <c r="AC80" s="2">
        <v>0</v>
      </c>
    </row>
    <row r="81" spans="1:29" x14ac:dyDescent="0.2">
      <c r="A81" t="s">
        <v>548</v>
      </c>
      <c r="B81" s="2">
        <v>21</v>
      </c>
      <c r="C81" t="s">
        <v>35</v>
      </c>
      <c r="D81" s="2" t="s">
        <v>49</v>
      </c>
      <c r="E81" s="2">
        <v>3</v>
      </c>
      <c r="F81" s="2">
        <v>0</v>
      </c>
      <c r="G81" s="2">
        <v>6</v>
      </c>
      <c r="H81" s="2">
        <v>0.5</v>
      </c>
      <c r="I81" s="2">
        <v>0.6</v>
      </c>
      <c r="J81" s="2">
        <v>1</v>
      </c>
      <c r="K81" s="2">
        <v>1</v>
      </c>
      <c r="L81" s="2">
        <v>0</v>
      </c>
      <c r="M81" s="2">
        <v>0</v>
      </c>
      <c r="N81" s="2">
        <v>0</v>
      </c>
      <c r="O81" s="2">
        <v>0</v>
      </c>
      <c r="P81" s="2">
        <v>0.5</v>
      </c>
      <c r="Q81" s="2">
        <v>0.5</v>
      </c>
      <c r="R81" s="2"/>
      <c r="S81" s="2"/>
      <c r="T81" s="2"/>
      <c r="U81" s="2"/>
      <c r="V81" s="2">
        <v>0</v>
      </c>
      <c r="W81" s="2"/>
      <c r="X81" s="2">
        <v>0.5</v>
      </c>
      <c r="Y81" s="2">
        <v>1</v>
      </c>
      <c r="Z81" s="2"/>
      <c r="AA81" s="2"/>
      <c r="AB81" s="2">
        <v>0</v>
      </c>
      <c r="AC81" s="2">
        <v>0</v>
      </c>
    </row>
    <row r="82" spans="1:29" x14ac:dyDescent="0.2">
      <c r="A82" t="s">
        <v>196</v>
      </c>
      <c r="B82" s="2">
        <v>39</v>
      </c>
      <c r="C82" t="s">
        <v>93</v>
      </c>
      <c r="D82" s="2" t="s">
        <v>33</v>
      </c>
      <c r="E82" s="2">
        <v>24</v>
      </c>
      <c r="F82" s="2">
        <v>24</v>
      </c>
      <c r="G82" s="2">
        <v>693</v>
      </c>
      <c r="H82" s="2">
        <v>0.42799999999999999</v>
      </c>
      <c r="I82" s="2">
        <v>21.3</v>
      </c>
      <c r="J82" s="2">
        <v>0.35599999999999998</v>
      </c>
      <c r="K82" s="2">
        <v>3.1E-2</v>
      </c>
      <c r="L82" s="2">
        <v>6.7000000000000004E-2</v>
      </c>
      <c r="M82" s="2">
        <v>0.129</v>
      </c>
      <c r="N82" s="2">
        <v>0.129</v>
      </c>
      <c r="O82" s="2">
        <v>0.64400000000000002</v>
      </c>
      <c r="P82" s="2">
        <v>0.56499999999999995</v>
      </c>
      <c r="Q82" s="2">
        <v>0.83299999999999996</v>
      </c>
      <c r="R82" s="2">
        <v>0.46200000000000002</v>
      </c>
      <c r="S82" s="2">
        <v>0.72</v>
      </c>
      <c r="T82" s="2">
        <v>0.4</v>
      </c>
      <c r="U82" s="2">
        <v>0.35199999999999998</v>
      </c>
      <c r="V82" s="2">
        <v>0.23100000000000001</v>
      </c>
      <c r="W82" s="2">
        <v>0.432</v>
      </c>
      <c r="X82" s="2">
        <v>0</v>
      </c>
      <c r="Y82" s="2">
        <v>0</v>
      </c>
      <c r="Z82" s="2">
        <v>0.112</v>
      </c>
      <c r="AA82" s="2">
        <v>0.35699999999999998</v>
      </c>
      <c r="AB82" s="2">
        <v>1</v>
      </c>
      <c r="AC82" s="2">
        <v>0</v>
      </c>
    </row>
    <row r="83" spans="1:29" x14ac:dyDescent="0.2">
      <c r="A83" t="s">
        <v>138</v>
      </c>
      <c r="B83" s="2">
        <v>23</v>
      </c>
      <c r="C83" t="s">
        <v>46</v>
      </c>
      <c r="D83" s="2" t="s">
        <v>52</v>
      </c>
      <c r="E83" s="2">
        <v>22</v>
      </c>
      <c r="F83" s="2">
        <v>22</v>
      </c>
      <c r="G83" s="2">
        <v>774</v>
      </c>
      <c r="H83" s="2">
        <v>0.56999999999999995</v>
      </c>
      <c r="I83" s="2">
        <v>9.1</v>
      </c>
      <c r="J83" s="2">
        <v>0.74</v>
      </c>
      <c r="K83" s="2">
        <v>0.46600000000000003</v>
      </c>
      <c r="L83" s="2">
        <v>0.224</v>
      </c>
      <c r="M83" s="2">
        <v>1.7999999999999999E-2</v>
      </c>
      <c r="N83" s="2">
        <v>3.1E-2</v>
      </c>
      <c r="O83" s="2">
        <v>0.26</v>
      </c>
      <c r="P83" s="2">
        <v>0.61799999999999999</v>
      </c>
      <c r="Q83" s="2">
        <v>0.71199999999999997</v>
      </c>
      <c r="R83" s="2">
        <v>0.46</v>
      </c>
      <c r="S83" s="2">
        <v>0.5</v>
      </c>
      <c r="T83" s="2">
        <v>0.42899999999999999</v>
      </c>
      <c r="U83" s="2">
        <v>0.43099999999999999</v>
      </c>
      <c r="V83" s="2">
        <v>0.76500000000000001</v>
      </c>
      <c r="W83" s="2">
        <v>1</v>
      </c>
      <c r="X83" s="2">
        <v>0.108</v>
      </c>
      <c r="Y83" s="2">
        <v>22</v>
      </c>
      <c r="Z83" s="2">
        <v>0.39700000000000002</v>
      </c>
      <c r="AA83" s="2">
        <v>0.39100000000000001</v>
      </c>
      <c r="AB83" s="2">
        <v>0</v>
      </c>
      <c r="AC83" s="2">
        <v>0</v>
      </c>
    </row>
    <row r="84" spans="1:29" x14ac:dyDescent="0.2">
      <c r="A84" t="s">
        <v>440</v>
      </c>
      <c r="B84" s="2">
        <v>24</v>
      </c>
      <c r="C84" t="s">
        <v>41</v>
      </c>
      <c r="D84" s="2" t="s">
        <v>42</v>
      </c>
      <c r="E84" s="2">
        <v>14</v>
      </c>
      <c r="F84" s="2">
        <v>0</v>
      </c>
      <c r="G84" s="2">
        <v>138</v>
      </c>
      <c r="H84" s="2">
        <v>0.63600000000000001</v>
      </c>
      <c r="I84" s="2">
        <v>4.9000000000000004</v>
      </c>
      <c r="J84" s="2">
        <v>0.90900000000000003</v>
      </c>
      <c r="K84" s="2">
        <v>0.68200000000000005</v>
      </c>
      <c r="L84" s="2">
        <v>0.182</v>
      </c>
      <c r="M84" s="2">
        <v>0</v>
      </c>
      <c r="N84" s="2">
        <v>4.4999999999999998E-2</v>
      </c>
      <c r="O84" s="2">
        <v>9.0999999999999998E-2</v>
      </c>
      <c r="P84" s="2">
        <v>0.7</v>
      </c>
      <c r="Q84" s="2">
        <v>0.73299999999999998</v>
      </c>
      <c r="R84" s="2">
        <v>0.5</v>
      </c>
      <c r="S84" s="2"/>
      <c r="T84" s="2">
        <v>1</v>
      </c>
      <c r="U84" s="2">
        <v>0</v>
      </c>
      <c r="V84" s="2">
        <v>0.71399999999999997</v>
      </c>
      <c r="W84" s="2"/>
      <c r="X84" s="2">
        <v>0.5</v>
      </c>
      <c r="Y84" s="2">
        <v>9</v>
      </c>
      <c r="Z84" s="2">
        <v>0.5</v>
      </c>
      <c r="AA84" s="2">
        <v>0</v>
      </c>
      <c r="AB84" s="2">
        <v>0</v>
      </c>
      <c r="AC84" s="2">
        <v>0</v>
      </c>
    </row>
    <row r="85" spans="1:29" x14ac:dyDescent="0.2">
      <c r="A85" t="s">
        <v>172</v>
      </c>
      <c r="B85" s="2">
        <v>33</v>
      </c>
      <c r="C85" t="s">
        <v>117</v>
      </c>
      <c r="D85" s="2" t="s">
        <v>33</v>
      </c>
      <c r="E85" s="2">
        <v>13</v>
      </c>
      <c r="F85" s="2">
        <v>13</v>
      </c>
      <c r="G85" s="2">
        <v>439</v>
      </c>
      <c r="H85" s="2">
        <v>0.44900000000000001</v>
      </c>
      <c r="I85" s="2">
        <v>16</v>
      </c>
      <c r="J85" s="2">
        <v>0.53900000000000003</v>
      </c>
      <c r="K85" s="2">
        <v>0.18</v>
      </c>
      <c r="L85" s="2">
        <v>0.17100000000000001</v>
      </c>
      <c r="M85" s="2">
        <v>0.13500000000000001</v>
      </c>
      <c r="N85" s="2">
        <v>5.2999999999999999E-2</v>
      </c>
      <c r="O85" s="2">
        <v>0.46100000000000002</v>
      </c>
      <c r="P85" s="2">
        <v>0.54500000000000004</v>
      </c>
      <c r="Q85" s="2">
        <v>0.72699999999999998</v>
      </c>
      <c r="R85" s="2">
        <v>0.5</v>
      </c>
      <c r="S85" s="2">
        <v>0.42399999999999999</v>
      </c>
      <c r="T85" s="2">
        <v>0.38500000000000001</v>
      </c>
      <c r="U85" s="2">
        <v>0.33600000000000002</v>
      </c>
      <c r="V85" s="2">
        <v>0.36099999999999999</v>
      </c>
      <c r="W85" s="2">
        <v>0.65800000000000003</v>
      </c>
      <c r="X85" s="2">
        <v>0</v>
      </c>
      <c r="Y85" s="2">
        <v>0</v>
      </c>
      <c r="Z85" s="2">
        <v>9.7000000000000003E-2</v>
      </c>
      <c r="AA85" s="2">
        <v>0.45500000000000002</v>
      </c>
      <c r="AB85" s="2">
        <v>0</v>
      </c>
      <c r="AC85" s="2">
        <v>0</v>
      </c>
    </row>
    <row r="86" spans="1:29" x14ac:dyDescent="0.2">
      <c r="A86" t="s">
        <v>183</v>
      </c>
      <c r="B86" s="2">
        <v>30</v>
      </c>
      <c r="C86" t="s">
        <v>72</v>
      </c>
      <c r="D86" s="2" t="s">
        <v>42</v>
      </c>
      <c r="E86" s="2">
        <v>26</v>
      </c>
      <c r="F86" s="2">
        <v>26</v>
      </c>
      <c r="G86" s="2">
        <v>593</v>
      </c>
      <c r="H86" s="2">
        <v>0.58399999999999996</v>
      </c>
      <c r="I86" s="2">
        <v>2.9</v>
      </c>
      <c r="J86" s="2">
        <v>1</v>
      </c>
      <c r="K86" s="2">
        <v>0.66300000000000003</v>
      </c>
      <c r="L86" s="2">
        <v>0.29199999999999998</v>
      </c>
      <c r="M86" s="2">
        <v>4.4999999999999998E-2</v>
      </c>
      <c r="N86" s="2">
        <v>0</v>
      </c>
      <c r="O86" s="2">
        <v>0</v>
      </c>
      <c r="P86" s="2">
        <v>0.58399999999999996</v>
      </c>
      <c r="Q86" s="2">
        <v>0.64900000000000002</v>
      </c>
      <c r="R86" s="2">
        <v>0.47499999999999998</v>
      </c>
      <c r="S86" s="2">
        <v>0.33300000000000002</v>
      </c>
      <c r="T86" s="2"/>
      <c r="U86" s="2"/>
      <c r="V86" s="2">
        <v>0.76300000000000001</v>
      </c>
      <c r="W86" s="2"/>
      <c r="X86" s="2">
        <v>0.28199999999999997</v>
      </c>
      <c r="Y86" s="2">
        <v>49</v>
      </c>
      <c r="Z86" s="2"/>
      <c r="AA86" s="2"/>
      <c r="AB86" s="2">
        <v>0</v>
      </c>
      <c r="AC86" s="2">
        <v>0</v>
      </c>
    </row>
    <row r="87" spans="1:29" x14ac:dyDescent="0.2">
      <c r="A87" t="s">
        <v>110</v>
      </c>
      <c r="B87" s="2">
        <v>24</v>
      </c>
      <c r="C87" t="s">
        <v>70</v>
      </c>
      <c r="D87" s="2" t="s">
        <v>52</v>
      </c>
      <c r="E87" s="2">
        <v>23</v>
      </c>
      <c r="F87" s="2">
        <v>23</v>
      </c>
      <c r="G87" s="2">
        <v>751</v>
      </c>
      <c r="H87" s="2">
        <v>0.42399999999999999</v>
      </c>
      <c r="I87" s="2">
        <v>19.3</v>
      </c>
      <c r="J87" s="2">
        <v>0.375</v>
      </c>
      <c r="K87" s="2">
        <v>0.17100000000000001</v>
      </c>
      <c r="L87" s="2">
        <v>9.0999999999999998E-2</v>
      </c>
      <c r="M87" s="2">
        <v>6.7000000000000004E-2</v>
      </c>
      <c r="N87" s="2">
        <v>4.5999999999999999E-2</v>
      </c>
      <c r="O87" s="2">
        <v>0.625</v>
      </c>
      <c r="P87" s="2">
        <v>0.51200000000000001</v>
      </c>
      <c r="Q87" s="2">
        <v>0.625</v>
      </c>
      <c r="R87" s="2">
        <v>0.46700000000000003</v>
      </c>
      <c r="S87" s="2">
        <v>0.54500000000000004</v>
      </c>
      <c r="T87" s="2">
        <v>0.13300000000000001</v>
      </c>
      <c r="U87" s="2">
        <v>0.371</v>
      </c>
      <c r="V87" s="2">
        <v>0.34899999999999998</v>
      </c>
      <c r="W87" s="2">
        <v>0.78900000000000003</v>
      </c>
      <c r="X87" s="2">
        <v>3.0000000000000001E-3</v>
      </c>
      <c r="Y87" s="2">
        <v>0</v>
      </c>
      <c r="Z87" s="2">
        <v>0.156</v>
      </c>
      <c r="AA87" s="2">
        <v>0.375</v>
      </c>
      <c r="AB87" s="2">
        <v>4</v>
      </c>
      <c r="AC87" s="2">
        <v>0</v>
      </c>
    </row>
    <row r="88" spans="1:29" x14ac:dyDescent="0.2">
      <c r="A88" t="s">
        <v>225</v>
      </c>
      <c r="B88" s="2">
        <v>29</v>
      </c>
      <c r="C88" t="s">
        <v>59</v>
      </c>
      <c r="D88" s="2" t="s">
        <v>49</v>
      </c>
      <c r="E88" s="2">
        <v>24</v>
      </c>
      <c r="F88" s="2">
        <v>5</v>
      </c>
      <c r="G88" s="2">
        <v>629</v>
      </c>
      <c r="H88" s="2">
        <v>0.441</v>
      </c>
      <c r="I88" s="2">
        <v>15.9</v>
      </c>
      <c r="J88" s="2">
        <v>0.51400000000000001</v>
      </c>
      <c r="K88" s="2">
        <v>0.22600000000000001</v>
      </c>
      <c r="L88" s="2">
        <v>0.113</v>
      </c>
      <c r="M88" s="2">
        <v>0.107</v>
      </c>
      <c r="N88" s="2">
        <v>6.8000000000000005E-2</v>
      </c>
      <c r="O88" s="2">
        <v>0.48599999999999999</v>
      </c>
      <c r="P88" s="2">
        <v>0.53800000000000003</v>
      </c>
      <c r="Q88" s="2">
        <v>0.67500000000000004</v>
      </c>
      <c r="R88" s="2">
        <v>0.5</v>
      </c>
      <c r="S88" s="2">
        <v>0.42099999999999999</v>
      </c>
      <c r="T88" s="2">
        <v>0.33300000000000002</v>
      </c>
      <c r="U88" s="2">
        <v>0.33700000000000002</v>
      </c>
      <c r="V88" s="2">
        <v>0.49</v>
      </c>
      <c r="W88" s="2">
        <v>0.96599999999999997</v>
      </c>
      <c r="X88" s="2">
        <v>2.8000000000000001E-2</v>
      </c>
      <c r="Y88" s="2">
        <v>4</v>
      </c>
      <c r="Z88" s="2">
        <v>0.442</v>
      </c>
      <c r="AA88" s="2">
        <v>0.316</v>
      </c>
      <c r="AB88" s="2">
        <v>0</v>
      </c>
      <c r="AC88" s="2">
        <v>0</v>
      </c>
    </row>
    <row r="89" spans="1:29" x14ac:dyDescent="0.2">
      <c r="A89" t="s">
        <v>406</v>
      </c>
      <c r="B89" s="2">
        <v>20</v>
      </c>
      <c r="C89" t="s">
        <v>120</v>
      </c>
      <c r="D89" s="2" t="s">
        <v>52</v>
      </c>
      <c r="E89" s="2">
        <v>16</v>
      </c>
      <c r="F89" s="2">
        <v>7</v>
      </c>
      <c r="G89" s="2">
        <v>299</v>
      </c>
      <c r="H89" s="2">
        <v>0.26900000000000002</v>
      </c>
      <c r="I89" s="2">
        <v>15.6</v>
      </c>
      <c r="J89" s="2">
        <v>0.44800000000000001</v>
      </c>
      <c r="K89" s="2">
        <v>0.224</v>
      </c>
      <c r="L89" s="2">
        <v>0.17899999999999999</v>
      </c>
      <c r="M89" s="2">
        <v>4.4999999999999998E-2</v>
      </c>
      <c r="N89" s="2">
        <v>0</v>
      </c>
      <c r="O89" s="2">
        <v>0.55200000000000005</v>
      </c>
      <c r="P89" s="2">
        <v>0.36699999999999999</v>
      </c>
      <c r="Q89" s="2">
        <v>0.53300000000000003</v>
      </c>
      <c r="R89" s="2">
        <v>0.25</v>
      </c>
      <c r="S89" s="2">
        <v>0</v>
      </c>
      <c r="T89" s="2"/>
      <c r="U89" s="2">
        <v>0.189</v>
      </c>
      <c r="V89" s="2">
        <v>0.72699999999999998</v>
      </c>
      <c r="W89" s="2">
        <v>1</v>
      </c>
      <c r="X89" s="2">
        <v>4.4999999999999998E-2</v>
      </c>
      <c r="Y89" s="2">
        <v>2</v>
      </c>
      <c r="Z89" s="2">
        <v>0.59499999999999997</v>
      </c>
      <c r="AA89" s="2">
        <v>0.182</v>
      </c>
      <c r="AB89" s="2">
        <v>0</v>
      </c>
      <c r="AC89" s="2">
        <v>0</v>
      </c>
    </row>
    <row r="90" spans="1:29" x14ac:dyDescent="0.2">
      <c r="A90" t="s">
        <v>466</v>
      </c>
      <c r="B90" s="2">
        <v>22</v>
      </c>
      <c r="C90" t="s">
        <v>37</v>
      </c>
      <c r="D90" s="2" t="s">
        <v>52</v>
      </c>
      <c r="E90" s="2">
        <v>16</v>
      </c>
      <c r="F90" s="2">
        <v>0</v>
      </c>
      <c r="G90" s="2">
        <v>82</v>
      </c>
      <c r="H90" s="2">
        <v>0.42099999999999999</v>
      </c>
      <c r="I90" s="2">
        <v>14.3</v>
      </c>
      <c r="J90" s="2">
        <v>0.63200000000000001</v>
      </c>
      <c r="K90" s="2">
        <v>0.105</v>
      </c>
      <c r="L90" s="2">
        <v>0.36799999999999999</v>
      </c>
      <c r="M90" s="2">
        <v>0.105</v>
      </c>
      <c r="N90" s="2">
        <v>5.2999999999999999E-2</v>
      </c>
      <c r="O90" s="2">
        <v>0.36799999999999999</v>
      </c>
      <c r="P90" s="2">
        <v>0.33300000000000002</v>
      </c>
      <c r="Q90" s="2">
        <v>1</v>
      </c>
      <c r="R90" s="2">
        <v>0.28599999999999998</v>
      </c>
      <c r="S90" s="2">
        <v>0</v>
      </c>
      <c r="T90" s="2">
        <v>0</v>
      </c>
      <c r="U90" s="2">
        <v>0.57099999999999995</v>
      </c>
      <c r="V90" s="2">
        <v>0.5</v>
      </c>
      <c r="W90" s="2">
        <v>1</v>
      </c>
      <c r="X90" s="2">
        <v>0</v>
      </c>
      <c r="Y90" s="2">
        <v>0</v>
      </c>
      <c r="Z90" s="2">
        <v>0.14299999999999999</v>
      </c>
      <c r="AA90" s="2">
        <v>0</v>
      </c>
      <c r="AB90" s="2">
        <v>0</v>
      </c>
      <c r="AC90" s="2">
        <v>0</v>
      </c>
    </row>
    <row r="91" spans="1:29" x14ac:dyDescent="0.2">
      <c r="A91" t="s">
        <v>308</v>
      </c>
      <c r="B91" s="2">
        <v>24</v>
      </c>
      <c r="C91" t="s">
        <v>48</v>
      </c>
      <c r="D91" s="2" t="s">
        <v>33</v>
      </c>
      <c r="E91" s="2">
        <v>24</v>
      </c>
      <c r="F91" s="2">
        <v>0</v>
      </c>
      <c r="G91" s="2">
        <v>265</v>
      </c>
      <c r="H91" s="2">
        <v>0.377</v>
      </c>
      <c r="I91" s="2">
        <v>15.8</v>
      </c>
      <c r="J91" s="2">
        <v>0.56100000000000005</v>
      </c>
      <c r="K91" s="2">
        <v>0.14000000000000001</v>
      </c>
      <c r="L91" s="2">
        <v>0.246</v>
      </c>
      <c r="M91" s="2">
        <v>0.14000000000000001</v>
      </c>
      <c r="N91" s="2">
        <v>3.5000000000000003E-2</v>
      </c>
      <c r="O91" s="2">
        <v>0.439</v>
      </c>
      <c r="P91" s="2">
        <v>0.42199999999999999</v>
      </c>
      <c r="Q91" s="2">
        <v>0.56299999999999994</v>
      </c>
      <c r="R91" s="2">
        <v>0.5</v>
      </c>
      <c r="S91" s="2">
        <v>6.3E-2</v>
      </c>
      <c r="T91" s="2">
        <v>0.75</v>
      </c>
      <c r="U91" s="2">
        <v>0.32</v>
      </c>
      <c r="V91" s="2">
        <v>0.25900000000000001</v>
      </c>
      <c r="W91" s="2">
        <v>0.68799999999999994</v>
      </c>
      <c r="X91" s="2">
        <v>8.9999999999999993E-3</v>
      </c>
      <c r="Y91" s="2">
        <v>0</v>
      </c>
      <c r="Z91" s="2">
        <v>0.18</v>
      </c>
      <c r="AA91" s="2">
        <v>0.111</v>
      </c>
      <c r="AB91" s="2">
        <v>1</v>
      </c>
      <c r="AC91" s="2">
        <v>0</v>
      </c>
    </row>
    <row r="92" spans="1:29" x14ac:dyDescent="0.2">
      <c r="A92" t="s">
        <v>566</v>
      </c>
      <c r="B92" s="2">
        <v>25</v>
      </c>
      <c r="C92" t="s">
        <v>75</v>
      </c>
      <c r="D92" s="2" t="s">
        <v>49</v>
      </c>
      <c r="E92" s="2">
        <v>2</v>
      </c>
      <c r="F92" s="2">
        <v>0</v>
      </c>
      <c r="G92" s="2">
        <v>13</v>
      </c>
      <c r="H92" s="2">
        <v>0</v>
      </c>
      <c r="I92" s="2">
        <v>25.4</v>
      </c>
      <c r="J92" s="2">
        <v>0</v>
      </c>
      <c r="K92" s="2">
        <v>0</v>
      </c>
      <c r="L92" s="2">
        <v>0</v>
      </c>
      <c r="M92" s="2">
        <v>0</v>
      </c>
      <c r="N92" s="2">
        <v>0</v>
      </c>
      <c r="O92" s="2">
        <v>1</v>
      </c>
      <c r="P92" s="2"/>
      <c r="Q92" s="2"/>
      <c r="R92" s="2"/>
      <c r="S92" s="2"/>
      <c r="T92" s="2"/>
      <c r="U92" s="2">
        <v>0</v>
      </c>
      <c r="V92" s="2"/>
      <c r="W92" s="2"/>
      <c r="X92" s="2">
        <v>0</v>
      </c>
      <c r="Y92" s="2">
        <v>0</v>
      </c>
      <c r="Z92" s="2">
        <v>0.2</v>
      </c>
      <c r="AA92" s="2">
        <v>0</v>
      </c>
      <c r="AB92" s="2">
        <v>0</v>
      </c>
      <c r="AC92" s="2">
        <v>0</v>
      </c>
    </row>
    <row r="93" spans="1:29" x14ac:dyDescent="0.2">
      <c r="A93" t="s">
        <v>496</v>
      </c>
      <c r="B93" s="2">
        <v>24</v>
      </c>
      <c r="C93" t="s">
        <v>80</v>
      </c>
      <c r="D93" s="2" t="s">
        <v>42</v>
      </c>
      <c r="E93" s="2">
        <v>7</v>
      </c>
      <c r="F93" s="2">
        <v>0</v>
      </c>
      <c r="G93" s="2">
        <v>21</v>
      </c>
      <c r="H93" s="2">
        <v>0.25</v>
      </c>
      <c r="I93" s="2">
        <v>14.3</v>
      </c>
      <c r="J93" s="2">
        <v>0.5</v>
      </c>
      <c r="K93" s="2">
        <v>0</v>
      </c>
      <c r="L93" s="2">
        <v>0.5</v>
      </c>
      <c r="M93" s="2">
        <v>0</v>
      </c>
      <c r="N93" s="2">
        <v>0</v>
      </c>
      <c r="O93" s="2">
        <v>0.5</v>
      </c>
      <c r="P93" s="2">
        <v>0.5</v>
      </c>
      <c r="Q93" s="2"/>
      <c r="R93" s="2">
        <v>0.5</v>
      </c>
      <c r="S93" s="2"/>
      <c r="T93" s="2"/>
      <c r="U93" s="2">
        <v>0</v>
      </c>
      <c r="V93" s="2">
        <v>0</v>
      </c>
      <c r="W93" s="2"/>
      <c r="X93" s="2">
        <v>0</v>
      </c>
      <c r="Y93" s="2">
        <v>0</v>
      </c>
      <c r="Z93" s="2">
        <v>1</v>
      </c>
      <c r="AA93" s="2">
        <v>0</v>
      </c>
      <c r="AB93" s="2">
        <v>0</v>
      </c>
      <c r="AC93" s="2">
        <v>0</v>
      </c>
    </row>
    <row r="94" spans="1:29" x14ac:dyDescent="0.2">
      <c r="A94" t="s">
        <v>536</v>
      </c>
      <c r="B94" s="2">
        <v>25</v>
      </c>
      <c r="C94" t="s">
        <v>54</v>
      </c>
      <c r="D94" s="2" t="s">
        <v>33</v>
      </c>
      <c r="E94" s="2">
        <v>1</v>
      </c>
      <c r="F94" s="2">
        <v>0</v>
      </c>
      <c r="G94" s="2">
        <v>3</v>
      </c>
      <c r="H94" s="2">
        <v>0.5</v>
      </c>
      <c r="I94" s="2">
        <v>15.2</v>
      </c>
      <c r="J94" s="2">
        <v>0.5</v>
      </c>
      <c r="K94" s="2">
        <v>0</v>
      </c>
      <c r="L94" s="2">
        <v>0.5</v>
      </c>
      <c r="M94" s="2">
        <v>0</v>
      </c>
      <c r="N94" s="2">
        <v>0</v>
      </c>
      <c r="O94" s="2">
        <v>0.5</v>
      </c>
      <c r="P94" s="2">
        <v>0</v>
      </c>
      <c r="Q94" s="2"/>
      <c r="R94" s="2">
        <v>0</v>
      </c>
      <c r="S94" s="2"/>
      <c r="T94" s="2"/>
      <c r="U94" s="2">
        <v>1</v>
      </c>
      <c r="V94" s="2"/>
      <c r="W94" s="2">
        <v>1</v>
      </c>
      <c r="X94" s="2">
        <v>0</v>
      </c>
      <c r="Y94" s="2">
        <v>0</v>
      </c>
      <c r="Z94" s="2">
        <v>1</v>
      </c>
      <c r="AA94" s="2">
        <v>1</v>
      </c>
      <c r="AB94" s="2">
        <v>0</v>
      </c>
      <c r="AC94" s="2">
        <v>0</v>
      </c>
    </row>
    <row r="95" spans="1:29" x14ac:dyDescent="0.2">
      <c r="A95" t="s">
        <v>123</v>
      </c>
      <c r="B95" s="2">
        <v>26</v>
      </c>
      <c r="C95" t="s">
        <v>120</v>
      </c>
      <c r="D95" s="2" t="s">
        <v>52</v>
      </c>
      <c r="E95" s="2">
        <v>23</v>
      </c>
      <c r="F95" s="2">
        <v>21</v>
      </c>
      <c r="G95" s="2">
        <v>641</v>
      </c>
      <c r="H95" s="2">
        <v>0.48</v>
      </c>
      <c r="I95" s="2">
        <v>13.5</v>
      </c>
      <c r="J95" s="2">
        <v>0.65700000000000003</v>
      </c>
      <c r="K95" s="2">
        <v>0.17299999999999999</v>
      </c>
      <c r="L95" s="2">
        <v>0.30299999999999999</v>
      </c>
      <c r="M95" s="2">
        <v>0.11899999999999999</v>
      </c>
      <c r="N95" s="2">
        <v>6.0999999999999999E-2</v>
      </c>
      <c r="O95" s="2">
        <v>0.34300000000000003</v>
      </c>
      <c r="P95" s="2">
        <v>0.505</v>
      </c>
      <c r="Q95" s="2">
        <v>0.66700000000000004</v>
      </c>
      <c r="R95" s="2">
        <v>0.44</v>
      </c>
      <c r="S95" s="2">
        <v>0.60599999999999998</v>
      </c>
      <c r="T95" s="2">
        <v>0.17599999999999999</v>
      </c>
      <c r="U95" s="2">
        <v>0.432</v>
      </c>
      <c r="V95" s="2">
        <v>0.37</v>
      </c>
      <c r="W95" s="2">
        <v>0.61</v>
      </c>
      <c r="X95" s="2">
        <v>0</v>
      </c>
      <c r="Y95" s="2">
        <v>0</v>
      </c>
      <c r="Z95" s="2">
        <v>0.23200000000000001</v>
      </c>
      <c r="AA95" s="2">
        <v>0.54500000000000004</v>
      </c>
      <c r="AB95" s="2">
        <v>0</v>
      </c>
      <c r="AC95" s="2">
        <v>0</v>
      </c>
    </row>
    <row r="96" spans="1:29" x14ac:dyDescent="0.2">
      <c r="A96" t="s">
        <v>224</v>
      </c>
      <c r="B96" s="2">
        <v>25</v>
      </c>
      <c r="C96" t="s">
        <v>114</v>
      </c>
      <c r="D96" s="2" t="s">
        <v>49</v>
      </c>
      <c r="E96" s="2">
        <v>19</v>
      </c>
      <c r="F96" s="2">
        <v>0</v>
      </c>
      <c r="G96" s="2">
        <v>525</v>
      </c>
      <c r="H96" s="2">
        <v>0.41299999999999998</v>
      </c>
      <c r="I96" s="2">
        <v>18</v>
      </c>
      <c r="J96" s="2">
        <v>0.39100000000000001</v>
      </c>
      <c r="K96" s="2">
        <v>0.217</v>
      </c>
      <c r="L96" s="2">
        <v>0.114</v>
      </c>
      <c r="M96" s="2">
        <v>4.9000000000000002E-2</v>
      </c>
      <c r="N96" s="2">
        <v>1.0999999999999999E-2</v>
      </c>
      <c r="O96" s="2">
        <v>0.60899999999999999</v>
      </c>
      <c r="P96" s="2">
        <v>0.56899999999999995</v>
      </c>
      <c r="Q96" s="2">
        <v>0.7</v>
      </c>
      <c r="R96" s="2">
        <v>0.38100000000000001</v>
      </c>
      <c r="S96" s="2">
        <v>0.55600000000000005</v>
      </c>
      <c r="T96" s="2">
        <v>0</v>
      </c>
      <c r="U96" s="2">
        <v>0.313</v>
      </c>
      <c r="V96" s="2">
        <v>0.80500000000000005</v>
      </c>
      <c r="W96" s="2">
        <v>0.85699999999999998</v>
      </c>
      <c r="X96" s="2">
        <v>5.0000000000000001E-3</v>
      </c>
      <c r="Y96" s="2">
        <v>1</v>
      </c>
      <c r="Z96" s="2">
        <v>0.13400000000000001</v>
      </c>
      <c r="AA96" s="2">
        <v>0.33300000000000002</v>
      </c>
      <c r="AB96" s="2">
        <v>2</v>
      </c>
      <c r="AC96" s="2">
        <v>0</v>
      </c>
    </row>
    <row r="97" spans="1:29" x14ac:dyDescent="0.2">
      <c r="A97" t="s">
        <v>485</v>
      </c>
      <c r="B97" s="2">
        <v>33</v>
      </c>
      <c r="C97" t="s">
        <v>48</v>
      </c>
      <c r="D97" s="2" t="s">
        <v>33</v>
      </c>
      <c r="E97" s="2">
        <v>13</v>
      </c>
      <c r="F97" s="2">
        <v>0</v>
      </c>
      <c r="G97" s="2">
        <v>46</v>
      </c>
      <c r="H97" s="2">
        <v>0.33300000000000002</v>
      </c>
      <c r="I97" s="2">
        <v>24.4</v>
      </c>
      <c r="J97" s="2">
        <v>0.2</v>
      </c>
      <c r="K97" s="2">
        <v>6.7000000000000004E-2</v>
      </c>
      <c r="L97" s="2">
        <v>6.7000000000000004E-2</v>
      </c>
      <c r="M97" s="2">
        <v>6.7000000000000004E-2</v>
      </c>
      <c r="N97" s="2">
        <v>0</v>
      </c>
      <c r="O97" s="2">
        <v>0.8</v>
      </c>
      <c r="P97" s="2">
        <v>0</v>
      </c>
      <c r="Q97" s="2">
        <v>0</v>
      </c>
      <c r="R97" s="2">
        <v>0</v>
      </c>
      <c r="S97" s="2">
        <v>0</v>
      </c>
      <c r="T97" s="2"/>
      <c r="U97" s="2">
        <v>0.41699999999999998</v>
      </c>
      <c r="V97" s="2"/>
      <c r="W97" s="2">
        <v>0.6</v>
      </c>
      <c r="X97" s="2">
        <v>0</v>
      </c>
      <c r="Y97" s="2">
        <v>0</v>
      </c>
      <c r="Z97" s="2">
        <v>8.3000000000000004E-2</v>
      </c>
      <c r="AA97" s="2">
        <v>0</v>
      </c>
      <c r="AB97" s="2">
        <v>1</v>
      </c>
      <c r="AC97" s="2">
        <v>0</v>
      </c>
    </row>
    <row r="98" spans="1:29" x14ac:dyDescent="0.2">
      <c r="A98" t="s">
        <v>415</v>
      </c>
      <c r="B98" s="2">
        <v>24</v>
      </c>
      <c r="C98" t="s">
        <v>57</v>
      </c>
      <c r="D98" s="2" t="s">
        <v>33</v>
      </c>
      <c r="E98" s="2">
        <v>16</v>
      </c>
      <c r="F98" s="2">
        <v>0</v>
      </c>
      <c r="G98" s="2">
        <v>151</v>
      </c>
      <c r="H98" s="2">
        <v>0.58099999999999996</v>
      </c>
      <c r="I98" s="2">
        <v>11.9</v>
      </c>
      <c r="J98" s="2">
        <v>0.64500000000000002</v>
      </c>
      <c r="K98" s="2">
        <v>0.45200000000000001</v>
      </c>
      <c r="L98" s="2">
        <v>9.7000000000000003E-2</v>
      </c>
      <c r="M98" s="2">
        <v>6.5000000000000002E-2</v>
      </c>
      <c r="N98" s="2">
        <v>3.2000000000000001E-2</v>
      </c>
      <c r="O98" s="2">
        <v>0.35499999999999998</v>
      </c>
      <c r="P98" s="2">
        <v>0.65</v>
      </c>
      <c r="Q98" s="2">
        <v>0.78600000000000003</v>
      </c>
      <c r="R98" s="2">
        <v>0</v>
      </c>
      <c r="S98" s="2">
        <v>0.5</v>
      </c>
      <c r="T98" s="2">
        <v>1</v>
      </c>
      <c r="U98" s="2">
        <v>0.45500000000000002</v>
      </c>
      <c r="V98" s="2">
        <v>0.69199999999999995</v>
      </c>
      <c r="W98" s="2">
        <v>1</v>
      </c>
      <c r="X98" s="2">
        <v>9.7000000000000003E-2</v>
      </c>
      <c r="Y98" s="2">
        <v>3</v>
      </c>
      <c r="Z98" s="2">
        <v>0.182</v>
      </c>
      <c r="AA98" s="2">
        <v>0.5</v>
      </c>
      <c r="AB98" s="2">
        <v>0</v>
      </c>
      <c r="AC98" s="2">
        <v>0</v>
      </c>
    </row>
    <row r="99" spans="1:29" x14ac:dyDescent="0.2">
      <c r="A99" t="s">
        <v>534</v>
      </c>
      <c r="B99" s="2">
        <v>21</v>
      </c>
      <c r="C99" t="s">
        <v>103</v>
      </c>
      <c r="D99" s="2" t="s">
        <v>52</v>
      </c>
      <c r="E99" s="2">
        <v>5</v>
      </c>
      <c r="F99" s="2">
        <v>0</v>
      </c>
      <c r="G99" s="2">
        <v>10</v>
      </c>
      <c r="H99" s="2">
        <v>0.14299999999999999</v>
      </c>
      <c r="I99" s="2">
        <v>12.2</v>
      </c>
      <c r="J99" s="2">
        <v>0.57099999999999995</v>
      </c>
      <c r="K99" s="2">
        <v>0.42899999999999999</v>
      </c>
      <c r="L99" s="2">
        <v>0.14299999999999999</v>
      </c>
      <c r="M99" s="2">
        <v>0</v>
      </c>
      <c r="N99" s="2">
        <v>0</v>
      </c>
      <c r="O99" s="2">
        <v>0.42899999999999999</v>
      </c>
      <c r="P99" s="2">
        <v>0.25</v>
      </c>
      <c r="Q99" s="2">
        <v>0.33300000000000002</v>
      </c>
      <c r="R99" s="2">
        <v>0</v>
      </c>
      <c r="S99" s="2"/>
      <c r="T99" s="2"/>
      <c r="U99" s="2">
        <v>0</v>
      </c>
      <c r="V99" s="2">
        <v>1</v>
      </c>
      <c r="W99" s="2"/>
      <c r="X99" s="2">
        <v>0</v>
      </c>
      <c r="Y99" s="2">
        <v>0</v>
      </c>
      <c r="Z99" s="2">
        <v>0.66700000000000004</v>
      </c>
      <c r="AA99" s="2">
        <v>0</v>
      </c>
      <c r="AB99" s="2">
        <v>0</v>
      </c>
      <c r="AC99" s="2">
        <v>0</v>
      </c>
    </row>
    <row r="100" spans="1:29" x14ac:dyDescent="0.2">
      <c r="A100" t="s">
        <v>533</v>
      </c>
      <c r="B100" s="2">
        <v>24</v>
      </c>
      <c r="C100" t="s">
        <v>66</v>
      </c>
      <c r="D100" s="2" t="s">
        <v>52</v>
      </c>
      <c r="E100" s="2">
        <v>4</v>
      </c>
      <c r="F100" s="2">
        <v>0</v>
      </c>
      <c r="G100" s="2">
        <v>33</v>
      </c>
      <c r="H100" s="2">
        <v>0.14299999999999999</v>
      </c>
      <c r="I100" s="2">
        <v>13.6</v>
      </c>
      <c r="J100" s="2">
        <v>0.57099999999999995</v>
      </c>
      <c r="K100" s="2">
        <v>0.14299999999999999</v>
      </c>
      <c r="L100" s="2">
        <v>0.42899999999999999</v>
      </c>
      <c r="M100" s="2">
        <v>0</v>
      </c>
      <c r="N100" s="2">
        <v>0</v>
      </c>
      <c r="O100" s="2">
        <v>0.42899999999999999</v>
      </c>
      <c r="P100" s="2">
        <v>0.25</v>
      </c>
      <c r="Q100" s="2">
        <v>1</v>
      </c>
      <c r="R100" s="2">
        <v>0</v>
      </c>
      <c r="S100" s="2"/>
      <c r="T100" s="2"/>
      <c r="U100" s="2">
        <v>0</v>
      </c>
      <c r="V100" s="2">
        <v>1</v>
      </c>
      <c r="W100" s="2"/>
      <c r="X100" s="2">
        <v>0</v>
      </c>
      <c r="Y100" s="2">
        <v>0</v>
      </c>
      <c r="Z100" s="2">
        <v>0.33300000000000002</v>
      </c>
      <c r="AA100" s="2">
        <v>0</v>
      </c>
      <c r="AB100" s="2">
        <v>0</v>
      </c>
      <c r="AC100" s="2">
        <v>0</v>
      </c>
    </row>
    <row r="101" spans="1:29" x14ac:dyDescent="0.2">
      <c r="A101" t="s">
        <v>157</v>
      </c>
      <c r="B101" s="2">
        <v>28</v>
      </c>
      <c r="C101" t="s">
        <v>41</v>
      </c>
      <c r="D101" s="2" t="s">
        <v>33</v>
      </c>
      <c r="E101" s="2">
        <v>23</v>
      </c>
      <c r="F101" s="2">
        <v>10</v>
      </c>
      <c r="G101" s="2">
        <v>629</v>
      </c>
      <c r="H101" s="2">
        <v>0.42199999999999999</v>
      </c>
      <c r="I101" s="2">
        <v>17.399999999999999</v>
      </c>
      <c r="J101" s="2">
        <v>0.46600000000000003</v>
      </c>
      <c r="K101" s="2">
        <v>0.14699999999999999</v>
      </c>
      <c r="L101" s="2">
        <v>0.16300000000000001</v>
      </c>
      <c r="M101" s="2">
        <v>0.12</v>
      </c>
      <c r="N101" s="2">
        <v>3.5999999999999997E-2</v>
      </c>
      <c r="O101" s="2">
        <v>0.53400000000000003</v>
      </c>
      <c r="P101" s="2">
        <v>0.51300000000000001</v>
      </c>
      <c r="Q101" s="2">
        <v>0.64900000000000002</v>
      </c>
      <c r="R101" s="2">
        <v>0.53700000000000003</v>
      </c>
      <c r="S101" s="2">
        <v>0.433</v>
      </c>
      <c r="T101" s="2">
        <v>0.111</v>
      </c>
      <c r="U101" s="2">
        <v>0.34300000000000003</v>
      </c>
      <c r="V101" s="2">
        <v>0.48299999999999998</v>
      </c>
      <c r="W101" s="2">
        <v>0.63</v>
      </c>
      <c r="X101" s="2">
        <v>4.0000000000000001E-3</v>
      </c>
      <c r="Y101" s="2">
        <v>0</v>
      </c>
      <c r="Z101" s="2">
        <v>0.104</v>
      </c>
      <c r="AA101" s="2">
        <v>0.28599999999999998</v>
      </c>
      <c r="AB101" s="2">
        <v>1</v>
      </c>
      <c r="AC101" s="2">
        <v>0</v>
      </c>
    </row>
    <row r="102" spans="1:29" x14ac:dyDescent="0.2">
      <c r="A102" t="s">
        <v>554</v>
      </c>
      <c r="B102" s="2">
        <v>22</v>
      </c>
      <c r="C102" t="s">
        <v>51</v>
      </c>
      <c r="D102" s="2" t="s">
        <v>33</v>
      </c>
      <c r="E102" s="2">
        <v>3</v>
      </c>
      <c r="F102" s="2">
        <v>0</v>
      </c>
      <c r="G102" s="2">
        <v>13</v>
      </c>
      <c r="H102" s="2">
        <v>0</v>
      </c>
      <c r="I102" s="2">
        <v>24.8</v>
      </c>
      <c r="J102" s="2">
        <v>0</v>
      </c>
      <c r="K102" s="2">
        <v>0</v>
      </c>
      <c r="L102" s="2">
        <v>0</v>
      </c>
      <c r="M102" s="2">
        <v>0</v>
      </c>
      <c r="N102" s="2">
        <v>0</v>
      </c>
      <c r="O102" s="2">
        <v>1</v>
      </c>
      <c r="P102" s="2"/>
      <c r="Q102" s="2"/>
      <c r="R102" s="2"/>
      <c r="S102" s="2"/>
      <c r="T102" s="2"/>
      <c r="U102" s="2">
        <v>0</v>
      </c>
      <c r="V102" s="2"/>
      <c r="W102" s="2"/>
      <c r="X102" s="2">
        <v>0</v>
      </c>
      <c r="Y102" s="2">
        <v>0</v>
      </c>
      <c r="Z102" s="2">
        <v>0</v>
      </c>
      <c r="AA102" s="2"/>
      <c r="AB102" s="2">
        <v>0</v>
      </c>
      <c r="AC102" s="2">
        <v>0</v>
      </c>
    </row>
    <row r="103" spans="1:29" x14ac:dyDescent="0.2">
      <c r="A103" t="s">
        <v>209</v>
      </c>
      <c r="B103" s="2">
        <v>25</v>
      </c>
      <c r="C103" t="s">
        <v>135</v>
      </c>
      <c r="D103" s="2" t="s">
        <v>33</v>
      </c>
      <c r="E103" s="2">
        <v>22</v>
      </c>
      <c r="F103" s="2">
        <v>0</v>
      </c>
      <c r="G103" s="2">
        <v>378</v>
      </c>
      <c r="H103" s="2">
        <v>0.433</v>
      </c>
      <c r="I103" s="2">
        <v>13.9</v>
      </c>
      <c r="J103" s="2">
        <v>0.58299999999999996</v>
      </c>
      <c r="K103" s="2">
        <v>0.29399999999999998</v>
      </c>
      <c r="L103" s="2">
        <v>0.20300000000000001</v>
      </c>
      <c r="M103" s="2">
        <v>4.8000000000000001E-2</v>
      </c>
      <c r="N103" s="2">
        <v>3.6999999999999998E-2</v>
      </c>
      <c r="O103" s="2">
        <v>0.41699999999999998</v>
      </c>
      <c r="P103" s="2">
        <v>0.46800000000000003</v>
      </c>
      <c r="Q103" s="2">
        <v>0.6</v>
      </c>
      <c r="R103" s="2">
        <v>0.28899999999999998</v>
      </c>
      <c r="S103" s="2">
        <v>0.44400000000000001</v>
      </c>
      <c r="T103" s="2">
        <v>0.42899999999999999</v>
      </c>
      <c r="U103" s="2">
        <v>0.38500000000000001</v>
      </c>
      <c r="V103" s="2">
        <v>0.29399999999999998</v>
      </c>
      <c r="W103" s="2">
        <v>0.83299999999999996</v>
      </c>
      <c r="X103" s="2">
        <v>4.2999999999999997E-2</v>
      </c>
      <c r="Y103" s="2">
        <v>7</v>
      </c>
      <c r="Z103" s="2">
        <v>0.17899999999999999</v>
      </c>
      <c r="AA103" s="2">
        <v>0.5</v>
      </c>
      <c r="AB103" s="2">
        <v>0</v>
      </c>
      <c r="AC103" s="2">
        <v>0</v>
      </c>
    </row>
    <row r="104" spans="1:29" x14ac:dyDescent="0.2">
      <c r="A104" t="s">
        <v>330</v>
      </c>
      <c r="B104" s="2">
        <v>22</v>
      </c>
      <c r="C104" t="s">
        <v>70</v>
      </c>
      <c r="D104" s="2" t="s">
        <v>52</v>
      </c>
      <c r="E104" s="2">
        <v>25</v>
      </c>
      <c r="F104" s="2">
        <v>0</v>
      </c>
      <c r="G104" s="2">
        <v>337</v>
      </c>
      <c r="H104" s="2">
        <v>0.5</v>
      </c>
      <c r="I104" s="2">
        <v>10.9</v>
      </c>
      <c r="J104" s="2">
        <v>0.63500000000000001</v>
      </c>
      <c r="K104" s="2">
        <v>0.47299999999999998</v>
      </c>
      <c r="L104" s="2">
        <v>0.13500000000000001</v>
      </c>
      <c r="M104" s="2">
        <v>0</v>
      </c>
      <c r="N104" s="2">
        <v>2.7E-2</v>
      </c>
      <c r="O104" s="2">
        <v>0.36499999999999999</v>
      </c>
      <c r="P104" s="2">
        <v>0.57399999999999995</v>
      </c>
      <c r="Q104" s="2">
        <v>0.629</v>
      </c>
      <c r="R104" s="2">
        <v>0.4</v>
      </c>
      <c r="S104" s="2"/>
      <c r="T104" s="2">
        <v>0.5</v>
      </c>
      <c r="U104" s="2">
        <v>0.37</v>
      </c>
      <c r="V104" s="2">
        <v>0.55600000000000005</v>
      </c>
      <c r="W104" s="2">
        <v>1</v>
      </c>
      <c r="X104" s="2">
        <v>5.3999999999999999E-2</v>
      </c>
      <c r="Y104" s="2">
        <v>4</v>
      </c>
      <c r="Z104" s="2">
        <v>0.37</v>
      </c>
      <c r="AA104" s="2">
        <v>0.5</v>
      </c>
      <c r="AB104" s="2">
        <v>0</v>
      </c>
      <c r="AC104" s="2">
        <v>0</v>
      </c>
    </row>
    <row r="105" spans="1:29" x14ac:dyDescent="0.2">
      <c r="A105" t="s">
        <v>184</v>
      </c>
      <c r="B105" s="2">
        <v>23</v>
      </c>
      <c r="C105" t="s">
        <v>41</v>
      </c>
      <c r="D105" s="2" t="s">
        <v>49</v>
      </c>
      <c r="E105" s="2">
        <v>24</v>
      </c>
      <c r="F105" s="2">
        <v>12</v>
      </c>
      <c r="G105" s="2">
        <v>583</v>
      </c>
      <c r="H105" s="2">
        <v>0.46899999999999997</v>
      </c>
      <c r="I105" s="2">
        <v>17.7</v>
      </c>
      <c r="J105" s="2">
        <v>0.39300000000000002</v>
      </c>
      <c r="K105" s="2">
        <v>0.17100000000000001</v>
      </c>
      <c r="L105" s="2">
        <v>0.123</v>
      </c>
      <c r="M105" s="2">
        <v>7.0999999999999994E-2</v>
      </c>
      <c r="N105" s="2">
        <v>2.8000000000000001E-2</v>
      </c>
      <c r="O105" s="2">
        <v>0.60699999999999998</v>
      </c>
      <c r="P105" s="2">
        <v>0.59</v>
      </c>
      <c r="Q105" s="2">
        <v>0.86099999999999999</v>
      </c>
      <c r="R105" s="2">
        <v>0.308</v>
      </c>
      <c r="S105" s="2">
        <v>0.4</v>
      </c>
      <c r="T105" s="2">
        <v>0.66700000000000004</v>
      </c>
      <c r="U105" s="2">
        <v>0.39100000000000001</v>
      </c>
      <c r="V105" s="2">
        <v>0.79600000000000004</v>
      </c>
      <c r="W105" s="2">
        <v>0.96</v>
      </c>
      <c r="X105" s="2">
        <v>0.11799999999999999</v>
      </c>
      <c r="Y105" s="2">
        <v>21</v>
      </c>
      <c r="Z105" s="2">
        <v>0.25800000000000001</v>
      </c>
      <c r="AA105" s="2">
        <v>0.45500000000000002</v>
      </c>
      <c r="AB105" s="2">
        <v>1</v>
      </c>
      <c r="AC105" s="2">
        <v>0</v>
      </c>
    </row>
    <row r="106" spans="1:29" x14ac:dyDescent="0.2">
      <c r="A106" t="s">
        <v>64</v>
      </c>
      <c r="B106" s="2">
        <v>34</v>
      </c>
      <c r="C106" t="s">
        <v>35</v>
      </c>
      <c r="D106" s="2" t="s">
        <v>33</v>
      </c>
      <c r="E106" s="2">
        <v>21</v>
      </c>
      <c r="F106" s="2">
        <v>21</v>
      </c>
      <c r="G106" s="2">
        <v>763</v>
      </c>
      <c r="H106" s="2">
        <v>0.45400000000000001</v>
      </c>
      <c r="I106" s="2">
        <v>18.2</v>
      </c>
      <c r="J106" s="2">
        <v>0.47799999999999998</v>
      </c>
      <c r="K106" s="2">
        <v>0.16900000000000001</v>
      </c>
      <c r="L106" s="2">
        <v>0.12</v>
      </c>
      <c r="M106" s="2">
        <v>7.9000000000000001E-2</v>
      </c>
      <c r="N106" s="2">
        <v>0.109</v>
      </c>
      <c r="O106" s="2">
        <v>0.52200000000000002</v>
      </c>
      <c r="P106" s="2">
        <v>0.54300000000000004</v>
      </c>
      <c r="Q106" s="2">
        <v>0.69399999999999995</v>
      </c>
      <c r="R106" s="2">
        <v>0.38600000000000001</v>
      </c>
      <c r="S106" s="2">
        <v>0.58599999999999997</v>
      </c>
      <c r="T106" s="2">
        <v>0.45</v>
      </c>
      <c r="U106" s="2">
        <v>0.372</v>
      </c>
      <c r="V106" s="2">
        <v>0.126</v>
      </c>
      <c r="W106" s="2">
        <v>0.45100000000000001</v>
      </c>
      <c r="X106" s="2">
        <v>8.0000000000000002E-3</v>
      </c>
      <c r="Y106" s="2">
        <v>3</v>
      </c>
      <c r="Z106" s="2">
        <v>6.3E-2</v>
      </c>
      <c r="AA106" s="2">
        <v>0.33300000000000002</v>
      </c>
      <c r="AB106" s="2">
        <v>2</v>
      </c>
      <c r="AC106" s="2">
        <v>0</v>
      </c>
    </row>
    <row r="107" spans="1:29" x14ac:dyDescent="0.2">
      <c r="A107" t="s">
        <v>486</v>
      </c>
      <c r="B107" s="2">
        <v>32</v>
      </c>
      <c r="C107" t="s">
        <v>54</v>
      </c>
      <c r="D107" s="2" t="s">
        <v>52</v>
      </c>
      <c r="E107" s="2">
        <v>4</v>
      </c>
      <c r="F107" s="2">
        <v>0</v>
      </c>
      <c r="G107" s="2">
        <v>37</v>
      </c>
      <c r="H107" s="2">
        <v>0.28599999999999998</v>
      </c>
      <c r="I107" s="2">
        <v>19.8</v>
      </c>
      <c r="J107" s="2">
        <v>0.35699999999999998</v>
      </c>
      <c r="K107" s="2">
        <v>0</v>
      </c>
      <c r="L107" s="2">
        <v>0.14299999999999999</v>
      </c>
      <c r="M107" s="2">
        <v>0.14299999999999999</v>
      </c>
      <c r="N107" s="2">
        <v>7.0999999999999994E-2</v>
      </c>
      <c r="O107" s="2">
        <v>0.64300000000000002</v>
      </c>
      <c r="P107" s="2">
        <v>0.6</v>
      </c>
      <c r="Q107" s="2"/>
      <c r="R107" s="2">
        <v>1</v>
      </c>
      <c r="S107" s="2">
        <v>0.5</v>
      </c>
      <c r="T107" s="2">
        <v>0</v>
      </c>
      <c r="U107" s="2">
        <v>0.111</v>
      </c>
      <c r="V107" s="2">
        <v>1</v>
      </c>
      <c r="W107" s="2">
        <v>1</v>
      </c>
      <c r="X107" s="2">
        <v>0</v>
      </c>
      <c r="Y107" s="2">
        <v>0</v>
      </c>
      <c r="Z107" s="2">
        <v>0.55600000000000005</v>
      </c>
      <c r="AA107" s="2">
        <v>0</v>
      </c>
      <c r="AB107" s="2">
        <v>0</v>
      </c>
      <c r="AC107" s="2">
        <v>0</v>
      </c>
    </row>
    <row r="108" spans="1:29" x14ac:dyDescent="0.2">
      <c r="A108" t="s">
        <v>155</v>
      </c>
      <c r="B108" s="2">
        <v>26</v>
      </c>
      <c r="C108" t="s">
        <v>63</v>
      </c>
      <c r="D108" s="2" t="s">
        <v>42</v>
      </c>
      <c r="E108" s="2">
        <v>24</v>
      </c>
      <c r="F108" s="2">
        <v>12</v>
      </c>
      <c r="G108" s="2">
        <v>500</v>
      </c>
      <c r="H108" s="4">
        <v>0.73799999999999999</v>
      </c>
      <c r="I108" s="2">
        <v>2.2000000000000002</v>
      </c>
      <c r="J108" s="2">
        <v>1</v>
      </c>
      <c r="K108" s="2">
        <v>0.73799999999999999</v>
      </c>
      <c r="L108" s="2">
        <v>0.25600000000000001</v>
      </c>
      <c r="M108" s="2">
        <v>6.0000000000000001E-3</v>
      </c>
      <c r="N108" s="2">
        <v>0</v>
      </c>
      <c r="O108" s="2">
        <v>0</v>
      </c>
      <c r="P108" s="2">
        <v>0.73799999999999999</v>
      </c>
      <c r="Q108" s="2">
        <v>0.75600000000000001</v>
      </c>
      <c r="R108" s="2">
        <v>0.68200000000000005</v>
      </c>
      <c r="S108" s="2">
        <v>1</v>
      </c>
      <c r="T108" s="2"/>
      <c r="U108" s="2"/>
      <c r="V108" s="2">
        <v>0.74</v>
      </c>
      <c r="W108" s="2"/>
      <c r="X108" s="2">
        <v>0.32</v>
      </c>
      <c r="Y108" s="2">
        <v>47</v>
      </c>
      <c r="Z108" s="2"/>
      <c r="AA108" s="2"/>
      <c r="AB108" s="2">
        <v>0</v>
      </c>
      <c r="AC108" s="2">
        <v>0</v>
      </c>
    </row>
    <row r="109" spans="1:29" x14ac:dyDescent="0.2">
      <c r="A109" t="s">
        <v>380</v>
      </c>
      <c r="B109" s="2">
        <v>32</v>
      </c>
      <c r="C109" t="s">
        <v>117</v>
      </c>
      <c r="D109" s="2" t="s">
        <v>42</v>
      </c>
      <c r="E109" s="2">
        <v>18</v>
      </c>
      <c r="F109" s="2">
        <v>7</v>
      </c>
      <c r="G109" s="2">
        <v>257</v>
      </c>
      <c r="H109" s="2">
        <v>0.441</v>
      </c>
      <c r="I109" s="2">
        <v>12.3</v>
      </c>
      <c r="J109" s="2">
        <v>0.67800000000000005</v>
      </c>
      <c r="K109" s="2">
        <v>0.28799999999999998</v>
      </c>
      <c r="L109" s="2">
        <v>0.254</v>
      </c>
      <c r="M109" s="2">
        <v>0.11899999999999999</v>
      </c>
      <c r="N109" s="2">
        <v>1.7000000000000001E-2</v>
      </c>
      <c r="O109" s="2">
        <v>0.32200000000000001</v>
      </c>
      <c r="P109" s="2">
        <v>0.52500000000000002</v>
      </c>
      <c r="Q109" s="2">
        <v>0.70599999999999996</v>
      </c>
      <c r="R109" s="2">
        <v>0.4</v>
      </c>
      <c r="S109" s="2">
        <v>0.42899999999999999</v>
      </c>
      <c r="T109" s="2">
        <v>0</v>
      </c>
      <c r="U109" s="2">
        <v>0.26300000000000001</v>
      </c>
      <c r="V109" s="2">
        <v>0.85699999999999998</v>
      </c>
      <c r="W109" s="2">
        <v>1</v>
      </c>
      <c r="X109" s="2">
        <v>8.5000000000000006E-2</v>
      </c>
      <c r="Y109" s="2">
        <v>4</v>
      </c>
      <c r="Z109" s="2">
        <v>0.26300000000000001</v>
      </c>
      <c r="AA109" s="2">
        <v>0</v>
      </c>
      <c r="AB109" s="2">
        <v>0</v>
      </c>
      <c r="AC109" s="2">
        <v>0</v>
      </c>
    </row>
    <row r="110" spans="1:29" x14ac:dyDescent="0.2">
      <c r="A110" t="s">
        <v>560</v>
      </c>
      <c r="B110" s="2">
        <v>23</v>
      </c>
      <c r="C110" t="s">
        <v>75</v>
      </c>
      <c r="D110" s="2" t="s">
        <v>33</v>
      </c>
      <c r="E110" s="2">
        <v>2</v>
      </c>
      <c r="F110" s="2">
        <v>0</v>
      </c>
      <c r="G110" s="2">
        <v>5</v>
      </c>
      <c r="H110" s="2">
        <v>0</v>
      </c>
      <c r="I110" s="2">
        <v>26.6</v>
      </c>
      <c r="J110" s="2">
        <v>0</v>
      </c>
      <c r="K110" s="2">
        <v>0</v>
      </c>
      <c r="L110" s="2">
        <v>0</v>
      </c>
      <c r="M110" s="2">
        <v>0</v>
      </c>
      <c r="N110" s="2">
        <v>0</v>
      </c>
      <c r="O110" s="2">
        <v>1</v>
      </c>
      <c r="P110" s="2"/>
      <c r="Q110" s="2"/>
      <c r="R110" s="2"/>
      <c r="S110" s="2"/>
      <c r="T110" s="2"/>
      <c r="U110" s="2">
        <v>0</v>
      </c>
      <c r="V110" s="2"/>
      <c r="W110" s="2"/>
      <c r="X110" s="2">
        <v>0</v>
      </c>
      <c r="Y110" s="2">
        <v>0</v>
      </c>
      <c r="Z110" s="2">
        <v>0</v>
      </c>
      <c r="AA110" s="2"/>
      <c r="AB110" s="2">
        <v>0</v>
      </c>
      <c r="AC110" s="2">
        <v>0</v>
      </c>
    </row>
    <row r="111" spans="1:29" x14ac:dyDescent="0.2">
      <c r="A111" t="s">
        <v>431</v>
      </c>
      <c r="B111" s="2">
        <v>27</v>
      </c>
      <c r="C111" t="s">
        <v>59</v>
      </c>
      <c r="D111" s="2" t="s">
        <v>52</v>
      </c>
      <c r="E111" s="2">
        <v>3</v>
      </c>
      <c r="F111" s="2">
        <v>0</v>
      </c>
      <c r="G111" s="2">
        <v>61</v>
      </c>
      <c r="H111" s="2">
        <v>0.65</v>
      </c>
      <c r="I111" s="2">
        <v>13.9</v>
      </c>
      <c r="J111" s="2">
        <v>0.5</v>
      </c>
      <c r="K111" s="2">
        <v>0.35</v>
      </c>
      <c r="L111" s="2">
        <v>0.15</v>
      </c>
      <c r="M111" s="2">
        <v>0</v>
      </c>
      <c r="N111" s="2">
        <v>0</v>
      </c>
      <c r="O111" s="2">
        <v>0.5</v>
      </c>
      <c r="P111" s="2">
        <v>0.7</v>
      </c>
      <c r="Q111" s="2">
        <v>0.71399999999999997</v>
      </c>
      <c r="R111" s="2">
        <v>0.66700000000000004</v>
      </c>
      <c r="S111" s="2"/>
      <c r="T111" s="2"/>
      <c r="U111" s="2">
        <v>0.6</v>
      </c>
      <c r="V111" s="2">
        <v>1</v>
      </c>
      <c r="W111" s="2">
        <v>1</v>
      </c>
      <c r="X111" s="2">
        <v>0.05</v>
      </c>
      <c r="Y111" s="2">
        <v>0</v>
      </c>
      <c r="Z111" s="2">
        <v>0.3</v>
      </c>
      <c r="AA111" s="2">
        <v>0.66700000000000004</v>
      </c>
      <c r="AB111" s="2">
        <v>0</v>
      </c>
      <c r="AC111" s="2">
        <v>0</v>
      </c>
    </row>
    <row r="112" spans="1:29" x14ac:dyDescent="0.2">
      <c r="A112" t="s">
        <v>429</v>
      </c>
      <c r="B112" s="2">
        <v>30</v>
      </c>
      <c r="C112" t="s">
        <v>46</v>
      </c>
      <c r="D112" s="2" t="s">
        <v>42</v>
      </c>
      <c r="E112" s="2">
        <v>10</v>
      </c>
      <c r="F112" s="2">
        <v>3</v>
      </c>
      <c r="G112" s="2">
        <v>136</v>
      </c>
      <c r="H112" s="2">
        <v>0.3</v>
      </c>
      <c r="I112" s="2">
        <v>14.8</v>
      </c>
      <c r="J112" s="2">
        <v>0.52500000000000002</v>
      </c>
      <c r="K112" s="2">
        <v>0.22500000000000001</v>
      </c>
      <c r="L112" s="2">
        <v>0.25</v>
      </c>
      <c r="M112" s="2">
        <v>0</v>
      </c>
      <c r="N112" s="2">
        <v>0.05</v>
      </c>
      <c r="O112" s="2">
        <v>0.47499999999999998</v>
      </c>
      <c r="P112" s="2">
        <v>0.33300000000000002</v>
      </c>
      <c r="Q112" s="2">
        <v>0.55600000000000005</v>
      </c>
      <c r="R112" s="2">
        <v>0.1</v>
      </c>
      <c r="S112" s="2"/>
      <c r="T112" s="2">
        <v>0.5</v>
      </c>
      <c r="U112" s="2">
        <v>0.26300000000000001</v>
      </c>
      <c r="V112" s="2">
        <v>0.85699999999999998</v>
      </c>
      <c r="W112" s="2">
        <v>1</v>
      </c>
      <c r="X112" s="2">
        <v>0</v>
      </c>
      <c r="Y112" s="2">
        <v>0</v>
      </c>
      <c r="Z112" s="2">
        <v>0.158</v>
      </c>
      <c r="AA112" s="2">
        <v>0.33300000000000002</v>
      </c>
      <c r="AB112" s="2">
        <v>0</v>
      </c>
      <c r="AC112" s="2">
        <v>0</v>
      </c>
    </row>
    <row r="113" spans="1:29" x14ac:dyDescent="0.2">
      <c r="A113" t="s">
        <v>476</v>
      </c>
      <c r="B113" s="2">
        <v>20</v>
      </c>
      <c r="C113" t="s">
        <v>103</v>
      </c>
      <c r="D113" s="2" t="s">
        <v>49</v>
      </c>
      <c r="E113" s="2">
        <v>3</v>
      </c>
      <c r="F113" s="2">
        <v>0</v>
      </c>
      <c r="G113" s="2">
        <v>26</v>
      </c>
      <c r="H113" s="2">
        <v>0.54500000000000004</v>
      </c>
      <c r="I113" s="2">
        <v>23.6</v>
      </c>
      <c r="J113" s="2">
        <v>9.0999999999999998E-2</v>
      </c>
      <c r="K113" s="2">
        <v>9.0999999999999998E-2</v>
      </c>
      <c r="L113" s="2">
        <v>0</v>
      </c>
      <c r="M113" s="2">
        <v>0</v>
      </c>
      <c r="N113" s="2">
        <v>0</v>
      </c>
      <c r="O113" s="2">
        <v>0.90900000000000003</v>
      </c>
      <c r="P113" s="2">
        <v>0</v>
      </c>
      <c r="Q113" s="2">
        <v>0</v>
      </c>
      <c r="R113" s="2"/>
      <c r="S113" s="2"/>
      <c r="T113" s="2"/>
      <c r="U113" s="2">
        <v>0.6</v>
      </c>
      <c r="V113" s="2"/>
      <c r="W113" s="2">
        <v>1</v>
      </c>
      <c r="X113" s="2">
        <v>0</v>
      </c>
      <c r="Y113" s="2">
        <v>0</v>
      </c>
      <c r="Z113" s="2">
        <v>0.2</v>
      </c>
      <c r="AA113" s="2">
        <v>0</v>
      </c>
      <c r="AB113" s="2">
        <v>0</v>
      </c>
      <c r="AC113" s="2">
        <v>0</v>
      </c>
    </row>
    <row r="114" spans="1:29" x14ac:dyDescent="0.2">
      <c r="A114" t="s">
        <v>83</v>
      </c>
      <c r="B114" s="2">
        <v>25</v>
      </c>
      <c r="C114" t="s">
        <v>57</v>
      </c>
      <c r="D114" s="2" t="s">
        <v>33</v>
      </c>
      <c r="E114" s="2">
        <v>24</v>
      </c>
      <c r="F114" s="2">
        <v>24</v>
      </c>
      <c r="G114" s="2">
        <v>728</v>
      </c>
      <c r="H114" s="2">
        <v>0.48799999999999999</v>
      </c>
      <c r="I114" s="2">
        <v>16</v>
      </c>
      <c r="J114" s="2">
        <v>0.55300000000000005</v>
      </c>
      <c r="K114" s="2">
        <v>0.19500000000000001</v>
      </c>
      <c r="L114" s="2">
        <v>0.14199999999999999</v>
      </c>
      <c r="M114" s="2">
        <v>0.13700000000000001</v>
      </c>
      <c r="N114" s="2">
        <v>7.9000000000000001E-2</v>
      </c>
      <c r="O114" s="2">
        <v>0.44700000000000001</v>
      </c>
      <c r="P114" s="2">
        <v>0.54</v>
      </c>
      <c r="Q114" s="2">
        <v>0.60599999999999998</v>
      </c>
      <c r="R114" s="2">
        <v>0.48099999999999998</v>
      </c>
      <c r="S114" s="2">
        <v>0.66</v>
      </c>
      <c r="T114" s="2">
        <v>0.27600000000000002</v>
      </c>
      <c r="U114" s="2">
        <v>0.42299999999999999</v>
      </c>
      <c r="V114" s="2">
        <v>0.29399999999999998</v>
      </c>
      <c r="W114" s="2">
        <v>0.60899999999999999</v>
      </c>
      <c r="X114" s="2">
        <v>3.0000000000000001E-3</v>
      </c>
      <c r="Y114" s="2">
        <v>1</v>
      </c>
      <c r="Z114" s="2">
        <v>0.184</v>
      </c>
      <c r="AA114" s="2">
        <v>0.4</v>
      </c>
      <c r="AB114" s="2">
        <v>0</v>
      </c>
      <c r="AC114" s="2">
        <v>0</v>
      </c>
    </row>
    <row r="115" spans="1:29" x14ac:dyDescent="0.2">
      <c r="A115" t="s">
        <v>535</v>
      </c>
      <c r="B115" s="2">
        <v>25</v>
      </c>
      <c r="C115" t="s">
        <v>93</v>
      </c>
      <c r="D115" s="2" t="s">
        <v>52</v>
      </c>
      <c r="E115" s="2">
        <v>1</v>
      </c>
      <c r="F115" s="2">
        <v>0</v>
      </c>
      <c r="G115" s="2">
        <v>8</v>
      </c>
      <c r="H115" s="2">
        <v>0.25</v>
      </c>
      <c r="I115" s="2">
        <v>11.8</v>
      </c>
      <c r="J115" s="2">
        <v>0.75</v>
      </c>
      <c r="K115" s="2">
        <v>0.25</v>
      </c>
      <c r="L115" s="2">
        <v>0.5</v>
      </c>
      <c r="M115" s="2">
        <v>0</v>
      </c>
      <c r="N115" s="2">
        <v>0</v>
      </c>
      <c r="O115" s="2">
        <v>0.25</v>
      </c>
      <c r="P115" s="2">
        <v>0.33300000000000002</v>
      </c>
      <c r="Q115" s="2">
        <v>1</v>
      </c>
      <c r="R115" s="2">
        <v>0</v>
      </c>
      <c r="S115" s="2"/>
      <c r="T115" s="2"/>
      <c r="U115" s="2">
        <v>0</v>
      </c>
      <c r="V115" s="2">
        <v>0</v>
      </c>
      <c r="W115" s="2"/>
      <c r="X115" s="2">
        <v>0</v>
      </c>
      <c r="Y115" s="2">
        <v>0</v>
      </c>
      <c r="Z115" s="2">
        <v>0</v>
      </c>
      <c r="AA115" s="2"/>
      <c r="AB115" s="2">
        <v>0</v>
      </c>
      <c r="AC115" s="2">
        <v>0</v>
      </c>
    </row>
    <row r="116" spans="1:29" x14ac:dyDescent="0.2">
      <c r="A116" t="s">
        <v>370</v>
      </c>
      <c r="B116" s="2">
        <v>23</v>
      </c>
      <c r="C116" t="s">
        <v>72</v>
      </c>
      <c r="D116" s="2" t="s">
        <v>27</v>
      </c>
      <c r="E116" s="2">
        <v>14</v>
      </c>
      <c r="F116" s="2">
        <v>1</v>
      </c>
      <c r="G116" s="2">
        <v>204</v>
      </c>
      <c r="H116" s="2">
        <v>0.56299999999999994</v>
      </c>
      <c r="I116" s="2">
        <v>15.3</v>
      </c>
      <c r="J116" s="2">
        <v>0.5</v>
      </c>
      <c r="K116" s="2">
        <v>0.22900000000000001</v>
      </c>
      <c r="L116" s="2">
        <v>0.22900000000000001</v>
      </c>
      <c r="M116" s="2">
        <v>4.2000000000000003E-2</v>
      </c>
      <c r="N116" s="2">
        <v>0</v>
      </c>
      <c r="O116" s="2">
        <v>0.5</v>
      </c>
      <c r="P116" s="2">
        <v>0.70799999999999996</v>
      </c>
      <c r="Q116" s="2">
        <v>0.72699999999999998</v>
      </c>
      <c r="R116" s="2">
        <v>0.72699999999999998</v>
      </c>
      <c r="S116" s="2">
        <v>0.5</v>
      </c>
      <c r="T116" s="2"/>
      <c r="U116" s="2">
        <v>0.41699999999999998</v>
      </c>
      <c r="V116" s="2">
        <v>0.88200000000000001</v>
      </c>
      <c r="W116" s="2">
        <v>0.9</v>
      </c>
      <c r="X116" s="2">
        <v>2.1000000000000001E-2</v>
      </c>
      <c r="Y116" s="2">
        <v>1</v>
      </c>
      <c r="Z116" s="2">
        <v>0.29199999999999998</v>
      </c>
      <c r="AA116" s="2">
        <v>0.71399999999999997</v>
      </c>
      <c r="AB116" s="2">
        <v>0</v>
      </c>
      <c r="AC116" s="2">
        <v>0</v>
      </c>
    </row>
    <row r="117" spans="1:29" x14ac:dyDescent="0.2">
      <c r="A117" t="s">
        <v>249</v>
      </c>
      <c r="B117" s="2">
        <v>26</v>
      </c>
      <c r="C117" t="s">
        <v>66</v>
      </c>
      <c r="D117" s="2" t="s">
        <v>33</v>
      </c>
      <c r="E117" s="2">
        <v>26</v>
      </c>
      <c r="F117" s="2">
        <v>13</v>
      </c>
      <c r="G117" s="2">
        <v>707</v>
      </c>
      <c r="H117" s="2">
        <v>0.39600000000000002</v>
      </c>
      <c r="I117" s="2">
        <v>15.4</v>
      </c>
      <c r="J117" s="2">
        <v>0.52100000000000002</v>
      </c>
      <c r="K117" s="2">
        <v>0.249</v>
      </c>
      <c r="L117" s="2">
        <v>0.183</v>
      </c>
      <c r="M117" s="2">
        <v>5.8999999999999997E-2</v>
      </c>
      <c r="N117" s="2">
        <v>0.03</v>
      </c>
      <c r="O117" s="2">
        <v>0.47899999999999998</v>
      </c>
      <c r="P117" s="2">
        <v>0.5</v>
      </c>
      <c r="Q117" s="2">
        <v>0.64300000000000002</v>
      </c>
      <c r="R117" s="2">
        <v>0.48399999999999999</v>
      </c>
      <c r="S117" s="2">
        <v>0</v>
      </c>
      <c r="T117" s="2">
        <v>0.4</v>
      </c>
      <c r="U117" s="2">
        <v>0.28399999999999997</v>
      </c>
      <c r="V117" s="2">
        <v>0.318</v>
      </c>
      <c r="W117" s="2">
        <v>0.82599999999999996</v>
      </c>
      <c r="X117" s="2">
        <v>0</v>
      </c>
      <c r="Y117" s="2">
        <v>0</v>
      </c>
      <c r="Z117" s="2">
        <v>0.13600000000000001</v>
      </c>
      <c r="AA117" s="2">
        <v>0.182</v>
      </c>
      <c r="AB117" s="2">
        <v>3</v>
      </c>
      <c r="AC117" s="2">
        <v>0</v>
      </c>
    </row>
    <row r="118" spans="1:29" x14ac:dyDescent="0.2">
      <c r="A118" t="s">
        <v>488</v>
      </c>
      <c r="B118" s="2">
        <v>23</v>
      </c>
      <c r="C118" t="s">
        <v>103</v>
      </c>
      <c r="D118" s="2" t="s">
        <v>42</v>
      </c>
      <c r="E118" s="2">
        <v>3</v>
      </c>
      <c r="F118" s="2">
        <v>0</v>
      </c>
      <c r="G118" s="2">
        <v>44</v>
      </c>
      <c r="H118" s="2">
        <v>0.36399999999999999</v>
      </c>
      <c r="I118" s="2">
        <v>5.7</v>
      </c>
      <c r="J118" s="2">
        <v>0.81799999999999995</v>
      </c>
      <c r="K118" s="2">
        <v>0.63600000000000001</v>
      </c>
      <c r="L118" s="2">
        <v>0.182</v>
      </c>
      <c r="M118" s="2">
        <v>0</v>
      </c>
      <c r="N118" s="2">
        <v>0</v>
      </c>
      <c r="O118" s="2">
        <v>0.182</v>
      </c>
      <c r="P118" s="2">
        <v>0.33300000000000002</v>
      </c>
      <c r="Q118" s="2">
        <v>0.28599999999999998</v>
      </c>
      <c r="R118" s="2">
        <v>0.5</v>
      </c>
      <c r="S118" s="2"/>
      <c r="T118" s="2"/>
      <c r="U118" s="2">
        <v>0.5</v>
      </c>
      <c r="V118" s="2">
        <v>0.33300000000000002</v>
      </c>
      <c r="W118" s="2">
        <v>1</v>
      </c>
      <c r="X118" s="2">
        <v>9.0999999999999998E-2</v>
      </c>
      <c r="Y118" s="2">
        <v>0</v>
      </c>
      <c r="Z118" s="2">
        <v>1</v>
      </c>
      <c r="AA118" s="2">
        <v>0.5</v>
      </c>
      <c r="AB118" s="2">
        <v>0</v>
      </c>
      <c r="AC118" s="2">
        <v>0</v>
      </c>
    </row>
    <row r="119" spans="1:29" x14ac:dyDescent="0.2">
      <c r="A119" t="s">
        <v>36</v>
      </c>
      <c r="B119" s="2">
        <v>27</v>
      </c>
      <c r="C119" t="s">
        <v>37</v>
      </c>
      <c r="D119" s="2" t="s">
        <v>33</v>
      </c>
      <c r="E119" s="2">
        <v>26</v>
      </c>
      <c r="F119" s="2">
        <v>26</v>
      </c>
      <c r="G119" s="4">
        <v>968</v>
      </c>
      <c r="H119" s="2">
        <v>0.48399999999999999</v>
      </c>
      <c r="I119" s="2">
        <v>14.1</v>
      </c>
      <c r="J119" s="2">
        <v>0.68700000000000006</v>
      </c>
      <c r="K119" s="2">
        <v>0.14000000000000001</v>
      </c>
      <c r="L119" s="2">
        <v>0.27400000000000002</v>
      </c>
      <c r="M119" s="2">
        <v>0.17100000000000001</v>
      </c>
      <c r="N119" s="2">
        <v>0.10199999999999999</v>
      </c>
      <c r="O119" s="2">
        <v>0.313</v>
      </c>
      <c r="P119" s="2">
        <v>0.55600000000000005</v>
      </c>
      <c r="Q119" s="2">
        <v>0.76700000000000002</v>
      </c>
      <c r="R119" s="2">
        <v>0.54500000000000004</v>
      </c>
      <c r="S119" s="2">
        <v>0.51700000000000002</v>
      </c>
      <c r="T119" s="2">
        <v>0.35799999999999998</v>
      </c>
      <c r="U119" s="2">
        <v>0.32500000000000001</v>
      </c>
      <c r="V119" s="2">
        <v>0.28100000000000003</v>
      </c>
      <c r="W119" s="2">
        <v>0.56599999999999995</v>
      </c>
      <c r="X119" s="2">
        <v>1.4999999999999999E-2</v>
      </c>
      <c r="Y119" s="2">
        <v>8</v>
      </c>
      <c r="Z119" s="2">
        <v>0.129</v>
      </c>
      <c r="AA119" s="2">
        <v>0.23799999999999999</v>
      </c>
      <c r="AB119" s="2">
        <v>1</v>
      </c>
      <c r="AC119" s="2">
        <v>0</v>
      </c>
    </row>
    <row r="120" spans="1:29" x14ac:dyDescent="0.2">
      <c r="A120" t="s">
        <v>160</v>
      </c>
      <c r="B120" s="2">
        <v>27</v>
      </c>
      <c r="C120" t="s">
        <v>72</v>
      </c>
      <c r="D120" s="2" t="s">
        <v>49</v>
      </c>
      <c r="E120" s="2">
        <v>15</v>
      </c>
      <c r="F120" s="2">
        <v>2</v>
      </c>
      <c r="G120" s="2">
        <v>417</v>
      </c>
      <c r="H120" s="2">
        <v>0.48299999999999998</v>
      </c>
      <c r="I120" s="2">
        <v>15.1</v>
      </c>
      <c r="J120" s="2">
        <v>0.54200000000000004</v>
      </c>
      <c r="K120" s="2">
        <v>0.184</v>
      </c>
      <c r="L120" s="2">
        <v>0.214</v>
      </c>
      <c r="M120" s="2">
        <v>0.114</v>
      </c>
      <c r="N120" s="2">
        <v>0.03</v>
      </c>
      <c r="O120" s="2">
        <v>0.45800000000000002</v>
      </c>
      <c r="P120" s="2">
        <v>0.51400000000000001</v>
      </c>
      <c r="Q120" s="2">
        <v>0.67600000000000005</v>
      </c>
      <c r="R120" s="2">
        <v>0.46500000000000002</v>
      </c>
      <c r="S120" s="2">
        <v>0.435</v>
      </c>
      <c r="T120" s="2">
        <v>0.16700000000000001</v>
      </c>
      <c r="U120" s="2">
        <v>0.44600000000000001</v>
      </c>
      <c r="V120" s="2">
        <v>0.69599999999999995</v>
      </c>
      <c r="W120" s="2">
        <v>0.95099999999999996</v>
      </c>
      <c r="X120" s="2">
        <v>5.5E-2</v>
      </c>
      <c r="Y120" s="2">
        <v>10</v>
      </c>
      <c r="Z120" s="2">
        <v>0.32600000000000001</v>
      </c>
      <c r="AA120" s="2">
        <v>0.46700000000000003</v>
      </c>
      <c r="AB120" s="2">
        <v>1</v>
      </c>
      <c r="AC120" s="2">
        <v>0</v>
      </c>
    </row>
    <row r="121" spans="1:29" x14ac:dyDescent="0.2">
      <c r="A121" t="s">
        <v>389</v>
      </c>
      <c r="B121" s="2">
        <v>26</v>
      </c>
      <c r="C121" t="s">
        <v>100</v>
      </c>
      <c r="D121" s="2" t="s">
        <v>52</v>
      </c>
      <c r="E121" s="2">
        <v>6</v>
      </c>
      <c r="F121" s="2">
        <v>2</v>
      </c>
      <c r="G121" s="2">
        <v>121</v>
      </c>
      <c r="H121" s="2">
        <v>0.40699999999999997</v>
      </c>
      <c r="I121" s="2">
        <v>18.2</v>
      </c>
      <c r="J121" s="2">
        <v>0.35199999999999998</v>
      </c>
      <c r="K121" s="2">
        <v>0.13</v>
      </c>
      <c r="L121" s="2">
        <v>0.185</v>
      </c>
      <c r="M121" s="2">
        <v>3.6999999999999998E-2</v>
      </c>
      <c r="N121" s="2">
        <v>0</v>
      </c>
      <c r="O121" s="2">
        <v>0.64800000000000002</v>
      </c>
      <c r="P121" s="2">
        <v>0.47399999999999998</v>
      </c>
      <c r="Q121" s="2">
        <v>0.28599999999999998</v>
      </c>
      <c r="R121" s="2">
        <v>0.7</v>
      </c>
      <c r="S121" s="2">
        <v>0</v>
      </c>
      <c r="T121" s="2"/>
      <c r="U121" s="2">
        <v>0.371</v>
      </c>
      <c r="V121" s="2">
        <v>0.44400000000000001</v>
      </c>
      <c r="W121" s="2">
        <v>0.92300000000000004</v>
      </c>
      <c r="X121" s="2">
        <v>3.6999999999999998E-2</v>
      </c>
      <c r="Y121" s="2">
        <v>2</v>
      </c>
      <c r="Z121" s="2">
        <v>0.114</v>
      </c>
      <c r="AA121" s="2">
        <v>0.75</v>
      </c>
      <c r="AB121" s="2">
        <v>0</v>
      </c>
      <c r="AC121" s="2">
        <v>0</v>
      </c>
    </row>
    <row r="122" spans="1:29" x14ac:dyDescent="0.2">
      <c r="A122" t="s">
        <v>348</v>
      </c>
      <c r="B122" s="2">
        <v>28</v>
      </c>
      <c r="C122" t="s">
        <v>57</v>
      </c>
      <c r="D122" s="2" t="s">
        <v>27</v>
      </c>
      <c r="E122" s="2">
        <v>17</v>
      </c>
      <c r="F122" s="2">
        <v>9</v>
      </c>
      <c r="G122" s="2">
        <v>376</v>
      </c>
      <c r="H122" s="2">
        <v>0.36</v>
      </c>
      <c r="I122" s="2">
        <v>21.3</v>
      </c>
      <c r="J122" s="2">
        <v>0.151</v>
      </c>
      <c r="K122" s="2">
        <v>0.11600000000000001</v>
      </c>
      <c r="L122" s="2">
        <v>2.3E-2</v>
      </c>
      <c r="M122" s="2">
        <v>1.2E-2</v>
      </c>
      <c r="N122" s="2">
        <v>0</v>
      </c>
      <c r="O122" s="2">
        <v>0.84899999999999998</v>
      </c>
      <c r="P122" s="2">
        <v>0.53800000000000003</v>
      </c>
      <c r="Q122" s="2">
        <v>0.7</v>
      </c>
      <c r="R122" s="2">
        <v>0</v>
      </c>
      <c r="S122" s="2">
        <v>0</v>
      </c>
      <c r="T122" s="2"/>
      <c r="U122" s="2">
        <v>0.32900000000000001</v>
      </c>
      <c r="V122" s="2">
        <v>1</v>
      </c>
      <c r="W122" s="2">
        <v>1</v>
      </c>
      <c r="X122" s="2">
        <v>2.3E-2</v>
      </c>
      <c r="Y122" s="2">
        <v>2</v>
      </c>
      <c r="Z122" s="2">
        <v>0.438</v>
      </c>
      <c r="AA122" s="2">
        <v>0.313</v>
      </c>
      <c r="AB122" s="2">
        <v>0</v>
      </c>
      <c r="AC122" s="2">
        <v>0</v>
      </c>
    </row>
    <row r="123" spans="1:29" x14ac:dyDescent="0.2">
      <c r="A123" t="s">
        <v>199</v>
      </c>
      <c r="B123" s="2">
        <v>26</v>
      </c>
      <c r="C123" t="s">
        <v>135</v>
      </c>
      <c r="D123" s="2" t="s">
        <v>42</v>
      </c>
      <c r="E123" s="2">
        <v>17</v>
      </c>
      <c r="F123" s="2">
        <v>17</v>
      </c>
      <c r="G123" s="2">
        <v>513</v>
      </c>
      <c r="H123" s="2">
        <v>0.55400000000000005</v>
      </c>
      <c r="I123" s="2">
        <v>8.8000000000000007</v>
      </c>
      <c r="J123" s="2">
        <v>0.90600000000000003</v>
      </c>
      <c r="K123" s="2">
        <v>0.29699999999999999</v>
      </c>
      <c r="L123" s="2">
        <v>0.29699999999999999</v>
      </c>
      <c r="M123" s="2">
        <v>0.21299999999999999</v>
      </c>
      <c r="N123" s="2">
        <v>9.9000000000000005E-2</v>
      </c>
      <c r="O123" s="2">
        <v>9.4E-2</v>
      </c>
      <c r="P123" s="2">
        <v>0.58499999999999996</v>
      </c>
      <c r="Q123" s="2">
        <v>0.86699999999999999</v>
      </c>
      <c r="R123" s="2">
        <v>0.5</v>
      </c>
      <c r="S123" s="2">
        <v>0.41899999999999998</v>
      </c>
      <c r="T123" s="2">
        <v>0.35</v>
      </c>
      <c r="U123" s="2">
        <v>0.26300000000000001</v>
      </c>
      <c r="V123" s="2">
        <v>0.69199999999999995</v>
      </c>
      <c r="W123" s="2">
        <v>1</v>
      </c>
      <c r="X123" s="2">
        <v>0.153</v>
      </c>
      <c r="Y123" s="2">
        <v>28</v>
      </c>
      <c r="Z123" s="2">
        <v>0.47399999999999998</v>
      </c>
      <c r="AA123" s="2">
        <v>0.111</v>
      </c>
      <c r="AB123" s="2">
        <v>0</v>
      </c>
      <c r="AC123" s="2">
        <v>0</v>
      </c>
    </row>
    <row r="124" spans="1:29" x14ac:dyDescent="0.2">
      <c r="A124" t="s">
        <v>449</v>
      </c>
      <c r="B124" s="2">
        <v>36</v>
      </c>
      <c r="C124" t="s">
        <v>46</v>
      </c>
      <c r="D124" s="2" t="s">
        <v>42</v>
      </c>
      <c r="E124" s="2">
        <v>10</v>
      </c>
      <c r="F124" s="2">
        <v>0</v>
      </c>
      <c r="G124" s="2">
        <v>98</v>
      </c>
      <c r="H124" s="2">
        <v>0.57099999999999995</v>
      </c>
      <c r="I124" s="2">
        <v>2.5</v>
      </c>
      <c r="J124" s="2">
        <v>1</v>
      </c>
      <c r="K124" s="2">
        <v>0.66700000000000004</v>
      </c>
      <c r="L124" s="2">
        <v>0.33300000000000002</v>
      </c>
      <c r="M124" s="2">
        <v>0</v>
      </c>
      <c r="N124" s="2">
        <v>0</v>
      </c>
      <c r="O124" s="2">
        <v>0</v>
      </c>
      <c r="P124" s="2">
        <v>0.57099999999999995</v>
      </c>
      <c r="Q124" s="2">
        <v>0.71399999999999997</v>
      </c>
      <c r="R124" s="2">
        <v>0.28599999999999998</v>
      </c>
      <c r="S124" s="2"/>
      <c r="T124" s="2"/>
      <c r="U124" s="2"/>
      <c r="V124" s="2">
        <v>0.58299999999999996</v>
      </c>
      <c r="W124" s="2"/>
      <c r="X124" s="2">
        <v>0.38100000000000001</v>
      </c>
      <c r="Y124" s="2">
        <v>7</v>
      </c>
      <c r="Z124" s="2"/>
      <c r="AA124" s="2"/>
      <c r="AB124" s="2">
        <v>0</v>
      </c>
      <c r="AC124" s="2">
        <v>0</v>
      </c>
    </row>
    <row r="125" spans="1:29" x14ac:dyDescent="0.2">
      <c r="A125" t="s">
        <v>285</v>
      </c>
      <c r="B125" s="2">
        <v>28</v>
      </c>
      <c r="C125" t="s">
        <v>117</v>
      </c>
      <c r="D125" s="2" t="s">
        <v>33</v>
      </c>
      <c r="E125" s="2">
        <v>9</v>
      </c>
      <c r="F125" s="2">
        <v>9</v>
      </c>
      <c r="G125" s="2">
        <v>295</v>
      </c>
      <c r="H125" s="2">
        <v>0.34699999999999998</v>
      </c>
      <c r="I125" s="2">
        <v>14.9</v>
      </c>
      <c r="J125" s="2">
        <v>0.63300000000000001</v>
      </c>
      <c r="K125" s="2">
        <v>0.17699999999999999</v>
      </c>
      <c r="L125" s="2">
        <v>0.184</v>
      </c>
      <c r="M125" s="2">
        <v>0.17699999999999999</v>
      </c>
      <c r="N125" s="2">
        <v>9.5000000000000001E-2</v>
      </c>
      <c r="O125" s="2">
        <v>0.36699999999999999</v>
      </c>
      <c r="P125" s="2">
        <v>0.39800000000000002</v>
      </c>
      <c r="Q125" s="2">
        <v>0.57699999999999996</v>
      </c>
      <c r="R125" s="2">
        <v>0.33300000000000002</v>
      </c>
      <c r="S125" s="2">
        <v>0.38500000000000001</v>
      </c>
      <c r="T125" s="2">
        <v>0.214</v>
      </c>
      <c r="U125" s="2">
        <v>0.25900000000000001</v>
      </c>
      <c r="V125" s="2">
        <v>0.216</v>
      </c>
      <c r="W125" s="2">
        <v>0.57099999999999995</v>
      </c>
      <c r="X125" s="2">
        <v>7.0000000000000001E-3</v>
      </c>
      <c r="Y125" s="2">
        <v>1</v>
      </c>
      <c r="Z125" s="2">
        <v>0.14799999999999999</v>
      </c>
      <c r="AA125" s="2">
        <v>0.125</v>
      </c>
      <c r="AB125" s="2">
        <v>0</v>
      </c>
      <c r="AC125" s="2">
        <v>0</v>
      </c>
    </row>
    <row r="126" spans="1:29" x14ac:dyDescent="0.2">
      <c r="A126" t="s">
        <v>407</v>
      </c>
      <c r="B126" s="2">
        <v>32</v>
      </c>
      <c r="C126" t="s">
        <v>35</v>
      </c>
      <c r="D126" s="2" t="s">
        <v>33</v>
      </c>
      <c r="E126" s="2">
        <v>18</v>
      </c>
      <c r="F126" s="2">
        <v>2</v>
      </c>
      <c r="G126" s="2">
        <v>287</v>
      </c>
      <c r="H126" s="2">
        <v>0.32100000000000001</v>
      </c>
      <c r="I126" s="2">
        <v>17.3</v>
      </c>
      <c r="J126" s="2">
        <v>0.39600000000000002</v>
      </c>
      <c r="K126" s="2">
        <v>0.189</v>
      </c>
      <c r="L126" s="2">
        <v>0.189</v>
      </c>
      <c r="M126" s="2">
        <v>1.9E-2</v>
      </c>
      <c r="N126" s="2">
        <v>0</v>
      </c>
      <c r="O126" s="2">
        <v>0.60399999999999998</v>
      </c>
      <c r="P126" s="2">
        <v>0.38100000000000001</v>
      </c>
      <c r="Q126" s="2">
        <v>0.6</v>
      </c>
      <c r="R126" s="2">
        <v>0.1</v>
      </c>
      <c r="S126" s="2">
        <v>1</v>
      </c>
      <c r="T126" s="2"/>
      <c r="U126" s="2">
        <v>0.28100000000000003</v>
      </c>
      <c r="V126" s="2">
        <v>0.125</v>
      </c>
      <c r="W126" s="2">
        <v>1</v>
      </c>
      <c r="X126" s="2">
        <v>0</v>
      </c>
      <c r="Y126" s="2">
        <v>0</v>
      </c>
      <c r="Z126" s="2">
        <v>0.25</v>
      </c>
      <c r="AA126" s="2">
        <v>0.5</v>
      </c>
      <c r="AB126" s="2">
        <v>0</v>
      </c>
      <c r="AC126" s="2">
        <v>0</v>
      </c>
    </row>
    <row r="127" spans="1:29" x14ac:dyDescent="0.2">
      <c r="A127" t="s">
        <v>88</v>
      </c>
      <c r="B127" s="2">
        <v>35</v>
      </c>
      <c r="C127" t="s">
        <v>37</v>
      </c>
      <c r="D127" s="2" t="s">
        <v>49</v>
      </c>
      <c r="E127" s="2">
        <v>21</v>
      </c>
      <c r="F127" s="2">
        <v>21</v>
      </c>
      <c r="G127" s="2">
        <v>747</v>
      </c>
      <c r="H127" s="2">
        <v>0.499</v>
      </c>
      <c r="I127" s="2">
        <v>14.5</v>
      </c>
      <c r="J127" s="2">
        <v>0.86799999999999999</v>
      </c>
      <c r="K127" s="2">
        <v>8.3000000000000004E-2</v>
      </c>
      <c r="L127" s="2">
        <v>0.158</v>
      </c>
      <c r="M127" s="2">
        <v>0.32700000000000001</v>
      </c>
      <c r="N127" s="2">
        <v>0.30099999999999999</v>
      </c>
      <c r="O127" s="2">
        <v>0.13200000000000001</v>
      </c>
      <c r="P127" s="2">
        <v>0.52500000000000002</v>
      </c>
      <c r="Q127" s="2">
        <v>0.75900000000000001</v>
      </c>
      <c r="R127" s="2">
        <v>0.54500000000000004</v>
      </c>
      <c r="S127" s="2">
        <v>0.48199999999999998</v>
      </c>
      <c r="T127" s="2">
        <v>0.495</v>
      </c>
      <c r="U127" s="2">
        <v>0.32600000000000001</v>
      </c>
      <c r="V127" s="2">
        <v>0.371</v>
      </c>
      <c r="W127" s="2">
        <v>0.8</v>
      </c>
      <c r="X127" s="2">
        <v>6.0000000000000001E-3</v>
      </c>
      <c r="Y127" s="2">
        <v>2</v>
      </c>
      <c r="Z127" s="2">
        <v>0.41299999999999998</v>
      </c>
      <c r="AA127" s="2">
        <v>0.42099999999999999</v>
      </c>
      <c r="AB127" s="2">
        <v>1</v>
      </c>
      <c r="AC127" s="2">
        <v>0</v>
      </c>
    </row>
    <row r="128" spans="1:29" x14ac:dyDescent="0.2">
      <c r="A128" t="s">
        <v>169</v>
      </c>
      <c r="B128" s="2">
        <v>24</v>
      </c>
      <c r="C128" t="s">
        <v>135</v>
      </c>
      <c r="D128" s="2" t="s">
        <v>49</v>
      </c>
      <c r="E128" s="2">
        <v>24</v>
      </c>
      <c r="F128" s="2">
        <v>12</v>
      </c>
      <c r="G128" s="2">
        <v>638</v>
      </c>
      <c r="H128" s="2">
        <v>0.41399999999999998</v>
      </c>
      <c r="I128" s="2">
        <v>13.4</v>
      </c>
      <c r="J128" s="2">
        <v>0.58599999999999997</v>
      </c>
      <c r="K128" s="2">
        <v>0.29699999999999999</v>
      </c>
      <c r="L128" s="2">
        <v>0.216</v>
      </c>
      <c r="M128" s="2">
        <v>0.05</v>
      </c>
      <c r="N128" s="2">
        <v>2.3E-2</v>
      </c>
      <c r="O128" s="2">
        <v>0.41399999999999998</v>
      </c>
      <c r="P128" s="2">
        <v>0.46200000000000002</v>
      </c>
      <c r="Q128" s="2">
        <v>0.53</v>
      </c>
      <c r="R128" s="2">
        <v>0.375</v>
      </c>
      <c r="S128" s="2">
        <v>0.36399999999999999</v>
      </c>
      <c r="T128" s="2">
        <v>0.6</v>
      </c>
      <c r="U128" s="2">
        <v>0.34799999999999998</v>
      </c>
      <c r="V128" s="2">
        <v>0.41699999999999998</v>
      </c>
      <c r="W128" s="2">
        <v>0.81299999999999994</v>
      </c>
      <c r="X128" s="2">
        <v>2.7E-2</v>
      </c>
      <c r="Y128" s="2">
        <v>5</v>
      </c>
      <c r="Z128" s="2">
        <v>0.185</v>
      </c>
      <c r="AA128" s="2">
        <v>0.29399999999999998</v>
      </c>
      <c r="AB128" s="2">
        <v>0</v>
      </c>
      <c r="AC128" s="2">
        <v>0</v>
      </c>
    </row>
    <row r="129" spans="1:29" x14ac:dyDescent="0.2">
      <c r="A129" t="s">
        <v>112</v>
      </c>
      <c r="B129" s="2">
        <v>31</v>
      </c>
      <c r="C129" t="s">
        <v>103</v>
      </c>
      <c r="D129" s="2" t="s">
        <v>33</v>
      </c>
      <c r="E129" s="2">
        <v>22</v>
      </c>
      <c r="F129" s="2">
        <v>22</v>
      </c>
      <c r="G129" s="2">
        <v>746</v>
      </c>
      <c r="H129" s="2">
        <v>0.44800000000000001</v>
      </c>
      <c r="I129" s="2">
        <v>15.7</v>
      </c>
      <c r="J129" s="2">
        <v>0.54600000000000004</v>
      </c>
      <c r="K129" s="2">
        <v>0.2</v>
      </c>
      <c r="L129" s="2">
        <v>0.17100000000000001</v>
      </c>
      <c r="M129" s="2">
        <v>0.124</v>
      </c>
      <c r="N129" s="2">
        <v>5.0999999999999997E-2</v>
      </c>
      <c r="O129" s="2">
        <v>0.45400000000000001</v>
      </c>
      <c r="P129" s="2">
        <v>0.5</v>
      </c>
      <c r="Q129" s="2">
        <v>0.65100000000000002</v>
      </c>
      <c r="R129" s="2">
        <v>0.29599999999999999</v>
      </c>
      <c r="S129" s="2">
        <v>0.56399999999999995</v>
      </c>
      <c r="T129" s="2">
        <v>0.438</v>
      </c>
      <c r="U129" s="2">
        <v>0.38500000000000001</v>
      </c>
      <c r="V129" s="2">
        <v>0.221</v>
      </c>
      <c r="W129" s="2">
        <v>0.69099999999999995</v>
      </c>
      <c r="X129" s="2">
        <v>0</v>
      </c>
      <c r="Y129" s="2">
        <v>0</v>
      </c>
      <c r="Z129" s="2">
        <v>9.0999999999999998E-2</v>
      </c>
      <c r="AA129" s="2">
        <v>0.46200000000000002</v>
      </c>
      <c r="AB129" s="2">
        <v>1</v>
      </c>
      <c r="AC129" s="2">
        <v>0</v>
      </c>
    </row>
    <row r="130" spans="1:29" x14ac:dyDescent="0.2">
      <c r="A130" t="s">
        <v>256</v>
      </c>
      <c r="B130" s="2">
        <v>20</v>
      </c>
      <c r="C130" t="s">
        <v>63</v>
      </c>
      <c r="D130" s="2" t="s">
        <v>42</v>
      </c>
      <c r="E130" s="2">
        <v>20</v>
      </c>
      <c r="F130" s="2">
        <v>13</v>
      </c>
      <c r="G130" s="2">
        <v>470</v>
      </c>
      <c r="H130" s="2">
        <v>0.67600000000000005</v>
      </c>
      <c r="I130" s="2">
        <v>2.9</v>
      </c>
      <c r="J130" s="2">
        <v>1</v>
      </c>
      <c r="K130" s="2">
        <v>0.629</v>
      </c>
      <c r="L130" s="2">
        <v>0.34300000000000003</v>
      </c>
      <c r="M130" s="2">
        <v>2.9000000000000001E-2</v>
      </c>
      <c r="N130" s="2">
        <v>0</v>
      </c>
      <c r="O130" s="2">
        <v>0</v>
      </c>
      <c r="P130" s="2">
        <v>0.67600000000000005</v>
      </c>
      <c r="Q130" s="2">
        <v>0.77300000000000002</v>
      </c>
      <c r="R130" s="2">
        <v>0.52800000000000002</v>
      </c>
      <c r="S130" s="2">
        <v>0.33300000000000002</v>
      </c>
      <c r="T130" s="2"/>
      <c r="U130" s="2"/>
      <c r="V130" s="2">
        <v>0.77500000000000002</v>
      </c>
      <c r="W130" s="2"/>
      <c r="X130" s="2">
        <v>0.44800000000000001</v>
      </c>
      <c r="Y130" s="2">
        <v>41</v>
      </c>
      <c r="Z130" s="2"/>
      <c r="AA130" s="2"/>
      <c r="AB130" s="2">
        <v>0</v>
      </c>
      <c r="AC130" s="2">
        <v>0</v>
      </c>
    </row>
    <row r="131" spans="1:29" x14ac:dyDescent="0.2">
      <c r="A131" t="s">
        <v>188</v>
      </c>
      <c r="B131" s="2">
        <v>27</v>
      </c>
      <c r="C131" t="s">
        <v>77</v>
      </c>
      <c r="D131" s="2" t="s">
        <v>49</v>
      </c>
      <c r="E131" s="2">
        <v>25</v>
      </c>
      <c r="F131" s="2">
        <v>25</v>
      </c>
      <c r="G131" s="2">
        <v>625</v>
      </c>
      <c r="H131" s="2">
        <v>0.5</v>
      </c>
      <c r="I131" s="2">
        <v>11.8</v>
      </c>
      <c r="J131" s="2">
        <v>0.629</v>
      </c>
      <c r="K131" s="2">
        <v>0.33500000000000002</v>
      </c>
      <c r="L131" s="2">
        <v>0.253</v>
      </c>
      <c r="M131" s="2">
        <v>2.1000000000000001E-2</v>
      </c>
      <c r="N131" s="2">
        <v>2.1000000000000001E-2</v>
      </c>
      <c r="O131" s="2">
        <v>0.371</v>
      </c>
      <c r="P131" s="2">
        <v>0.54900000000000004</v>
      </c>
      <c r="Q131" s="2">
        <v>0.70799999999999996</v>
      </c>
      <c r="R131" s="2">
        <v>0.36699999999999999</v>
      </c>
      <c r="S131" s="2">
        <v>0.75</v>
      </c>
      <c r="T131" s="2">
        <v>0</v>
      </c>
      <c r="U131" s="2">
        <v>0.41699999999999998</v>
      </c>
      <c r="V131" s="2">
        <v>0.79100000000000004</v>
      </c>
      <c r="W131" s="2">
        <v>1</v>
      </c>
      <c r="X131" s="2">
        <v>0.17</v>
      </c>
      <c r="Y131" s="2">
        <v>30</v>
      </c>
      <c r="Z131" s="2">
        <v>0.41699999999999998</v>
      </c>
      <c r="AA131" s="2">
        <v>0.53300000000000003</v>
      </c>
      <c r="AB131" s="2">
        <v>1</v>
      </c>
      <c r="AC131" s="2">
        <v>0</v>
      </c>
    </row>
    <row r="132" spans="1:29" x14ac:dyDescent="0.2">
      <c r="A132" t="s">
        <v>108</v>
      </c>
      <c r="B132" s="2">
        <v>30</v>
      </c>
      <c r="C132" t="s">
        <v>39</v>
      </c>
      <c r="D132" s="2" t="s">
        <v>52</v>
      </c>
      <c r="E132" s="2">
        <v>24</v>
      </c>
      <c r="F132" s="2">
        <v>24</v>
      </c>
      <c r="G132" s="2">
        <v>827</v>
      </c>
      <c r="H132" s="2">
        <v>0.45400000000000001</v>
      </c>
      <c r="I132" s="2">
        <v>20.3</v>
      </c>
      <c r="J132" s="2">
        <v>0.29499999999999998</v>
      </c>
      <c r="K132" s="2">
        <v>8.3000000000000004E-2</v>
      </c>
      <c r="L132" s="2">
        <v>0.14000000000000001</v>
      </c>
      <c r="M132" s="2">
        <v>4.8000000000000001E-2</v>
      </c>
      <c r="N132" s="2">
        <v>2.5000000000000001E-2</v>
      </c>
      <c r="O132" s="2">
        <v>0.70499999999999996</v>
      </c>
      <c r="P132" s="2">
        <v>0.58099999999999996</v>
      </c>
      <c r="Q132" s="2">
        <v>0.61499999999999999</v>
      </c>
      <c r="R132" s="2">
        <v>0.59099999999999997</v>
      </c>
      <c r="S132" s="2">
        <v>0.66700000000000004</v>
      </c>
      <c r="T132" s="2">
        <v>0.25</v>
      </c>
      <c r="U132" s="2">
        <v>0.40100000000000002</v>
      </c>
      <c r="V132" s="2">
        <v>0.46300000000000002</v>
      </c>
      <c r="W132" s="2">
        <v>0.86499999999999999</v>
      </c>
      <c r="X132" s="2">
        <v>0.01</v>
      </c>
      <c r="Y132" s="2">
        <v>3</v>
      </c>
      <c r="Z132" s="2">
        <v>0.17599999999999999</v>
      </c>
      <c r="AA132" s="2">
        <v>0.48699999999999999</v>
      </c>
      <c r="AB132" s="2">
        <v>0</v>
      </c>
      <c r="AC132" s="2">
        <v>0</v>
      </c>
    </row>
    <row r="133" spans="1:29" x14ac:dyDescent="0.2">
      <c r="A133" t="s">
        <v>194</v>
      </c>
      <c r="B133" s="2">
        <v>26</v>
      </c>
      <c r="C133" t="s">
        <v>80</v>
      </c>
      <c r="D133" s="2" t="s">
        <v>52</v>
      </c>
      <c r="E133" s="2">
        <v>17</v>
      </c>
      <c r="F133" s="2">
        <v>16</v>
      </c>
      <c r="G133" s="2">
        <v>481</v>
      </c>
      <c r="H133" s="2">
        <v>0.434</v>
      </c>
      <c r="I133" s="2">
        <v>15.4</v>
      </c>
      <c r="J133" s="2">
        <v>0.54700000000000004</v>
      </c>
      <c r="K133" s="2">
        <v>0.21199999999999999</v>
      </c>
      <c r="L133" s="2">
        <v>0.19800000000000001</v>
      </c>
      <c r="M133" s="2">
        <v>7.4999999999999997E-2</v>
      </c>
      <c r="N133" s="2">
        <v>6.0999999999999999E-2</v>
      </c>
      <c r="O133" s="2">
        <v>0.45300000000000001</v>
      </c>
      <c r="P133" s="2">
        <v>0.52600000000000002</v>
      </c>
      <c r="Q133" s="2">
        <v>0.68899999999999995</v>
      </c>
      <c r="R133" s="2">
        <v>0.40500000000000003</v>
      </c>
      <c r="S133" s="2">
        <v>0.313</v>
      </c>
      <c r="T133" s="2">
        <v>0.61499999999999999</v>
      </c>
      <c r="U133" s="2">
        <v>0.32300000000000001</v>
      </c>
      <c r="V133" s="2">
        <v>0.45900000000000002</v>
      </c>
      <c r="W133" s="2">
        <v>0.74199999999999999</v>
      </c>
      <c r="X133" s="2">
        <v>5.0000000000000001E-3</v>
      </c>
      <c r="Y133" s="2">
        <v>1</v>
      </c>
      <c r="Z133" s="2">
        <v>0.14599999999999999</v>
      </c>
      <c r="AA133" s="2">
        <v>0.35699999999999998</v>
      </c>
      <c r="AB133" s="2">
        <v>0</v>
      </c>
      <c r="AC133" s="2">
        <v>0</v>
      </c>
    </row>
    <row r="134" spans="1:29" x14ac:dyDescent="0.2">
      <c r="A134" t="s">
        <v>53</v>
      </c>
      <c r="B134" s="2">
        <v>28</v>
      </c>
      <c r="C134" t="s">
        <v>54</v>
      </c>
      <c r="D134" s="2" t="s">
        <v>52</v>
      </c>
      <c r="E134" s="2">
        <v>23</v>
      </c>
      <c r="F134" s="2">
        <v>23</v>
      </c>
      <c r="G134" s="2">
        <v>851</v>
      </c>
      <c r="H134" s="2">
        <v>0.432</v>
      </c>
      <c r="I134" s="2">
        <v>16.600000000000001</v>
      </c>
      <c r="J134" s="2">
        <v>0.58199999999999996</v>
      </c>
      <c r="K134" s="2">
        <v>0.11600000000000001</v>
      </c>
      <c r="L134" s="2">
        <v>0.159</v>
      </c>
      <c r="M134" s="2">
        <v>0.17100000000000001</v>
      </c>
      <c r="N134" s="2">
        <v>0.13500000000000001</v>
      </c>
      <c r="O134" s="2">
        <v>0.41799999999999998</v>
      </c>
      <c r="P134" s="2">
        <v>0.502</v>
      </c>
      <c r="Q134" s="2">
        <v>0.63300000000000001</v>
      </c>
      <c r="R134" s="2">
        <v>0.433</v>
      </c>
      <c r="S134" s="2">
        <v>0.5</v>
      </c>
      <c r="T134" s="2">
        <v>0.47399999999999998</v>
      </c>
      <c r="U134" s="2">
        <v>0.33500000000000002</v>
      </c>
      <c r="V134" s="2">
        <v>0.41499999999999998</v>
      </c>
      <c r="W134" s="2">
        <v>0.76300000000000001</v>
      </c>
      <c r="X134" s="2">
        <v>1.2E-2</v>
      </c>
      <c r="Y134" s="2">
        <v>3</v>
      </c>
      <c r="Z134" s="2">
        <v>0.125</v>
      </c>
      <c r="AA134" s="2">
        <v>0.40899999999999997</v>
      </c>
      <c r="AB134" s="2">
        <v>0</v>
      </c>
      <c r="AC134" s="2">
        <v>0</v>
      </c>
    </row>
    <row r="135" spans="1:29" x14ac:dyDescent="0.2">
      <c r="A135" t="s">
        <v>282</v>
      </c>
      <c r="B135" s="2">
        <v>24</v>
      </c>
      <c r="C135" t="s">
        <v>93</v>
      </c>
      <c r="D135" s="2" t="s">
        <v>52</v>
      </c>
      <c r="E135" s="2">
        <v>9</v>
      </c>
      <c r="F135" s="2">
        <v>0</v>
      </c>
      <c r="G135" s="2">
        <v>216</v>
      </c>
      <c r="H135" s="2">
        <v>0.48599999999999999</v>
      </c>
      <c r="I135" s="2">
        <v>17.5</v>
      </c>
      <c r="J135" s="2">
        <v>0.53200000000000003</v>
      </c>
      <c r="K135" s="2">
        <v>0.108</v>
      </c>
      <c r="L135" s="2">
        <v>0.13500000000000001</v>
      </c>
      <c r="M135" s="2">
        <v>0.17100000000000001</v>
      </c>
      <c r="N135" s="2">
        <v>0.11700000000000001</v>
      </c>
      <c r="O135" s="2">
        <v>0.46800000000000003</v>
      </c>
      <c r="P135" s="2">
        <v>0.54200000000000004</v>
      </c>
      <c r="Q135" s="2">
        <v>0.75</v>
      </c>
      <c r="R135" s="2">
        <v>0.4</v>
      </c>
      <c r="S135" s="2">
        <v>0.63200000000000001</v>
      </c>
      <c r="T135" s="2">
        <v>0.38500000000000001</v>
      </c>
      <c r="U135" s="2">
        <v>0.42299999999999999</v>
      </c>
      <c r="V135" s="2">
        <v>0.68799999999999994</v>
      </c>
      <c r="W135" s="2">
        <v>0.63600000000000001</v>
      </c>
      <c r="X135" s="2">
        <v>4.4999999999999998E-2</v>
      </c>
      <c r="Y135" s="2">
        <v>5</v>
      </c>
      <c r="Z135" s="2">
        <v>0.192</v>
      </c>
      <c r="AA135" s="2">
        <v>0.6</v>
      </c>
      <c r="AB135" s="2">
        <v>1</v>
      </c>
      <c r="AC135" s="2">
        <v>0</v>
      </c>
    </row>
    <row r="136" spans="1:29" x14ac:dyDescent="0.2">
      <c r="A136" t="s">
        <v>150</v>
      </c>
      <c r="B136" s="2">
        <v>29</v>
      </c>
      <c r="C136" t="s">
        <v>87</v>
      </c>
      <c r="D136" s="2" t="s">
        <v>49</v>
      </c>
      <c r="E136" s="2">
        <v>25</v>
      </c>
      <c r="F136" s="2">
        <v>25</v>
      </c>
      <c r="G136" s="2">
        <v>782</v>
      </c>
      <c r="H136" s="2">
        <v>0.42399999999999999</v>
      </c>
      <c r="I136" s="2">
        <v>16.2</v>
      </c>
      <c r="J136" s="2">
        <v>0.51400000000000001</v>
      </c>
      <c r="K136" s="2">
        <v>0.16300000000000001</v>
      </c>
      <c r="L136" s="2">
        <v>0.159</v>
      </c>
      <c r="M136" s="2">
        <v>0.13</v>
      </c>
      <c r="N136" s="2">
        <v>6.2E-2</v>
      </c>
      <c r="O136" s="2">
        <v>0.48599999999999999</v>
      </c>
      <c r="P136" s="2">
        <v>0.46500000000000002</v>
      </c>
      <c r="Q136" s="2">
        <v>0.55600000000000005</v>
      </c>
      <c r="R136" s="2">
        <v>0.52300000000000002</v>
      </c>
      <c r="S136" s="2">
        <v>0.30599999999999999</v>
      </c>
      <c r="T136" s="2">
        <v>0.41199999999999998</v>
      </c>
      <c r="U136" s="2">
        <v>0.38100000000000001</v>
      </c>
      <c r="V136" s="2">
        <v>0.45500000000000002</v>
      </c>
      <c r="W136" s="2">
        <v>1</v>
      </c>
      <c r="X136" s="2">
        <v>2.9000000000000001E-2</v>
      </c>
      <c r="Y136" s="2">
        <v>8</v>
      </c>
      <c r="Z136" s="2">
        <v>0.224</v>
      </c>
      <c r="AA136" s="2">
        <v>0.36699999999999999</v>
      </c>
      <c r="AB136" s="2">
        <v>0</v>
      </c>
      <c r="AC136" s="2">
        <v>0</v>
      </c>
    </row>
    <row r="137" spans="1:29" x14ac:dyDescent="0.2">
      <c r="A137" t="s">
        <v>404</v>
      </c>
      <c r="B137" s="2">
        <v>23</v>
      </c>
      <c r="C137" t="s">
        <v>32</v>
      </c>
      <c r="D137" s="2" t="s">
        <v>49</v>
      </c>
      <c r="E137" s="2">
        <v>21</v>
      </c>
      <c r="F137" s="2">
        <v>0</v>
      </c>
      <c r="G137" s="2">
        <v>177</v>
      </c>
      <c r="H137" s="2">
        <v>0.34499999999999997</v>
      </c>
      <c r="I137" s="2">
        <v>16.5</v>
      </c>
      <c r="J137" s="2">
        <v>0.4</v>
      </c>
      <c r="K137" s="2">
        <v>0.23599999999999999</v>
      </c>
      <c r="L137" s="2">
        <v>0.127</v>
      </c>
      <c r="M137" s="2">
        <v>3.5999999999999997E-2</v>
      </c>
      <c r="N137" s="2">
        <v>0</v>
      </c>
      <c r="O137" s="2">
        <v>0.6</v>
      </c>
      <c r="P137" s="2">
        <v>0.54500000000000004</v>
      </c>
      <c r="Q137" s="2">
        <v>0.61499999999999999</v>
      </c>
      <c r="R137" s="2">
        <v>0.42899999999999999</v>
      </c>
      <c r="S137" s="2">
        <v>0.5</v>
      </c>
      <c r="T137" s="2"/>
      <c r="U137" s="2">
        <v>0.21199999999999999</v>
      </c>
      <c r="V137" s="2">
        <v>0.5</v>
      </c>
      <c r="W137" s="2">
        <v>1</v>
      </c>
      <c r="X137" s="2">
        <v>0</v>
      </c>
      <c r="Y137" s="2">
        <v>0</v>
      </c>
      <c r="Z137" s="2">
        <v>0.30299999999999999</v>
      </c>
      <c r="AA137" s="2">
        <v>0.2</v>
      </c>
      <c r="AB137" s="2">
        <v>0</v>
      </c>
      <c r="AC137" s="2">
        <v>0</v>
      </c>
    </row>
    <row r="138" spans="1:29" x14ac:dyDescent="0.2">
      <c r="A138" t="s">
        <v>78</v>
      </c>
      <c r="B138" s="2">
        <v>28</v>
      </c>
      <c r="C138" t="s">
        <v>37</v>
      </c>
      <c r="D138" s="2" t="s">
        <v>42</v>
      </c>
      <c r="E138" s="2">
        <v>24</v>
      </c>
      <c r="F138" s="2">
        <v>24</v>
      </c>
      <c r="G138" s="2">
        <v>859</v>
      </c>
      <c r="H138" s="2">
        <v>0.628</v>
      </c>
      <c r="I138" s="2">
        <v>8.1999999999999993</v>
      </c>
      <c r="J138" s="2">
        <v>0.81599999999999995</v>
      </c>
      <c r="K138" s="2">
        <v>0.47199999999999998</v>
      </c>
      <c r="L138" s="2">
        <v>0.24299999999999999</v>
      </c>
      <c r="M138" s="2">
        <v>5.8000000000000003E-2</v>
      </c>
      <c r="N138" s="2">
        <v>4.2000000000000003E-2</v>
      </c>
      <c r="O138" s="2">
        <v>0.184</v>
      </c>
      <c r="P138" s="2">
        <v>0.67100000000000004</v>
      </c>
      <c r="Q138" s="2">
        <v>0.753</v>
      </c>
      <c r="R138" s="2">
        <v>0.56000000000000005</v>
      </c>
      <c r="S138" s="2">
        <v>0.5</v>
      </c>
      <c r="T138" s="2">
        <v>0.61499999999999999</v>
      </c>
      <c r="U138" s="2">
        <v>0.439</v>
      </c>
      <c r="V138" s="2">
        <v>0.627</v>
      </c>
      <c r="W138" s="2">
        <v>1</v>
      </c>
      <c r="X138" s="2">
        <v>9.4E-2</v>
      </c>
      <c r="Y138" s="2">
        <v>28</v>
      </c>
      <c r="Z138" s="2">
        <v>7.0000000000000007E-2</v>
      </c>
      <c r="AA138" s="2">
        <v>0.75</v>
      </c>
      <c r="AB138" s="2">
        <v>0</v>
      </c>
      <c r="AC138" s="2">
        <v>0</v>
      </c>
    </row>
    <row r="139" spans="1:29" x14ac:dyDescent="0.2">
      <c r="A139" t="s">
        <v>552</v>
      </c>
      <c r="B139" s="2">
        <v>21</v>
      </c>
      <c r="C139" t="s">
        <v>72</v>
      </c>
      <c r="D139" s="2" t="s">
        <v>49</v>
      </c>
      <c r="E139" s="2">
        <v>2</v>
      </c>
      <c r="F139" s="2">
        <v>0</v>
      </c>
      <c r="G139" s="2">
        <v>11</v>
      </c>
      <c r="H139" s="2">
        <v>0</v>
      </c>
      <c r="I139" s="2">
        <v>11.6</v>
      </c>
      <c r="J139" s="2">
        <v>1</v>
      </c>
      <c r="K139" s="2">
        <v>0</v>
      </c>
      <c r="L139" s="2">
        <v>0</v>
      </c>
      <c r="M139" s="2">
        <v>1</v>
      </c>
      <c r="N139" s="2">
        <v>0</v>
      </c>
      <c r="O139" s="2">
        <v>0</v>
      </c>
      <c r="P139" s="2">
        <v>0</v>
      </c>
      <c r="Q139" s="2"/>
      <c r="R139" s="2"/>
      <c r="S139" s="2">
        <v>0</v>
      </c>
      <c r="T139" s="2"/>
      <c r="U139" s="2"/>
      <c r="V139" s="2"/>
      <c r="W139" s="2"/>
      <c r="X139" s="2">
        <v>0</v>
      </c>
      <c r="Y139" s="2">
        <v>0</v>
      </c>
      <c r="Z139" s="2"/>
      <c r="AA139" s="2"/>
      <c r="AB139" s="2">
        <v>0</v>
      </c>
      <c r="AC139" s="2">
        <v>0</v>
      </c>
    </row>
    <row r="140" spans="1:29" x14ac:dyDescent="0.2">
      <c r="A140" t="s">
        <v>339</v>
      </c>
      <c r="B140" s="2">
        <v>20</v>
      </c>
      <c r="C140" t="s">
        <v>135</v>
      </c>
      <c r="D140" s="2" t="s">
        <v>42</v>
      </c>
      <c r="E140" s="2">
        <v>17</v>
      </c>
      <c r="F140" s="2">
        <v>6</v>
      </c>
      <c r="G140" s="2">
        <v>289</v>
      </c>
      <c r="H140" s="2">
        <v>0.52600000000000002</v>
      </c>
      <c r="I140" s="2">
        <v>4.5</v>
      </c>
      <c r="J140" s="2">
        <v>0.88200000000000001</v>
      </c>
      <c r="K140" s="2">
        <v>0.81599999999999995</v>
      </c>
      <c r="L140" s="2">
        <v>5.2999999999999999E-2</v>
      </c>
      <c r="M140" s="2">
        <v>1.2999999999999999E-2</v>
      </c>
      <c r="N140" s="2">
        <v>0</v>
      </c>
      <c r="O140" s="2">
        <v>0.11799999999999999</v>
      </c>
      <c r="P140" s="2">
        <v>0.55200000000000005</v>
      </c>
      <c r="Q140" s="2">
        <v>0.59699999999999998</v>
      </c>
      <c r="R140" s="2">
        <v>0</v>
      </c>
      <c r="S140" s="2">
        <v>0</v>
      </c>
      <c r="T140" s="2"/>
      <c r="U140" s="2">
        <v>0.33300000000000002</v>
      </c>
      <c r="V140" s="2">
        <v>0.54100000000000004</v>
      </c>
      <c r="W140" s="2">
        <v>1</v>
      </c>
      <c r="X140" s="2">
        <v>0.28899999999999998</v>
      </c>
      <c r="Y140" s="2">
        <v>16</v>
      </c>
      <c r="Z140" s="2">
        <v>0.222</v>
      </c>
      <c r="AA140" s="2">
        <v>0.5</v>
      </c>
      <c r="AB140" s="2">
        <v>0</v>
      </c>
      <c r="AC140" s="2">
        <v>0</v>
      </c>
    </row>
    <row r="141" spans="1:29" x14ac:dyDescent="0.2">
      <c r="A141" t="s">
        <v>56</v>
      </c>
      <c r="B141" s="2">
        <v>28</v>
      </c>
      <c r="C141" t="s">
        <v>57</v>
      </c>
      <c r="D141" s="2" t="s">
        <v>52</v>
      </c>
      <c r="E141" s="2">
        <v>24</v>
      </c>
      <c r="F141" s="2">
        <v>24</v>
      </c>
      <c r="G141" s="2">
        <v>765</v>
      </c>
      <c r="H141" s="2">
        <v>0.45100000000000001</v>
      </c>
      <c r="I141" s="2">
        <v>17.100000000000001</v>
      </c>
      <c r="J141" s="2">
        <v>0.51500000000000001</v>
      </c>
      <c r="K141" s="2">
        <v>0.19</v>
      </c>
      <c r="L141" s="2">
        <v>0.11700000000000001</v>
      </c>
      <c r="M141" s="2">
        <v>8.4000000000000005E-2</v>
      </c>
      <c r="N141" s="2">
        <v>0.124</v>
      </c>
      <c r="O141" s="2">
        <v>0.48499999999999999</v>
      </c>
      <c r="P141" s="2">
        <v>0.48899999999999999</v>
      </c>
      <c r="Q141" s="2">
        <v>0.59299999999999997</v>
      </c>
      <c r="R141" s="2">
        <v>0.56599999999999995</v>
      </c>
      <c r="S141" s="2">
        <v>0.26300000000000001</v>
      </c>
      <c r="T141" s="2">
        <v>0.41099999999999998</v>
      </c>
      <c r="U141" s="2">
        <v>0.41099999999999998</v>
      </c>
      <c r="V141" s="2">
        <v>0.246</v>
      </c>
      <c r="W141" s="2">
        <v>0.54400000000000004</v>
      </c>
      <c r="X141" s="2">
        <v>7.0000000000000001E-3</v>
      </c>
      <c r="Y141" s="2">
        <v>1</v>
      </c>
      <c r="Z141" s="2">
        <v>8.6999999999999994E-2</v>
      </c>
      <c r="AA141" s="2">
        <v>0.47399999999999998</v>
      </c>
      <c r="AB141" s="2">
        <v>0</v>
      </c>
      <c r="AC141" s="2">
        <v>0</v>
      </c>
    </row>
    <row r="142" spans="1:29" x14ac:dyDescent="0.2">
      <c r="A142" t="s">
        <v>234</v>
      </c>
      <c r="B142" s="2">
        <v>28</v>
      </c>
      <c r="C142" t="s">
        <v>51</v>
      </c>
      <c r="D142" s="2" t="s">
        <v>52</v>
      </c>
      <c r="E142" s="2">
        <v>23</v>
      </c>
      <c r="F142" s="2">
        <v>2</v>
      </c>
      <c r="G142" s="2">
        <v>579</v>
      </c>
      <c r="H142" s="2">
        <v>0.35199999999999998</v>
      </c>
      <c r="I142" s="2">
        <v>21.3</v>
      </c>
      <c r="J142" s="2">
        <v>0.21199999999999999</v>
      </c>
      <c r="K142" s="2">
        <v>0.109</v>
      </c>
      <c r="L142" s="2">
        <v>8.3000000000000004E-2</v>
      </c>
      <c r="M142" s="2">
        <v>2.1000000000000001E-2</v>
      </c>
      <c r="N142" s="2">
        <v>0</v>
      </c>
      <c r="O142" s="2">
        <v>0.78800000000000003</v>
      </c>
      <c r="P142" s="2">
        <v>0.46300000000000002</v>
      </c>
      <c r="Q142" s="2">
        <v>0.52400000000000002</v>
      </c>
      <c r="R142" s="2">
        <v>0.375</v>
      </c>
      <c r="S142" s="2">
        <v>0.5</v>
      </c>
      <c r="T142" s="2"/>
      <c r="U142" s="2">
        <v>0.32200000000000001</v>
      </c>
      <c r="V142" s="2">
        <v>0.63200000000000001</v>
      </c>
      <c r="W142" s="2">
        <v>0.77600000000000002</v>
      </c>
      <c r="X142" s="2">
        <v>0.01</v>
      </c>
      <c r="Y142" s="2">
        <v>1</v>
      </c>
      <c r="Z142" s="2">
        <v>0.217</v>
      </c>
      <c r="AA142" s="2">
        <v>0.24199999999999999</v>
      </c>
      <c r="AB142" s="2">
        <v>1</v>
      </c>
      <c r="AC142" s="2">
        <v>0</v>
      </c>
    </row>
    <row r="143" spans="1:29" x14ac:dyDescent="0.2">
      <c r="A143" t="s">
        <v>261</v>
      </c>
      <c r="B143" s="2">
        <v>31</v>
      </c>
      <c r="C143" t="s">
        <v>103</v>
      </c>
      <c r="D143" s="2" t="s">
        <v>27</v>
      </c>
      <c r="E143" s="2">
        <v>16</v>
      </c>
      <c r="F143" s="2">
        <v>16</v>
      </c>
      <c r="G143" s="2">
        <v>466</v>
      </c>
      <c r="H143" s="2">
        <v>0.46500000000000002</v>
      </c>
      <c r="I143" s="2">
        <v>17.7</v>
      </c>
      <c r="J143" s="2">
        <v>0.318</v>
      </c>
      <c r="K143" s="2">
        <v>0.248</v>
      </c>
      <c r="L143" s="2">
        <v>4.7E-2</v>
      </c>
      <c r="M143" s="2">
        <v>1.6E-2</v>
      </c>
      <c r="N143" s="2">
        <v>8.0000000000000002E-3</v>
      </c>
      <c r="O143" s="2">
        <v>0.68200000000000005</v>
      </c>
      <c r="P143" s="2">
        <v>0.53700000000000003</v>
      </c>
      <c r="Q143" s="2">
        <v>0.625</v>
      </c>
      <c r="R143" s="2">
        <v>0.33300000000000002</v>
      </c>
      <c r="S143" s="2">
        <v>0</v>
      </c>
      <c r="T143" s="2">
        <v>0</v>
      </c>
      <c r="U143" s="2">
        <v>0.432</v>
      </c>
      <c r="V143" s="2">
        <v>0.68200000000000005</v>
      </c>
      <c r="W143" s="2">
        <v>0.97399999999999998</v>
      </c>
      <c r="X143" s="2">
        <v>3.1E-2</v>
      </c>
      <c r="Y143" s="2">
        <v>4</v>
      </c>
      <c r="Z143" s="2">
        <v>0.40899999999999997</v>
      </c>
      <c r="AA143" s="2">
        <v>0.36099999999999999</v>
      </c>
      <c r="AB143" s="2">
        <v>0</v>
      </c>
      <c r="AC143" s="2">
        <v>0</v>
      </c>
    </row>
    <row r="144" spans="1:29" x14ac:dyDescent="0.2">
      <c r="A144" t="s">
        <v>382</v>
      </c>
      <c r="B144" s="2">
        <v>33</v>
      </c>
      <c r="C144" t="s">
        <v>37</v>
      </c>
      <c r="D144" s="2" t="s">
        <v>49</v>
      </c>
      <c r="E144" s="2">
        <v>19</v>
      </c>
      <c r="F144" s="2">
        <v>2</v>
      </c>
      <c r="G144" s="2">
        <v>155</v>
      </c>
      <c r="H144" s="2">
        <v>0.4</v>
      </c>
      <c r="I144" s="2">
        <v>22.8</v>
      </c>
      <c r="J144" s="2">
        <v>0.14499999999999999</v>
      </c>
      <c r="K144" s="2">
        <v>5.5E-2</v>
      </c>
      <c r="L144" s="2">
        <v>5.5E-2</v>
      </c>
      <c r="M144" s="2">
        <v>1.7999999999999999E-2</v>
      </c>
      <c r="N144" s="2">
        <v>1.7999999999999999E-2</v>
      </c>
      <c r="O144" s="2">
        <v>0.85499999999999998</v>
      </c>
      <c r="P144" s="2">
        <v>0.375</v>
      </c>
      <c r="Q144" s="2">
        <v>0.66700000000000004</v>
      </c>
      <c r="R144" s="2">
        <v>0.33300000000000002</v>
      </c>
      <c r="S144" s="2">
        <v>0</v>
      </c>
      <c r="T144" s="2">
        <v>0</v>
      </c>
      <c r="U144" s="2">
        <v>0.40400000000000003</v>
      </c>
      <c r="V144" s="2">
        <v>1</v>
      </c>
      <c r="W144" s="2">
        <v>1</v>
      </c>
      <c r="X144" s="2">
        <v>1.7999999999999999E-2</v>
      </c>
      <c r="Y144" s="2">
        <v>1</v>
      </c>
      <c r="Z144" s="2">
        <v>0.29799999999999999</v>
      </c>
      <c r="AA144" s="2">
        <v>0.5</v>
      </c>
      <c r="AB144" s="2">
        <v>0</v>
      </c>
      <c r="AC144" s="2">
        <v>0</v>
      </c>
    </row>
    <row r="145" spans="1:29" x14ac:dyDescent="0.2">
      <c r="A145" t="s">
        <v>240</v>
      </c>
      <c r="B145" s="2">
        <v>34</v>
      </c>
      <c r="C145" t="s">
        <v>100</v>
      </c>
      <c r="D145" s="2" t="s">
        <v>27</v>
      </c>
      <c r="E145" s="2">
        <v>22</v>
      </c>
      <c r="F145" s="2">
        <v>21</v>
      </c>
      <c r="G145" s="2">
        <v>629</v>
      </c>
      <c r="H145" s="2">
        <v>0.443</v>
      </c>
      <c r="I145" s="2">
        <v>15.8</v>
      </c>
      <c r="J145" s="2">
        <v>0.47</v>
      </c>
      <c r="K145" s="2">
        <v>0.188</v>
      </c>
      <c r="L145" s="2">
        <v>0.20100000000000001</v>
      </c>
      <c r="M145" s="2">
        <v>5.3999999999999999E-2</v>
      </c>
      <c r="N145" s="2">
        <v>2.7E-2</v>
      </c>
      <c r="O145" s="2">
        <v>0.53</v>
      </c>
      <c r="P145" s="2">
        <v>0.51400000000000001</v>
      </c>
      <c r="Q145" s="2">
        <v>0.60699999999999998</v>
      </c>
      <c r="R145" s="2">
        <v>0.46700000000000003</v>
      </c>
      <c r="S145" s="2">
        <v>0.375</v>
      </c>
      <c r="T145" s="2">
        <v>0.5</v>
      </c>
      <c r="U145" s="2">
        <v>0.38</v>
      </c>
      <c r="V145" s="2">
        <v>0.75</v>
      </c>
      <c r="W145" s="2">
        <v>1</v>
      </c>
      <c r="X145" s="2">
        <v>2.7E-2</v>
      </c>
      <c r="Y145" s="2">
        <v>4</v>
      </c>
      <c r="Z145" s="2">
        <v>0.38</v>
      </c>
      <c r="AA145" s="2">
        <v>0.4</v>
      </c>
      <c r="AB145" s="2">
        <v>0</v>
      </c>
      <c r="AC145" s="2">
        <v>0</v>
      </c>
    </row>
    <row r="146" spans="1:29" x14ac:dyDescent="0.2">
      <c r="A146" t="s">
        <v>353</v>
      </c>
      <c r="B146" s="2">
        <v>27</v>
      </c>
      <c r="C146" t="s">
        <v>120</v>
      </c>
      <c r="D146" s="2" t="s">
        <v>42</v>
      </c>
      <c r="E146" s="2">
        <v>20</v>
      </c>
      <c r="F146" s="2">
        <v>0</v>
      </c>
      <c r="G146" s="2">
        <v>271</v>
      </c>
      <c r="H146" s="2">
        <v>0.58099999999999996</v>
      </c>
      <c r="I146" s="2">
        <v>5.9</v>
      </c>
      <c r="J146" s="2">
        <v>0.95199999999999996</v>
      </c>
      <c r="K146" s="2">
        <v>0.371</v>
      </c>
      <c r="L146" s="2">
        <v>0.5</v>
      </c>
      <c r="M146" s="2">
        <v>8.1000000000000003E-2</v>
      </c>
      <c r="N146" s="2">
        <v>0</v>
      </c>
      <c r="O146" s="2">
        <v>4.8000000000000001E-2</v>
      </c>
      <c r="P146" s="2">
        <v>0.59299999999999997</v>
      </c>
      <c r="Q146" s="2">
        <v>0.73899999999999999</v>
      </c>
      <c r="R146" s="2">
        <v>0.48399999999999999</v>
      </c>
      <c r="S146" s="2">
        <v>0.6</v>
      </c>
      <c r="T146" s="2"/>
      <c r="U146" s="2">
        <v>0.33300000000000002</v>
      </c>
      <c r="V146" s="2">
        <v>0.77100000000000002</v>
      </c>
      <c r="W146" s="2">
        <v>0</v>
      </c>
      <c r="X146" s="2">
        <v>0.25800000000000001</v>
      </c>
      <c r="Y146" s="2">
        <v>13</v>
      </c>
      <c r="Z146" s="2">
        <v>0.66700000000000004</v>
      </c>
      <c r="AA146" s="2">
        <v>0.5</v>
      </c>
      <c r="AB146" s="2">
        <v>0</v>
      </c>
      <c r="AC146" s="2">
        <v>0</v>
      </c>
    </row>
    <row r="147" spans="1:29" x14ac:dyDescent="0.2">
      <c r="A147" t="s">
        <v>467</v>
      </c>
      <c r="B147" s="2">
        <v>25</v>
      </c>
      <c r="C147" t="s">
        <v>39</v>
      </c>
      <c r="D147" s="2" t="s">
        <v>27</v>
      </c>
      <c r="E147" s="2">
        <v>7</v>
      </c>
      <c r="F147" s="2">
        <v>0</v>
      </c>
      <c r="G147" s="2">
        <v>81</v>
      </c>
      <c r="H147" s="2">
        <v>0.33300000000000002</v>
      </c>
      <c r="I147" s="2">
        <v>22.6</v>
      </c>
      <c r="J147" s="2">
        <v>0.13300000000000001</v>
      </c>
      <c r="K147" s="2">
        <v>6.7000000000000004E-2</v>
      </c>
      <c r="L147" s="2">
        <v>0</v>
      </c>
      <c r="M147" s="2">
        <v>0</v>
      </c>
      <c r="N147" s="2">
        <v>6.7000000000000004E-2</v>
      </c>
      <c r="O147" s="2">
        <v>0.86699999999999999</v>
      </c>
      <c r="P147" s="2">
        <v>0.5</v>
      </c>
      <c r="Q147" s="2">
        <v>0</v>
      </c>
      <c r="R147" s="2"/>
      <c r="S147" s="2"/>
      <c r="T147" s="2">
        <v>1</v>
      </c>
      <c r="U147" s="2">
        <v>0.308</v>
      </c>
      <c r="V147" s="2">
        <v>0</v>
      </c>
      <c r="W147" s="2">
        <v>1</v>
      </c>
      <c r="X147" s="2">
        <v>0</v>
      </c>
      <c r="Y147" s="2">
        <v>0</v>
      </c>
      <c r="Z147" s="2">
        <v>0.38500000000000001</v>
      </c>
      <c r="AA147" s="2">
        <v>0.4</v>
      </c>
      <c r="AB147" s="2">
        <v>0</v>
      </c>
      <c r="AC147" s="2">
        <v>0</v>
      </c>
    </row>
    <row r="148" spans="1:29" x14ac:dyDescent="0.2">
      <c r="A148" t="s">
        <v>400</v>
      </c>
      <c r="B148" s="2">
        <v>27</v>
      </c>
      <c r="C148" t="s">
        <v>61</v>
      </c>
      <c r="D148" s="2" t="s">
        <v>52</v>
      </c>
      <c r="E148" s="2">
        <v>10</v>
      </c>
      <c r="F148" s="2">
        <v>0</v>
      </c>
      <c r="G148" s="2">
        <v>174</v>
      </c>
      <c r="H148" s="2">
        <v>0.47599999999999998</v>
      </c>
      <c r="I148" s="2">
        <v>14.3</v>
      </c>
      <c r="J148" s="2">
        <v>0.52400000000000002</v>
      </c>
      <c r="K148" s="2">
        <v>0.26200000000000001</v>
      </c>
      <c r="L148" s="2">
        <v>0.214</v>
      </c>
      <c r="M148" s="2">
        <v>4.8000000000000001E-2</v>
      </c>
      <c r="N148" s="2">
        <v>0</v>
      </c>
      <c r="O148" s="2">
        <v>0.47599999999999998</v>
      </c>
      <c r="P148" s="2">
        <v>0.45500000000000002</v>
      </c>
      <c r="Q148" s="2">
        <v>0.72699999999999998</v>
      </c>
      <c r="R148" s="2">
        <v>0.222</v>
      </c>
      <c r="S148" s="2">
        <v>0</v>
      </c>
      <c r="T148" s="2"/>
      <c r="U148" s="2">
        <v>0.5</v>
      </c>
      <c r="V148" s="2">
        <v>0.4</v>
      </c>
      <c r="W148" s="2">
        <v>0.9</v>
      </c>
      <c r="X148" s="2">
        <v>0</v>
      </c>
      <c r="Y148" s="2">
        <v>0</v>
      </c>
      <c r="Z148" s="2">
        <v>0.3</v>
      </c>
      <c r="AA148" s="2">
        <v>0.5</v>
      </c>
      <c r="AB148" s="2">
        <v>0</v>
      </c>
      <c r="AC148" s="2">
        <v>0</v>
      </c>
    </row>
    <row r="149" spans="1:29" x14ac:dyDescent="0.2">
      <c r="A149" t="s">
        <v>198</v>
      </c>
      <c r="B149" s="2">
        <v>30</v>
      </c>
      <c r="C149" t="s">
        <v>61</v>
      </c>
      <c r="D149" s="2" t="s">
        <v>49</v>
      </c>
      <c r="E149" s="2">
        <v>22</v>
      </c>
      <c r="F149" s="2">
        <v>11</v>
      </c>
      <c r="G149" s="2">
        <v>496</v>
      </c>
      <c r="H149" s="2">
        <v>0.41799999999999998</v>
      </c>
      <c r="I149" s="2">
        <v>18.899999999999999</v>
      </c>
      <c r="J149" s="2">
        <v>0.32200000000000001</v>
      </c>
      <c r="K149" s="2">
        <v>0.154</v>
      </c>
      <c r="L149" s="2">
        <v>0.14399999999999999</v>
      </c>
      <c r="M149" s="2">
        <v>1.9E-2</v>
      </c>
      <c r="N149" s="2">
        <v>5.0000000000000001E-3</v>
      </c>
      <c r="O149" s="2">
        <v>0.67800000000000005</v>
      </c>
      <c r="P149" s="2">
        <v>0.49299999999999999</v>
      </c>
      <c r="Q149" s="2">
        <v>0.59399999999999997</v>
      </c>
      <c r="R149" s="2">
        <v>0.433</v>
      </c>
      <c r="S149" s="2">
        <v>0.25</v>
      </c>
      <c r="T149" s="2">
        <v>0</v>
      </c>
      <c r="U149" s="2">
        <v>0.38300000000000001</v>
      </c>
      <c r="V149" s="2">
        <v>0.81799999999999995</v>
      </c>
      <c r="W149" s="2">
        <v>0.88900000000000001</v>
      </c>
      <c r="X149" s="2">
        <v>1.4E-2</v>
      </c>
      <c r="Y149" s="2">
        <v>2</v>
      </c>
      <c r="Z149" s="2">
        <v>0.19900000000000001</v>
      </c>
      <c r="AA149" s="2">
        <v>0.39300000000000002</v>
      </c>
      <c r="AB149" s="2">
        <v>0</v>
      </c>
      <c r="AC149" s="2">
        <v>0</v>
      </c>
    </row>
    <row r="150" spans="1:29" x14ac:dyDescent="0.2">
      <c r="A150" t="s">
        <v>447</v>
      </c>
      <c r="B150" s="2">
        <v>28</v>
      </c>
      <c r="C150" t="s">
        <v>135</v>
      </c>
      <c r="D150" s="2" t="s">
        <v>42</v>
      </c>
      <c r="E150" s="2">
        <v>13</v>
      </c>
      <c r="F150" s="2">
        <v>0</v>
      </c>
      <c r="G150" s="2">
        <v>83</v>
      </c>
      <c r="H150" s="2">
        <v>0.38500000000000001</v>
      </c>
      <c r="I150" s="2">
        <v>19.7</v>
      </c>
      <c r="J150" s="2">
        <v>0.26900000000000002</v>
      </c>
      <c r="K150" s="2">
        <v>0.192</v>
      </c>
      <c r="L150" s="2">
        <v>3.7999999999999999E-2</v>
      </c>
      <c r="M150" s="2">
        <v>0</v>
      </c>
      <c r="N150" s="2">
        <v>3.7999999999999999E-2</v>
      </c>
      <c r="O150" s="2">
        <v>0.73099999999999998</v>
      </c>
      <c r="P150" s="2">
        <v>0.42899999999999999</v>
      </c>
      <c r="Q150" s="2">
        <v>0.6</v>
      </c>
      <c r="R150" s="2">
        <v>0</v>
      </c>
      <c r="S150" s="2"/>
      <c r="T150" s="2">
        <v>0</v>
      </c>
      <c r="U150" s="2">
        <v>0.36799999999999999</v>
      </c>
      <c r="V150" s="2">
        <v>0.33300000000000002</v>
      </c>
      <c r="W150" s="2">
        <v>0.85699999999999998</v>
      </c>
      <c r="X150" s="2">
        <v>0</v>
      </c>
      <c r="Y150" s="2">
        <v>0</v>
      </c>
      <c r="Z150" s="2">
        <v>0.21099999999999999</v>
      </c>
      <c r="AA150" s="2">
        <v>0.5</v>
      </c>
      <c r="AB150" s="2">
        <v>0</v>
      </c>
      <c r="AC150" s="2">
        <v>0</v>
      </c>
    </row>
    <row r="151" spans="1:29" x14ac:dyDescent="0.2">
      <c r="A151" t="s">
        <v>434</v>
      </c>
      <c r="B151" s="2">
        <v>33</v>
      </c>
      <c r="C151" t="s">
        <v>63</v>
      </c>
      <c r="D151" s="2" t="s">
        <v>42</v>
      </c>
      <c r="E151" s="2">
        <v>19</v>
      </c>
      <c r="F151" s="2">
        <v>0</v>
      </c>
      <c r="G151" s="2">
        <v>154</v>
      </c>
      <c r="H151" s="2">
        <v>0.8</v>
      </c>
      <c r="I151" s="2">
        <v>2.2000000000000002</v>
      </c>
      <c r="J151" s="2">
        <v>1</v>
      </c>
      <c r="K151" s="2">
        <v>0.8</v>
      </c>
      <c r="L151" s="2">
        <v>0.2</v>
      </c>
      <c r="M151" s="2">
        <v>0</v>
      </c>
      <c r="N151" s="2">
        <v>0</v>
      </c>
      <c r="O151" s="2">
        <v>0</v>
      </c>
      <c r="P151" s="2">
        <v>0.8</v>
      </c>
      <c r="Q151" s="2">
        <v>1</v>
      </c>
      <c r="R151" s="2">
        <v>0</v>
      </c>
      <c r="S151" s="2"/>
      <c r="T151" s="2"/>
      <c r="U151" s="2"/>
      <c r="V151" s="2">
        <v>0.75</v>
      </c>
      <c r="W151" s="2"/>
      <c r="X151" s="2">
        <v>0.4</v>
      </c>
      <c r="Y151" s="2">
        <v>4</v>
      </c>
      <c r="Z151" s="2"/>
      <c r="AA151" s="2"/>
      <c r="AB151" s="2">
        <v>0</v>
      </c>
      <c r="AC151" s="2">
        <v>0</v>
      </c>
    </row>
    <row r="152" spans="1:29" x14ac:dyDescent="0.2">
      <c r="A152" t="s">
        <v>146</v>
      </c>
      <c r="B152" s="2">
        <v>21</v>
      </c>
      <c r="C152" t="s">
        <v>72</v>
      </c>
      <c r="D152" s="2" t="s">
        <v>52</v>
      </c>
      <c r="E152" s="2">
        <v>24</v>
      </c>
      <c r="F152" s="2">
        <v>24</v>
      </c>
      <c r="G152" s="2">
        <v>811</v>
      </c>
      <c r="H152" s="2">
        <v>0.44700000000000001</v>
      </c>
      <c r="I152" s="2">
        <v>11.4</v>
      </c>
      <c r="J152" s="2">
        <v>0.69199999999999995</v>
      </c>
      <c r="K152" s="2">
        <v>0.27800000000000002</v>
      </c>
      <c r="L152" s="2">
        <v>0.33400000000000002</v>
      </c>
      <c r="M152" s="2">
        <v>7.0000000000000007E-2</v>
      </c>
      <c r="N152" s="2">
        <v>0.01</v>
      </c>
      <c r="O152" s="2">
        <v>0.308</v>
      </c>
      <c r="P152" s="2">
        <v>0.50700000000000001</v>
      </c>
      <c r="Q152" s="2">
        <v>0.65500000000000003</v>
      </c>
      <c r="R152" s="2">
        <v>0.42599999999999999</v>
      </c>
      <c r="S152" s="2">
        <v>0.38100000000000001</v>
      </c>
      <c r="T152" s="2">
        <v>0</v>
      </c>
      <c r="U152" s="2">
        <v>0.312</v>
      </c>
      <c r="V152" s="2">
        <v>0.54700000000000004</v>
      </c>
      <c r="W152" s="2">
        <v>0.93100000000000005</v>
      </c>
      <c r="X152" s="2">
        <v>4.2999999999999997E-2</v>
      </c>
      <c r="Y152" s="2">
        <v>13</v>
      </c>
      <c r="Z152" s="2">
        <v>0.25800000000000001</v>
      </c>
      <c r="AA152" s="2">
        <v>0.375</v>
      </c>
      <c r="AB152" s="2">
        <v>3</v>
      </c>
      <c r="AC152" s="2">
        <v>0</v>
      </c>
    </row>
    <row r="153" spans="1:29" x14ac:dyDescent="0.2">
      <c r="A153" t="s">
        <v>487</v>
      </c>
      <c r="B153" s="2">
        <v>24</v>
      </c>
      <c r="C153" t="s">
        <v>70</v>
      </c>
      <c r="D153" s="2" t="s">
        <v>27</v>
      </c>
      <c r="E153" s="2">
        <v>6</v>
      </c>
      <c r="F153" s="2">
        <v>0</v>
      </c>
      <c r="G153" s="2">
        <v>31</v>
      </c>
      <c r="H153" s="2">
        <v>0.625</v>
      </c>
      <c r="I153" s="2">
        <v>23</v>
      </c>
      <c r="J153" s="2">
        <v>0.25</v>
      </c>
      <c r="K153" s="2">
        <v>0</v>
      </c>
      <c r="L153" s="2">
        <v>0.125</v>
      </c>
      <c r="M153" s="2">
        <v>0.125</v>
      </c>
      <c r="N153" s="2">
        <v>0</v>
      </c>
      <c r="O153" s="2">
        <v>0.75</v>
      </c>
      <c r="P153" s="2">
        <v>1</v>
      </c>
      <c r="Q153" s="2"/>
      <c r="R153" s="2">
        <v>1</v>
      </c>
      <c r="S153" s="2">
        <v>1</v>
      </c>
      <c r="T153" s="2"/>
      <c r="U153" s="2">
        <v>0.5</v>
      </c>
      <c r="V153" s="2">
        <v>1</v>
      </c>
      <c r="W153" s="2">
        <v>1</v>
      </c>
      <c r="X153" s="2">
        <v>0</v>
      </c>
      <c r="Y153" s="2">
        <v>0</v>
      </c>
      <c r="Z153" s="2">
        <v>0</v>
      </c>
      <c r="AA153" s="2"/>
      <c r="AB153" s="2">
        <v>0</v>
      </c>
      <c r="AC153" s="2">
        <v>0</v>
      </c>
    </row>
    <row r="154" spans="1:29" x14ac:dyDescent="0.2">
      <c r="A154" t="s">
        <v>408</v>
      </c>
      <c r="B154" s="2">
        <v>30</v>
      </c>
      <c r="C154" t="s">
        <v>117</v>
      </c>
      <c r="D154" s="2" t="s">
        <v>33</v>
      </c>
      <c r="E154" s="2">
        <v>7</v>
      </c>
      <c r="F154" s="2">
        <v>3</v>
      </c>
      <c r="G154" s="2">
        <v>144</v>
      </c>
      <c r="H154" s="2">
        <v>0.5</v>
      </c>
      <c r="I154" s="2">
        <v>8</v>
      </c>
      <c r="J154" s="2">
        <v>0.97799999999999998</v>
      </c>
      <c r="K154" s="2">
        <v>0.217</v>
      </c>
      <c r="L154" s="2">
        <v>0.54300000000000004</v>
      </c>
      <c r="M154" s="2">
        <v>0.17399999999999999</v>
      </c>
      <c r="N154" s="2">
        <v>4.2999999999999997E-2</v>
      </c>
      <c r="O154" s="2">
        <v>2.1999999999999999E-2</v>
      </c>
      <c r="P154" s="2">
        <v>0.51100000000000001</v>
      </c>
      <c r="Q154" s="2">
        <v>0.4</v>
      </c>
      <c r="R154" s="2">
        <v>0.6</v>
      </c>
      <c r="S154" s="2">
        <v>0.375</v>
      </c>
      <c r="T154" s="2">
        <v>0.5</v>
      </c>
      <c r="U154" s="2">
        <v>0</v>
      </c>
      <c r="V154" s="2">
        <v>0.17399999999999999</v>
      </c>
      <c r="W154" s="2"/>
      <c r="X154" s="2">
        <v>0</v>
      </c>
      <c r="Y154" s="2">
        <v>0</v>
      </c>
      <c r="Z154" s="2">
        <v>0</v>
      </c>
      <c r="AA154" s="2"/>
      <c r="AB154" s="2">
        <v>0</v>
      </c>
      <c r="AC154" s="2">
        <v>0</v>
      </c>
    </row>
    <row r="155" spans="1:29" x14ac:dyDescent="0.2">
      <c r="A155" t="s">
        <v>458</v>
      </c>
      <c r="B155" s="2">
        <v>24</v>
      </c>
      <c r="C155" t="s">
        <v>82</v>
      </c>
      <c r="D155" s="2" t="s">
        <v>27</v>
      </c>
      <c r="E155" s="2">
        <v>15</v>
      </c>
      <c r="F155" s="2">
        <v>1</v>
      </c>
      <c r="G155" s="2">
        <v>111</v>
      </c>
      <c r="H155" s="2">
        <v>0.44400000000000001</v>
      </c>
      <c r="I155" s="2">
        <v>8.9</v>
      </c>
      <c r="J155" s="2">
        <v>0.72199999999999998</v>
      </c>
      <c r="K155" s="2">
        <v>0.44400000000000001</v>
      </c>
      <c r="L155" s="2">
        <v>0.27800000000000002</v>
      </c>
      <c r="M155" s="2">
        <v>0</v>
      </c>
      <c r="N155" s="2">
        <v>0</v>
      </c>
      <c r="O155" s="2">
        <v>0.27800000000000002</v>
      </c>
      <c r="P155" s="2">
        <v>0.53800000000000003</v>
      </c>
      <c r="Q155" s="2">
        <v>0.625</v>
      </c>
      <c r="R155" s="2">
        <v>0.4</v>
      </c>
      <c r="S155" s="2"/>
      <c r="T155" s="2"/>
      <c r="U155" s="2">
        <v>0.2</v>
      </c>
      <c r="V155" s="2">
        <v>0.85699999999999998</v>
      </c>
      <c r="W155" s="2">
        <v>1</v>
      </c>
      <c r="X155" s="2">
        <v>0.111</v>
      </c>
      <c r="Y155" s="2">
        <v>1</v>
      </c>
      <c r="Z155" s="2">
        <v>0.8</v>
      </c>
      <c r="AA155" s="2">
        <v>0.25</v>
      </c>
      <c r="AB155" s="2">
        <v>0</v>
      </c>
      <c r="AC155" s="2">
        <v>0</v>
      </c>
    </row>
    <row r="156" spans="1:29" x14ac:dyDescent="0.2">
      <c r="A156" t="s">
        <v>367</v>
      </c>
      <c r="B156" s="2">
        <v>36</v>
      </c>
      <c r="C156" t="s">
        <v>122</v>
      </c>
      <c r="D156" s="2" t="s">
        <v>52</v>
      </c>
      <c r="E156" s="2">
        <v>16</v>
      </c>
      <c r="F156" s="2">
        <v>1</v>
      </c>
      <c r="G156" s="2">
        <v>264</v>
      </c>
      <c r="H156" s="2">
        <v>0.32500000000000001</v>
      </c>
      <c r="I156" s="2">
        <v>16.7</v>
      </c>
      <c r="J156" s="2">
        <v>0.45500000000000002</v>
      </c>
      <c r="K156" s="2">
        <v>0.28599999999999998</v>
      </c>
      <c r="L156" s="2">
        <v>0.16900000000000001</v>
      </c>
      <c r="M156" s="2">
        <v>0</v>
      </c>
      <c r="N156" s="2">
        <v>0</v>
      </c>
      <c r="O156" s="2">
        <v>0.54500000000000004</v>
      </c>
      <c r="P156" s="2">
        <v>0.42899999999999999</v>
      </c>
      <c r="Q156" s="2">
        <v>0.54500000000000004</v>
      </c>
      <c r="R156" s="2">
        <v>0.23100000000000001</v>
      </c>
      <c r="S156" s="2"/>
      <c r="T156" s="2"/>
      <c r="U156" s="2">
        <v>0.23799999999999999</v>
      </c>
      <c r="V156" s="2">
        <v>0.6</v>
      </c>
      <c r="W156" s="2">
        <v>1</v>
      </c>
      <c r="X156" s="2">
        <v>1.2999999999999999E-2</v>
      </c>
      <c r="Y156" s="2">
        <v>0</v>
      </c>
      <c r="Z156" s="2">
        <v>0.16700000000000001</v>
      </c>
      <c r="AA156" s="2">
        <v>0.28599999999999998</v>
      </c>
      <c r="AB156" s="2">
        <v>2</v>
      </c>
      <c r="AC156" s="2">
        <v>0</v>
      </c>
    </row>
    <row r="157" spans="1:29" x14ac:dyDescent="0.2">
      <c r="A157" t="s">
        <v>96</v>
      </c>
      <c r="B157" s="2">
        <v>23</v>
      </c>
      <c r="C157" t="s">
        <v>57</v>
      </c>
      <c r="D157" s="2" t="s">
        <v>27</v>
      </c>
      <c r="E157" s="2">
        <v>24</v>
      </c>
      <c r="F157" s="2">
        <v>24</v>
      </c>
      <c r="G157" s="2">
        <v>736</v>
      </c>
      <c r="H157" s="2">
        <v>0.55800000000000005</v>
      </c>
      <c r="I157" s="2">
        <v>7.6</v>
      </c>
      <c r="J157" s="2">
        <v>0.81799999999999995</v>
      </c>
      <c r="K157" s="2">
        <v>0.52500000000000002</v>
      </c>
      <c r="L157" s="2">
        <v>0.23799999999999999</v>
      </c>
      <c r="M157" s="2">
        <v>4.2999999999999997E-2</v>
      </c>
      <c r="N157" s="2">
        <v>1.2999999999999999E-2</v>
      </c>
      <c r="O157" s="2">
        <v>0.182</v>
      </c>
      <c r="P157" s="2">
        <v>0.59299999999999997</v>
      </c>
      <c r="Q157" s="2">
        <v>0.73</v>
      </c>
      <c r="R157" s="2">
        <v>0.375</v>
      </c>
      <c r="S157" s="2">
        <v>0.308</v>
      </c>
      <c r="T157" s="2">
        <v>0</v>
      </c>
      <c r="U157" s="2">
        <v>0.4</v>
      </c>
      <c r="V157" s="2">
        <v>0.66</v>
      </c>
      <c r="W157" s="2">
        <v>0.90900000000000003</v>
      </c>
      <c r="X157" s="2">
        <v>0.23100000000000001</v>
      </c>
      <c r="Y157" s="2">
        <v>66</v>
      </c>
      <c r="Z157" s="2">
        <v>0.27300000000000002</v>
      </c>
      <c r="AA157" s="2">
        <v>0.53300000000000003</v>
      </c>
      <c r="AB157" s="2">
        <v>1</v>
      </c>
      <c r="AC157" s="2">
        <v>0</v>
      </c>
    </row>
    <row r="158" spans="1:29" x14ac:dyDescent="0.2">
      <c r="A158" t="s">
        <v>47</v>
      </c>
      <c r="B158" s="2">
        <v>23</v>
      </c>
      <c r="C158" t="s">
        <v>48</v>
      </c>
      <c r="D158" s="2" t="s">
        <v>49</v>
      </c>
      <c r="E158" s="2">
        <v>25</v>
      </c>
      <c r="F158" s="2">
        <v>25</v>
      </c>
      <c r="G158" s="2">
        <v>829</v>
      </c>
      <c r="H158" s="2">
        <v>0.46500000000000002</v>
      </c>
      <c r="I158" s="2">
        <v>12.8</v>
      </c>
      <c r="J158" s="2">
        <v>0.66400000000000003</v>
      </c>
      <c r="K158" s="2">
        <v>0.26400000000000001</v>
      </c>
      <c r="L158" s="2">
        <v>0.29399999999999998</v>
      </c>
      <c r="M158" s="2">
        <v>7.1999999999999995E-2</v>
      </c>
      <c r="N158" s="2">
        <v>3.4000000000000002E-2</v>
      </c>
      <c r="O158" s="2">
        <v>0.33600000000000002</v>
      </c>
      <c r="P158" s="2">
        <v>0.53800000000000003</v>
      </c>
      <c r="Q158" s="2">
        <v>0.68799999999999994</v>
      </c>
      <c r="R158" s="2">
        <v>0.439</v>
      </c>
      <c r="S158" s="2">
        <v>0.52900000000000003</v>
      </c>
      <c r="T158" s="2">
        <v>0.25</v>
      </c>
      <c r="U158" s="2">
        <v>0.32100000000000001</v>
      </c>
      <c r="V158" s="2">
        <v>0.51500000000000001</v>
      </c>
      <c r="W158" s="2">
        <v>0.60799999999999998</v>
      </c>
      <c r="X158" s="2">
        <v>4.7E-2</v>
      </c>
      <c r="Y158" s="2">
        <v>20</v>
      </c>
      <c r="Z158" s="2">
        <v>0.107</v>
      </c>
      <c r="AA158" s="2">
        <v>0.52900000000000003</v>
      </c>
      <c r="AB158" s="2">
        <v>2</v>
      </c>
      <c r="AC158" s="2">
        <v>0</v>
      </c>
    </row>
    <row r="159" spans="1:29" x14ac:dyDescent="0.2">
      <c r="A159" t="s">
        <v>127</v>
      </c>
      <c r="B159" s="2">
        <v>30</v>
      </c>
      <c r="C159" t="s">
        <v>87</v>
      </c>
      <c r="D159" s="2" t="s">
        <v>33</v>
      </c>
      <c r="E159" s="2">
        <v>23</v>
      </c>
      <c r="F159" s="2">
        <v>23</v>
      </c>
      <c r="G159" s="2">
        <v>808</v>
      </c>
      <c r="H159" s="2">
        <v>0.38500000000000001</v>
      </c>
      <c r="I159" s="2">
        <v>18.899999999999999</v>
      </c>
      <c r="J159" s="2">
        <v>0.46400000000000002</v>
      </c>
      <c r="K159" s="2">
        <v>0.124</v>
      </c>
      <c r="L159" s="2">
        <v>0.127</v>
      </c>
      <c r="M159" s="2">
        <v>8.5000000000000006E-2</v>
      </c>
      <c r="N159" s="2">
        <v>0.127</v>
      </c>
      <c r="O159" s="2">
        <v>0.53600000000000003</v>
      </c>
      <c r="P159" s="2">
        <v>0.46400000000000002</v>
      </c>
      <c r="Q159" s="2">
        <v>0.61</v>
      </c>
      <c r="R159" s="2">
        <v>0.47599999999999998</v>
      </c>
      <c r="S159" s="2">
        <v>0.32100000000000001</v>
      </c>
      <c r="T159" s="2">
        <v>0.40500000000000003</v>
      </c>
      <c r="U159" s="2">
        <v>0.316</v>
      </c>
      <c r="V159" s="2">
        <v>0.254</v>
      </c>
      <c r="W159" s="2">
        <v>0.60699999999999998</v>
      </c>
      <c r="X159" s="2">
        <v>0</v>
      </c>
      <c r="Y159" s="2">
        <v>0</v>
      </c>
      <c r="Z159" s="2">
        <v>0.09</v>
      </c>
      <c r="AA159" s="2">
        <v>0.313</v>
      </c>
      <c r="AB159" s="2">
        <v>3</v>
      </c>
      <c r="AC159" s="2">
        <v>0</v>
      </c>
    </row>
    <row r="160" spans="1:29" x14ac:dyDescent="0.2">
      <c r="A160" t="s">
        <v>351</v>
      </c>
      <c r="B160" s="2">
        <v>28</v>
      </c>
      <c r="C160" t="s">
        <v>41</v>
      </c>
      <c r="D160" s="2" t="s">
        <v>33</v>
      </c>
      <c r="E160" s="2">
        <v>24</v>
      </c>
      <c r="F160" s="2">
        <v>3</v>
      </c>
      <c r="G160" s="2">
        <v>454</v>
      </c>
      <c r="H160" s="2">
        <v>0.35</v>
      </c>
      <c r="I160" s="2">
        <v>18.3</v>
      </c>
      <c r="J160" s="2">
        <v>0.40799999999999997</v>
      </c>
      <c r="K160" s="2">
        <v>0.14599999999999999</v>
      </c>
      <c r="L160" s="2">
        <v>0.126</v>
      </c>
      <c r="M160" s="2">
        <v>8.6999999999999994E-2</v>
      </c>
      <c r="N160" s="2">
        <v>4.9000000000000002E-2</v>
      </c>
      <c r="O160" s="2">
        <v>0.59199999999999997</v>
      </c>
      <c r="P160" s="2">
        <v>0.47599999999999998</v>
      </c>
      <c r="Q160" s="2">
        <v>0.53300000000000003</v>
      </c>
      <c r="R160" s="2">
        <v>0.46200000000000002</v>
      </c>
      <c r="S160" s="2">
        <v>0.44400000000000001</v>
      </c>
      <c r="T160" s="2">
        <v>0.4</v>
      </c>
      <c r="U160" s="2">
        <v>0.26200000000000001</v>
      </c>
      <c r="V160" s="2">
        <v>0.75</v>
      </c>
      <c r="W160" s="2">
        <v>0.875</v>
      </c>
      <c r="X160" s="2">
        <v>0</v>
      </c>
      <c r="Y160" s="2">
        <v>0</v>
      </c>
      <c r="Z160" s="2">
        <v>0.29499999999999998</v>
      </c>
      <c r="AA160" s="2">
        <v>0.222</v>
      </c>
      <c r="AB160" s="2">
        <v>0</v>
      </c>
      <c r="AC160" s="2">
        <v>0</v>
      </c>
    </row>
    <row r="161" spans="1:29" x14ac:dyDescent="0.2">
      <c r="A161" t="s">
        <v>521</v>
      </c>
      <c r="B161" s="2">
        <v>38</v>
      </c>
      <c r="C161" t="s">
        <v>66</v>
      </c>
      <c r="D161" s="2" t="s">
        <v>52</v>
      </c>
      <c r="E161" s="2">
        <v>8</v>
      </c>
      <c r="F161" s="2">
        <v>0</v>
      </c>
      <c r="G161" s="2">
        <v>31</v>
      </c>
      <c r="H161" s="2">
        <v>0.33300000000000002</v>
      </c>
      <c r="I161" s="2">
        <v>11.6</v>
      </c>
      <c r="J161" s="2">
        <v>0.66700000000000004</v>
      </c>
      <c r="K161" s="2">
        <v>0.33300000000000002</v>
      </c>
      <c r="L161" s="2">
        <v>0.33300000000000002</v>
      </c>
      <c r="M161" s="2">
        <v>0</v>
      </c>
      <c r="N161" s="2">
        <v>0</v>
      </c>
      <c r="O161" s="2">
        <v>0.33300000000000002</v>
      </c>
      <c r="P161" s="2">
        <v>0.25</v>
      </c>
      <c r="Q161" s="2">
        <v>0</v>
      </c>
      <c r="R161" s="2">
        <v>0.5</v>
      </c>
      <c r="S161" s="2"/>
      <c r="T161" s="2"/>
      <c r="U161" s="2">
        <v>0.5</v>
      </c>
      <c r="V161" s="2">
        <v>0</v>
      </c>
      <c r="W161" s="2">
        <v>1</v>
      </c>
      <c r="X161" s="2">
        <v>0</v>
      </c>
      <c r="Y161" s="2">
        <v>0</v>
      </c>
      <c r="Z161" s="2">
        <v>0.5</v>
      </c>
      <c r="AA161" s="2">
        <v>0</v>
      </c>
      <c r="AB161" s="2">
        <v>0</v>
      </c>
      <c r="AC161" s="2">
        <v>0</v>
      </c>
    </row>
    <row r="162" spans="1:29" x14ac:dyDescent="0.2">
      <c r="A162" t="s">
        <v>280</v>
      </c>
      <c r="B162" s="2">
        <v>28</v>
      </c>
      <c r="C162" t="s">
        <v>72</v>
      </c>
      <c r="D162" s="2" t="s">
        <v>52</v>
      </c>
      <c r="E162" s="2">
        <v>19</v>
      </c>
      <c r="F162" s="2">
        <v>1</v>
      </c>
      <c r="G162" s="2">
        <v>343</v>
      </c>
      <c r="H162" s="2">
        <v>0.434</v>
      </c>
      <c r="I162" s="2">
        <v>21.9</v>
      </c>
      <c r="J162" s="2">
        <v>0.16200000000000001</v>
      </c>
      <c r="K162" s="2">
        <v>6.0999999999999999E-2</v>
      </c>
      <c r="L162" s="2">
        <v>6.0999999999999999E-2</v>
      </c>
      <c r="M162" s="2">
        <v>0.03</v>
      </c>
      <c r="N162" s="2">
        <v>0.01</v>
      </c>
      <c r="O162" s="2">
        <v>0.83799999999999997</v>
      </c>
      <c r="P162" s="2">
        <v>0.375</v>
      </c>
      <c r="Q162" s="2">
        <v>0.5</v>
      </c>
      <c r="R162" s="2">
        <v>0</v>
      </c>
      <c r="S162" s="2">
        <v>1</v>
      </c>
      <c r="T162" s="2">
        <v>0</v>
      </c>
      <c r="U162" s="2">
        <v>0.44600000000000001</v>
      </c>
      <c r="V162" s="2">
        <v>0.66700000000000004</v>
      </c>
      <c r="W162" s="2">
        <v>1</v>
      </c>
      <c r="X162" s="2">
        <v>0</v>
      </c>
      <c r="Y162" s="2">
        <v>0</v>
      </c>
      <c r="Z162" s="2">
        <v>0.373</v>
      </c>
      <c r="AA162" s="2">
        <v>0.58099999999999996</v>
      </c>
      <c r="AB162" s="2">
        <v>0</v>
      </c>
      <c r="AC162" s="2">
        <v>0</v>
      </c>
    </row>
    <row r="163" spans="1:29" x14ac:dyDescent="0.2">
      <c r="A163" t="s">
        <v>378</v>
      </c>
      <c r="B163" s="2">
        <v>30</v>
      </c>
      <c r="C163" t="s">
        <v>48</v>
      </c>
      <c r="D163" s="2" t="s">
        <v>52</v>
      </c>
      <c r="E163" s="2">
        <v>17</v>
      </c>
      <c r="F163" s="2">
        <v>2</v>
      </c>
      <c r="G163" s="2">
        <v>282</v>
      </c>
      <c r="H163" s="2">
        <v>0.4</v>
      </c>
      <c r="I163" s="2">
        <v>20.2</v>
      </c>
      <c r="J163" s="2">
        <v>0.23300000000000001</v>
      </c>
      <c r="K163" s="2">
        <v>0.05</v>
      </c>
      <c r="L163" s="2">
        <v>0.15</v>
      </c>
      <c r="M163" s="2">
        <v>1.7000000000000001E-2</v>
      </c>
      <c r="N163" s="2">
        <v>1.7000000000000001E-2</v>
      </c>
      <c r="O163" s="2">
        <v>0.76700000000000002</v>
      </c>
      <c r="P163" s="2">
        <v>0.5</v>
      </c>
      <c r="Q163" s="2">
        <v>0.66700000000000004</v>
      </c>
      <c r="R163" s="2">
        <v>0.55600000000000005</v>
      </c>
      <c r="S163" s="2">
        <v>0</v>
      </c>
      <c r="T163" s="2">
        <v>0</v>
      </c>
      <c r="U163" s="2">
        <v>0.37</v>
      </c>
      <c r="V163" s="2">
        <v>0.85699999999999998</v>
      </c>
      <c r="W163" s="2">
        <v>1</v>
      </c>
      <c r="X163" s="2">
        <v>1.7000000000000001E-2</v>
      </c>
      <c r="Y163" s="2">
        <v>1</v>
      </c>
      <c r="Z163" s="2">
        <v>0.52200000000000002</v>
      </c>
      <c r="AA163" s="2">
        <v>0.29199999999999998</v>
      </c>
      <c r="AB163" s="2">
        <v>0</v>
      </c>
      <c r="AC163" s="2">
        <v>0</v>
      </c>
    </row>
    <row r="164" spans="1:29" x14ac:dyDescent="0.2">
      <c r="A164" t="s">
        <v>321</v>
      </c>
      <c r="B164" s="2">
        <v>32</v>
      </c>
      <c r="C164" t="s">
        <v>100</v>
      </c>
      <c r="D164" s="2" t="s">
        <v>52</v>
      </c>
      <c r="E164" s="2">
        <v>24</v>
      </c>
      <c r="F164" s="2">
        <v>4</v>
      </c>
      <c r="G164" s="2">
        <v>325</v>
      </c>
      <c r="H164" s="2">
        <v>0.54800000000000004</v>
      </c>
      <c r="I164" s="2">
        <v>9</v>
      </c>
      <c r="J164" s="2">
        <v>0.71</v>
      </c>
      <c r="K164" s="2">
        <v>0.45200000000000001</v>
      </c>
      <c r="L164" s="2">
        <v>0.25800000000000001</v>
      </c>
      <c r="M164" s="2">
        <v>0</v>
      </c>
      <c r="N164" s="2">
        <v>0</v>
      </c>
      <c r="O164" s="2">
        <v>0.28999999999999998</v>
      </c>
      <c r="P164" s="2">
        <v>0.71199999999999997</v>
      </c>
      <c r="Q164" s="2">
        <v>0.81</v>
      </c>
      <c r="R164" s="2">
        <v>0.54200000000000004</v>
      </c>
      <c r="S164" s="2"/>
      <c r="T164" s="2"/>
      <c r="U164" s="2">
        <v>0.14799999999999999</v>
      </c>
      <c r="V164" s="2">
        <v>0.76600000000000001</v>
      </c>
      <c r="W164" s="2">
        <v>1</v>
      </c>
      <c r="X164" s="2">
        <v>0.161</v>
      </c>
      <c r="Y164" s="2">
        <v>14</v>
      </c>
      <c r="Z164" s="2">
        <v>0.44400000000000001</v>
      </c>
      <c r="AA164" s="2">
        <v>0.25</v>
      </c>
      <c r="AB164" s="2">
        <v>0</v>
      </c>
      <c r="AC164" s="2">
        <v>0</v>
      </c>
    </row>
    <row r="165" spans="1:29" x14ac:dyDescent="0.2">
      <c r="A165" t="s">
        <v>228</v>
      </c>
      <c r="B165" s="2">
        <v>26</v>
      </c>
      <c r="C165" t="s">
        <v>35</v>
      </c>
      <c r="D165" s="2" t="s">
        <v>52</v>
      </c>
      <c r="E165" s="2">
        <v>22</v>
      </c>
      <c r="F165" s="2">
        <v>7</v>
      </c>
      <c r="G165" s="2">
        <v>571</v>
      </c>
      <c r="H165" s="2">
        <v>0.41599999999999998</v>
      </c>
      <c r="I165" s="2">
        <v>20.2</v>
      </c>
      <c r="J165" s="2">
        <v>0.32500000000000001</v>
      </c>
      <c r="K165" s="2">
        <v>8.4000000000000005E-2</v>
      </c>
      <c r="L165" s="2">
        <v>9.6000000000000002E-2</v>
      </c>
      <c r="M165" s="2">
        <v>7.8E-2</v>
      </c>
      <c r="N165" s="2">
        <v>6.6000000000000003E-2</v>
      </c>
      <c r="O165" s="2">
        <v>0.67500000000000004</v>
      </c>
      <c r="P165" s="2">
        <v>0.44400000000000001</v>
      </c>
      <c r="Q165" s="2">
        <v>0.42899999999999999</v>
      </c>
      <c r="R165" s="2">
        <v>0.5</v>
      </c>
      <c r="S165" s="2">
        <v>0.38500000000000001</v>
      </c>
      <c r="T165" s="2">
        <v>0.45500000000000002</v>
      </c>
      <c r="U165" s="2">
        <v>0.40200000000000002</v>
      </c>
      <c r="V165" s="2">
        <v>0.5</v>
      </c>
      <c r="W165" s="2">
        <v>0.88900000000000001</v>
      </c>
      <c r="X165" s="2">
        <v>0</v>
      </c>
      <c r="Y165" s="2">
        <v>0</v>
      </c>
      <c r="Z165" s="2">
        <v>0.19600000000000001</v>
      </c>
      <c r="AA165" s="2">
        <v>0.59099999999999997</v>
      </c>
      <c r="AB165" s="2">
        <v>0</v>
      </c>
      <c r="AC165" s="2">
        <v>0</v>
      </c>
    </row>
    <row r="166" spans="1:29" x14ac:dyDescent="0.2">
      <c r="A166" t="s">
        <v>221</v>
      </c>
      <c r="B166" s="2">
        <v>31</v>
      </c>
      <c r="C166" t="s">
        <v>57</v>
      </c>
      <c r="D166" s="2" t="s">
        <v>27</v>
      </c>
      <c r="E166" s="2">
        <v>25</v>
      </c>
      <c r="F166" s="2">
        <v>1</v>
      </c>
      <c r="G166" s="2">
        <v>514</v>
      </c>
      <c r="H166" s="2">
        <v>0.46200000000000002</v>
      </c>
      <c r="I166" s="2">
        <v>17.7</v>
      </c>
      <c r="J166" s="2">
        <v>0.34100000000000003</v>
      </c>
      <c r="K166" s="2">
        <v>0.16800000000000001</v>
      </c>
      <c r="L166" s="2">
        <v>0.156</v>
      </c>
      <c r="M166" s="2">
        <v>1.7000000000000001E-2</v>
      </c>
      <c r="N166" s="2">
        <v>0</v>
      </c>
      <c r="O166" s="2">
        <v>0.65900000000000003</v>
      </c>
      <c r="P166" s="2">
        <v>0.66100000000000003</v>
      </c>
      <c r="Q166" s="2">
        <v>0.621</v>
      </c>
      <c r="R166" s="2">
        <v>0.74099999999999999</v>
      </c>
      <c r="S166" s="2">
        <v>0.33300000000000002</v>
      </c>
      <c r="T166" s="2"/>
      <c r="U166" s="2">
        <v>0.36</v>
      </c>
      <c r="V166" s="2">
        <v>0.74399999999999999</v>
      </c>
      <c r="W166" s="2">
        <v>0.97599999999999998</v>
      </c>
      <c r="X166" s="2">
        <v>0</v>
      </c>
      <c r="Y166" s="2">
        <v>0</v>
      </c>
      <c r="Z166" s="2">
        <v>0.439</v>
      </c>
      <c r="AA166" s="2">
        <v>0.4</v>
      </c>
      <c r="AB166" s="2">
        <v>0</v>
      </c>
      <c r="AC166" s="2">
        <v>0</v>
      </c>
    </row>
    <row r="167" spans="1:29" x14ac:dyDescent="0.2">
      <c r="A167" t="s">
        <v>34</v>
      </c>
      <c r="B167" s="2">
        <v>30</v>
      </c>
      <c r="C167" t="s">
        <v>35</v>
      </c>
      <c r="D167" s="2" t="s">
        <v>27</v>
      </c>
      <c r="E167" s="2">
        <v>22</v>
      </c>
      <c r="F167" s="2">
        <v>22</v>
      </c>
      <c r="G167" s="2">
        <v>772</v>
      </c>
      <c r="H167" s="2">
        <v>0.61199999999999999</v>
      </c>
      <c r="I167" s="2">
        <v>6.5</v>
      </c>
      <c r="J167" s="2">
        <v>0.96299999999999997</v>
      </c>
      <c r="K167" s="2">
        <v>0.55600000000000005</v>
      </c>
      <c r="L167" s="2">
        <v>0.17699999999999999</v>
      </c>
      <c r="M167" s="2">
        <v>0.08</v>
      </c>
      <c r="N167" s="2">
        <v>0.151</v>
      </c>
      <c r="O167" s="2">
        <v>3.6999999999999998E-2</v>
      </c>
      <c r="P167" s="2">
        <v>0.629</v>
      </c>
      <c r="Q167" s="2">
        <v>0.76400000000000001</v>
      </c>
      <c r="R167" s="2">
        <v>0.41499999999999998</v>
      </c>
      <c r="S167" s="2">
        <v>0.54100000000000004</v>
      </c>
      <c r="T167" s="2">
        <v>0.42899999999999999</v>
      </c>
      <c r="U167" s="2">
        <v>0.17599999999999999</v>
      </c>
      <c r="V167" s="2">
        <v>0.41299999999999998</v>
      </c>
      <c r="W167" s="2">
        <v>0</v>
      </c>
      <c r="X167" s="2">
        <v>0.20499999999999999</v>
      </c>
      <c r="Y167" s="2">
        <v>91</v>
      </c>
      <c r="Z167" s="2">
        <v>0</v>
      </c>
      <c r="AA167" s="2"/>
      <c r="AB167" s="2">
        <v>0</v>
      </c>
      <c r="AC167" s="2">
        <v>0</v>
      </c>
    </row>
    <row r="168" spans="1:29" x14ac:dyDescent="0.2">
      <c r="A168" t="s">
        <v>235</v>
      </c>
      <c r="B168" s="2">
        <v>25</v>
      </c>
      <c r="C168" t="s">
        <v>48</v>
      </c>
      <c r="D168" s="2" t="s">
        <v>42</v>
      </c>
      <c r="E168" s="2">
        <v>22</v>
      </c>
      <c r="F168" s="2">
        <v>19</v>
      </c>
      <c r="G168" s="2">
        <v>516</v>
      </c>
      <c r="H168" s="2">
        <v>0.63600000000000001</v>
      </c>
      <c r="I168" s="2">
        <v>4.5</v>
      </c>
      <c r="J168" s="2">
        <v>0.91500000000000004</v>
      </c>
      <c r="K168" s="2">
        <v>0.65900000000000003</v>
      </c>
      <c r="L168" s="2">
        <v>0.22500000000000001</v>
      </c>
      <c r="M168" s="2">
        <v>2.3E-2</v>
      </c>
      <c r="N168" s="2">
        <v>8.0000000000000002E-3</v>
      </c>
      <c r="O168" s="2">
        <v>8.5000000000000006E-2</v>
      </c>
      <c r="P168" s="2">
        <v>0.69499999999999995</v>
      </c>
      <c r="Q168" s="2">
        <v>0.74099999999999999</v>
      </c>
      <c r="R168" s="2">
        <v>0.621</v>
      </c>
      <c r="S168" s="2">
        <v>0</v>
      </c>
      <c r="T168" s="2">
        <v>1</v>
      </c>
      <c r="U168" s="2">
        <v>0</v>
      </c>
      <c r="V168" s="2">
        <v>0.68300000000000005</v>
      </c>
      <c r="W168" s="2"/>
      <c r="X168" s="2">
        <v>0.31</v>
      </c>
      <c r="Y168" s="2">
        <v>36</v>
      </c>
      <c r="Z168" s="2">
        <v>0.182</v>
      </c>
      <c r="AA168" s="2">
        <v>0</v>
      </c>
      <c r="AB168" s="2">
        <v>1</v>
      </c>
      <c r="AC168" s="2">
        <v>0</v>
      </c>
    </row>
    <row r="169" spans="1:29" x14ac:dyDescent="0.2">
      <c r="A169" t="s">
        <v>124</v>
      </c>
      <c r="B169" s="2">
        <v>21</v>
      </c>
      <c r="C169" t="s">
        <v>66</v>
      </c>
      <c r="D169" s="2" t="s">
        <v>52</v>
      </c>
      <c r="E169" s="2">
        <v>21</v>
      </c>
      <c r="F169" s="2">
        <v>21</v>
      </c>
      <c r="G169" s="2">
        <v>680</v>
      </c>
      <c r="H169" s="2">
        <v>0.41399999999999998</v>
      </c>
      <c r="I169" s="2">
        <v>16.899999999999999</v>
      </c>
      <c r="J169" s="2">
        <v>0.495</v>
      </c>
      <c r="K169" s="2">
        <v>0.17899999999999999</v>
      </c>
      <c r="L169" s="2">
        <v>0.114</v>
      </c>
      <c r="M169" s="2">
        <v>0.14299999999999999</v>
      </c>
      <c r="N169" s="2">
        <v>5.8999999999999997E-2</v>
      </c>
      <c r="O169" s="2">
        <v>0.505</v>
      </c>
      <c r="P169" s="2">
        <v>0.48699999999999999</v>
      </c>
      <c r="Q169" s="2">
        <v>0.50900000000000001</v>
      </c>
      <c r="R169" s="2">
        <v>0.45700000000000002</v>
      </c>
      <c r="S169" s="2">
        <v>0.5</v>
      </c>
      <c r="T169" s="2">
        <v>0.44400000000000001</v>
      </c>
      <c r="U169" s="2">
        <v>0.34200000000000003</v>
      </c>
      <c r="V169" s="2">
        <v>0.78400000000000003</v>
      </c>
      <c r="W169" s="2">
        <v>0.92500000000000004</v>
      </c>
      <c r="X169" s="2">
        <v>1.2999999999999999E-2</v>
      </c>
      <c r="Y169" s="2">
        <v>3</v>
      </c>
      <c r="Z169" s="2">
        <v>0.245</v>
      </c>
      <c r="AA169" s="2">
        <v>0.28899999999999998</v>
      </c>
      <c r="AB169" s="2">
        <v>1</v>
      </c>
      <c r="AC169" s="2">
        <v>0</v>
      </c>
    </row>
    <row r="170" spans="1:29" x14ac:dyDescent="0.2">
      <c r="A170" t="s">
        <v>265</v>
      </c>
      <c r="B170" s="2">
        <v>26</v>
      </c>
      <c r="C170" t="s">
        <v>59</v>
      </c>
      <c r="D170" s="2" t="s">
        <v>27</v>
      </c>
      <c r="E170" s="2">
        <v>16</v>
      </c>
      <c r="F170" s="2">
        <v>7</v>
      </c>
      <c r="G170" s="2">
        <v>479</v>
      </c>
      <c r="H170" s="2">
        <v>0.439</v>
      </c>
      <c r="I170" s="2">
        <v>17.899999999999999</v>
      </c>
      <c r="J170" s="2">
        <v>0.39800000000000002</v>
      </c>
      <c r="K170" s="2">
        <v>0.154</v>
      </c>
      <c r="L170" s="2">
        <v>0.154</v>
      </c>
      <c r="M170" s="2">
        <v>5.7000000000000002E-2</v>
      </c>
      <c r="N170" s="2">
        <v>3.3000000000000002E-2</v>
      </c>
      <c r="O170" s="2">
        <v>0.60199999999999998</v>
      </c>
      <c r="P170" s="2">
        <v>0.55100000000000005</v>
      </c>
      <c r="Q170" s="2">
        <v>0.73699999999999999</v>
      </c>
      <c r="R170" s="2">
        <v>0.57899999999999996</v>
      </c>
      <c r="S170" s="2">
        <v>0.14299999999999999</v>
      </c>
      <c r="T170" s="2">
        <v>0.25</v>
      </c>
      <c r="U170" s="2">
        <v>0.36499999999999999</v>
      </c>
      <c r="V170" s="2">
        <v>0.81499999999999995</v>
      </c>
      <c r="W170" s="2">
        <v>1</v>
      </c>
      <c r="X170" s="2">
        <v>2.4E-2</v>
      </c>
      <c r="Y170" s="2">
        <v>3</v>
      </c>
      <c r="Z170" s="2">
        <v>0.20300000000000001</v>
      </c>
      <c r="AA170" s="2">
        <v>0.26700000000000002</v>
      </c>
      <c r="AB170" s="2">
        <v>0</v>
      </c>
      <c r="AC170" s="2">
        <v>0</v>
      </c>
    </row>
    <row r="171" spans="1:29" x14ac:dyDescent="0.2">
      <c r="A171" t="s">
        <v>223</v>
      </c>
      <c r="B171" s="2">
        <v>29</v>
      </c>
      <c r="C171" t="s">
        <v>54</v>
      </c>
      <c r="D171" s="2" t="s">
        <v>52</v>
      </c>
      <c r="E171" s="2">
        <v>19</v>
      </c>
      <c r="F171" s="2">
        <v>1</v>
      </c>
      <c r="G171" s="2">
        <v>453</v>
      </c>
      <c r="H171" s="2">
        <v>0.42099999999999999</v>
      </c>
      <c r="I171" s="2">
        <v>21.1</v>
      </c>
      <c r="J171" s="2">
        <v>0.24299999999999999</v>
      </c>
      <c r="K171" s="2">
        <v>5.2999999999999999E-2</v>
      </c>
      <c r="L171" s="2">
        <v>0.14499999999999999</v>
      </c>
      <c r="M171" s="2">
        <v>4.5999999999999999E-2</v>
      </c>
      <c r="N171" s="2">
        <v>0</v>
      </c>
      <c r="O171" s="2">
        <v>0.75700000000000001</v>
      </c>
      <c r="P171" s="2">
        <v>0.54100000000000004</v>
      </c>
      <c r="Q171" s="2">
        <v>0.75</v>
      </c>
      <c r="R171" s="2">
        <v>0.59099999999999997</v>
      </c>
      <c r="S171" s="2">
        <v>0.14299999999999999</v>
      </c>
      <c r="T171" s="2"/>
      <c r="U171" s="2">
        <v>0.38300000000000001</v>
      </c>
      <c r="V171" s="2">
        <v>0.8</v>
      </c>
      <c r="W171" s="2">
        <v>0.97699999999999998</v>
      </c>
      <c r="X171" s="2">
        <v>7.0000000000000001E-3</v>
      </c>
      <c r="Y171" s="2">
        <v>1</v>
      </c>
      <c r="Z171" s="2">
        <v>0.217</v>
      </c>
      <c r="AA171" s="2">
        <v>0.44</v>
      </c>
      <c r="AB171" s="2">
        <v>0</v>
      </c>
      <c r="AC171" s="2">
        <v>0</v>
      </c>
    </row>
    <row r="172" spans="1:29" x14ac:dyDescent="0.2">
      <c r="A172" t="s">
        <v>216</v>
      </c>
      <c r="B172" s="2">
        <v>29</v>
      </c>
      <c r="C172" t="s">
        <v>122</v>
      </c>
      <c r="D172" s="2" t="s">
        <v>27</v>
      </c>
      <c r="E172" s="2">
        <v>22</v>
      </c>
      <c r="F172" s="2">
        <v>9</v>
      </c>
      <c r="G172" s="2">
        <v>538</v>
      </c>
      <c r="H172" s="2">
        <v>0.49099999999999999</v>
      </c>
      <c r="I172" s="2">
        <v>15.2</v>
      </c>
      <c r="J172" s="2">
        <v>0.47199999999999998</v>
      </c>
      <c r="K172" s="2">
        <v>0.29399999999999998</v>
      </c>
      <c r="L172" s="2">
        <v>0.153</v>
      </c>
      <c r="M172" s="2">
        <v>1.2E-2</v>
      </c>
      <c r="N172" s="2">
        <v>1.2E-2</v>
      </c>
      <c r="O172" s="2">
        <v>0.52800000000000002</v>
      </c>
      <c r="P172" s="2">
        <v>0.59699999999999998</v>
      </c>
      <c r="Q172" s="2">
        <v>0.70799999999999996</v>
      </c>
      <c r="R172" s="2">
        <v>0.44</v>
      </c>
      <c r="S172" s="2">
        <v>0</v>
      </c>
      <c r="T172" s="2">
        <v>0.5</v>
      </c>
      <c r="U172" s="2">
        <v>0.39500000000000002</v>
      </c>
      <c r="V172" s="2">
        <v>0.84799999999999998</v>
      </c>
      <c r="W172" s="2">
        <v>1</v>
      </c>
      <c r="X172" s="2">
        <v>6.0999999999999999E-2</v>
      </c>
      <c r="Y172" s="2">
        <v>8</v>
      </c>
      <c r="Z172" s="2">
        <v>0.24399999999999999</v>
      </c>
      <c r="AA172" s="2">
        <v>0.42899999999999999</v>
      </c>
      <c r="AB172" s="2">
        <v>1</v>
      </c>
      <c r="AC172" s="2">
        <v>0</v>
      </c>
    </row>
    <row r="173" spans="1:29" x14ac:dyDescent="0.2">
      <c r="A173" t="s">
        <v>512</v>
      </c>
      <c r="B173" s="2">
        <v>22</v>
      </c>
      <c r="C173" t="s">
        <v>100</v>
      </c>
      <c r="D173" s="2" t="s">
        <v>27</v>
      </c>
      <c r="E173" s="2">
        <v>6</v>
      </c>
      <c r="F173" s="2">
        <v>0</v>
      </c>
      <c r="G173" s="2">
        <v>22</v>
      </c>
      <c r="H173" s="2">
        <v>0.4</v>
      </c>
      <c r="I173" s="2">
        <v>15</v>
      </c>
      <c r="J173" s="2">
        <v>0.4</v>
      </c>
      <c r="K173" s="2">
        <v>0.2</v>
      </c>
      <c r="L173" s="2">
        <v>0.2</v>
      </c>
      <c r="M173" s="2">
        <v>0</v>
      </c>
      <c r="N173" s="2">
        <v>0</v>
      </c>
      <c r="O173" s="2">
        <v>0.6</v>
      </c>
      <c r="P173" s="2">
        <v>0.5</v>
      </c>
      <c r="Q173" s="2">
        <v>1</v>
      </c>
      <c r="R173" s="2">
        <v>0</v>
      </c>
      <c r="S173" s="2"/>
      <c r="T173" s="2"/>
      <c r="U173" s="2">
        <v>0.33300000000000002</v>
      </c>
      <c r="V173" s="2">
        <v>1</v>
      </c>
      <c r="W173" s="2">
        <v>1</v>
      </c>
      <c r="X173" s="2">
        <v>0.2</v>
      </c>
      <c r="Y173" s="2">
        <v>1</v>
      </c>
      <c r="Z173" s="2">
        <v>0.33300000000000002</v>
      </c>
      <c r="AA173" s="2">
        <v>1</v>
      </c>
      <c r="AB173" s="2">
        <v>0</v>
      </c>
      <c r="AC173" s="2">
        <v>0</v>
      </c>
    </row>
    <row r="174" spans="1:29" x14ac:dyDescent="0.2">
      <c r="A174" t="s">
        <v>186</v>
      </c>
      <c r="B174" s="2">
        <v>32</v>
      </c>
      <c r="C174" t="s">
        <v>93</v>
      </c>
      <c r="D174" s="2" t="s">
        <v>27</v>
      </c>
      <c r="E174" s="2">
        <v>24</v>
      </c>
      <c r="F174" s="2">
        <v>24</v>
      </c>
      <c r="G174" s="2">
        <v>688</v>
      </c>
      <c r="H174" s="2">
        <v>0.48599999999999999</v>
      </c>
      <c r="I174" s="2">
        <v>13.2</v>
      </c>
      <c r="J174" s="2">
        <v>0.55400000000000005</v>
      </c>
      <c r="K174" s="2">
        <v>0.27700000000000002</v>
      </c>
      <c r="L174" s="2">
        <v>0.22600000000000001</v>
      </c>
      <c r="M174" s="2">
        <v>5.0999999999999997E-2</v>
      </c>
      <c r="N174" s="2">
        <v>0</v>
      </c>
      <c r="O174" s="2">
        <v>0.44600000000000001</v>
      </c>
      <c r="P174" s="2">
        <v>0.53100000000000003</v>
      </c>
      <c r="Q174" s="2">
        <v>0.65300000000000002</v>
      </c>
      <c r="R174" s="2">
        <v>0.4</v>
      </c>
      <c r="S174" s="2">
        <v>0.44400000000000001</v>
      </c>
      <c r="T174" s="2"/>
      <c r="U174" s="2">
        <v>0.43</v>
      </c>
      <c r="V174" s="2">
        <v>0.69199999999999995</v>
      </c>
      <c r="W174" s="2">
        <v>1</v>
      </c>
      <c r="X174" s="2">
        <v>4.4999999999999998E-2</v>
      </c>
      <c r="Y174" s="2">
        <v>8</v>
      </c>
      <c r="Z174" s="2">
        <v>0.49399999999999999</v>
      </c>
      <c r="AA174" s="2">
        <v>0.46200000000000002</v>
      </c>
      <c r="AB174" s="2">
        <v>0</v>
      </c>
      <c r="AC174" s="2">
        <v>0</v>
      </c>
    </row>
    <row r="175" spans="1:29" x14ac:dyDescent="0.2">
      <c r="A175" t="s">
        <v>559</v>
      </c>
      <c r="B175" s="2">
        <v>22</v>
      </c>
      <c r="C175" t="s">
        <v>93</v>
      </c>
      <c r="D175" s="2" t="s">
        <v>49</v>
      </c>
      <c r="E175" s="2">
        <v>1</v>
      </c>
      <c r="F175" s="2">
        <v>0</v>
      </c>
      <c r="G175" s="2">
        <v>7</v>
      </c>
      <c r="H175" s="2">
        <v>0</v>
      </c>
      <c r="I175" s="2">
        <v>21.8</v>
      </c>
      <c r="J175" s="2">
        <v>1</v>
      </c>
      <c r="K175" s="2">
        <v>0</v>
      </c>
      <c r="L175" s="2">
        <v>0</v>
      </c>
      <c r="M175" s="2">
        <v>0</v>
      </c>
      <c r="N175" s="2">
        <v>1</v>
      </c>
      <c r="O175" s="2">
        <v>0</v>
      </c>
      <c r="P175" s="2">
        <v>0</v>
      </c>
      <c r="Q175" s="2"/>
      <c r="R175" s="2"/>
      <c r="S175" s="2"/>
      <c r="T175" s="2">
        <v>0</v>
      </c>
      <c r="U175" s="2"/>
      <c r="V175" s="2"/>
      <c r="W175" s="2"/>
      <c r="X175" s="2">
        <v>0</v>
      </c>
      <c r="Y175" s="2">
        <v>0</v>
      </c>
      <c r="Z175" s="2"/>
      <c r="AA175" s="2"/>
      <c r="AB175" s="2">
        <v>0</v>
      </c>
      <c r="AC175" s="2">
        <v>0</v>
      </c>
    </row>
    <row r="176" spans="1:29" x14ac:dyDescent="0.2">
      <c r="A176" t="s">
        <v>275</v>
      </c>
      <c r="B176" s="2">
        <v>28</v>
      </c>
      <c r="C176" t="s">
        <v>61</v>
      </c>
      <c r="D176" s="2" t="s">
        <v>49</v>
      </c>
      <c r="E176" s="2">
        <v>21</v>
      </c>
      <c r="F176" s="2">
        <v>15</v>
      </c>
      <c r="G176" s="2">
        <v>527</v>
      </c>
      <c r="H176" s="2">
        <v>0.47499999999999998</v>
      </c>
      <c r="I176" s="2">
        <v>15.7</v>
      </c>
      <c r="J176" s="2">
        <v>0.441</v>
      </c>
      <c r="K176" s="2">
        <v>0.23699999999999999</v>
      </c>
      <c r="L176" s="2">
        <v>0.161</v>
      </c>
      <c r="M176" s="2">
        <v>3.4000000000000002E-2</v>
      </c>
      <c r="N176" s="2">
        <v>8.0000000000000002E-3</v>
      </c>
      <c r="O176" s="2">
        <v>0.55900000000000005</v>
      </c>
      <c r="P176" s="2">
        <v>0.53800000000000003</v>
      </c>
      <c r="Q176" s="2">
        <v>0.67900000000000005</v>
      </c>
      <c r="R176" s="2">
        <v>0.42099999999999999</v>
      </c>
      <c r="S176" s="2">
        <v>0.25</v>
      </c>
      <c r="T176" s="2">
        <v>0</v>
      </c>
      <c r="U176" s="2">
        <v>0.42399999999999999</v>
      </c>
      <c r="V176" s="2">
        <v>0.78600000000000003</v>
      </c>
      <c r="W176" s="2">
        <v>0.96399999999999997</v>
      </c>
      <c r="X176" s="2">
        <v>4.2000000000000003E-2</v>
      </c>
      <c r="Y176" s="2">
        <v>5</v>
      </c>
      <c r="Z176" s="2">
        <v>0.379</v>
      </c>
      <c r="AA176" s="2">
        <v>0.52</v>
      </c>
      <c r="AB176" s="2">
        <v>0</v>
      </c>
      <c r="AC176" s="2">
        <v>0</v>
      </c>
    </row>
    <row r="177" spans="1:29" x14ac:dyDescent="0.2">
      <c r="A177" t="s">
        <v>363</v>
      </c>
      <c r="B177" s="2">
        <v>26</v>
      </c>
      <c r="C177" t="s">
        <v>117</v>
      </c>
      <c r="D177" s="2" t="s">
        <v>49</v>
      </c>
      <c r="E177" s="2">
        <v>8</v>
      </c>
      <c r="F177" s="2">
        <v>8</v>
      </c>
      <c r="G177" s="2">
        <v>255</v>
      </c>
      <c r="H177" s="2">
        <v>0.48499999999999999</v>
      </c>
      <c r="I177" s="2">
        <v>14.6</v>
      </c>
      <c r="J177" s="2">
        <v>0.57599999999999996</v>
      </c>
      <c r="K177" s="2">
        <v>0.25800000000000001</v>
      </c>
      <c r="L177" s="2">
        <v>0.182</v>
      </c>
      <c r="M177" s="2">
        <v>0.03</v>
      </c>
      <c r="N177" s="2">
        <v>0.106</v>
      </c>
      <c r="O177" s="2">
        <v>0.42399999999999999</v>
      </c>
      <c r="P177" s="2">
        <v>0.63200000000000001</v>
      </c>
      <c r="Q177" s="2">
        <v>0.76500000000000001</v>
      </c>
      <c r="R177" s="2">
        <v>0.33300000000000002</v>
      </c>
      <c r="S177" s="2">
        <v>1</v>
      </c>
      <c r="T177" s="2">
        <v>0.71399999999999997</v>
      </c>
      <c r="U177" s="2">
        <v>0.28599999999999998</v>
      </c>
      <c r="V177" s="2">
        <v>0.70799999999999996</v>
      </c>
      <c r="W177" s="2">
        <v>1</v>
      </c>
      <c r="X177" s="2">
        <v>1.4999999999999999E-2</v>
      </c>
      <c r="Y177" s="2">
        <v>1</v>
      </c>
      <c r="Z177" s="2">
        <v>0.5</v>
      </c>
      <c r="AA177" s="2">
        <v>0.28599999999999998</v>
      </c>
      <c r="AB177" s="2">
        <v>1</v>
      </c>
      <c r="AC177" s="2">
        <v>0</v>
      </c>
    </row>
    <row r="178" spans="1:29" x14ac:dyDescent="0.2">
      <c r="A178" t="s">
        <v>424</v>
      </c>
      <c r="B178" s="2">
        <v>24</v>
      </c>
      <c r="C178" t="s">
        <v>46</v>
      </c>
      <c r="D178" s="2" t="s">
        <v>27</v>
      </c>
      <c r="E178" s="2">
        <v>14</v>
      </c>
      <c r="F178" s="2">
        <v>0</v>
      </c>
      <c r="G178" s="2">
        <v>129</v>
      </c>
      <c r="H178" s="2">
        <v>0.44400000000000001</v>
      </c>
      <c r="I178" s="2">
        <v>16.399999999999999</v>
      </c>
      <c r="J178" s="2">
        <v>0.40699999999999997</v>
      </c>
      <c r="K178" s="2">
        <v>0.25900000000000001</v>
      </c>
      <c r="L178" s="2">
        <v>7.3999999999999996E-2</v>
      </c>
      <c r="M178" s="2">
        <v>7.3999999999999996E-2</v>
      </c>
      <c r="N178" s="2">
        <v>0</v>
      </c>
      <c r="O178" s="2">
        <v>0.59299999999999997</v>
      </c>
      <c r="P178" s="2">
        <v>0.72699999999999998</v>
      </c>
      <c r="Q178" s="2">
        <v>1</v>
      </c>
      <c r="R178" s="2">
        <v>0</v>
      </c>
      <c r="S178" s="2">
        <v>0.5</v>
      </c>
      <c r="T178" s="2"/>
      <c r="U178" s="2">
        <v>0.25</v>
      </c>
      <c r="V178" s="2">
        <v>0.75</v>
      </c>
      <c r="W178" s="2">
        <v>1</v>
      </c>
      <c r="X178" s="2">
        <v>0.111</v>
      </c>
      <c r="Y178" s="2">
        <v>2</v>
      </c>
      <c r="Z178" s="2">
        <v>0.313</v>
      </c>
      <c r="AA178" s="2">
        <v>0.4</v>
      </c>
      <c r="AB178" s="2">
        <v>0</v>
      </c>
      <c r="AC178" s="2">
        <v>0</v>
      </c>
    </row>
    <row r="179" spans="1:29" x14ac:dyDescent="0.2">
      <c r="A179" t="s">
        <v>413</v>
      </c>
      <c r="B179" s="2">
        <v>25</v>
      </c>
      <c r="C179" t="s">
        <v>66</v>
      </c>
      <c r="D179" s="2" t="s">
        <v>33</v>
      </c>
      <c r="E179" s="2">
        <v>3</v>
      </c>
      <c r="F179" s="2">
        <v>3</v>
      </c>
      <c r="G179" s="2">
        <v>68</v>
      </c>
      <c r="H179" s="2">
        <v>0.38100000000000001</v>
      </c>
      <c r="I179" s="2">
        <v>14.5</v>
      </c>
      <c r="J179" s="2">
        <v>0.61899999999999999</v>
      </c>
      <c r="K179" s="2">
        <v>0.14299999999999999</v>
      </c>
      <c r="L179" s="2">
        <v>0.31</v>
      </c>
      <c r="M179" s="2">
        <v>0.11899999999999999</v>
      </c>
      <c r="N179" s="2">
        <v>4.8000000000000001E-2</v>
      </c>
      <c r="O179" s="2">
        <v>0.38100000000000001</v>
      </c>
      <c r="P179" s="2">
        <v>0.38500000000000001</v>
      </c>
      <c r="Q179" s="2">
        <v>0.33300000000000002</v>
      </c>
      <c r="R179" s="2">
        <v>0.308</v>
      </c>
      <c r="S179" s="2">
        <v>0.8</v>
      </c>
      <c r="T179" s="2">
        <v>0</v>
      </c>
      <c r="U179" s="2">
        <v>0.375</v>
      </c>
      <c r="V179" s="2">
        <v>0.9</v>
      </c>
      <c r="W179" s="2">
        <v>0.5</v>
      </c>
      <c r="X179" s="2">
        <v>0</v>
      </c>
      <c r="Y179" s="2">
        <v>0</v>
      </c>
      <c r="Z179" s="2">
        <v>6.3E-2</v>
      </c>
      <c r="AA179" s="2">
        <v>0</v>
      </c>
      <c r="AB179" s="2">
        <v>0</v>
      </c>
      <c r="AC179" s="2">
        <v>0</v>
      </c>
    </row>
    <row r="180" spans="1:29" x14ac:dyDescent="0.2">
      <c r="A180" t="s">
        <v>385</v>
      </c>
      <c r="B180" s="2">
        <v>24</v>
      </c>
      <c r="C180" t="s">
        <v>37</v>
      </c>
      <c r="D180" s="2" t="s">
        <v>27</v>
      </c>
      <c r="E180" s="2">
        <v>15</v>
      </c>
      <c r="F180" s="2">
        <v>0</v>
      </c>
      <c r="G180" s="2">
        <v>142</v>
      </c>
      <c r="H180" s="2">
        <v>0.65100000000000002</v>
      </c>
      <c r="I180" s="2">
        <v>5.0999999999999996</v>
      </c>
      <c r="J180" s="2">
        <v>0.90700000000000003</v>
      </c>
      <c r="K180" s="2">
        <v>0.46500000000000002</v>
      </c>
      <c r="L180" s="2">
        <v>0.41899999999999998</v>
      </c>
      <c r="M180" s="2">
        <v>2.3E-2</v>
      </c>
      <c r="N180" s="2">
        <v>0</v>
      </c>
      <c r="O180" s="2">
        <v>9.2999999999999999E-2</v>
      </c>
      <c r="P180" s="2">
        <v>0.69199999999999995</v>
      </c>
      <c r="Q180" s="2">
        <v>0.75</v>
      </c>
      <c r="R180" s="2">
        <v>0.66700000000000004</v>
      </c>
      <c r="S180" s="2">
        <v>0</v>
      </c>
      <c r="T180" s="2"/>
      <c r="U180" s="2">
        <v>0.25</v>
      </c>
      <c r="V180" s="2">
        <v>0.77800000000000002</v>
      </c>
      <c r="W180" s="2">
        <v>1</v>
      </c>
      <c r="X180" s="2">
        <v>0.372</v>
      </c>
      <c r="Y180" s="2">
        <v>15</v>
      </c>
      <c r="Z180" s="2">
        <v>0.5</v>
      </c>
      <c r="AA180" s="2">
        <v>0.5</v>
      </c>
      <c r="AB180" s="2">
        <v>0</v>
      </c>
      <c r="AC180" s="2">
        <v>0</v>
      </c>
    </row>
    <row r="181" spans="1:29" x14ac:dyDescent="0.2">
      <c r="A181" t="s">
        <v>307</v>
      </c>
      <c r="B181" s="2">
        <v>24</v>
      </c>
      <c r="C181" t="s">
        <v>57</v>
      </c>
      <c r="D181" s="2" t="s">
        <v>52</v>
      </c>
      <c r="E181" s="2">
        <v>21</v>
      </c>
      <c r="F181" s="2">
        <v>14</v>
      </c>
      <c r="G181" s="2">
        <v>439</v>
      </c>
      <c r="H181" s="2">
        <v>0.47899999999999998</v>
      </c>
      <c r="I181" s="2">
        <v>15</v>
      </c>
      <c r="J181" s="2">
        <v>0.42599999999999999</v>
      </c>
      <c r="K181" s="2">
        <v>0.36199999999999999</v>
      </c>
      <c r="L181" s="2">
        <v>6.4000000000000001E-2</v>
      </c>
      <c r="M181" s="2">
        <v>0</v>
      </c>
      <c r="N181" s="2">
        <v>0</v>
      </c>
      <c r="O181" s="2">
        <v>0.57399999999999995</v>
      </c>
      <c r="P181" s="2">
        <v>0.5</v>
      </c>
      <c r="Q181" s="2">
        <v>0.52900000000000003</v>
      </c>
      <c r="R181" s="2">
        <v>0.33300000000000002</v>
      </c>
      <c r="S181" s="2"/>
      <c r="T181" s="2"/>
      <c r="U181" s="2">
        <v>0.46300000000000002</v>
      </c>
      <c r="V181" s="2">
        <v>0.65</v>
      </c>
      <c r="W181" s="2">
        <v>1</v>
      </c>
      <c r="X181" s="2">
        <v>5.2999999999999999E-2</v>
      </c>
      <c r="Y181" s="2">
        <v>4</v>
      </c>
      <c r="Z181" s="2">
        <v>0.53700000000000003</v>
      </c>
      <c r="AA181" s="2">
        <v>0.41399999999999998</v>
      </c>
      <c r="AB181" s="2">
        <v>0</v>
      </c>
      <c r="AC181" s="2">
        <v>0</v>
      </c>
    </row>
    <row r="182" spans="1:29" x14ac:dyDescent="0.2">
      <c r="A182" t="s">
        <v>394</v>
      </c>
      <c r="B182" s="2">
        <v>20</v>
      </c>
      <c r="C182" t="s">
        <v>120</v>
      </c>
      <c r="D182" s="2" t="s">
        <v>33</v>
      </c>
      <c r="E182" s="2">
        <v>16</v>
      </c>
      <c r="F182" s="2">
        <v>1</v>
      </c>
      <c r="G182" s="2">
        <v>278</v>
      </c>
      <c r="H182" s="2">
        <v>0.31</v>
      </c>
      <c r="I182" s="2">
        <v>14.7</v>
      </c>
      <c r="J182" s="2">
        <v>0.62</v>
      </c>
      <c r="K182" s="2">
        <v>0.21099999999999999</v>
      </c>
      <c r="L182" s="2">
        <v>0.254</v>
      </c>
      <c r="M182" s="2">
        <v>9.9000000000000005E-2</v>
      </c>
      <c r="N182" s="2">
        <v>5.6000000000000001E-2</v>
      </c>
      <c r="O182" s="2">
        <v>0.38</v>
      </c>
      <c r="P182" s="2">
        <v>0.40899999999999997</v>
      </c>
      <c r="Q182" s="2">
        <v>0.6</v>
      </c>
      <c r="R182" s="2">
        <v>0.38900000000000001</v>
      </c>
      <c r="S182" s="2">
        <v>0.14299999999999999</v>
      </c>
      <c r="T182" s="2">
        <v>0.25</v>
      </c>
      <c r="U182" s="2">
        <v>0.14799999999999999</v>
      </c>
      <c r="V182" s="2">
        <v>0.27800000000000002</v>
      </c>
      <c r="W182" s="2">
        <v>0.75</v>
      </c>
      <c r="X182" s="2">
        <v>1.4E-2</v>
      </c>
      <c r="Y182" s="2">
        <v>1</v>
      </c>
      <c r="Z182" s="2">
        <v>0.25900000000000001</v>
      </c>
      <c r="AA182" s="2">
        <v>0.28599999999999998</v>
      </c>
      <c r="AB182" s="2">
        <v>2</v>
      </c>
      <c r="AC182" s="2">
        <v>0</v>
      </c>
    </row>
    <row r="183" spans="1:29" x14ac:dyDescent="0.2">
      <c r="A183" t="s">
        <v>555</v>
      </c>
      <c r="B183" s="2">
        <v>23</v>
      </c>
      <c r="C183" t="s">
        <v>37</v>
      </c>
      <c r="D183" s="2" t="s">
        <v>49</v>
      </c>
      <c r="E183" s="2">
        <v>1</v>
      </c>
      <c r="F183" s="2">
        <v>0</v>
      </c>
      <c r="G183" s="2">
        <v>5</v>
      </c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>
        <v>0</v>
      </c>
      <c r="Z183" s="2"/>
      <c r="AA183" s="2"/>
      <c r="AB183" s="2">
        <v>0</v>
      </c>
      <c r="AC183" s="2">
        <v>0</v>
      </c>
    </row>
    <row r="184" spans="1:29" x14ac:dyDescent="0.2">
      <c r="A184" t="s">
        <v>332</v>
      </c>
      <c r="B184" s="2">
        <v>26</v>
      </c>
      <c r="C184" t="s">
        <v>32</v>
      </c>
      <c r="D184" s="2" t="s">
        <v>42</v>
      </c>
      <c r="E184" s="2">
        <v>9</v>
      </c>
      <c r="F184" s="2">
        <v>8</v>
      </c>
      <c r="G184" s="2">
        <v>267</v>
      </c>
      <c r="H184" s="2">
        <v>0.55400000000000005</v>
      </c>
      <c r="I184" s="2">
        <v>7.2</v>
      </c>
      <c r="J184" s="2">
        <v>0.95199999999999996</v>
      </c>
      <c r="K184" s="2">
        <v>0.373</v>
      </c>
      <c r="L184" s="2">
        <v>0.36099999999999999</v>
      </c>
      <c r="M184" s="2">
        <v>0.193</v>
      </c>
      <c r="N184" s="2">
        <v>2.4E-2</v>
      </c>
      <c r="O184" s="2">
        <v>4.8000000000000001E-2</v>
      </c>
      <c r="P184" s="2">
        <v>0.58199999999999996</v>
      </c>
      <c r="Q184" s="2">
        <v>0.64500000000000002</v>
      </c>
      <c r="R184" s="2">
        <v>0.56699999999999995</v>
      </c>
      <c r="S184" s="2">
        <v>0.56299999999999994</v>
      </c>
      <c r="T184" s="2">
        <v>0</v>
      </c>
      <c r="U184" s="2">
        <v>0</v>
      </c>
      <c r="V184" s="2">
        <v>0.78300000000000003</v>
      </c>
      <c r="W184" s="2"/>
      <c r="X184" s="2">
        <v>0.20499999999999999</v>
      </c>
      <c r="Y184" s="2">
        <v>14</v>
      </c>
      <c r="Z184" s="2">
        <v>0</v>
      </c>
      <c r="AA184" s="2"/>
      <c r="AB184" s="2">
        <v>0</v>
      </c>
      <c r="AC184" s="2">
        <v>0</v>
      </c>
    </row>
    <row r="185" spans="1:29" x14ac:dyDescent="0.2">
      <c r="A185" t="s">
        <v>425</v>
      </c>
      <c r="B185" s="2">
        <v>23</v>
      </c>
      <c r="C185" t="s">
        <v>82</v>
      </c>
      <c r="D185" s="2" t="s">
        <v>42</v>
      </c>
      <c r="E185" s="2">
        <v>5</v>
      </c>
      <c r="F185" s="2">
        <v>1</v>
      </c>
      <c r="G185" s="2">
        <v>84</v>
      </c>
      <c r="H185" s="2">
        <v>0.60899999999999999</v>
      </c>
      <c r="I185" s="2">
        <v>1.9</v>
      </c>
      <c r="J185" s="2">
        <v>1</v>
      </c>
      <c r="K185" s="2">
        <v>0.78300000000000003</v>
      </c>
      <c r="L185" s="2">
        <v>0.217</v>
      </c>
      <c r="M185" s="2">
        <v>0</v>
      </c>
      <c r="N185" s="2">
        <v>0</v>
      </c>
      <c r="O185" s="2">
        <v>0</v>
      </c>
      <c r="P185" s="2">
        <v>0.60899999999999999</v>
      </c>
      <c r="Q185" s="2">
        <v>0.61099999999999999</v>
      </c>
      <c r="R185" s="2">
        <v>0.6</v>
      </c>
      <c r="S185" s="2"/>
      <c r="T185" s="2"/>
      <c r="U185" s="2"/>
      <c r="V185" s="2">
        <v>0.85699999999999998</v>
      </c>
      <c r="W185" s="2"/>
      <c r="X185" s="2">
        <v>0.30399999999999999</v>
      </c>
      <c r="Y185" s="2">
        <v>6</v>
      </c>
      <c r="Z185" s="2"/>
      <c r="AA185" s="2"/>
      <c r="AB185" s="2">
        <v>0</v>
      </c>
      <c r="AC185" s="2">
        <v>0</v>
      </c>
    </row>
    <row r="186" spans="1:29" x14ac:dyDescent="0.2">
      <c r="A186" t="s">
        <v>232</v>
      </c>
      <c r="B186" s="2">
        <v>25</v>
      </c>
      <c r="C186" t="s">
        <v>32</v>
      </c>
      <c r="D186" s="2" t="s">
        <v>52</v>
      </c>
      <c r="E186" s="2">
        <v>22</v>
      </c>
      <c r="F186" s="2">
        <v>9</v>
      </c>
      <c r="G186" s="2">
        <v>473</v>
      </c>
      <c r="H186" s="2">
        <v>0.41199999999999998</v>
      </c>
      <c r="I186" s="2">
        <v>22.8</v>
      </c>
      <c r="J186" s="2">
        <v>0.2</v>
      </c>
      <c r="K186" s="2">
        <v>4.7E-2</v>
      </c>
      <c r="L186" s="2">
        <v>3.5000000000000003E-2</v>
      </c>
      <c r="M186" s="2">
        <v>7.5999999999999998E-2</v>
      </c>
      <c r="N186" s="2">
        <v>4.1000000000000002E-2</v>
      </c>
      <c r="O186" s="2">
        <v>0.8</v>
      </c>
      <c r="P186" s="2">
        <v>0.52900000000000003</v>
      </c>
      <c r="Q186" s="2">
        <v>0.875</v>
      </c>
      <c r="R186" s="2">
        <v>0.66700000000000004</v>
      </c>
      <c r="S186" s="2">
        <v>0.308</v>
      </c>
      <c r="T186" s="2">
        <v>0.42899999999999999</v>
      </c>
      <c r="U186" s="2">
        <v>0.38200000000000001</v>
      </c>
      <c r="V186" s="2">
        <v>0.83299999999999996</v>
      </c>
      <c r="W186" s="2">
        <v>0.90400000000000003</v>
      </c>
      <c r="X186" s="2">
        <v>1.2E-2</v>
      </c>
      <c r="Y186" s="2">
        <v>2</v>
      </c>
      <c r="Z186" s="2">
        <v>0.191</v>
      </c>
      <c r="AA186" s="2">
        <v>0.57699999999999996</v>
      </c>
      <c r="AB186" s="2">
        <v>0</v>
      </c>
      <c r="AC186" s="2">
        <v>0</v>
      </c>
    </row>
    <row r="187" spans="1:29" x14ac:dyDescent="0.2">
      <c r="A187" t="s">
        <v>272</v>
      </c>
      <c r="B187" s="2">
        <v>23</v>
      </c>
      <c r="C187" t="s">
        <v>75</v>
      </c>
      <c r="D187" s="2" t="s">
        <v>42</v>
      </c>
      <c r="E187" s="2">
        <v>26</v>
      </c>
      <c r="F187" s="2">
        <v>3</v>
      </c>
      <c r="G187" s="2">
        <v>572</v>
      </c>
      <c r="H187" s="2">
        <v>0.55400000000000005</v>
      </c>
      <c r="I187" s="2">
        <v>7</v>
      </c>
      <c r="J187" s="2">
        <v>0.82099999999999995</v>
      </c>
      <c r="K187" s="2">
        <v>0.51800000000000002</v>
      </c>
      <c r="L187" s="2">
        <v>0.26800000000000002</v>
      </c>
      <c r="M187" s="2">
        <v>2.7E-2</v>
      </c>
      <c r="N187" s="2">
        <v>8.9999999999999993E-3</v>
      </c>
      <c r="O187" s="2">
        <v>0.17899999999999999</v>
      </c>
      <c r="P187" s="2">
        <v>0.62</v>
      </c>
      <c r="Q187" s="2">
        <v>0.70699999999999996</v>
      </c>
      <c r="R187" s="2">
        <v>0.46700000000000003</v>
      </c>
      <c r="S187" s="2">
        <v>0.66700000000000004</v>
      </c>
      <c r="T187" s="2">
        <v>0</v>
      </c>
      <c r="U187" s="2">
        <v>0.25</v>
      </c>
      <c r="V187" s="2">
        <v>0.68400000000000005</v>
      </c>
      <c r="W187" s="2">
        <v>1</v>
      </c>
      <c r="X187" s="2">
        <v>0.11600000000000001</v>
      </c>
      <c r="Y187" s="2">
        <v>13</v>
      </c>
      <c r="Z187" s="2">
        <v>0.3</v>
      </c>
      <c r="AA187" s="2">
        <v>0.33300000000000002</v>
      </c>
      <c r="AB187" s="2">
        <v>0</v>
      </c>
      <c r="AC187" s="2">
        <v>0</v>
      </c>
    </row>
    <row r="188" spans="1:29" x14ac:dyDescent="0.2">
      <c r="A188" t="s">
        <v>478</v>
      </c>
      <c r="B188" s="2">
        <v>24</v>
      </c>
      <c r="C188" t="s">
        <v>59</v>
      </c>
      <c r="D188" s="2" t="s">
        <v>52</v>
      </c>
      <c r="E188" s="2">
        <v>2</v>
      </c>
      <c r="F188" s="2">
        <v>0</v>
      </c>
      <c r="G188" s="2">
        <v>29</v>
      </c>
      <c r="H188" s="2">
        <v>0.45500000000000002</v>
      </c>
      <c r="I188" s="2">
        <v>8.6999999999999993</v>
      </c>
      <c r="J188" s="2">
        <v>0.81799999999999995</v>
      </c>
      <c r="K188" s="2">
        <v>0.27300000000000002</v>
      </c>
      <c r="L188" s="2">
        <v>0.36399999999999999</v>
      </c>
      <c r="M188" s="2">
        <v>0.182</v>
      </c>
      <c r="N188" s="2">
        <v>0</v>
      </c>
      <c r="O188" s="2">
        <v>0.182</v>
      </c>
      <c r="P188" s="2">
        <v>0.44400000000000001</v>
      </c>
      <c r="Q188" s="2">
        <v>0.33300000000000002</v>
      </c>
      <c r="R188" s="2">
        <v>0.5</v>
      </c>
      <c r="S188" s="2">
        <v>0.5</v>
      </c>
      <c r="T188" s="2"/>
      <c r="U188" s="2">
        <v>0.5</v>
      </c>
      <c r="V188" s="2">
        <v>0</v>
      </c>
      <c r="W188" s="2">
        <v>0</v>
      </c>
      <c r="X188" s="2">
        <v>9.0999999999999998E-2</v>
      </c>
      <c r="Y188" s="2">
        <v>1</v>
      </c>
      <c r="Z188" s="2">
        <v>0.5</v>
      </c>
      <c r="AA188" s="2">
        <v>0</v>
      </c>
      <c r="AB188" s="2">
        <v>0</v>
      </c>
      <c r="AC188" s="2">
        <v>0</v>
      </c>
    </row>
    <row r="189" spans="1:29" x14ac:dyDescent="0.2">
      <c r="A189" t="s">
        <v>126</v>
      </c>
      <c r="B189" s="2">
        <v>27</v>
      </c>
      <c r="C189" t="s">
        <v>77</v>
      </c>
      <c r="D189" s="2" t="s">
        <v>42</v>
      </c>
      <c r="E189" s="2">
        <v>25</v>
      </c>
      <c r="F189" s="2">
        <v>25</v>
      </c>
      <c r="G189" s="2">
        <v>811</v>
      </c>
      <c r="H189" s="2">
        <v>0.60199999999999998</v>
      </c>
      <c r="I189" s="2">
        <v>4.4000000000000004</v>
      </c>
      <c r="J189" s="2">
        <v>1</v>
      </c>
      <c r="K189" s="2">
        <v>0.42299999999999999</v>
      </c>
      <c r="L189" s="2">
        <v>0.49299999999999999</v>
      </c>
      <c r="M189" s="2">
        <v>7.6999999999999999E-2</v>
      </c>
      <c r="N189" s="2">
        <v>7.0000000000000001E-3</v>
      </c>
      <c r="O189" s="2">
        <v>0</v>
      </c>
      <c r="P189" s="2">
        <v>0.60199999999999998</v>
      </c>
      <c r="Q189" s="2">
        <v>0.69</v>
      </c>
      <c r="R189" s="2">
        <v>0.56299999999999994</v>
      </c>
      <c r="S189" s="2">
        <v>0.38100000000000001</v>
      </c>
      <c r="T189" s="2">
        <v>0.5</v>
      </c>
      <c r="U189" s="2"/>
      <c r="V189" s="2">
        <v>0.69699999999999995</v>
      </c>
      <c r="W189" s="2"/>
      <c r="X189" s="2">
        <v>0.17899999999999999</v>
      </c>
      <c r="Y189" s="2">
        <v>45</v>
      </c>
      <c r="Z189" s="2"/>
      <c r="AA189" s="2"/>
      <c r="AB189" s="2">
        <v>0</v>
      </c>
      <c r="AC189" s="2">
        <v>0</v>
      </c>
    </row>
    <row r="190" spans="1:29" x14ac:dyDescent="0.2">
      <c r="A190" t="s">
        <v>151</v>
      </c>
      <c r="B190" s="2">
        <v>25</v>
      </c>
      <c r="C190" t="s">
        <v>80</v>
      </c>
      <c r="D190" s="2" t="s">
        <v>33</v>
      </c>
      <c r="E190" s="2">
        <v>14</v>
      </c>
      <c r="F190" s="2">
        <v>14</v>
      </c>
      <c r="G190" s="2">
        <v>394</v>
      </c>
      <c r="H190" s="2">
        <v>0.45700000000000002</v>
      </c>
      <c r="I190" s="2">
        <v>11.7</v>
      </c>
      <c r="J190" s="2">
        <v>0.71699999999999997</v>
      </c>
      <c r="K190" s="2">
        <v>0.26500000000000001</v>
      </c>
      <c r="L190" s="2">
        <v>0.314</v>
      </c>
      <c r="M190" s="2">
        <v>0.108</v>
      </c>
      <c r="N190" s="2">
        <v>3.1E-2</v>
      </c>
      <c r="O190" s="2">
        <v>0.28299999999999997</v>
      </c>
      <c r="P190" s="2">
        <v>0.51900000000000002</v>
      </c>
      <c r="Q190" s="2">
        <v>0.69499999999999995</v>
      </c>
      <c r="R190" s="2">
        <v>0.47099999999999997</v>
      </c>
      <c r="S190" s="2">
        <v>0.25</v>
      </c>
      <c r="T190" s="2">
        <v>0.42899999999999999</v>
      </c>
      <c r="U190" s="2">
        <v>0.30199999999999999</v>
      </c>
      <c r="V190" s="2">
        <v>0.28899999999999998</v>
      </c>
      <c r="W190" s="2">
        <v>0.84199999999999997</v>
      </c>
      <c r="X190" s="2">
        <v>3.1E-2</v>
      </c>
      <c r="Y190" s="2">
        <v>5</v>
      </c>
      <c r="Z190" s="2">
        <v>0.17499999999999999</v>
      </c>
      <c r="AA190" s="2">
        <v>0.45500000000000002</v>
      </c>
      <c r="AB190" s="2">
        <v>1</v>
      </c>
      <c r="AC190" s="2">
        <v>0</v>
      </c>
    </row>
    <row r="191" spans="1:29" x14ac:dyDescent="0.2">
      <c r="A191" t="s">
        <v>359</v>
      </c>
      <c r="B191" s="2">
        <v>20</v>
      </c>
      <c r="C191" t="s">
        <v>66</v>
      </c>
      <c r="D191" s="2" t="s">
        <v>52</v>
      </c>
      <c r="E191" s="2">
        <v>12</v>
      </c>
      <c r="F191" s="2">
        <v>4</v>
      </c>
      <c r="G191" s="2">
        <v>227</v>
      </c>
      <c r="H191" s="2">
        <v>0.35899999999999999</v>
      </c>
      <c r="I191" s="2">
        <v>15.8</v>
      </c>
      <c r="J191" s="2">
        <v>0.51100000000000001</v>
      </c>
      <c r="K191" s="2">
        <v>0.20699999999999999</v>
      </c>
      <c r="L191" s="2">
        <v>0.16300000000000001</v>
      </c>
      <c r="M191" s="2">
        <v>6.5000000000000002E-2</v>
      </c>
      <c r="N191" s="2">
        <v>7.5999999999999998E-2</v>
      </c>
      <c r="O191" s="2">
        <v>0.48899999999999999</v>
      </c>
      <c r="P191" s="2">
        <v>0.48899999999999999</v>
      </c>
      <c r="Q191" s="2">
        <v>0.52600000000000002</v>
      </c>
      <c r="R191" s="2">
        <v>0.53300000000000003</v>
      </c>
      <c r="S191" s="2">
        <v>0.5</v>
      </c>
      <c r="T191" s="2">
        <v>0.28599999999999998</v>
      </c>
      <c r="U191" s="2">
        <v>0.222</v>
      </c>
      <c r="V191" s="2">
        <v>0.52200000000000002</v>
      </c>
      <c r="W191" s="2">
        <v>1</v>
      </c>
      <c r="X191" s="2">
        <v>1.0999999999999999E-2</v>
      </c>
      <c r="Y191" s="2">
        <v>0</v>
      </c>
      <c r="Z191" s="2">
        <v>0.42199999999999999</v>
      </c>
      <c r="AA191" s="2">
        <v>0.316</v>
      </c>
      <c r="AB191" s="2">
        <v>0</v>
      </c>
      <c r="AC191" s="2">
        <v>0</v>
      </c>
    </row>
    <row r="192" spans="1:29" x14ac:dyDescent="0.2">
      <c r="A192" t="s">
        <v>166</v>
      </c>
      <c r="B192" s="2">
        <v>21</v>
      </c>
      <c r="C192" t="s">
        <v>87</v>
      </c>
      <c r="D192" s="2" t="s">
        <v>27</v>
      </c>
      <c r="E192" s="2">
        <v>25</v>
      </c>
      <c r="F192" s="2">
        <v>25</v>
      </c>
      <c r="G192" s="2">
        <v>758</v>
      </c>
      <c r="H192" s="2">
        <v>0.436</v>
      </c>
      <c r="I192" s="2">
        <v>16.5</v>
      </c>
      <c r="J192" s="2">
        <v>0.48299999999999998</v>
      </c>
      <c r="K192" s="2">
        <v>0.16900000000000001</v>
      </c>
      <c r="L192" s="2">
        <v>0.157</v>
      </c>
      <c r="M192" s="2">
        <v>0.11899999999999999</v>
      </c>
      <c r="N192" s="2">
        <v>3.7999999999999999E-2</v>
      </c>
      <c r="O192" s="2">
        <v>0.51700000000000002</v>
      </c>
      <c r="P192" s="2">
        <v>0.52600000000000002</v>
      </c>
      <c r="Q192" s="2">
        <v>0.75</v>
      </c>
      <c r="R192" s="2">
        <v>0.378</v>
      </c>
      <c r="S192" s="2">
        <v>0.5</v>
      </c>
      <c r="T192" s="2">
        <v>0.222</v>
      </c>
      <c r="U192" s="2">
        <v>0.35199999999999998</v>
      </c>
      <c r="V192" s="2">
        <v>0.6</v>
      </c>
      <c r="W192" s="2">
        <v>0.97699999999999998</v>
      </c>
      <c r="X192" s="2">
        <v>4.2000000000000003E-2</v>
      </c>
      <c r="Y192" s="2">
        <v>9</v>
      </c>
      <c r="Z192" s="2">
        <v>0.23799999999999999</v>
      </c>
      <c r="AA192" s="2">
        <v>0.31</v>
      </c>
      <c r="AB192" s="2">
        <v>0</v>
      </c>
      <c r="AC192" s="2">
        <v>0</v>
      </c>
    </row>
    <row r="193" spans="1:29" x14ac:dyDescent="0.2">
      <c r="A193" t="s">
        <v>393</v>
      </c>
      <c r="B193" s="2">
        <v>22</v>
      </c>
      <c r="C193" t="s">
        <v>135</v>
      </c>
      <c r="D193" s="2" t="s">
        <v>49</v>
      </c>
      <c r="E193" s="2">
        <v>19</v>
      </c>
      <c r="F193" s="2">
        <v>0</v>
      </c>
      <c r="G193" s="2">
        <v>204</v>
      </c>
      <c r="H193" s="2">
        <v>0.373</v>
      </c>
      <c r="I193" s="2">
        <v>10.1</v>
      </c>
      <c r="J193" s="2">
        <v>0.71199999999999997</v>
      </c>
      <c r="K193" s="2">
        <v>0.441</v>
      </c>
      <c r="L193" s="2">
        <v>0.186</v>
      </c>
      <c r="M193" s="2">
        <v>5.0999999999999997E-2</v>
      </c>
      <c r="N193" s="2">
        <v>3.4000000000000002E-2</v>
      </c>
      <c r="O193" s="2">
        <v>0.28799999999999998</v>
      </c>
      <c r="P193" s="2">
        <v>0.47599999999999998</v>
      </c>
      <c r="Q193" s="2">
        <v>0.57699999999999996</v>
      </c>
      <c r="R193" s="2">
        <v>0.36399999999999999</v>
      </c>
      <c r="S193" s="2">
        <v>0.33300000000000002</v>
      </c>
      <c r="T193" s="2">
        <v>0</v>
      </c>
      <c r="U193" s="2">
        <v>0.11799999999999999</v>
      </c>
      <c r="V193" s="2">
        <v>0.7</v>
      </c>
      <c r="W193" s="2">
        <v>1</v>
      </c>
      <c r="X193" s="2">
        <v>6.8000000000000005E-2</v>
      </c>
      <c r="Y193" s="2">
        <v>4</v>
      </c>
      <c r="Z193" s="2">
        <v>0.35299999999999998</v>
      </c>
      <c r="AA193" s="2">
        <v>0.16700000000000001</v>
      </c>
      <c r="AB193" s="2">
        <v>0</v>
      </c>
      <c r="AC193" s="2">
        <v>0</v>
      </c>
    </row>
    <row r="194" spans="1:29" x14ac:dyDescent="0.2">
      <c r="A194" t="s">
        <v>503</v>
      </c>
      <c r="B194" s="2">
        <v>28</v>
      </c>
      <c r="C194" t="s">
        <v>87</v>
      </c>
      <c r="D194" s="2" t="s">
        <v>27</v>
      </c>
      <c r="E194" s="2">
        <v>6</v>
      </c>
      <c r="F194" s="2">
        <v>0</v>
      </c>
      <c r="G194" s="2">
        <v>21</v>
      </c>
      <c r="H194" s="2">
        <v>0.27300000000000002</v>
      </c>
      <c r="I194" s="2">
        <v>21.9</v>
      </c>
      <c r="J194" s="2">
        <v>0.27300000000000002</v>
      </c>
      <c r="K194" s="2">
        <v>0</v>
      </c>
      <c r="L194" s="2">
        <v>9.0999999999999998E-2</v>
      </c>
      <c r="M194" s="2">
        <v>9.0999999999999998E-2</v>
      </c>
      <c r="N194" s="2">
        <v>9.0999999999999998E-2</v>
      </c>
      <c r="O194" s="2">
        <v>0.72699999999999998</v>
      </c>
      <c r="P194" s="2">
        <v>0.33300000000000002</v>
      </c>
      <c r="Q194" s="2"/>
      <c r="R194" s="2">
        <v>0</v>
      </c>
      <c r="S194" s="2">
        <v>1</v>
      </c>
      <c r="T194" s="2">
        <v>0</v>
      </c>
      <c r="U194" s="2">
        <v>0.25</v>
      </c>
      <c r="V194" s="2">
        <v>0</v>
      </c>
      <c r="W194" s="2">
        <v>1</v>
      </c>
      <c r="X194" s="2">
        <v>0</v>
      </c>
      <c r="Y194" s="2">
        <v>0</v>
      </c>
      <c r="Z194" s="2">
        <v>0.375</v>
      </c>
      <c r="AA194" s="2">
        <v>0.33300000000000002</v>
      </c>
      <c r="AB194" s="2">
        <v>0</v>
      </c>
      <c r="AC194" s="2">
        <v>0</v>
      </c>
    </row>
    <row r="195" spans="1:29" x14ac:dyDescent="0.2">
      <c r="A195" t="s">
        <v>551</v>
      </c>
      <c r="B195" s="2">
        <v>24</v>
      </c>
      <c r="C195" t="s">
        <v>44</v>
      </c>
      <c r="D195" s="2" t="s">
        <v>49</v>
      </c>
      <c r="E195" s="2">
        <v>7</v>
      </c>
      <c r="F195" s="2">
        <v>0</v>
      </c>
      <c r="G195" s="2">
        <v>21</v>
      </c>
      <c r="H195" s="2">
        <v>0.33300000000000002</v>
      </c>
      <c r="I195" s="2">
        <v>20.2</v>
      </c>
      <c r="J195" s="2">
        <v>0.33300000000000002</v>
      </c>
      <c r="K195" s="2">
        <v>0</v>
      </c>
      <c r="L195" s="2">
        <v>0</v>
      </c>
      <c r="M195" s="2">
        <v>0.33300000000000002</v>
      </c>
      <c r="N195" s="2">
        <v>0</v>
      </c>
      <c r="O195" s="2">
        <v>0.66700000000000004</v>
      </c>
      <c r="P195" s="2">
        <v>1</v>
      </c>
      <c r="Q195" s="2"/>
      <c r="R195" s="2"/>
      <c r="S195" s="2">
        <v>1</v>
      </c>
      <c r="T195" s="2"/>
      <c r="U195" s="2">
        <v>0</v>
      </c>
      <c r="V195" s="2">
        <v>0</v>
      </c>
      <c r="W195" s="2"/>
      <c r="X195" s="2">
        <v>0</v>
      </c>
      <c r="Y195" s="2">
        <v>0</v>
      </c>
      <c r="Z195" s="2">
        <v>0</v>
      </c>
      <c r="AA195" s="2"/>
      <c r="AB195" s="2">
        <v>0</v>
      </c>
      <c r="AC195" s="2">
        <v>0</v>
      </c>
    </row>
    <row r="196" spans="1:29" x14ac:dyDescent="0.2">
      <c r="A196" t="s">
        <v>288</v>
      </c>
      <c r="B196" s="2">
        <v>22</v>
      </c>
      <c r="C196" t="s">
        <v>63</v>
      </c>
      <c r="D196" s="2" t="s">
        <v>52</v>
      </c>
      <c r="E196" s="2">
        <v>22</v>
      </c>
      <c r="F196" s="2">
        <v>2</v>
      </c>
      <c r="G196" s="2">
        <v>320</v>
      </c>
      <c r="H196" s="2">
        <v>0.39100000000000001</v>
      </c>
      <c r="I196" s="2">
        <v>15.1</v>
      </c>
      <c r="J196" s="2">
        <v>0.55600000000000005</v>
      </c>
      <c r="K196" s="2">
        <v>0.218</v>
      </c>
      <c r="L196" s="2">
        <v>0.17299999999999999</v>
      </c>
      <c r="M196" s="2">
        <v>0.12</v>
      </c>
      <c r="N196" s="2">
        <v>4.4999999999999998E-2</v>
      </c>
      <c r="O196" s="2">
        <v>0.44400000000000001</v>
      </c>
      <c r="P196" s="2">
        <v>0.45900000000000002</v>
      </c>
      <c r="Q196" s="2">
        <v>0.69</v>
      </c>
      <c r="R196" s="2">
        <v>0.34799999999999998</v>
      </c>
      <c r="S196" s="2">
        <v>0.313</v>
      </c>
      <c r="T196" s="2">
        <v>0.16700000000000001</v>
      </c>
      <c r="U196" s="2">
        <v>0.30499999999999999</v>
      </c>
      <c r="V196" s="2">
        <v>0.32400000000000001</v>
      </c>
      <c r="W196" s="2">
        <v>0.94399999999999995</v>
      </c>
      <c r="X196" s="2">
        <v>4.4999999999999998E-2</v>
      </c>
      <c r="Y196" s="2">
        <v>5</v>
      </c>
      <c r="Z196" s="2">
        <v>0.254</v>
      </c>
      <c r="AA196" s="2">
        <v>0.33300000000000002</v>
      </c>
      <c r="AB196" s="2">
        <v>1</v>
      </c>
      <c r="AC196" s="2">
        <v>0</v>
      </c>
    </row>
    <row r="197" spans="1:29" x14ac:dyDescent="0.2">
      <c r="A197" t="s">
        <v>101</v>
      </c>
      <c r="B197" s="2">
        <v>22</v>
      </c>
      <c r="C197" t="s">
        <v>75</v>
      </c>
      <c r="D197" s="2" t="s">
        <v>52</v>
      </c>
      <c r="E197" s="2">
        <v>25</v>
      </c>
      <c r="F197" s="2">
        <v>25</v>
      </c>
      <c r="G197" s="2">
        <v>759</v>
      </c>
      <c r="H197" s="2">
        <v>0.436</v>
      </c>
      <c r="I197" s="2">
        <v>13.6</v>
      </c>
      <c r="J197" s="2">
        <v>0.63500000000000001</v>
      </c>
      <c r="K197" s="2">
        <v>0.25600000000000001</v>
      </c>
      <c r="L197" s="2">
        <v>0.23400000000000001</v>
      </c>
      <c r="M197" s="2">
        <v>9.7000000000000003E-2</v>
      </c>
      <c r="N197" s="2">
        <v>4.8000000000000001E-2</v>
      </c>
      <c r="O197" s="2">
        <v>0.36499999999999999</v>
      </c>
      <c r="P197" s="2">
        <v>0.47499999999999998</v>
      </c>
      <c r="Q197" s="2">
        <v>0.63300000000000001</v>
      </c>
      <c r="R197" s="2">
        <v>0.39</v>
      </c>
      <c r="S197" s="2">
        <v>0.32400000000000001</v>
      </c>
      <c r="T197" s="2">
        <v>0.35299999999999998</v>
      </c>
      <c r="U197" s="2">
        <v>0.36699999999999999</v>
      </c>
      <c r="V197" s="2">
        <v>0.45300000000000001</v>
      </c>
      <c r="W197" s="2">
        <v>0.76600000000000001</v>
      </c>
      <c r="X197" s="2">
        <v>2.8000000000000001E-2</v>
      </c>
      <c r="Y197" s="2">
        <v>9</v>
      </c>
      <c r="Z197" s="2">
        <v>0.21099999999999999</v>
      </c>
      <c r="AA197" s="2">
        <v>0.25900000000000001</v>
      </c>
      <c r="AB197" s="2">
        <v>3</v>
      </c>
      <c r="AC197" s="2">
        <v>0</v>
      </c>
    </row>
    <row r="198" spans="1:29" x14ac:dyDescent="0.2">
      <c r="A198" t="s">
        <v>210</v>
      </c>
      <c r="B198" s="2">
        <v>24</v>
      </c>
      <c r="C198" t="s">
        <v>51</v>
      </c>
      <c r="D198" s="2" t="s">
        <v>27</v>
      </c>
      <c r="E198" s="2">
        <v>23</v>
      </c>
      <c r="F198" s="2">
        <v>23</v>
      </c>
      <c r="G198" s="2">
        <v>691</v>
      </c>
      <c r="H198" s="2">
        <v>0.44</v>
      </c>
      <c r="I198" s="2">
        <v>13.7</v>
      </c>
      <c r="J198" s="2">
        <v>0.57499999999999996</v>
      </c>
      <c r="K198" s="2">
        <v>0.251</v>
      </c>
      <c r="L198" s="2">
        <v>0.21299999999999999</v>
      </c>
      <c r="M198" s="2">
        <v>8.6999999999999994E-2</v>
      </c>
      <c r="N198" s="2">
        <v>2.4E-2</v>
      </c>
      <c r="O198" s="2">
        <v>0.42499999999999999</v>
      </c>
      <c r="P198" s="2">
        <v>0.53800000000000003</v>
      </c>
      <c r="Q198" s="2">
        <v>0.69199999999999995</v>
      </c>
      <c r="R198" s="2">
        <v>0.40899999999999997</v>
      </c>
      <c r="S198" s="2">
        <v>0.55600000000000005</v>
      </c>
      <c r="T198" s="2">
        <v>0</v>
      </c>
      <c r="U198" s="2">
        <v>0.307</v>
      </c>
      <c r="V198" s="2">
        <v>0.56299999999999994</v>
      </c>
      <c r="W198" s="2">
        <v>0.96299999999999997</v>
      </c>
      <c r="X198" s="2">
        <v>7.1999999999999995E-2</v>
      </c>
      <c r="Y198" s="2">
        <v>12</v>
      </c>
      <c r="Z198" s="2">
        <v>0.48899999999999999</v>
      </c>
      <c r="AA198" s="2">
        <v>0.30199999999999999</v>
      </c>
      <c r="AB198" s="2">
        <v>2</v>
      </c>
      <c r="AC198" s="2">
        <v>0</v>
      </c>
    </row>
    <row r="199" spans="1:29" x14ac:dyDescent="0.2">
      <c r="A199" t="s">
        <v>513</v>
      </c>
      <c r="B199" s="2">
        <v>22</v>
      </c>
      <c r="C199" t="s">
        <v>39</v>
      </c>
      <c r="D199" s="2" t="s">
        <v>52</v>
      </c>
      <c r="E199" s="2">
        <v>7</v>
      </c>
      <c r="F199" s="2">
        <v>0</v>
      </c>
      <c r="G199" s="2">
        <v>24</v>
      </c>
      <c r="H199" s="2">
        <v>0.28599999999999998</v>
      </c>
      <c r="I199" s="2">
        <v>10.3</v>
      </c>
      <c r="J199" s="2">
        <v>0.71399999999999997</v>
      </c>
      <c r="K199" s="2">
        <v>0.28599999999999998</v>
      </c>
      <c r="L199" s="2">
        <v>0.28599999999999998</v>
      </c>
      <c r="M199" s="2">
        <v>0.14299999999999999</v>
      </c>
      <c r="N199" s="2">
        <v>0</v>
      </c>
      <c r="O199" s="2">
        <v>0.28599999999999998</v>
      </c>
      <c r="P199" s="2">
        <v>0.4</v>
      </c>
      <c r="Q199" s="2">
        <v>0.5</v>
      </c>
      <c r="R199" s="2">
        <v>0.5</v>
      </c>
      <c r="S199" s="2">
        <v>0</v>
      </c>
      <c r="T199" s="2"/>
      <c r="U199" s="2">
        <v>0</v>
      </c>
      <c r="V199" s="2">
        <v>0</v>
      </c>
      <c r="W199" s="2"/>
      <c r="X199" s="2">
        <v>0.14299999999999999</v>
      </c>
      <c r="Y199" s="2">
        <v>1</v>
      </c>
      <c r="Z199" s="2">
        <v>0.5</v>
      </c>
      <c r="AA199" s="2">
        <v>0</v>
      </c>
      <c r="AB199" s="2">
        <v>0</v>
      </c>
      <c r="AC199" s="2">
        <v>0</v>
      </c>
    </row>
    <row r="200" spans="1:29" x14ac:dyDescent="0.2">
      <c r="A200" t="s">
        <v>465</v>
      </c>
      <c r="B200" s="2">
        <v>34</v>
      </c>
      <c r="C200" t="s">
        <v>37</v>
      </c>
      <c r="D200" s="2" t="s">
        <v>49</v>
      </c>
      <c r="E200" s="2">
        <v>5</v>
      </c>
      <c r="F200" s="2">
        <v>2</v>
      </c>
      <c r="G200" s="2">
        <v>84</v>
      </c>
      <c r="H200" s="2">
        <v>0.35299999999999998</v>
      </c>
      <c r="I200" s="2">
        <v>20.3</v>
      </c>
      <c r="J200" s="2">
        <v>0.29399999999999998</v>
      </c>
      <c r="K200" s="2">
        <v>0</v>
      </c>
      <c r="L200" s="2">
        <v>0.17599999999999999</v>
      </c>
      <c r="M200" s="2">
        <v>5.8999999999999997E-2</v>
      </c>
      <c r="N200" s="2">
        <v>5.8999999999999997E-2</v>
      </c>
      <c r="O200" s="2">
        <v>0.70599999999999996</v>
      </c>
      <c r="P200" s="2">
        <v>0.6</v>
      </c>
      <c r="Q200" s="2"/>
      <c r="R200" s="2">
        <v>0.33300000000000002</v>
      </c>
      <c r="S200" s="2">
        <v>1</v>
      </c>
      <c r="T200" s="2">
        <v>1</v>
      </c>
      <c r="U200" s="2">
        <v>0.25</v>
      </c>
      <c r="V200" s="2">
        <v>0.66700000000000004</v>
      </c>
      <c r="W200" s="2">
        <v>1</v>
      </c>
      <c r="X200" s="2">
        <v>0</v>
      </c>
      <c r="Y200" s="2">
        <v>0</v>
      </c>
      <c r="Z200" s="2">
        <v>0.58299999999999996</v>
      </c>
      <c r="AA200" s="2">
        <v>0.28599999999999998</v>
      </c>
      <c r="AB200" s="2">
        <v>0</v>
      </c>
      <c r="AC200" s="2">
        <v>0</v>
      </c>
    </row>
    <row r="201" spans="1:29" x14ac:dyDescent="0.2">
      <c r="A201" t="s">
        <v>454</v>
      </c>
      <c r="B201" s="2">
        <v>29</v>
      </c>
      <c r="C201" t="s">
        <v>87</v>
      </c>
      <c r="D201" s="2" t="s">
        <v>49</v>
      </c>
      <c r="E201" s="2">
        <v>10</v>
      </c>
      <c r="F201" s="2">
        <v>0</v>
      </c>
      <c r="G201" s="2">
        <v>59</v>
      </c>
      <c r="H201" s="2">
        <v>0.56299999999999994</v>
      </c>
      <c r="I201" s="2">
        <v>6.8</v>
      </c>
      <c r="J201" s="2">
        <v>0.875</v>
      </c>
      <c r="K201" s="2">
        <v>0.438</v>
      </c>
      <c r="L201" s="2">
        <v>0.313</v>
      </c>
      <c r="M201" s="2">
        <v>0.125</v>
      </c>
      <c r="N201" s="2">
        <v>0</v>
      </c>
      <c r="O201" s="2">
        <v>0.125</v>
      </c>
      <c r="P201" s="2">
        <v>0.64300000000000002</v>
      </c>
      <c r="Q201" s="2">
        <v>0.85699999999999998</v>
      </c>
      <c r="R201" s="2">
        <v>0.6</v>
      </c>
      <c r="S201" s="2">
        <v>0</v>
      </c>
      <c r="T201" s="2"/>
      <c r="U201" s="2">
        <v>0</v>
      </c>
      <c r="V201" s="2">
        <v>0.66700000000000004</v>
      </c>
      <c r="W201" s="2"/>
      <c r="X201" s="2">
        <v>0</v>
      </c>
      <c r="Y201" s="2">
        <v>0</v>
      </c>
      <c r="Z201" s="2">
        <v>0.5</v>
      </c>
      <c r="AA201" s="2">
        <v>0</v>
      </c>
      <c r="AB201" s="2">
        <v>0</v>
      </c>
      <c r="AC201" s="2">
        <v>0</v>
      </c>
    </row>
    <row r="202" spans="1:29" x14ac:dyDescent="0.2">
      <c r="A202" t="s">
        <v>270</v>
      </c>
      <c r="B202" s="2">
        <v>23</v>
      </c>
      <c r="C202" t="s">
        <v>61</v>
      </c>
      <c r="D202" s="2" t="s">
        <v>49</v>
      </c>
      <c r="E202" s="2">
        <v>19</v>
      </c>
      <c r="F202" s="2">
        <v>1</v>
      </c>
      <c r="G202" s="2">
        <v>402</v>
      </c>
      <c r="H202" s="2">
        <v>0.42099999999999999</v>
      </c>
      <c r="I202" s="2">
        <v>9.5</v>
      </c>
      <c r="J202" s="2">
        <v>0.745</v>
      </c>
      <c r="K202" s="2">
        <v>0.317</v>
      </c>
      <c r="L202" s="2">
        <v>0.38600000000000001</v>
      </c>
      <c r="M202" s="2">
        <v>3.4000000000000002E-2</v>
      </c>
      <c r="N202" s="2">
        <v>7.0000000000000001E-3</v>
      </c>
      <c r="O202" s="2">
        <v>0.255</v>
      </c>
      <c r="P202" s="2">
        <v>0.47199999999999998</v>
      </c>
      <c r="Q202" s="2">
        <v>0.63</v>
      </c>
      <c r="R202" s="2">
        <v>0.375</v>
      </c>
      <c r="S202" s="2">
        <v>0.2</v>
      </c>
      <c r="T202" s="2">
        <v>0</v>
      </c>
      <c r="U202" s="2">
        <v>0.27</v>
      </c>
      <c r="V202" s="2">
        <v>0.373</v>
      </c>
      <c r="W202" s="2">
        <v>0.9</v>
      </c>
      <c r="X202" s="2">
        <v>2.1000000000000001E-2</v>
      </c>
      <c r="Y202" s="2">
        <v>1</v>
      </c>
      <c r="Z202" s="2">
        <v>0.54100000000000004</v>
      </c>
      <c r="AA202" s="2">
        <v>0.25</v>
      </c>
      <c r="AB202" s="2">
        <v>0</v>
      </c>
      <c r="AC202" s="2">
        <v>0</v>
      </c>
    </row>
    <row r="203" spans="1:29" x14ac:dyDescent="0.2">
      <c r="A203" t="s">
        <v>218</v>
      </c>
      <c r="B203" s="2">
        <v>23</v>
      </c>
      <c r="C203" t="s">
        <v>80</v>
      </c>
      <c r="D203" s="2" t="s">
        <v>27</v>
      </c>
      <c r="E203" s="2">
        <v>25</v>
      </c>
      <c r="F203" s="2">
        <v>0</v>
      </c>
      <c r="G203" s="2">
        <v>584</v>
      </c>
      <c r="H203" s="2">
        <v>0.503</v>
      </c>
      <c r="I203" s="2">
        <v>11.8</v>
      </c>
      <c r="J203" s="2">
        <v>0.629</v>
      </c>
      <c r="K203" s="2">
        <v>0.318</v>
      </c>
      <c r="L203" s="2">
        <v>0.27200000000000002</v>
      </c>
      <c r="M203" s="2">
        <v>3.3000000000000002E-2</v>
      </c>
      <c r="N203" s="2">
        <v>7.0000000000000001E-3</v>
      </c>
      <c r="O203" s="2">
        <v>0.371</v>
      </c>
      <c r="P203" s="2">
        <v>0.56799999999999995</v>
      </c>
      <c r="Q203" s="2">
        <v>0.64600000000000002</v>
      </c>
      <c r="R203" s="2">
        <v>0.48799999999999999</v>
      </c>
      <c r="S203" s="2">
        <v>0.4</v>
      </c>
      <c r="T203" s="2">
        <v>1</v>
      </c>
      <c r="U203" s="2">
        <v>0.39300000000000002</v>
      </c>
      <c r="V203" s="2">
        <v>0.74099999999999999</v>
      </c>
      <c r="W203" s="2">
        <v>0.95499999999999996</v>
      </c>
      <c r="X203" s="2">
        <v>9.9000000000000005E-2</v>
      </c>
      <c r="Y203" s="2">
        <v>13</v>
      </c>
      <c r="Z203" s="2">
        <v>0.32100000000000001</v>
      </c>
      <c r="AA203" s="2">
        <v>0.222</v>
      </c>
      <c r="AB203" s="2">
        <v>1</v>
      </c>
      <c r="AC203" s="2">
        <v>0</v>
      </c>
    </row>
    <row r="204" spans="1:29" x14ac:dyDescent="0.2">
      <c r="A204" t="s">
        <v>118</v>
      </c>
      <c r="B204" s="2">
        <v>29</v>
      </c>
      <c r="C204" t="s">
        <v>66</v>
      </c>
      <c r="D204" s="2" t="s">
        <v>42</v>
      </c>
      <c r="E204" s="2">
        <v>25</v>
      </c>
      <c r="F204" s="2">
        <v>24</v>
      </c>
      <c r="G204" s="2">
        <v>813</v>
      </c>
      <c r="H204" s="2">
        <v>0.59299999999999997</v>
      </c>
      <c r="I204" s="2">
        <v>4.8</v>
      </c>
      <c r="J204" s="2">
        <v>0.99299999999999999</v>
      </c>
      <c r="K204" s="2">
        <v>0.50900000000000001</v>
      </c>
      <c r="L204" s="2">
        <v>0.35799999999999998</v>
      </c>
      <c r="M204" s="2">
        <v>0.112</v>
      </c>
      <c r="N204" s="2">
        <v>1.4E-2</v>
      </c>
      <c r="O204" s="2">
        <v>7.0000000000000001E-3</v>
      </c>
      <c r="P204" s="2">
        <v>0.59699999999999998</v>
      </c>
      <c r="Q204" s="2">
        <v>0.67600000000000005</v>
      </c>
      <c r="R204" s="2">
        <v>0.5</v>
      </c>
      <c r="S204" s="2">
        <v>0.59399999999999997</v>
      </c>
      <c r="T204" s="2">
        <v>0.25</v>
      </c>
      <c r="U204" s="2">
        <v>0</v>
      </c>
      <c r="V204" s="2">
        <v>0.71</v>
      </c>
      <c r="W204" s="2"/>
      <c r="X204" s="2">
        <v>2.8000000000000001E-2</v>
      </c>
      <c r="Y204" s="2">
        <v>6</v>
      </c>
      <c r="Z204" s="2">
        <v>0</v>
      </c>
      <c r="AA204" s="2"/>
      <c r="AB204" s="2">
        <v>1</v>
      </c>
      <c r="AC204" s="2">
        <v>0</v>
      </c>
    </row>
    <row r="205" spans="1:29" x14ac:dyDescent="0.2">
      <c r="A205" t="s">
        <v>553</v>
      </c>
      <c r="B205" s="2">
        <v>23</v>
      </c>
      <c r="C205" t="s">
        <v>54</v>
      </c>
      <c r="D205" s="2" t="s">
        <v>49</v>
      </c>
      <c r="E205" s="2">
        <v>2</v>
      </c>
      <c r="F205" s="2">
        <v>0</v>
      </c>
      <c r="G205" s="2">
        <v>11</v>
      </c>
      <c r="H205" s="2">
        <v>0</v>
      </c>
      <c r="I205" s="2">
        <v>24.9</v>
      </c>
      <c r="J205" s="2">
        <v>0</v>
      </c>
      <c r="K205" s="2">
        <v>0</v>
      </c>
      <c r="L205" s="2">
        <v>0</v>
      </c>
      <c r="M205" s="2">
        <v>0</v>
      </c>
      <c r="N205" s="2">
        <v>0</v>
      </c>
      <c r="O205" s="2">
        <v>1</v>
      </c>
      <c r="P205" s="2"/>
      <c r="Q205" s="2"/>
      <c r="R205" s="2"/>
      <c r="S205" s="2"/>
      <c r="T205" s="2"/>
      <c r="U205" s="2">
        <v>0</v>
      </c>
      <c r="V205" s="2"/>
      <c r="W205" s="2"/>
      <c r="X205" s="2">
        <v>0</v>
      </c>
      <c r="Y205" s="2">
        <v>0</v>
      </c>
      <c r="Z205" s="2">
        <v>0.5</v>
      </c>
      <c r="AA205" s="2">
        <v>0</v>
      </c>
      <c r="AB205" s="2">
        <v>0</v>
      </c>
      <c r="AC205" s="2">
        <v>0</v>
      </c>
    </row>
    <row r="206" spans="1:29" x14ac:dyDescent="0.2">
      <c r="A206" t="s">
        <v>43</v>
      </c>
      <c r="B206" s="2">
        <v>28</v>
      </c>
      <c r="C206" t="s">
        <v>44</v>
      </c>
      <c r="D206" s="2" t="s">
        <v>33</v>
      </c>
      <c r="E206" s="2">
        <v>25</v>
      </c>
      <c r="F206" s="2">
        <v>25</v>
      </c>
      <c r="G206" s="2">
        <v>857</v>
      </c>
      <c r="H206" s="2">
        <v>0.49099999999999999</v>
      </c>
      <c r="I206" s="2">
        <v>14.4</v>
      </c>
      <c r="J206" s="2">
        <v>0.64200000000000002</v>
      </c>
      <c r="K206" s="2">
        <v>0.16700000000000001</v>
      </c>
      <c r="L206" s="2">
        <v>0.23499999999999999</v>
      </c>
      <c r="M206" s="2">
        <v>0.16300000000000001</v>
      </c>
      <c r="N206" s="2">
        <v>7.6999999999999999E-2</v>
      </c>
      <c r="O206" s="2">
        <v>0.35799999999999998</v>
      </c>
      <c r="P206" s="2">
        <v>0.52500000000000002</v>
      </c>
      <c r="Q206" s="2">
        <v>0.66700000000000004</v>
      </c>
      <c r="R206" s="2">
        <v>0.47499999999999998</v>
      </c>
      <c r="S206" s="2">
        <v>0.47099999999999997</v>
      </c>
      <c r="T206" s="2">
        <v>0.48499999999999999</v>
      </c>
      <c r="U206" s="2">
        <v>0.42899999999999999</v>
      </c>
      <c r="V206" s="2">
        <v>0.221</v>
      </c>
      <c r="W206" s="2">
        <v>0.48499999999999999</v>
      </c>
      <c r="X206" s="2">
        <v>0</v>
      </c>
      <c r="Y206" s="2">
        <v>0</v>
      </c>
      <c r="Z206" s="2">
        <v>0.14299999999999999</v>
      </c>
      <c r="AA206" s="2">
        <v>0.40899999999999997</v>
      </c>
      <c r="AB206" s="2">
        <v>0</v>
      </c>
      <c r="AC206" s="2">
        <v>0</v>
      </c>
    </row>
    <row r="207" spans="1:29" x14ac:dyDescent="0.2">
      <c r="A207" t="s">
        <v>226</v>
      </c>
      <c r="B207" s="2">
        <v>21</v>
      </c>
      <c r="C207" t="s">
        <v>75</v>
      </c>
      <c r="D207" s="2" t="s">
        <v>42</v>
      </c>
      <c r="E207" s="2">
        <v>23</v>
      </c>
      <c r="F207" s="2">
        <v>23</v>
      </c>
      <c r="G207" s="2">
        <v>550</v>
      </c>
      <c r="H207" s="2">
        <v>0.68</v>
      </c>
      <c r="I207" s="2">
        <v>2.2999999999999998</v>
      </c>
      <c r="J207" s="2">
        <v>1</v>
      </c>
      <c r="K207" s="2">
        <v>0.70499999999999996</v>
      </c>
      <c r="L207" s="2">
        <v>0.29499999999999998</v>
      </c>
      <c r="M207" s="2">
        <v>0</v>
      </c>
      <c r="N207" s="2">
        <v>0</v>
      </c>
      <c r="O207" s="2">
        <v>0</v>
      </c>
      <c r="P207" s="2">
        <v>0.68</v>
      </c>
      <c r="Q207" s="2">
        <v>0.74399999999999999</v>
      </c>
      <c r="R207" s="2">
        <v>0.52800000000000002</v>
      </c>
      <c r="S207" s="2"/>
      <c r="T207" s="2"/>
      <c r="U207" s="2"/>
      <c r="V207" s="2">
        <v>0.63900000000000001</v>
      </c>
      <c r="W207" s="2"/>
      <c r="X207" s="2">
        <v>0.45100000000000001</v>
      </c>
      <c r="Y207" s="2">
        <v>50</v>
      </c>
      <c r="Z207" s="2"/>
      <c r="AA207" s="2"/>
      <c r="AB207" s="2">
        <v>0</v>
      </c>
      <c r="AC207" s="2">
        <v>0</v>
      </c>
    </row>
    <row r="208" spans="1:29" x14ac:dyDescent="0.2">
      <c r="A208" t="s">
        <v>86</v>
      </c>
      <c r="B208" s="2">
        <v>22</v>
      </c>
      <c r="C208" t="s">
        <v>87</v>
      </c>
      <c r="D208" s="2" t="s">
        <v>52</v>
      </c>
      <c r="E208" s="2">
        <v>25</v>
      </c>
      <c r="F208" s="2">
        <v>25</v>
      </c>
      <c r="G208" s="2">
        <v>813</v>
      </c>
      <c r="H208" s="2">
        <v>0.39700000000000002</v>
      </c>
      <c r="I208" s="2">
        <v>16.100000000000001</v>
      </c>
      <c r="J208" s="2">
        <v>0.52500000000000002</v>
      </c>
      <c r="K208" s="2">
        <v>0.20699999999999999</v>
      </c>
      <c r="L208" s="2">
        <v>0.17199999999999999</v>
      </c>
      <c r="M208" s="2">
        <v>4.3999999999999997E-2</v>
      </c>
      <c r="N208" s="2">
        <v>0.10100000000000001</v>
      </c>
      <c r="O208" s="2">
        <v>0.47499999999999998</v>
      </c>
      <c r="P208" s="2">
        <v>0.46500000000000002</v>
      </c>
      <c r="Q208" s="2">
        <v>0.69</v>
      </c>
      <c r="R208" s="2">
        <v>0.371</v>
      </c>
      <c r="S208" s="2">
        <v>0.222</v>
      </c>
      <c r="T208" s="2">
        <v>0.26800000000000002</v>
      </c>
      <c r="U208" s="2">
        <v>0.32100000000000001</v>
      </c>
      <c r="V208" s="2">
        <v>0.28299999999999997</v>
      </c>
      <c r="W208" s="2">
        <v>0.53200000000000003</v>
      </c>
      <c r="X208" s="2">
        <v>5.7000000000000002E-2</v>
      </c>
      <c r="Y208" s="2">
        <v>19</v>
      </c>
      <c r="Z208" s="2">
        <v>0.114</v>
      </c>
      <c r="AA208" s="2">
        <v>0.36399999999999999</v>
      </c>
      <c r="AB208" s="2">
        <v>0</v>
      </c>
      <c r="AC208" s="2">
        <v>0</v>
      </c>
    </row>
    <row r="209" spans="1:29" x14ac:dyDescent="0.2">
      <c r="A209" t="s">
        <v>526</v>
      </c>
      <c r="B209" s="2">
        <v>21</v>
      </c>
      <c r="C209" t="s">
        <v>41</v>
      </c>
      <c r="D209" s="2" t="s">
        <v>52</v>
      </c>
      <c r="E209" s="2">
        <v>2</v>
      </c>
      <c r="F209" s="2">
        <v>0</v>
      </c>
      <c r="G209" s="2">
        <v>14</v>
      </c>
      <c r="H209" s="2">
        <v>1</v>
      </c>
      <c r="I209" s="2">
        <v>15.6</v>
      </c>
      <c r="J209" s="2">
        <v>1</v>
      </c>
      <c r="K209" s="2">
        <v>0</v>
      </c>
      <c r="L209" s="2">
        <v>0</v>
      </c>
      <c r="M209" s="2">
        <v>1</v>
      </c>
      <c r="N209" s="2">
        <v>0</v>
      </c>
      <c r="O209" s="2">
        <v>0</v>
      </c>
      <c r="P209" s="2">
        <v>1</v>
      </c>
      <c r="Q209" s="2"/>
      <c r="R209" s="2"/>
      <c r="S209" s="2">
        <v>1</v>
      </c>
      <c r="T209" s="2"/>
      <c r="U209" s="2"/>
      <c r="V209" s="2">
        <v>0</v>
      </c>
      <c r="W209" s="2"/>
      <c r="X209" s="2">
        <v>0</v>
      </c>
      <c r="Y209" s="2">
        <v>0</v>
      </c>
      <c r="Z209" s="2"/>
      <c r="AA209" s="2"/>
      <c r="AB209" s="2">
        <v>0</v>
      </c>
      <c r="AC209" s="2">
        <v>0</v>
      </c>
    </row>
    <row r="210" spans="1:29" x14ac:dyDescent="0.2">
      <c r="A210" t="s">
        <v>89</v>
      </c>
      <c r="B210" s="2">
        <v>23</v>
      </c>
      <c r="C210" t="s">
        <v>72</v>
      </c>
      <c r="D210" s="2" t="s">
        <v>49</v>
      </c>
      <c r="E210" s="2">
        <v>24</v>
      </c>
      <c r="F210" s="2">
        <v>24</v>
      </c>
      <c r="G210" s="2">
        <v>877</v>
      </c>
      <c r="H210" s="2">
        <v>0.503</v>
      </c>
      <c r="I210" s="2">
        <v>11</v>
      </c>
      <c r="J210" s="2">
        <v>0.71</v>
      </c>
      <c r="K210" s="2">
        <v>0.32700000000000001</v>
      </c>
      <c r="L210" s="2">
        <v>0.25800000000000001</v>
      </c>
      <c r="M210" s="2">
        <v>0.109</v>
      </c>
      <c r="N210" s="2">
        <v>1.6E-2</v>
      </c>
      <c r="O210" s="2">
        <v>0.28999999999999998</v>
      </c>
      <c r="P210" s="2">
        <v>0.56599999999999995</v>
      </c>
      <c r="Q210" s="2">
        <v>0.75600000000000001</v>
      </c>
      <c r="R210" s="2">
        <v>0.443</v>
      </c>
      <c r="S210" s="2">
        <v>0.24399999999999999</v>
      </c>
      <c r="T210" s="2">
        <v>0.83299999999999996</v>
      </c>
      <c r="U210" s="2">
        <v>0.34899999999999998</v>
      </c>
      <c r="V210" s="2">
        <v>0.623</v>
      </c>
      <c r="W210" s="2">
        <v>0.94699999999999995</v>
      </c>
      <c r="X210" s="2">
        <v>0.106</v>
      </c>
      <c r="Y210" s="2">
        <v>37</v>
      </c>
      <c r="Z210" s="2">
        <v>0.30299999999999999</v>
      </c>
      <c r="AA210" s="2">
        <v>0.33300000000000002</v>
      </c>
      <c r="AB210" s="2">
        <v>2</v>
      </c>
      <c r="AC210" s="2">
        <v>0</v>
      </c>
    </row>
    <row r="211" spans="1:29" x14ac:dyDescent="0.2">
      <c r="A211" t="s">
        <v>519</v>
      </c>
      <c r="B211" s="2">
        <v>25</v>
      </c>
      <c r="C211" t="s">
        <v>46</v>
      </c>
      <c r="D211" s="2" t="s">
        <v>52</v>
      </c>
      <c r="E211" s="2">
        <v>4</v>
      </c>
      <c r="F211" s="2">
        <v>0</v>
      </c>
      <c r="G211" s="2">
        <v>37</v>
      </c>
      <c r="H211" s="2">
        <v>0.5</v>
      </c>
      <c r="I211" s="2">
        <v>22.8</v>
      </c>
      <c r="J211" s="2">
        <v>0.25</v>
      </c>
      <c r="K211" s="2">
        <v>0</v>
      </c>
      <c r="L211" s="2">
        <v>0</v>
      </c>
      <c r="M211" s="2">
        <v>0</v>
      </c>
      <c r="N211" s="2">
        <v>0.25</v>
      </c>
      <c r="O211" s="2">
        <v>0.75</v>
      </c>
      <c r="P211" s="2">
        <v>1</v>
      </c>
      <c r="Q211" s="2"/>
      <c r="R211" s="2"/>
      <c r="S211" s="2"/>
      <c r="T211" s="2">
        <v>1</v>
      </c>
      <c r="U211" s="2">
        <v>0.33300000000000002</v>
      </c>
      <c r="V211" s="2">
        <v>0</v>
      </c>
      <c r="W211" s="2">
        <v>0</v>
      </c>
      <c r="X211" s="2">
        <v>0</v>
      </c>
      <c r="Y211" s="2">
        <v>0</v>
      </c>
      <c r="Z211" s="2">
        <v>0.33300000000000002</v>
      </c>
      <c r="AA211" s="2">
        <v>0</v>
      </c>
      <c r="AB211" s="2">
        <v>0</v>
      </c>
      <c r="AC211" s="2">
        <v>0</v>
      </c>
    </row>
    <row r="212" spans="1:29" x14ac:dyDescent="0.2">
      <c r="A212" t="s">
        <v>254</v>
      </c>
      <c r="B212" s="2">
        <v>24</v>
      </c>
      <c r="C212" t="s">
        <v>70</v>
      </c>
      <c r="D212" s="2" t="s">
        <v>42</v>
      </c>
      <c r="E212" s="2">
        <v>22</v>
      </c>
      <c r="F212" s="2">
        <v>0</v>
      </c>
      <c r="G212" s="2">
        <v>325</v>
      </c>
      <c r="H212" s="2">
        <v>0.46200000000000002</v>
      </c>
      <c r="I212" s="2">
        <v>16.2</v>
      </c>
      <c r="J212" s="2">
        <v>0.432</v>
      </c>
      <c r="K212" s="2">
        <v>0.29499999999999998</v>
      </c>
      <c r="L212" s="2">
        <v>8.3000000000000004E-2</v>
      </c>
      <c r="M212" s="2">
        <v>0.03</v>
      </c>
      <c r="N212" s="2">
        <v>2.3E-2</v>
      </c>
      <c r="O212" s="2">
        <v>0.56799999999999995</v>
      </c>
      <c r="P212" s="2">
        <v>0.59599999999999997</v>
      </c>
      <c r="Q212" s="2">
        <v>0.66700000000000004</v>
      </c>
      <c r="R212" s="2">
        <v>0.63600000000000001</v>
      </c>
      <c r="S212" s="2">
        <v>0.25</v>
      </c>
      <c r="T212" s="2">
        <v>0</v>
      </c>
      <c r="U212" s="2">
        <v>0.36</v>
      </c>
      <c r="V212" s="2">
        <v>0.64700000000000002</v>
      </c>
      <c r="W212" s="2">
        <v>1</v>
      </c>
      <c r="X212" s="2">
        <v>6.0999999999999999E-2</v>
      </c>
      <c r="Y212" s="2">
        <v>8</v>
      </c>
      <c r="Z212" s="2">
        <v>0.16</v>
      </c>
      <c r="AA212" s="2">
        <v>0.41699999999999998</v>
      </c>
      <c r="AB212" s="2">
        <v>1</v>
      </c>
      <c r="AC212" s="2">
        <v>1</v>
      </c>
    </row>
    <row r="213" spans="1:29" x14ac:dyDescent="0.2">
      <c r="A213" t="s">
        <v>104</v>
      </c>
      <c r="B213" s="2">
        <v>23</v>
      </c>
      <c r="C213" t="s">
        <v>48</v>
      </c>
      <c r="D213" s="2" t="s">
        <v>33</v>
      </c>
      <c r="E213" s="2">
        <v>26</v>
      </c>
      <c r="F213" s="2">
        <v>26</v>
      </c>
      <c r="G213" s="2">
        <v>789</v>
      </c>
      <c r="H213" s="2">
        <v>0.41599999999999998</v>
      </c>
      <c r="I213" s="2">
        <v>18.3</v>
      </c>
      <c r="J213" s="2">
        <v>0.46899999999999997</v>
      </c>
      <c r="K213" s="2">
        <v>0.16</v>
      </c>
      <c r="L213" s="2">
        <v>0.129</v>
      </c>
      <c r="M213" s="2">
        <v>0.126</v>
      </c>
      <c r="N213" s="2">
        <v>5.2999999999999999E-2</v>
      </c>
      <c r="O213" s="2">
        <v>0.53100000000000003</v>
      </c>
      <c r="P213" s="2">
        <v>0.52700000000000002</v>
      </c>
      <c r="Q213" s="2">
        <v>0.77200000000000002</v>
      </c>
      <c r="R213" s="2">
        <v>0.41299999999999998</v>
      </c>
      <c r="S213" s="2">
        <v>0.378</v>
      </c>
      <c r="T213" s="2">
        <v>0.42099999999999999</v>
      </c>
      <c r="U213" s="2">
        <v>0.317</v>
      </c>
      <c r="V213" s="2">
        <v>0.20499999999999999</v>
      </c>
      <c r="W213" s="2">
        <v>0.83299999999999996</v>
      </c>
      <c r="X213" s="2">
        <v>6.0000000000000001E-3</v>
      </c>
      <c r="Y213" s="2">
        <v>2</v>
      </c>
      <c r="Z213" s="2">
        <v>0.159</v>
      </c>
      <c r="AA213" s="2">
        <v>0.36699999999999999</v>
      </c>
      <c r="AB213" s="2">
        <v>4</v>
      </c>
      <c r="AC213" s="2">
        <v>0</v>
      </c>
    </row>
    <row r="214" spans="1:29" x14ac:dyDescent="0.2">
      <c r="A214" t="s">
        <v>73</v>
      </c>
      <c r="B214" s="2">
        <v>23</v>
      </c>
      <c r="C214" t="s">
        <v>32</v>
      </c>
      <c r="D214" s="2" t="s">
        <v>52</v>
      </c>
      <c r="E214" s="2">
        <v>24</v>
      </c>
      <c r="F214" s="2">
        <v>24</v>
      </c>
      <c r="G214" s="2">
        <v>764</v>
      </c>
      <c r="H214" s="2">
        <v>0.505</v>
      </c>
      <c r="I214" s="2">
        <v>13.2</v>
      </c>
      <c r="J214" s="2">
        <v>0.69099999999999995</v>
      </c>
      <c r="K214" s="2">
        <v>0.24</v>
      </c>
      <c r="L214" s="2">
        <v>0.21299999999999999</v>
      </c>
      <c r="M214" s="2">
        <v>0.158</v>
      </c>
      <c r="N214" s="2">
        <v>7.9000000000000001E-2</v>
      </c>
      <c r="O214" s="2">
        <v>0.309</v>
      </c>
      <c r="P214" s="2">
        <v>0.55900000000000005</v>
      </c>
      <c r="Q214" s="2">
        <v>0.753</v>
      </c>
      <c r="R214" s="2">
        <v>0.372</v>
      </c>
      <c r="S214" s="2">
        <v>0.57799999999999996</v>
      </c>
      <c r="T214" s="2">
        <v>0.438</v>
      </c>
      <c r="U214" s="2">
        <v>0.38400000000000001</v>
      </c>
      <c r="V214" s="2">
        <v>0.46200000000000002</v>
      </c>
      <c r="W214" s="2">
        <v>0.81299999999999994</v>
      </c>
      <c r="X214" s="2">
        <v>8.6999999999999994E-2</v>
      </c>
      <c r="Y214" s="2">
        <v>30</v>
      </c>
      <c r="Z214" s="2">
        <v>5.6000000000000001E-2</v>
      </c>
      <c r="AA214" s="2">
        <v>0.14299999999999999</v>
      </c>
      <c r="AB214" s="2">
        <v>0</v>
      </c>
      <c r="AC214" s="2">
        <v>0</v>
      </c>
    </row>
    <row r="215" spans="1:29" x14ac:dyDescent="0.2">
      <c r="A215" t="s">
        <v>230</v>
      </c>
      <c r="B215" s="2">
        <v>24</v>
      </c>
      <c r="C215" t="s">
        <v>103</v>
      </c>
      <c r="D215" s="2" t="s">
        <v>27</v>
      </c>
      <c r="E215" s="2">
        <v>23</v>
      </c>
      <c r="F215" s="2">
        <v>6</v>
      </c>
      <c r="G215" s="2">
        <v>575</v>
      </c>
      <c r="H215" s="2">
        <v>0.43</v>
      </c>
      <c r="I215" s="2">
        <v>15.6</v>
      </c>
      <c r="J215" s="2">
        <v>0.44900000000000001</v>
      </c>
      <c r="K215" s="2">
        <v>0.20300000000000001</v>
      </c>
      <c r="L215" s="2">
        <v>0.22800000000000001</v>
      </c>
      <c r="M215" s="2">
        <v>6.0000000000000001E-3</v>
      </c>
      <c r="N215" s="2">
        <v>1.2999999999999999E-2</v>
      </c>
      <c r="O215" s="2">
        <v>0.55100000000000005</v>
      </c>
      <c r="P215" s="2">
        <v>0.53500000000000003</v>
      </c>
      <c r="Q215" s="2">
        <v>0.5</v>
      </c>
      <c r="R215" s="2">
        <v>0.55600000000000005</v>
      </c>
      <c r="S215" s="2">
        <v>0</v>
      </c>
      <c r="T215" s="2">
        <v>1</v>
      </c>
      <c r="U215" s="2">
        <v>0.34499999999999997</v>
      </c>
      <c r="V215" s="2">
        <v>0.71099999999999997</v>
      </c>
      <c r="W215" s="2">
        <v>1</v>
      </c>
      <c r="X215" s="2">
        <v>0</v>
      </c>
      <c r="Y215" s="2">
        <v>0</v>
      </c>
      <c r="Z215" s="2">
        <v>0.27600000000000002</v>
      </c>
      <c r="AA215" s="2">
        <v>0.33300000000000002</v>
      </c>
      <c r="AB215" s="2">
        <v>0</v>
      </c>
      <c r="AC215" s="2">
        <v>0</v>
      </c>
    </row>
    <row r="216" spans="1:29" x14ac:dyDescent="0.2">
      <c r="A216" t="s">
        <v>376</v>
      </c>
      <c r="B216" s="2">
        <v>25</v>
      </c>
      <c r="C216" t="s">
        <v>117</v>
      </c>
      <c r="D216" s="2" t="s">
        <v>49</v>
      </c>
      <c r="E216" s="2">
        <v>15</v>
      </c>
      <c r="F216" s="2">
        <v>0</v>
      </c>
      <c r="G216" s="2">
        <v>217</v>
      </c>
      <c r="H216" s="2">
        <v>0.47199999999999998</v>
      </c>
      <c r="I216" s="2">
        <v>15</v>
      </c>
      <c r="J216" s="2">
        <v>0.49099999999999999</v>
      </c>
      <c r="K216" s="2">
        <v>0.22600000000000001</v>
      </c>
      <c r="L216" s="2">
        <v>0.189</v>
      </c>
      <c r="M216" s="2">
        <v>5.7000000000000002E-2</v>
      </c>
      <c r="N216" s="2">
        <v>1.9E-2</v>
      </c>
      <c r="O216" s="2">
        <v>0.50900000000000001</v>
      </c>
      <c r="P216" s="2">
        <v>0.61499999999999999</v>
      </c>
      <c r="Q216" s="2">
        <v>0.83299999999999996</v>
      </c>
      <c r="R216" s="2">
        <v>0.5</v>
      </c>
      <c r="S216" s="2">
        <v>0.33300000000000002</v>
      </c>
      <c r="T216" s="2">
        <v>0</v>
      </c>
      <c r="U216" s="2">
        <v>0.33300000000000002</v>
      </c>
      <c r="V216" s="2">
        <v>0.56299999999999994</v>
      </c>
      <c r="W216" s="2">
        <v>1</v>
      </c>
      <c r="X216" s="2">
        <v>1.9E-2</v>
      </c>
      <c r="Y216" s="2">
        <v>1</v>
      </c>
      <c r="Z216" s="2">
        <v>0.74099999999999999</v>
      </c>
      <c r="AA216" s="2">
        <v>0.3</v>
      </c>
      <c r="AB216" s="2">
        <v>0</v>
      </c>
      <c r="AC216" s="2">
        <v>0</v>
      </c>
    </row>
    <row r="217" spans="1:29" x14ac:dyDescent="0.2">
      <c r="A217" t="s">
        <v>154</v>
      </c>
      <c r="B217" s="2">
        <v>27</v>
      </c>
      <c r="C217" t="s">
        <v>46</v>
      </c>
      <c r="D217" s="2" t="s">
        <v>33</v>
      </c>
      <c r="E217" s="2">
        <v>17</v>
      </c>
      <c r="F217" s="2">
        <v>17</v>
      </c>
      <c r="G217" s="2">
        <v>613</v>
      </c>
      <c r="H217" s="2">
        <v>0.42</v>
      </c>
      <c r="I217" s="2">
        <v>16.399999999999999</v>
      </c>
      <c r="J217" s="2">
        <v>0.61499999999999999</v>
      </c>
      <c r="K217" s="2">
        <v>0.14399999999999999</v>
      </c>
      <c r="L217" s="2">
        <v>0.156</v>
      </c>
      <c r="M217" s="2">
        <v>0.14799999999999999</v>
      </c>
      <c r="N217" s="2">
        <v>0.16700000000000001</v>
      </c>
      <c r="O217" s="2">
        <v>0.38500000000000001</v>
      </c>
      <c r="P217" s="2">
        <v>0.47499999999999998</v>
      </c>
      <c r="Q217" s="2">
        <v>0.67600000000000005</v>
      </c>
      <c r="R217" s="2">
        <v>0.42499999999999999</v>
      </c>
      <c r="S217" s="2">
        <v>0.39500000000000002</v>
      </c>
      <c r="T217" s="2">
        <v>0.41899999999999998</v>
      </c>
      <c r="U217" s="2">
        <v>0.33300000000000002</v>
      </c>
      <c r="V217" s="2">
        <v>0.36</v>
      </c>
      <c r="W217" s="2">
        <v>0.78800000000000003</v>
      </c>
      <c r="X217" s="2">
        <v>1.2E-2</v>
      </c>
      <c r="Y217" s="2">
        <v>3</v>
      </c>
      <c r="Z217" s="2">
        <v>0.121</v>
      </c>
      <c r="AA217" s="2">
        <v>0.25</v>
      </c>
      <c r="AB217" s="2">
        <v>2</v>
      </c>
      <c r="AC217" s="2">
        <v>0</v>
      </c>
    </row>
    <row r="218" spans="1:29" x14ac:dyDescent="0.2">
      <c r="A218" t="s">
        <v>327</v>
      </c>
      <c r="B218" s="2">
        <v>22</v>
      </c>
      <c r="C218" t="s">
        <v>66</v>
      </c>
      <c r="D218" s="2" t="s">
        <v>33</v>
      </c>
      <c r="E218" s="2">
        <v>24</v>
      </c>
      <c r="F218" s="2">
        <v>0</v>
      </c>
      <c r="G218" s="2">
        <v>338</v>
      </c>
      <c r="H218" s="2">
        <v>0.38100000000000001</v>
      </c>
      <c r="I218" s="2">
        <v>15.3</v>
      </c>
      <c r="J218" s="2">
        <v>0.60199999999999998</v>
      </c>
      <c r="K218" s="2">
        <v>0.13300000000000001</v>
      </c>
      <c r="L218" s="2">
        <v>0.26500000000000001</v>
      </c>
      <c r="M218" s="2">
        <v>0.17699999999999999</v>
      </c>
      <c r="N218" s="2">
        <v>2.7E-2</v>
      </c>
      <c r="O218" s="2">
        <v>0.39800000000000002</v>
      </c>
      <c r="P218" s="2">
        <v>0.42599999999999999</v>
      </c>
      <c r="Q218" s="2">
        <v>0.46700000000000003</v>
      </c>
      <c r="R218" s="2">
        <v>0.36699999999999999</v>
      </c>
      <c r="S218" s="2">
        <v>0.55000000000000004</v>
      </c>
      <c r="T218" s="2">
        <v>0</v>
      </c>
      <c r="U218" s="2">
        <v>0.311</v>
      </c>
      <c r="V218" s="2">
        <v>0.48299999999999998</v>
      </c>
      <c r="W218" s="2">
        <v>0.85699999999999998</v>
      </c>
      <c r="X218" s="2">
        <v>1.7999999999999999E-2</v>
      </c>
      <c r="Y218" s="2">
        <v>1</v>
      </c>
      <c r="Z218" s="2">
        <v>0.13300000000000001</v>
      </c>
      <c r="AA218" s="2">
        <v>0.33300000000000002</v>
      </c>
      <c r="AB218" s="2">
        <v>2</v>
      </c>
      <c r="AC218" s="2">
        <v>0</v>
      </c>
    </row>
    <row r="219" spans="1:29" x14ac:dyDescent="0.2">
      <c r="A219" t="s">
        <v>76</v>
      </c>
      <c r="B219" s="2">
        <v>35</v>
      </c>
      <c r="C219" t="s">
        <v>77</v>
      </c>
      <c r="D219" s="2" t="s">
        <v>33</v>
      </c>
      <c r="E219" s="2">
        <v>24</v>
      </c>
      <c r="F219" s="2">
        <v>24</v>
      </c>
      <c r="G219" s="2">
        <v>814</v>
      </c>
      <c r="H219" s="2">
        <v>0.379</v>
      </c>
      <c r="I219" s="2">
        <v>17.100000000000001</v>
      </c>
      <c r="J219" s="2">
        <v>0.48599999999999999</v>
      </c>
      <c r="K219" s="2">
        <v>0.13600000000000001</v>
      </c>
      <c r="L219" s="2">
        <v>0.21199999999999999</v>
      </c>
      <c r="M219" s="2">
        <v>0.12</v>
      </c>
      <c r="N219" s="2">
        <v>1.7999999999999999E-2</v>
      </c>
      <c r="O219" s="2">
        <v>0.51400000000000001</v>
      </c>
      <c r="P219" s="2">
        <v>0.42099999999999999</v>
      </c>
      <c r="Q219" s="2">
        <v>0.54700000000000004</v>
      </c>
      <c r="R219" s="2">
        <v>0.33700000000000002</v>
      </c>
      <c r="S219" s="2">
        <v>0.36199999999999999</v>
      </c>
      <c r="T219" s="2">
        <v>0.85699999999999998</v>
      </c>
      <c r="U219" s="2">
        <v>0.33800000000000002</v>
      </c>
      <c r="V219" s="2">
        <v>0.16300000000000001</v>
      </c>
      <c r="W219" s="2">
        <v>0.42599999999999999</v>
      </c>
      <c r="X219" s="2">
        <v>5.0000000000000001E-3</v>
      </c>
      <c r="Y219" s="2">
        <v>2</v>
      </c>
      <c r="Z219" s="2">
        <v>3.5000000000000003E-2</v>
      </c>
      <c r="AA219" s="2">
        <v>0.28599999999999998</v>
      </c>
      <c r="AB219" s="2">
        <v>0</v>
      </c>
      <c r="AC219" s="2">
        <v>0</v>
      </c>
    </row>
    <row r="220" spans="1:29" x14ac:dyDescent="0.2">
      <c r="A220" t="s">
        <v>528</v>
      </c>
      <c r="B220" s="2">
        <v>37</v>
      </c>
      <c r="C220" t="s">
        <v>82</v>
      </c>
      <c r="D220" s="2" t="s">
        <v>27</v>
      </c>
      <c r="E220" s="2">
        <v>3</v>
      </c>
      <c r="F220" s="2">
        <v>0</v>
      </c>
      <c r="G220" s="2">
        <v>10</v>
      </c>
      <c r="H220" s="2">
        <v>0.5</v>
      </c>
      <c r="I220" s="2">
        <v>11.7</v>
      </c>
      <c r="J220" s="2">
        <v>0.75</v>
      </c>
      <c r="K220" s="2">
        <v>0.5</v>
      </c>
      <c r="L220" s="2">
        <v>0</v>
      </c>
      <c r="M220" s="2">
        <v>0</v>
      </c>
      <c r="N220" s="2">
        <v>0.25</v>
      </c>
      <c r="O220" s="2">
        <v>0.25</v>
      </c>
      <c r="P220" s="2">
        <v>0.66700000000000004</v>
      </c>
      <c r="Q220" s="2">
        <v>1</v>
      </c>
      <c r="R220" s="2"/>
      <c r="S220" s="2"/>
      <c r="T220" s="2">
        <v>0</v>
      </c>
      <c r="U220" s="2">
        <v>0</v>
      </c>
      <c r="V220" s="2">
        <v>0.5</v>
      </c>
      <c r="W220" s="2"/>
      <c r="X220" s="2">
        <v>0</v>
      </c>
      <c r="Y220" s="2">
        <v>0</v>
      </c>
      <c r="Z220" s="2">
        <v>0</v>
      </c>
      <c r="AA220" s="2"/>
      <c r="AB220" s="2">
        <v>0</v>
      </c>
      <c r="AC220" s="2">
        <v>0</v>
      </c>
    </row>
    <row r="221" spans="1:29" x14ac:dyDescent="0.2">
      <c r="A221" t="s">
        <v>515</v>
      </c>
      <c r="B221" s="2">
        <v>23</v>
      </c>
      <c r="C221" t="s">
        <v>82</v>
      </c>
      <c r="D221" s="2" t="s">
        <v>42</v>
      </c>
      <c r="E221" s="2">
        <v>1</v>
      </c>
      <c r="F221" s="2">
        <v>0</v>
      </c>
      <c r="G221" s="2">
        <v>5</v>
      </c>
      <c r="H221" s="2">
        <v>0.5</v>
      </c>
      <c r="I221" s="2">
        <v>14.1</v>
      </c>
      <c r="J221" s="2">
        <v>0.75</v>
      </c>
      <c r="K221" s="2">
        <v>0</v>
      </c>
      <c r="L221" s="2">
        <v>0.5</v>
      </c>
      <c r="M221" s="2">
        <v>0</v>
      </c>
      <c r="N221" s="2">
        <v>0.25</v>
      </c>
      <c r="O221" s="2">
        <v>0.25</v>
      </c>
      <c r="P221" s="2">
        <v>0.66700000000000004</v>
      </c>
      <c r="Q221" s="2"/>
      <c r="R221" s="2">
        <v>1</v>
      </c>
      <c r="S221" s="2"/>
      <c r="T221" s="2">
        <v>0</v>
      </c>
      <c r="U221" s="2">
        <v>0</v>
      </c>
      <c r="V221" s="2">
        <v>1</v>
      </c>
      <c r="W221" s="2"/>
      <c r="X221" s="2">
        <v>0</v>
      </c>
      <c r="Y221" s="2">
        <v>0</v>
      </c>
      <c r="Z221" s="2">
        <v>0</v>
      </c>
      <c r="AA221" s="2"/>
      <c r="AB221" s="2">
        <v>0</v>
      </c>
      <c r="AC221" s="2">
        <v>0</v>
      </c>
    </row>
    <row r="222" spans="1:29" x14ac:dyDescent="0.2">
      <c r="A222" t="s">
        <v>295</v>
      </c>
      <c r="B222" s="2">
        <v>23</v>
      </c>
      <c r="C222" t="s">
        <v>66</v>
      </c>
      <c r="D222" s="2" t="s">
        <v>49</v>
      </c>
      <c r="E222" s="2">
        <v>24</v>
      </c>
      <c r="F222" s="2">
        <v>0</v>
      </c>
      <c r="G222" s="2">
        <v>326</v>
      </c>
      <c r="H222" s="2">
        <v>0.48499999999999999</v>
      </c>
      <c r="I222" s="2">
        <v>20</v>
      </c>
      <c r="J222" s="2">
        <v>0.25700000000000001</v>
      </c>
      <c r="K222" s="2">
        <v>9.9000000000000005E-2</v>
      </c>
      <c r="L222" s="2">
        <v>8.8999999999999996E-2</v>
      </c>
      <c r="M222" s="2">
        <v>5.8999999999999997E-2</v>
      </c>
      <c r="N222" s="2">
        <v>0.01</v>
      </c>
      <c r="O222" s="2">
        <v>0.74299999999999999</v>
      </c>
      <c r="P222" s="2">
        <v>0.61499999999999999</v>
      </c>
      <c r="Q222" s="2">
        <v>0.6</v>
      </c>
      <c r="R222" s="2">
        <v>0.66700000000000004</v>
      </c>
      <c r="S222" s="2">
        <v>0.66700000000000004</v>
      </c>
      <c r="T222" s="2">
        <v>0</v>
      </c>
      <c r="U222" s="2">
        <v>0.44</v>
      </c>
      <c r="V222" s="2">
        <v>0.875</v>
      </c>
      <c r="W222" s="2">
        <v>0.97</v>
      </c>
      <c r="X222" s="2">
        <v>0.02</v>
      </c>
      <c r="Y222" s="2">
        <v>0</v>
      </c>
      <c r="Z222" s="2">
        <v>0.42699999999999999</v>
      </c>
      <c r="AA222" s="2">
        <v>0.40600000000000003</v>
      </c>
      <c r="AB222" s="2">
        <v>0</v>
      </c>
      <c r="AC222" s="2">
        <v>0</v>
      </c>
    </row>
    <row r="223" spans="1:29" x14ac:dyDescent="0.2">
      <c r="A223" t="s">
        <v>294</v>
      </c>
      <c r="B223" s="2">
        <v>21</v>
      </c>
      <c r="C223" t="s">
        <v>82</v>
      </c>
      <c r="D223" s="2" t="s">
        <v>27</v>
      </c>
      <c r="E223" s="2">
        <v>25</v>
      </c>
      <c r="F223" s="2">
        <v>1</v>
      </c>
      <c r="G223" s="2">
        <v>456</v>
      </c>
      <c r="H223" s="2">
        <v>0.434</v>
      </c>
      <c r="I223" s="2">
        <v>16.3</v>
      </c>
      <c r="J223" s="2">
        <v>0.46</v>
      </c>
      <c r="K223" s="2">
        <v>0.23899999999999999</v>
      </c>
      <c r="L223" s="2">
        <v>0.124</v>
      </c>
      <c r="M223" s="2">
        <v>6.2E-2</v>
      </c>
      <c r="N223" s="2">
        <v>3.5000000000000003E-2</v>
      </c>
      <c r="O223" s="2">
        <v>0.54</v>
      </c>
      <c r="P223" s="2">
        <v>0.48099999999999998</v>
      </c>
      <c r="Q223" s="2">
        <v>0.51900000000000002</v>
      </c>
      <c r="R223" s="2">
        <v>0.35699999999999998</v>
      </c>
      <c r="S223" s="2">
        <v>0.57099999999999995</v>
      </c>
      <c r="T223" s="2">
        <v>0.5</v>
      </c>
      <c r="U223" s="2">
        <v>0.39300000000000002</v>
      </c>
      <c r="V223" s="2">
        <v>0.72</v>
      </c>
      <c r="W223" s="2">
        <v>0.95799999999999996</v>
      </c>
      <c r="X223" s="2">
        <v>7.0999999999999994E-2</v>
      </c>
      <c r="Y223" s="2">
        <v>6</v>
      </c>
      <c r="Z223" s="2">
        <v>0.36099999999999999</v>
      </c>
      <c r="AA223" s="2">
        <v>0.5</v>
      </c>
      <c r="AB223" s="2">
        <v>0</v>
      </c>
      <c r="AC223" s="2">
        <v>0</v>
      </c>
    </row>
    <row r="224" spans="1:29" x14ac:dyDescent="0.2">
      <c r="A224" t="s">
        <v>343</v>
      </c>
      <c r="B224" s="2">
        <v>24</v>
      </c>
      <c r="C224" t="s">
        <v>114</v>
      </c>
      <c r="D224" s="2" t="s">
        <v>52</v>
      </c>
      <c r="E224" s="2">
        <v>17</v>
      </c>
      <c r="F224" s="2">
        <v>0</v>
      </c>
      <c r="G224" s="2">
        <v>180</v>
      </c>
      <c r="H224" s="2">
        <v>0.44700000000000001</v>
      </c>
      <c r="I224" s="2">
        <v>12</v>
      </c>
      <c r="J224" s="2">
        <v>0.74099999999999999</v>
      </c>
      <c r="K224" s="2">
        <v>0.21199999999999999</v>
      </c>
      <c r="L224" s="2">
        <v>0.36499999999999999</v>
      </c>
      <c r="M224" s="2">
        <v>0.11799999999999999</v>
      </c>
      <c r="N224" s="2">
        <v>4.7E-2</v>
      </c>
      <c r="O224" s="2">
        <v>0.25900000000000001</v>
      </c>
      <c r="P224" s="2">
        <v>0.52400000000000002</v>
      </c>
      <c r="Q224" s="2">
        <v>0.61099999999999999</v>
      </c>
      <c r="R224" s="2">
        <v>0.48399999999999999</v>
      </c>
      <c r="S224" s="2">
        <v>0.5</v>
      </c>
      <c r="T224" s="2">
        <v>0.5</v>
      </c>
      <c r="U224" s="2">
        <v>0.22700000000000001</v>
      </c>
      <c r="V224" s="2">
        <v>0.152</v>
      </c>
      <c r="W224" s="2">
        <v>1</v>
      </c>
      <c r="X224" s="2">
        <v>0</v>
      </c>
      <c r="Y224" s="2">
        <v>0</v>
      </c>
      <c r="Z224" s="2">
        <v>0.13600000000000001</v>
      </c>
      <c r="AA224" s="2">
        <v>0.33300000000000002</v>
      </c>
      <c r="AB224" s="2">
        <v>0</v>
      </c>
      <c r="AC224" s="2">
        <v>0</v>
      </c>
    </row>
    <row r="225" spans="1:29" x14ac:dyDescent="0.2">
      <c r="A225" t="s">
        <v>133</v>
      </c>
      <c r="B225" s="2">
        <v>20</v>
      </c>
      <c r="C225" t="s">
        <v>122</v>
      </c>
      <c r="D225" s="2" t="s">
        <v>52</v>
      </c>
      <c r="E225" s="2">
        <v>22</v>
      </c>
      <c r="F225" s="2">
        <v>8</v>
      </c>
      <c r="G225" s="2">
        <v>563</v>
      </c>
      <c r="H225" s="2">
        <v>0.46300000000000002</v>
      </c>
      <c r="I225" s="2">
        <v>15.9</v>
      </c>
      <c r="J225" s="2">
        <v>0.51100000000000001</v>
      </c>
      <c r="K225" s="2">
        <v>0.19800000000000001</v>
      </c>
      <c r="L225" s="2">
        <v>0.17899999999999999</v>
      </c>
      <c r="M225" s="2">
        <v>0.104</v>
      </c>
      <c r="N225" s="2">
        <v>0.03</v>
      </c>
      <c r="O225" s="2">
        <v>0.48899999999999999</v>
      </c>
      <c r="P225" s="2">
        <v>0.54</v>
      </c>
      <c r="Q225" s="2">
        <v>0.64200000000000002</v>
      </c>
      <c r="R225" s="2">
        <v>0.438</v>
      </c>
      <c r="S225" s="2">
        <v>0.46400000000000002</v>
      </c>
      <c r="T225" s="2">
        <v>0.75</v>
      </c>
      <c r="U225" s="2">
        <v>0.38200000000000001</v>
      </c>
      <c r="V225" s="2">
        <v>0.32400000000000001</v>
      </c>
      <c r="W225" s="2">
        <v>0.8</v>
      </c>
      <c r="X225" s="2">
        <v>7.0000000000000001E-3</v>
      </c>
      <c r="Y225" s="2">
        <v>2</v>
      </c>
      <c r="Z225" s="2">
        <v>0.20599999999999999</v>
      </c>
      <c r="AA225" s="2">
        <v>0.33300000000000002</v>
      </c>
      <c r="AB225" s="2">
        <v>0</v>
      </c>
      <c r="AC225" s="2">
        <v>0</v>
      </c>
    </row>
    <row r="226" spans="1:29" x14ac:dyDescent="0.2">
      <c r="A226" t="s">
        <v>531</v>
      </c>
      <c r="B226" s="2">
        <v>25</v>
      </c>
      <c r="C226" t="s">
        <v>59</v>
      </c>
      <c r="D226" s="2" t="s">
        <v>52</v>
      </c>
      <c r="E226" s="2">
        <v>4</v>
      </c>
      <c r="F226" s="2">
        <v>0</v>
      </c>
      <c r="G226" s="2">
        <v>12</v>
      </c>
      <c r="H226" s="2">
        <v>0.25</v>
      </c>
      <c r="I226" s="2">
        <v>11.5</v>
      </c>
      <c r="J226" s="2">
        <v>0.75</v>
      </c>
      <c r="K226" s="2">
        <v>0.375</v>
      </c>
      <c r="L226" s="2">
        <v>0.125</v>
      </c>
      <c r="M226" s="2">
        <v>0.125</v>
      </c>
      <c r="N226" s="2">
        <v>0.125</v>
      </c>
      <c r="O226" s="2">
        <v>0.25</v>
      </c>
      <c r="P226" s="2">
        <v>0.33300000000000002</v>
      </c>
      <c r="Q226" s="2">
        <v>0.33300000000000002</v>
      </c>
      <c r="R226" s="2">
        <v>1</v>
      </c>
      <c r="S226" s="2">
        <v>0</v>
      </c>
      <c r="T226" s="2">
        <v>0</v>
      </c>
      <c r="U226" s="2">
        <v>0</v>
      </c>
      <c r="V226" s="2">
        <v>0</v>
      </c>
      <c r="W226" s="2"/>
      <c r="X226" s="2">
        <v>0</v>
      </c>
      <c r="Y226" s="2">
        <v>0</v>
      </c>
      <c r="Z226" s="2">
        <v>0.5</v>
      </c>
      <c r="AA226" s="2">
        <v>0</v>
      </c>
      <c r="AB226" s="2">
        <v>0</v>
      </c>
      <c r="AC226" s="2">
        <v>0</v>
      </c>
    </row>
    <row r="227" spans="1:29" x14ac:dyDescent="0.2">
      <c r="A227" t="s">
        <v>79</v>
      </c>
      <c r="B227" s="2">
        <v>25</v>
      </c>
      <c r="C227" t="s">
        <v>80</v>
      </c>
      <c r="D227" s="2" t="s">
        <v>42</v>
      </c>
      <c r="E227" s="2">
        <v>23</v>
      </c>
      <c r="F227" s="2">
        <v>23</v>
      </c>
      <c r="G227" s="2">
        <v>645</v>
      </c>
      <c r="H227" s="2">
        <v>0.51700000000000002</v>
      </c>
      <c r="I227" s="2">
        <v>12.8</v>
      </c>
      <c r="J227" s="2">
        <v>0.65700000000000003</v>
      </c>
      <c r="K227" s="2">
        <v>0.154</v>
      </c>
      <c r="L227" s="2">
        <v>0.437</v>
      </c>
      <c r="M227" s="2">
        <v>6.3E-2</v>
      </c>
      <c r="N227" s="2">
        <v>3.0000000000000001E-3</v>
      </c>
      <c r="O227" s="2">
        <v>0.34300000000000003</v>
      </c>
      <c r="P227" s="2">
        <v>0.60399999999999998</v>
      </c>
      <c r="Q227" s="2">
        <v>0.72199999999999998</v>
      </c>
      <c r="R227" s="2">
        <v>0.55600000000000005</v>
      </c>
      <c r="S227" s="2">
        <v>0.63600000000000001</v>
      </c>
      <c r="T227" s="2">
        <v>1</v>
      </c>
      <c r="U227" s="2">
        <v>0.35</v>
      </c>
      <c r="V227" s="2">
        <v>0.44600000000000001</v>
      </c>
      <c r="W227" s="2">
        <v>0.90500000000000003</v>
      </c>
      <c r="X227" s="2">
        <v>4.9000000000000002E-2</v>
      </c>
      <c r="Y227" s="2">
        <v>17</v>
      </c>
      <c r="Z227" s="2">
        <v>0.16700000000000001</v>
      </c>
      <c r="AA227" s="2">
        <v>0.25</v>
      </c>
      <c r="AB227" s="2">
        <v>1</v>
      </c>
      <c r="AC227" s="2">
        <v>0</v>
      </c>
    </row>
    <row r="228" spans="1:29" x14ac:dyDescent="0.2">
      <c r="A228" t="s">
        <v>143</v>
      </c>
      <c r="B228" s="2">
        <v>26</v>
      </c>
      <c r="C228" t="s">
        <v>57</v>
      </c>
      <c r="D228" s="2" t="s">
        <v>42</v>
      </c>
      <c r="E228" s="2">
        <v>25</v>
      </c>
      <c r="F228" s="2">
        <v>25</v>
      </c>
      <c r="G228" s="2">
        <v>745</v>
      </c>
      <c r="H228" s="2">
        <v>0.68300000000000005</v>
      </c>
      <c r="I228" s="2">
        <v>3.5</v>
      </c>
      <c r="J228" s="2">
        <v>0.995</v>
      </c>
      <c r="K228" s="2">
        <v>0.64800000000000002</v>
      </c>
      <c r="L228" s="2">
        <v>0.27100000000000002</v>
      </c>
      <c r="M228" s="2">
        <v>0.06</v>
      </c>
      <c r="N228" s="2">
        <v>1.4999999999999999E-2</v>
      </c>
      <c r="O228" s="2">
        <v>5.0000000000000001E-3</v>
      </c>
      <c r="P228" s="2">
        <v>0.68700000000000006</v>
      </c>
      <c r="Q228" s="2">
        <v>0.76700000000000002</v>
      </c>
      <c r="R228" s="2">
        <v>0.59299999999999997</v>
      </c>
      <c r="S228" s="2">
        <v>0.41699999999999998</v>
      </c>
      <c r="T228" s="2">
        <v>0</v>
      </c>
      <c r="U228" s="2">
        <v>0</v>
      </c>
      <c r="V228" s="2">
        <v>0.84599999999999997</v>
      </c>
      <c r="W228" s="2"/>
      <c r="X228" s="2">
        <v>0.29599999999999999</v>
      </c>
      <c r="Y228" s="2">
        <v>52</v>
      </c>
      <c r="Z228" s="2">
        <v>1</v>
      </c>
      <c r="AA228" s="2">
        <v>0</v>
      </c>
      <c r="AB228" s="2">
        <v>0</v>
      </c>
      <c r="AC228" s="2">
        <v>0</v>
      </c>
    </row>
    <row r="229" spans="1:29" x14ac:dyDescent="0.2">
      <c r="A229" t="s">
        <v>279</v>
      </c>
      <c r="B229" s="2">
        <v>31</v>
      </c>
      <c r="C229" t="s">
        <v>117</v>
      </c>
      <c r="D229" s="2" t="s">
        <v>52</v>
      </c>
      <c r="E229" s="2">
        <v>24</v>
      </c>
      <c r="F229" s="2">
        <v>12</v>
      </c>
      <c r="G229" s="2">
        <v>560</v>
      </c>
      <c r="H229" s="2">
        <v>0.42599999999999999</v>
      </c>
      <c r="I229" s="2">
        <v>13</v>
      </c>
      <c r="J229" s="2">
        <v>0.55700000000000005</v>
      </c>
      <c r="K229" s="2">
        <v>0.35199999999999998</v>
      </c>
      <c r="L229" s="2">
        <v>0.156</v>
      </c>
      <c r="M229" s="2">
        <v>4.1000000000000002E-2</v>
      </c>
      <c r="N229" s="2">
        <v>8.0000000000000002E-3</v>
      </c>
      <c r="O229" s="2">
        <v>0.443</v>
      </c>
      <c r="P229" s="2">
        <v>0.51500000000000001</v>
      </c>
      <c r="Q229" s="2">
        <v>0.67400000000000004</v>
      </c>
      <c r="R229" s="2">
        <v>0.26300000000000001</v>
      </c>
      <c r="S229" s="2">
        <v>0.2</v>
      </c>
      <c r="T229" s="2">
        <v>0</v>
      </c>
      <c r="U229" s="2">
        <v>0.315</v>
      </c>
      <c r="V229" s="2">
        <v>0.51400000000000001</v>
      </c>
      <c r="W229" s="2">
        <v>1</v>
      </c>
      <c r="X229" s="2">
        <v>7.3999999999999996E-2</v>
      </c>
      <c r="Y229" s="2">
        <v>7</v>
      </c>
      <c r="Z229" s="2">
        <v>0.46300000000000002</v>
      </c>
      <c r="AA229" s="2">
        <v>0.36</v>
      </c>
      <c r="AB229" s="2">
        <v>0</v>
      </c>
      <c r="AC229" s="2">
        <v>0</v>
      </c>
    </row>
    <row r="230" spans="1:29" x14ac:dyDescent="0.2">
      <c r="A230" t="s">
        <v>375</v>
      </c>
      <c r="B230" s="2">
        <v>24</v>
      </c>
      <c r="C230" t="s">
        <v>41</v>
      </c>
      <c r="D230" s="2" t="s">
        <v>42</v>
      </c>
      <c r="E230" s="2">
        <v>11</v>
      </c>
      <c r="F230" s="2">
        <v>1</v>
      </c>
      <c r="G230" s="2">
        <v>192</v>
      </c>
      <c r="H230" s="2">
        <v>0.72199999999999998</v>
      </c>
      <c r="I230" s="2">
        <v>2.2999999999999998</v>
      </c>
      <c r="J230" s="2">
        <v>1</v>
      </c>
      <c r="K230" s="2">
        <v>0.77800000000000002</v>
      </c>
      <c r="L230" s="2">
        <v>0.19400000000000001</v>
      </c>
      <c r="M230" s="2">
        <v>2.8000000000000001E-2</v>
      </c>
      <c r="N230" s="2">
        <v>0</v>
      </c>
      <c r="O230" s="2">
        <v>0</v>
      </c>
      <c r="P230" s="2">
        <v>0.72199999999999998</v>
      </c>
      <c r="Q230" s="2">
        <v>0.85699999999999998</v>
      </c>
      <c r="R230" s="2">
        <v>0.28599999999999998</v>
      </c>
      <c r="S230" s="2">
        <v>0</v>
      </c>
      <c r="T230" s="2"/>
      <c r="U230" s="2"/>
      <c r="V230" s="2">
        <v>0.69199999999999995</v>
      </c>
      <c r="W230" s="2"/>
      <c r="X230" s="2">
        <v>0.52800000000000002</v>
      </c>
      <c r="Y230" s="2">
        <v>18</v>
      </c>
      <c r="Z230" s="2"/>
      <c r="AA230" s="2"/>
      <c r="AB230" s="2">
        <v>0</v>
      </c>
      <c r="AC230" s="2">
        <v>0</v>
      </c>
    </row>
    <row r="231" spans="1:29" x14ac:dyDescent="0.2">
      <c r="A231" t="s">
        <v>203</v>
      </c>
      <c r="B231" s="2">
        <v>26</v>
      </c>
      <c r="C231" t="s">
        <v>80</v>
      </c>
      <c r="D231" s="2" t="s">
        <v>42</v>
      </c>
      <c r="E231" s="2">
        <v>25</v>
      </c>
      <c r="F231" s="2">
        <v>1</v>
      </c>
      <c r="G231" s="2">
        <v>392</v>
      </c>
      <c r="H231" s="2">
        <v>0.51900000000000002</v>
      </c>
      <c r="I231" s="2">
        <v>17.899999999999999</v>
      </c>
      <c r="J231" s="2">
        <v>0.34200000000000003</v>
      </c>
      <c r="K231" s="2">
        <v>0.24099999999999999</v>
      </c>
      <c r="L231" s="2">
        <v>5.7000000000000002E-2</v>
      </c>
      <c r="M231" s="2">
        <v>2.5000000000000001E-2</v>
      </c>
      <c r="N231" s="2">
        <v>1.9E-2</v>
      </c>
      <c r="O231" s="2">
        <v>0.65800000000000003</v>
      </c>
      <c r="P231" s="2">
        <v>0.72199999999999998</v>
      </c>
      <c r="Q231" s="2">
        <v>0.84199999999999997</v>
      </c>
      <c r="R231" s="2">
        <v>0.66700000000000004</v>
      </c>
      <c r="S231" s="2">
        <v>0.25</v>
      </c>
      <c r="T231" s="2">
        <v>0</v>
      </c>
      <c r="U231" s="2">
        <v>0.41299999999999998</v>
      </c>
      <c r="V231" s="2">
        <v>0.872</v>
      </c>
      <c r="W231" s="2">
        <v>1</v>
      </c>
      <c r="X231" s="2">
        <v>0.17100000000000001</v>
      </c>
      <c r="Y231" s="2">
        <v>24</v>
      </c>
      <c r="Z231" s="2">
        <v>0.317</v>
      </c>
      <c r="AA231" s="2">
        <v>0.36399999999999999</v>
      </c>
      <c r="AB231" s="2">
        <v>0</v>
      </c>
      <c r="AC231" s="2">
        <v>0</v>
      </c>
    </row>
    <row r="232" spans="1:29" x14ac:dyDescent="0.2">
      <c r="A232" t="s">
        <v>84</v>
      </c>
      <c r="B232" s="2">
        <v>28</v>
      </c>
      <c r="C232" t="s">
        <v>39</v>
      </c>
      <c r="D232" s="2" t="s">
        <v>49</v>
      </c>
      <c r="E232" s="2">
        <v>20</v>
      </c>
      <c r="F232" s="2">
        <v>20</v>
      </c>
      <c r="G232" s="2">
        <v>716</v>
      </c>
      <c r="H232" s="2">
        <v>0.44600000000000001</v>
      </c>
      <c r="I232" s="2">
        <v>14.4</v>
      </c>
      <c r="J232" s="2">
        <v>0.61899999999999999</v>
      </c>
      <c r="K232" s="2">
        <v>0.17799999999999999</v>
      </c>
      <c r="L232" s="2">
        <v>0.251</v>
      </c>
      <c r="M232" s="2">
        <v>0.123</v>
      </c>
      <c r="N232" s="2">
        <v>6.8000000000000005E-2</v>
      </c>
      <c r="O232" s="2">
        <v>0.38100000000000001</v>
      </c>
      <c r="P232" s="2">
        <v>0.51100000000000001</v>
      </c>
      <c r="Q232" s="2">
        <v>0.72099999999999997</v>
      </c>
      <c r="R232" s="2">
        <v>0.44800000000000001</v>
      </c>
      <c r="S232" s="2">
        <v>0.40400000000000003</v>
      </c>
      <c r="T232" s="2">
        <v>0.38500000000000001</v>
      </c>
      <c r="U232" s="2">
        <v>0.34200000000000003</v>
      </c>
      <c r="V232" s="2">
        <v>0.36399999999999999</v>
      </c>
      <c r="W232" s="2">
        <v>0.72</v>
      </c>
      <c r="X232" s="2">
        <v>3.9E-2</v>
      </c>
      <c r="Y232" s="2">
        <v>14</v>
      </c>
      <c r="Z232" s="2">
        <v>0.192</v>
      </c>
      <c r="AA232" s="2">
        <v>0.42899999999999999</v>
      </c>
      <c r="AB232" s="2">
        <v>0</v>
      </c>
      <c r="AC232" s="2">
        <v>0</v>
      </c>
    </row>
    <row r="233" spans="1:29" x14ac:dyDescent="0.2">
      <c r="A233" t="s">
        <v>537</v>
      </c>
      <c r="B233" s="2">
        <v>21</v>
      </c>
      <c r="C233" t="s">
        <v>103</v>
      </c>
      <c r="D233" s="2" t="s">
        <v>49</v>
      </c>
      <c r="E233" s="2">
        <v>2</v>
      </c>
      <c r="F233" s="2">
        <v>0</v>
      </c>
      <c r="G233" s="2">
        <v>3</v>
      </c>
      <c r="H233" s="2">
        <v>1</v>
      </c>
      <c r="I233" s="2">
        <v>23.2</v>
      </c>
      <c r="J233" s="2">
        <v>0</v>
      </c>
      <c r="K233" s="2">
        <v>0</v>
      </c>
      <c r="L233" s="2">
        <v>0</v>
      </c>
      <c r="M233" s="2">
        <v>0</v>
      </c>
      <c r="N233" s="2">
        <v>0</v>
      </c>
      <c r="O233" s="2">
        <v>1</v>
      </c>
      <c r="P233" s="2"/>
      <c r="Q233" s="2"/>
      <c r="R233" s="2"/>
      <c r="S233" s="2"/>
      <c r="T233" s="2"/>
      <c r="U233" s="2">
        <v>1</v>
      </c>
      <c r="V233" s="2"/>
      <c r="W233" s="2">
        <v>1</v>
      </c>
      <c r="X233" s="2">
        <v>0</v>
      </c>
      <c r="Y233" s="2">
        <v>0</v>
      </c>
      <c r="Z233" s="2">
        <v>1</v>
      </c>
      <c r="AA233" s="2">
        <v>1</v>
      </c>
      <c r="AB233" s="2">
        <v>0</v>
      </c>
      <c r="AC233" s="2">
        <v>0</v>
      </c>
    </row>
    <row r="234" spans="1:29" x14ac:dyDescent="0.2">
      <c r="A234" t="s">
        <v>379</v>
      </c>
      <c r="B234" s="2">
        <v>25</v>
      </c>
      <c r="C234" t="s">
        <v>117</v>
      </c>
      <c r="D234" s="2" t="s">
        <v>52</v>
      </c>
      <c r="E234" s="2">
        <v>8</v>
      </c>
      <c r="F234" s="2">
        <v>0</v>
      </c>
      <c r="G234" s="2">
        <v>168</v>
      </c>
      <c r="H234" s="2">
        <v>0.35599999999999998</v>
      </c>
      <c r="I234" s="2">
        <v>14.5</v>
      </c>
      <c r="J234" s="2">
        <v>0.63</v>
      </c>
      <c r="K234" s="2">
        <v>0.11</v>
      </c>
      <c r="L234" s="2">
        <v>0.315</v>
      </c>
      <c r="M234" s="2">
        <v>0.16400000000000001</v>
      </c>
      <c r="N234" s="2">
        <v>4.1000000000000002E-2</v>
      </c>
      <c r="O234" s="2">
        <v>0.37</v>
      </c>
      <c r="P234" s="2">
        <v>0.39100000000000001</v>
      </c>
      <c r="Q234" s="2">
        <v>0.5</v>
      </c>
      <c r="R234" s="2">
        <v>0.34799999999999998</v>
      </c>
      <c r="S234" s="2">
        <v>0.5</v>
      </c>
      <c r="T234" s="2">
        <v>0</v>
      </c>
      <c r="U234" s="2">
        <v>0.29599999999999999</v>
      </c>
      <c r="V234" s="2">
        <v>0.27800000000000002</v>
      </c>
      <c r="W234" s="2">
        <v>1</v>
      </c>
      <c r="X234" s="2">
        <v>0</v>
      </c>
      <c r="Y234" s="2">
        <v>0</v>
      </c>
      <c r="Z234" s="2">
        <v>0.222</v>
      </c>
      <c r="AA234" s="2">
        <v>0.5</v>
      </c>
      <c r="AB234" s="2">
        <v>0</v>
      </c>
      <c r="AC234" s="2">
        <v>0</v>
      </c>
    </row>
    <row r="235" spans="1:29" x14ac:dyDescent="0.2">
      <c r="A235" t="s">
        <v>168</v>
      </c>
      <c r="B235" s="2">
        <v>21</v>
      </c>
      <c r="C235" t="s">
        <v>80</v>
      </c>
      <c r="D235" s="2" t="s">
        <v>52</v>
      </c>
      <c r="E235" s="2">
        <v>25</v>
      </c>
      <c r="F235" s="2">
        <v>20</v>
      </c>
      <c r="G235" s="2">
        <v>621</v>
      </c>
      <c r="H235" s="2">
        <v>0.45200000000000001</v>
      </c>
      <c r="I235" s="2">
        <v>17</v>
      </c>
      <c r="J235" s="2">
        <v>0.47399999999999998</v>
      </c>
      <c r="K235" s="2">
        <v>0.14899999999999999</v>
      </c>
      <c r="L235" s="2">
        <v>0.17100000000000001</v>
      </c>
      <c r="M235" s="2">
        <v>5.2999999999999999E-2</v>
      </c>
      <c r="N235" s="2">
        <v>0.10100000000000001</v>
      </c>
      <c r="O235" s="2">
        <v>0.52600000000000002</v>
      </c>
      <c r="P235" s="2">
        <v>0.52800000000000002</v>
      </c>
      <c r="Q235" s="2">
        <v>0.67600000000000005</v>
      </c>
      <c r="R235" s="2">
        <v>0.51300000000000001</v>
      </c>
      <c r="S235" s="2">
        <v>0.66700000000000004</v>
      </c>
      <c r="T235" s="2">
        <v>0.26100000000000001</v>
      </c>
      <c r="U235" s="2">
        <v>0.38300000000000001</v>
      </c>
      <c r="V235" s="2">
        <v>0.66700000000000004</v>
      </c>
      <c r="W235" s="2">
        <v>0.89100000000000001</v>
      </c>
      <c r="X235" s="2">
        <v>3.5000000000000003E-2</v>
      </c>
      <c r="Y235" s="2">
        <v>6</v>
      </c>
      <c r="Z235" s="2">
        <v>0.375</v>
      </c>
      <c r="AA235" s="2">
        <v>0.44400000000000001</v>
      </c>
      <c r="AB235" s="2">
        <v>0</v>
      </c>
      <c r="AC235" s="2">
        <v>0</v>
      </c>
    </row>
    <row r="236" spans="1:29" x14ac:dyDescent="0.2">
      <c r="A236" t="s">
        <v>443</v>
      </c>
      <c r="B236" s="2">
        <v>22</v>
      </c>
      <c r="C236" t="s">
        <v>57</v>
      </c>
      <c r="D236" s="2" t="s">
        <v>52</v>
      </c>
      <c r="E236" s="2">
        <v>14</v>
      </c>
      <c r="F236" s="2">
        <v>1</v>
      </c>
      <c r="G236" s="2">
        <v>108</v>
      </c>
      <c r="H236" s="2">
        <v>0.44400000000000001</v>
      </c>
      <c r="I236" s="2">
        <v>11.4</v>
      </c>
      <c r="J236" s="2">
        <v>0.59299999999999997</v>
      </c>
      <c r="K236" s="2">
        <v>0.40699999999999997</v>
      </c>
      <c r="L236" s="2">
        <v>0.185</v>
      </c>
      <c r="M236" s="2">
        <v>0</v>
      </c>
      <c r="N236" s="2">
        <v>0</v>
      </c>
      <c r="O236" s="2">
        <v>0.40699999999999997</v>
      </c>
      <c r="P236" s="2">
        <v>0.56299999999999994</v>
      </c>
      <c r="Q236" s="2">
        <v>0.54500000000000004</v>
      </c>
      <c r="R236" s="2">
        <v>0.6</v>
      </c>
      <c r="S236" s="2"/>
      <c r="T236" s="2"/>
      <c r="U236" s="2">
        <v>0.27300000000000002</v>
      </c>
      <c r="V236" s="2">
        <v>0.33300000000000002</v>
      </c>
      <c r="W236" s="2">
        <v>1</v>
      </c>
      <c r="X236" s="2">
        <v>0.111</v>
      </c>
      <c r="Y236" s="2">
        <v>2</v>
      </c>
      <c r="Z236" s="2">
        <v>0.63600000000000001</v>
      </c>
      <c r="AA236" s="2">
        <v>0.28599999999999998</v>
      </c>
      <c r="AB236" s="2">
        <v>0</v>
      </c>
      <c r="AC236" s="2">
        <v>0</v>
      </c>
    </row>
    <row r="237" spans="1:29" x14ac:dyDescent="0.2">
      <c r="A237" t="s">
        <v>38</v>
      </c>
      <c r="B237" s="2">
        <v>26</v>
      </c>
      <c r="C237" t="s">
        <v>39</v>
      </c>
      <c r="D237" s="2" t="s">
        <v>27</v>
      </c>
      <c r="E237" s="2">
        <v>23</v>
      </c>
      <c r="F237" s="2">
        <v>23</v>
      </c>
      <c r="G237" s="2">
        <v>839</v>
      </c>
      <c r="H237" s="2">
        <v>0.45300000000000001</v>
      </c>
      <c r="I237" s="2">
        <v>17.2</v>
      </c>
      <c r="J237" s="2">
        <v>0.47799999999999998</v>
      </c>
      <c r="K237" s="2">
        <v>0.183</v>
      </c>
      <c r="L237" s="2">
        <v>0.14399999999999999</v>
      </c>
      <c r="M237" s="2">
        <v>7.4999999999999997E-2</v>
      </c>
      <c r="N237" s="2">
        <v>7.4999999999999997E-2</v>
      </c>
      <c r="O237" s="2">
        <v>0.52200000000000002</v>
      </c>
      <c r="P237" s="2">
        <v>0.55000000000000004</v>
      </c>
      <c r="Q237" s="2">
        <v>0.84699999999999998</v>
      </c>
      <c r="R237" s="2">
        <v>0.373</v>
      </c>
      <c r="S237" s="2">
        <v>0.28599999999999998</v>
      </c>
      <c r="T237" s="2">
        <v>0.42899999999999999</v>
      </c>
      <c r="U237" s="2">
        <v>0.36399999999999999</v>
      </c>
      <c r="V237" s="2">
        <v>0.311</v>
      </c>
      <c r="W237" s="2">
        <v>0.47699999999999998</v>
      </c>
      <c r="X237" s="2">
        <v>4.7E-2</v>
      </c>
      <c r="Y237" s="2">
        <v>21</v>
      </c>
      <c r="Z237" s="2">
        <v>7.3999999999999996E-2</v>
      </c>
      <c r="AA237" s="2">
        <v>0.38900000000000001</v>
      </c>
      <c r="AB237" s="2">
        <v>0</v>
      </c>
      <c r="AC237" s="2">
        <v>0</v>
      </c>
    </row>
    <row r="238" spans="1:29" x14ac:dyDescent="0.2">
      <c r="A238" t="s">
        <v>502</v>
      </c>
      <c r="B238" s="2">
        <v>21</v>
      </c>
      <c r="C238" t="s">
        <v>63</v>
      </c>
      <c r="D238" s="2" t="s">
        <v>33</v>
      </c>
      <c r="E238" s="2">
        <v>6</v>
      </c>
      <c r="F238" s="2">
        <v>0</v>
      </c>
      <c r="G238" s="2">
        <v>14</v>
      </c>
      <c r="H238" s="2">
        <v>0.6</v>
      </c>
      <c r="I238" s="2">
        <v>20.9</v>
      </c>
      <c r="J238" s="2">
        <v>0.4</v>
      </c>
      <c r="K238" s="2">
        <v>0</v>
      </c>
      <c r="L238" s="2">
        <v>0</v>
      </c>
      <c r="M238" s="2">
        <v>0.2</v>
      </c>
      <c r="N238" s="2">
        <v>0.2</v>
      </c>
      <c r="O238" s="2">
        <v>0.6</v>
      </c>
      <c r="P238" s="2">
        <v>0.5</v>
      </c>
      <c r="Q238" s="2"/>
      <c r="R238" s="2"/>
      <c r="S238" s="2">
        <v>0</v>
      </c>
      <c r="T238" s="2">
        <v>1</v>
      </c>
      <c r="U238" s="2">
        <v>0.66700000000000004</v>
      </c>
      <c r="V238" s="2">
        <v>1</v>
      </c>
      <c r="W238" s="2">
        <v>1</v>
      </c>
      <c r="X238" s="2">
        <v>0</v>
      </c>
      <c r="Y238" s="2">
        <v>0</v>
      </c>
      <c r="Z238" s="2">
        <v>0.66700000000000004</v>
      </c>
      <c r="AA238" s="2">
        <v>0.5</v>
      </c>
      <c r="AB238" s="2">
        <v>0</v>
      </c>
      <c r="AC238" s="2">
        <v>0</v>
      </c>
    </row>
    <row r="239" spans="1:29" x14ac:dyDescent="0.2">
      <c r="A239" t="s">
        <v>509</v>
      </c>
      <c r="B239" s="2">
        <v>22</v>
      </c>
      <c r="C239" t="s">
        <v>39</v>
      </c>
      <c r="D239" s="2" t="s">
        <v>33</v>
      </c>
      <c r="E239" s="2">
        <v>5</v>
      </c>
      <c r="F239" s="2">
        <v>0</v>
      </c>
      <c r="G239" s="2">
        <v>24</v>
      </c>
      <c r="H239" s="2">
        <v>0.4</v>
      </c>
      <c r="I239" s="2">
        <v>17.399999999999999</v>
      </c>
      <c r="J239" s="2">
        <v>0.4</v>
      </c>
      <c r="K239" s="2">
        <v>0.4</v>
      </c>
      <c r="L239" s="2">
        <v>0</v>
      </c>
      <c r="M239" s="2">
        <v>0</v>
      </c>
      <c r="N239" s="2">
        <v>0</v>
      </c>
      <c r="O239" s="2">
        <v>0.6</v>
      </c>
      <c r="P239" s="2">
        <v>0.5</v>
      </c>
      <c r="Q239" s="2">
        <v>0.5</v>
      </c>
      <c r="R239" s="2"/>
      <c r="S239" s="2"/>
      <c r="T239" s="2"/>
      <c r="U239" s="2">
        <v>0.33300000000000002</v>
      </c>
      <c r="V239" s="2">
        <v>0</v>
      </c>
      <c r="W239" s="2">
        <v>1</v>
      </c>
      <c r="X239" s="2">
        <v>0</v>
      </c>
      <c r="Y239" s="2">
        <v>0</v>
      </c>
      <c r="Z239" s="2">
        <v>0</v>
      </c>
      <c r="AA239" s="2"/>
      <c r="AB239" s="2">
        <v>0</v>
      </c>
      <c r="AC239" s="2">
        <v>0</v>
      </c>
    </row>
    <row r="240" spans="1:29" x14ac:dyDescent="0.2">
      <c r="A240" t="s">
        <v>508</v>
      </c>
      <c r="B240" s="2">
        <v>25</v>
      </c>
      <c r="C240" t="s">
        <v>87</v>
      </c>
      <c r="D240" s="2" t="s">
        <v>52</v>
      </c>
      <c r="E240" s="2">
        <v>3</v>
      </c>
      <c r="F240" s="2">
        <v>0</v>
      </c>
      <c r="G240" s="2">
        <v>10</v>
      </c>
      <c r="H240" s="2">
        <v>0.75</v>
      </c>
      <c r="I240" s="2">
        <v>13.4</v>
      </c>
      <c r="J240" s="2">
        <v>0.5</v>
      </c>
      <c r="K240" s="2">
        <v>0.5</v>
      </c>
      <c r="L240" s="2">
        <v>0</v>
      </c>
      <c r="M240" s="2">
        <v>0</v>
      </c>
      <c r="N240" s="2">
        <v>0</v>
      </c>
      <c r="O240" s="2">
        <v>0.5</v>
      </c>
      <c r="P240" s="2">
        <v>1</v>
      </c>
      <c r="Q240" s="2">
        <v>1</v>
      </c>
      <c r="R240" s="2"/>
      <c r="S240" s="2"/>
      <c r="T240" s="2"/>
      <c r="U240" s="2">
        <v>0.5</v>
      </c>
      <c r="V240" s="2">
        <v>1</v>
      </c>
      <c r="W240" s="2">
        <v>1</v>
      </c>
      <c r="X240" s="2">
        <v>0</v>
      </c>
      <c r="Y240" s="2">
        <v>0</v>
      </c>
      <c r="Z240" s="2">
        <v>0</v>
      </c>
      <c r="AA240" s="2"/>
      <c r="AB240" s="2">
        <v>0</v>
      </c>
      <c r="AC240" s="2">
        <v>0</v>
      </c>
    </row>
    <row r="241" spans="1:29" x14ac:dyDescent="0.2">
      <c r="A241" t="s">
        <v>481</v>
      </c>
      <c r="B241" s="2">
        <v>27</v>
      </c>
      <c r="C241" t="s">
        <v>122</v>
      </c>
      <c r="D241" s="2" t="s">
        <v>33</v>
      </c>
      <c r="E241" s="2">
        <v>8</v>
      </c>
      <c r="F241" s="2">
        <v>0</v>
      </c>
      <c r="G241" s="2">
        <v>80</v>
      </c>
      <c r="H241" s="2">
        <v>0.316</v>
      </c>
      <c r="I241" s="2">
        <v>16.5</v>
      </c>
      <c r="J241" s="2">
        <v>0.57899999999999996</v>
      </c>
      <c r="K241" s="2">
        <v>0.158</v>
      </c>
      <c r="L241" s="2">
        <v>0.158</v>
      </c>
      <c r="M241" s="2">
        <v>0.105</v>
      </c>
      <c r="N241" s="2">
        <v>0.158</v>
      </c>
      <c r="O241" s="2">
        <v>0.42099999999999999</v>
      </c>
      <c r="P241" s="2">
        <v>0.45500000000000002</v>
      </c>
      <c r="Q241" s="2">
        <v>0.66700000000000004</v>
      </c>
      <c r="R241" s="2">
        <v>0.33300000000000002</v>
      </c>
      <c r="S241" s="2">
        <v>1</v>
      </c>
      <c r="T241" s="2">
        <v>0</v>
      </c>
      <c r="U241" s="2">
        <v>0.125</v>
      </c>
      <c r="V241" s="2">
        <v>0.4</v>
      </c>
      <c r="W241" s="2">
        <v>1</v>
      </c>
      <c r="X241" s="2">
        <v>0</v>
      </c>
      <c r="Y241" s="2">
        <v>0</v>
      </c>
      <c r="Z241" s="2">
        <v>0.125</v>
      </c>
      <c r="AA241" s="2">
        <v>0</v>
      </c>
      <c r="AB241" s="2">
        <v>0</v>
      </c>
      <c r="AC241" s="2">
        <v>0</v>
      </c>
    </row>
    <row r="242" spans="1:29" x14ac:dyDescent="0.2">
      <c r="A242" t="s">
        <v>480</v>
      </c>
      <c r="B242" s="2">
        <v>38</v>
      </c>
      <c r="C242" t="s">
        <v>87</v>
      </c>
      <c r="D242" s="2" t="s">
        <v>27</v>
      </c>
      <c r="E242" s="2">
        <v>7</v>
      </c>
      <c r="F242" s="2">
        <v>0</v>
      </c>
      <c r="G242" s="2">
        <v>40</v>
      </c>
      <c r="H242" s="2">
        <v>0.53800000000000003</v>
      </c>
      <c r="I242" s="2">
        <v>17.399999999999999</v>
      </c>
      <c r="J242" s="2">
        <v>0.38500000000000001</v>
      </c>
      <c r="K242" s="2">
        <v>0.23100000000000001</v>
      </c>
      <c r="L242" s="2">
        <v>7.6999999999999999E-2</v>
      </c>
      <c r="M242" s="2">
        <v>7.6999999999999999E-2</v>
      </c>
      <c r="N242" s="2">
        <v>0</v>
      </c>
      <c r="O242" s="2">
        <v>0.61499999999999999</v>
      </c>
      <c r="P242" s="2">
        <v>0.8</v>
      </c>
      <c r="Q242" s="2">
        <v>1</v>
      </c>
      <c r="R242" s="2">
        <v>0</v>
      </c>
      <c r="S242" s="2">
        <v>1</v>
      </c>
      <c r="T242" s="2"/>
      <c r="U242" s="2">
        <v>0.375</v>
      </c>
      <c r="V242" s="2">
        <v>0.5</v>
      </c>
      <c r="W242" s="2">
        <v>1</v>
      </c>
      <c r="X242" s="2">
        <v>0.154</v>
      </c>
      <c r="Y242" s="2">
        <v>2</v>
      </c>
      <c r="Z242" s="2">
        <v>0.25</v>
      </c>
      <c r="AA242" s="2">
        <v>0.5</v>
      </c>
      <c r="AB242" s="2">
        <v>0</v>
      </c>
      <c r="AC242" s="2">
        <v>0</v>
      </c>
    </row>
    <row r="243" spans="1:29" x14ac:dyDescent="0.2">
      <c r="A243" t="s">
        <v>139</v>
      </c>
      <c r="B243" s="2">
        <v>30</v>
      </c>
      <c r="C243" t="s">
        <v>135</v>
      </c>
      <c r="D243" s="2" t="s">
        <v>27</v>
      </c>
      <c r="E243" s="2">
        <v>22</v>
      </c>
      <c r="F243" s="2">
        <v>22</v>
      </c>
      <c r="G243" s="2">
        <v>714</v>
      </c>
      <c r="H243" s="2">
        <v>0.38</v>
      </c>
      <c r="I243" s="2">
        <v>15.6</v>
      </c>
      <c r="J243" s="2">
        <v>0.51900000000000002</v>
      </c>
      <c r="K243" s="2">
        <v>0.21299999999999999</v>
      </c>
      <c r="L243" s="2">
        <v>0.17399999999999999</v>
      </c>
      <c r="M243" s="2">
        <v>7.6999999999999999E-2</v>
      </c>
      <c r="N243" s="2">
        <v>5.6000000000000001E-2</v>
      </c>
      <c r="O243" s="2">
        <v>0.48099999999999998</v>
      </c>
      <c r="P243" s="2">
        <v>0.40300000000000002</v>
      </c>
      <c r="Q243" s="2">
        <v>0.50800000000000001</v>
      </c>
      <c r="R243" s="2">
        <v>0.34</v>
      </c>
      <c r="S243" s="2">
        <v>0.36399999999999999</v>
      </c>
      <c r="T243" s="2">
        <v>0.25</v>
      </c>
      <c r="U243" s="2">
        <v>0.35499999999999998</v>
      </c>
      <c r="V243" s="2">
        <v>0.48299999999999998</v>
      </c>
      <c r="W243" s="2">
        <v>0.95899999999999996</v>
      </c>
      <c r="X243" s="2">
        <v>3.1E-2</v>
      </c>
      <c r="Y243" s="2">
        <v>8</v>
      </c>
      <c r="Z243" s="2">
        <v>0.29699999999999999</v>
      </c>
      <c r="AA243" s="2">
        <v>0.439</v>
      </c>
      <c r="AB243" s="2">
        <v>0</v>
      </c>
      <c r="AC243" s="2">
        <v>0</v>
      </c>
    </row>
    <row r="244" spans="1:29" x14ac:dyDescent="0.2">
      <c r="A244" t="s">
        <v>250</v>
      </c>
      <c r="B244" s="2">
        <v>24</v>
      </c>
      <c r="C244" t="s">
        <v>117</v>
      </c>
      <c r="D244" s="2" t="s">
        <v>27</v>
      </c>
      <c r="E244" s="2">
        <v>25</v>
      </c>
      <c r="F244" s="2">
        <v>4</v>
      </c>
      <c r="G244" s="2">
        <v>507</v>
      </c>
      <c r="H244" s="2">
        <v>0.438</v>
      </c>
      <c r="I244" s="2">
        <v>12.5</v>
      </c>
      <c r="J244" s="2">
        <v>0.57499999999999996</v>
      </c>
      <c r="K244" s="2">
        <v>0.38600000000000001</v>
      </c>
      <c r="L244" s="2">
        <v>0.111</v>
      </c>
      <c r="M244" s="2">
        <v>4.5999999999999999E-2</v>
      </c>
      <c r="N244" s="2">
        <v>3.3000000000000002E-2</v>
      </c>
      <c r="O244" s="2">
        <v>0.42499999999999999</v>
      </c>
      <c r="P244" s="2">
        <v>0.52300000000000002</v>
      </c>
      <c r="Q244" s="2">
        <v>0.64400000000000002</v>
      </c>
      <c r="R244" s="2">
        <v>0.17599999999999999</v>
      </c>
      <c r="S244" s="2">
        <v>0.28599999999999998</v>
      </c>
      <c r="T244" s="2">
        <v>0.6</v>
      </c>
      <c r="U244" s="2">
        <v>0.32300000000000001</v>
      </c>
      <c r="V244" s="2">
        <v>0.69599999999999995</v>
      </c>
      <c r="W244" s="2">
        <v>0.95199999999999996</v>
      </c>
      <c r="X244" s="2">
        <v>3.3000000000000002E-2</v>
      </c>
      <c r="Y244" s="2">
        <v>4</v>
      </c>
      <c r="Z244" s="2">
        <v>0.53800000000000003</v>
      </c>
      <c r="AA244" s="2">
        <v>0.371</v>
      </c>
      <c r="AB244" s="2">
        <v>0</v>
      </c>
      <c r="AC244" s="2">
        <v>0</v>
      </c>
    </row>
    <row r="245" spans="1:29" x14ac:dyDescent="0.2">
      <c r="A245" t="s">
        <v>271</v>
      </c>
      <c r="B245" s="2">
        <v>21</v>
      </c>
      <c r="C245" t="s">
        <v>93</v>
      </c>
      <c r="D245" s="2" t="s">
        <v>27</v>
      </c>
      <c r="E245" s="2">
        <v>11</v>
      </c>
      <c r="F245" s="2">
        <v>8</v>
      </c>
      <c r="G245" s="2">
        <v>304</v>
      </c>
      <c r="H245" s="2">
        <v>0.5</v>
      </c>
      <c r="I245" s="2">
        <v>7.2</v>
      </c>
      <c r="J245" s="2">
        <v>0.84899999999999998</v>
      </c>
      <c r="K245" s="2">
        <v>0.54</v>
      </c>
      <c r="L245" s="2">
        <v>0.222</v>
      </c>
      <c r="M245" s="2">
        <v>5.6000000000000001E-2</v>
      </c>
      <c r="N245" s="2">
        <v>3.2000000000000001E-2</v>
      </c>
      <c r="O245" s="2">
        <v>0.151</v>
      </c>
      <c r="P245" s="2">
        <v>0.55100000000000005</v>
      </c>
      <c r="Q245" s="2">
        <v>0.70599999999999996</v>
      </c>
      <c r="R245" s="2">
        <v>0.28599999999999998</v>
      </c>
      <c r="S245" s="2">
        <v>0.42899999999999999</v>
      </c>
      <c r="T245" s="2">
        <v>0</v>
      </c>
      <c r="U245" s="2">
        <v>0.21099999999999999</v>
      </c>
      <c r="V245" s="2">
        <v>0.76300000000000001</v>
      </c>
      <c r="W245" s="2">
        <v>1</v>
      </c>
      <c r="X245" s="2">
        <v>0.16700000000000001</v>
      </c>
      <c r="Y245" s="2">
        <v>18</v>
      </c>
      <c r="Z245" s="2">
        <v>0.316</v>
      </c>
      <c r="AA245" s="2">
        <v>0.33300000000000002</v>
      </c>
      <c r="AB245" s="2">
        <v>0</v>
      </c>
      <c r="AC245" s="2">
        <v>0</v>
      </c>
    </row>
    <row r="246" spans="1:29" x14ac:dyDescent="0.2">
      <c r="A246" t="s">
        <v>418</v>
      </c>
      <c r="B246" s="2">
        <v>26</v>
      </c>
      <c r="C246" t="s">
        <v>44</v>
      </c>
      <c r="D246" s="2" t="s">
        <v>42</v>
      </c>
      <c r="E246" s="2">
        <v>24</v>
      </c>
      <c r="F246" s="2">
        <v>2</v>
      </c>
      <c r="G246" s="2">
        <v>299</v>
      </c>
      <c r="H246" s="2">
        <v>0.70399999999999996</v>
      </c>
      <c r="I246" s="2">
        <v>2</v>
      </c>
      <c r="J246" s="2">
        <v>1</v>
      </c>
      <c r="K246" s="2">
        <v>0.70399999999999996</v>
      </c>
      <c r="L246" s="2">
        <v>0.29599999999999999</v>
      </c>
      <c r="M246" s="2">
        <v>0</v>
      </c>
      <c r="N246" s="2">
        <v>0</v>
      </c>
      <c r="O246" s="2">
        <v>0</v>
      </c>
      <c r="P246" s="2">
        <v>0.70399999999999996</v>
      </c>
      <c r="Q246" s="2">
        <v>0.78900000000000003</v>
      </c>
      <c r="R246" s="2">
        <v>0.5</v>
      </c>
      <c r="S246" s="2"/>
      <c r="T246" s="2"/>
      <c r="U246" s="2"/>
      <c r="V246" s="2">
        <v>0.73699999999999999</v>
      </c>
      <c r="W246" s="2"/>
      <c r="X246" s="2">
        <v>0.66700000000000004</v>
      </c>
      <c r="Y246" s="2">
        <v>15</v>
      </c>
      <c r="Z246" s="2"/>
      <c r="AA246" s="2"/>
      <c r="AB246" s="2">
        <v>0</v>
      </c>
      <c r="AC246" s="2">
        <v>0</v>
      </c>
    </row>
    <row r="247" spans="1:29" x14ac:dyDescent="0.2">
      <c r="A247" t="s">
        <v>333</v>
      </c>
      <c r="B247" s="2">
        <v>21</v>
      </c>
      <c r="C247" t="s">
        <v>48</v>
      </c>
      <c r="D247" s="2" t="s">
        <v>49</v>
      </c>
      <c r="E247" s="2">
        <v>25</v>
      </c>
      <c r="F247" s="2">
        <v>0</v>
      </c>
      <c r="G247" s="2">
        <v>268</v>
      </c>
      <c r="H247" s="2">
        <v>0.378</v>
      </c>
      <c r="I247" s="2">
        <v>22</v>
      </c>
      <c r="J247" s="2">
        <v>0.23499999999999999</v>
      </c>
      <c r="K247" s="2">
        <v>0.10199999999999999</v>
      </c>
      <c r="L247" s="2">
        <v>6.0999999999999999E-2</v>
      </c>
      <c r="M247" s="2">
        <v>0.01</v>
      </c>
      <c r="N247" s="2">
        <v>6.0999999999999999E-2</v>
      </c>
      <c r="O247" s="2">
        <v>0.76500000000000001</v>
      </c>
      <c r="P247" s="2">
        <v>0.56499999999999995</v>
      </c>
      <c r="Q247" s="2">
        <v>0.6</v>
      </c>
      <c r="R247" s="2">
        <v>0.33300000000000002</v>
      </c>
      <c r="S247" s="2">
        <v>1</v>
      </c>
      <c r="T247" s="2">
        <v>0.66700000000000004</v>
      </c>
      <c r="U247" s="2">
        <v>0.32</v>
      </c>
      <c r="V247" s="2">
        <v>0.61499999999999999</v>
      </c>
      <c r="W247" s="2">
        <v>0.83299999999999996</v>
      </c>
      <c r="X247" s="2">
        <v>0.02</v>
      </c>
      <c r="Y247" s="2">
        <v>2</v>
      </c>
      <c r="Z247" s="2">
        <v>0.28000000000000003</v>
      </c>
      <c r="AA247" s="2">
        <v>0.38100000000000001</v>
      </c>
      <c r="AB247" s="2">
        <v>2</v>
      </c>
      <c r="AC247" s="2">
        <v>0</v>
      </c>
    </row>
    <row r="248" spans="1:29" x14ac:dyDescent="0.2">
      <c r="A248" t="s">
        <v>475</v>
      </c>
      <c r="B248" s="2">
        <v>29</v>
      </c>
      <c r="C248" t="s">
        <v>70</v>
      </c>
      <c r="D248" s="2" t="s">
        <v>33</v>
      </c>
      <c r="E248" s="2">
        <v>11</v>
      </c>
      <c r="F248" s="2">
        <v>0</v>
      </c>
      <c r="G248" s="2">
        <v>53</v>
      </c>
      <c r="H248" s="2">
        <v>0.30399999999999999</v>
      </c>
      <c r="I248" s="2">
        <v>19.399999999999999</v>
      </c>
      <c r="J248" s="2">
        <v>0.30399999999999999</v>
      </c>
      <c r="K248" s="2">
        <v>0.13</v>
      </c>
      <c r="L248" s="2">
        <v>0.13</v>
      </c>
      <c r="M248" s="2">
        <v>4.2999999999999997E-2</v>
      </c>
      <c r="N248" s="2">
        <v>0</v>
      </c>
      <c r="O248" s="2">
        <v>0.69599999999999995</v>
      </c>
      <c r="P248" s="2">
        <v>0.42899999999999999</v>
      </c>
      <c r="Q248" s="2">
        <v>0.33300000000000002</v>
      </c>
      <c r="R248" s="2">
        <v>0.66700000000000004</v>
      </c>
      <c r="S248" s="2">
        <v>0</v>
      </c>
      <c r="T248" s="2"/>
      <c r="U248" s="2">
        <v>0.25</v>
      </c>
      <c r="V248" s="2">
        <v>0.33300000000000002</v>
      </c>
      <c r="W248" s="2">
        <v>0.75</v>
      </c>
      <c r="X248" s="2">
        <v>0</v>
      </c>
      <c r="Y248" s="2">
        <v>0</v>
      </c>
      <c r="Z248" s="2">
        <v>0.125</v>
      </c>
      <c r="AA248" s="2">
        <v>0.5</v>
      </c>
      <c r="AB248" s="2">
        <v>0</v>
      </c>
      <c r="AC248" s="2">
        <v>0</v>
      </c>
    </row>
    <row r="249" spans="1:29" x14ac:dyDescent="0.2">
      <c r="A249" t="s">
        <v>144</v>
      </c>
      <c r="B249" s="2">
        <v>35</v>
      </c>
      <c r="C249" t="s">
        <v>61</v>
      </c>
      <c r="D249" s="2" t="s">
        <v>27</v>
      </c>
      <c r="E249" s="2">
        <v>18</v>
      </c>
      <c r="F249" s="2">
        <v>18</v>
      </c>
      <c r="G249" s="2">
        <v>575</v>
      </c>
      <c r="H249" s="2">
        <v>0.55000000000000004</v>
      </c>
      <c r="I249" s="2">
        <v>8</v>
      </c>
      <c r="J249" s="2">
        <v>0.875</v>
      </c>
      <c r="K249" s="2">
        <v>0.36499999999999999</v>
      </c>
      <c r="L249" s="2">
        <v>0.32500000000000001</v>
      </c>
      <c r="M249" s="2">
        <v>0.15</v>
      </c>
      <c r="N249" s="2">
        <v>3.5000000000000003E-2</v>
      </c>
      <c r="O249" s="2">
        <v>0.125</v>
      </c>
      <c r="P249" s="2">
        <v>0.57699999999999996</v>
      </c>
      <c r="Q249" s="2">
        <v>0.71199999999999997</v>
      </c>
      <c r="R249" s="2">
        <v>0.49199999999999999</v>
      </c>
      <c r="S249" s="2">
        <v>0.5</v>
      </c>
      <c r="T249" s="2">
        <v>0.28599999999999998</v>
      </c>
      <c r="U249" s="2">
        <v>0.36</v>
      </c>
      <c r="V249" s="2">
        <v>0.495</v>
      </c>
      <c r="W249" s="2">
        <v>0.77800000000000002</v>
      </c>
      <c r="X249" s="2">
        <v>0.105</v>
      </c>
      <c r="Y249" s="2">
        <v>21</v>
      </c>
      <c r="Z249" s="2">
        <v>0.56000000000000005</v>
      </c>
      <c r="AA249" s="2">
        <v>0.42899999999999999</v>
      </c>
      <c r="AB249" s="2">
        <v>1</v>
      </c>
      <c r="AC249" s="2">
        <v>0</v>
      </c>
    </row>
    <row r="250" spans="1:29" x14ac:dyDescent="0.2">
      <c r="A250" t="s">
        <v>397</v>
      </c>
      <c r="B250" s="2">
        <v>29</v>
      </c>
      <c r="C250" t="s">
        <v>87</v>
      </c>
      <c r="D250" s="2" t="s">
        <v>42</v>
      </c>
      <c r="E250" s="2">
        <v>14</v>
      </c>
      <c r="F250" s="2">
        <v>0</v>
      </c>
      <c r="G250" s="2">
        <v>156</v>
      </c>
      <c r="H250" s="2">
        <v>0.44700000000000001</v>
      </c>
      <c r="I250" s="2">
        <v>7.4</v>
      </c>
      <c r="J250" s="2">
        <v>0.872</v>
      </c>
      <c r="K250" s="2">
        <v>0.40400000000000003</v>
      </c>
      <c r="L250" s="2">
        <v>0.34</v>
      </c>
      <c r="M250" s="2">
        <v>8.5000000000000006E-2</v>
      </c>
      <c r="N250" s="2">
        <v>4.2999999999999997E-2</v>
      </c>
      <c r="O250" s="2">
        <v>0.128</v>
      </c>
      <c r="P250" s="2">
        <v>0.439</v>
      </c>
      <c r="Q250" s="2">
        <v>0.47399999999999998</v>
      </c>
      <c r="R250" s="2">
        <v>0.375</v>
      </c>
      <c r="S250" s="2">
        <v>0.5</v>
      </c>
      <c r="T250" s="2">
        <v>0.5</v>
      </c>
      <c r="U250" s="2">
        <v>0.5</v>
      </c>
      <c r="V250" s="2">
        <v>0.77800000000000002</v>
      </c>
      <c r="W250" s="2">
        <v>1</v>
      </c>
      <c r="X250" s="2">
        <v>0.14899999999999999</v>
      </c>
      <c r="Y250" s="2">
        <v>7</v>
      </c>
      <c r="Z250" s="2">
        <v>0</v>
      </c>
      <c r="AA250" s="2"/>
      <c r="AB250" s="2">
        <v>0</v>
      </c>
      <c r="AC250" s="2">
        <v>0</v>
      </c>
    </row>
    <row r="251" spans="1:29" x14ac:dyDescent="0.2">
      <c r="A251" t="s">
        <v>558</v>
      </c>
      <c r="B251" s="2">
        <v>37</v>
      </c>
      <c r="C251" t="s">
        <v>51</v>
      </c>
      <c r="D251" s="2" t="s">
        <v>49</v>
      </c>
      <c r="E251" s="2">
        <v>7</v>
      </c>
      <c r="F251" s="2">
        <v>0</v>
      </c>
      <c r="G251" s="2">
        <v>26</v>
      </c>
      <c r="H251" s="2">
        <v>0</v>
      </c>
      <c r="I251" s="2">
        <v>25</v>
      </c>
      <c r="J251" s="2">
        <v>0</v>
      </c>
      <c r="K251" s="2">
        <v>0</v>
      </c>
      <c r="L251" s="2">
        <v>0</v>
      </c>
      <c r="M251" s="2">
        <v>0</v>
      </c>
      <c r="N251" s="2">
        <v>0</v>
      </c>
      <c r="O251" s="2">
        <v>1</v>
      </c>
      <c r="P251" s="2"/>
      <c r="Q251" s="2"/>
      <c r="R251" s="2"/>
      <c r="S251" s="2"/>
      <c r="T251" s="2"/>
      <c r="U251" s="2">
        <v>0</v>
      </c>
      <c r="V251" s="2"/>
      <c r="W251" s="2"/>
      <c r="X251" s="2">
        <v>0</v>
      </c>
      <c r="Y251" s="2">
        <v>0</v>
      </c>
      <c r="Z251" s="2">
        <v>0.5</v>
      </c>
      <c r="AA251" s="2">
        <v>0</v>
      </c>
      <c r="AB251" s="2">
        <v>0</v>
      </c>
      <c r="AC251" s="2">
        <v>0</v>
      </c>
    </row>
    <row r="252" spans="1:29" x14ac:dyDescent="0.2">
      <c r="A252" t="s">
        <v>324</v>
      </c>
      <c r="B252" s="2">
        <v>30</v>
      </c>
      <c r="C252" t="s">
        <v>122</v>
      </c>
      <c r="D252" s="2" t="s">
        <v>42</v>
      </c>
      <c r="E252" s="2">
        <v>5</v>
      </c>
      <c r="F252" s="2">
        <v>5</v>
      </c>
      <c r="G252" s="2">
        <v>158</v>
      </c>
      <c r="H252" s="2">
        <v>0.40699999999999997</v>
      </c>
      <c r="I252" s="2">
        <v>14.9</v>
      </c>
      <c r="J252" s="2">
        <v>0.73299999999999998</v>
      </c>
      <c r="K252" s="2">
        <v>0.151</v>
      </c>
      <c r="L252" s="2">
        <v>0.128</v>
      </c>
      <c r="M252" s="2">
        <v>0.27900000000000003</v>
      </c>
      <c r="N252" s="2">
        <v>0.17399999999999999</v>
      </c>
      <c r="O252" s="2">
        <v>0.26700000000000002</v>
      </c>
      <c r="P252" s="2">
        <v>0.50800000000000001</v>
      </c>
      <c r="Q252" s="2">
        <v>0.61499999999999999</v>
      </c>
      <c r="R252" s="2">
        <v>0.63600000000000001</v>
      </c>
      <c r="S252" s="2">
        <v>0.5</v>
      </c>
      <c r="T252" s="2">
        <v>0.33300000000000002</v>
      </c>
      <c r="U252" s="2">
        <v>0.13</v>
      </c>
      <c r="V252" s="2">
        <v>0.625</v>
      </c>
      <c r="W252" s="2">
        <v>1</v>
      </c>
      <c r="X252" s="2">
        <v>1.2E-2</v>
      </c>
      <c r="Y252" s="2">
        <v>1</v>
      </c>
      <c r="Z252" s="2">
        <v>0</v>
      </c>
      <c r="AA252" s="2"/>
      <c r="AB252" s="2">
        <v>0</v>
      </c>
      <c r="AC252" s="2">
        <v>0</v>
      </c>
    </row>
    <row r="253" spans="1:29" x14ac:dyDescent="0.2">
      <c r="A253" t="s">
        <v>119</v>
      </c>
      <c r="B253" s="2">
        <v>27</v>
      </c>
      <c r="C253" t="s">
        <v>120</v>
      </c>
      <c r="D253" s="2" t="s">
        <v>27</v>
      </c>
      <c r="E253" s="2">
        <v>22</v>
      </c>
      <c r="F253" s="2">
        <v>13</v>
      </c>
      <c r="G253" s="2">
        <v>634</v>
      </c>
      <c r="H253" s="2">
        <v>0.53500000000000003</v>
      </c>
      <c r="I253" s="2">
        <v>10</v>
      </c>
      <c r="J253" s="2">
        <v>0.749</v>
      </c>
      <c r="K253" s="2">
        <v>0.28000000000000003</v>
      </c>
      <c r="L253" s="2">
        <v>0.378</v>
      </c>
      <c r="M253" s="2">
        <v>6.2E-2</v>
      </c>
      <c r="N253" s="2">
        <v>2.9000000000000001E-2</v>
      </c>
      <c r="O253" s="2">
        <v>0.251</v>
      </c>
      <c r="P253" s="2">
        <v>0.56799999999999995</v>
      </c>
      <c r="Q253" s="2">
        <v>0.71399999999999997</v>
      </c>
      <c r="R253" s="2">
        <v>0.53800000000000003</v>
      </c>
      <c r="S253" s="2">
        <v>0.29399999999999998</v>
      </c>
      <c r="T253" s="2">
        <v>0.125</v>
      </c>
      <c r="U253" s="2">
        <v>0.435</v>
      </c>
      <c r="V253" s="2">
        <v>0.60699999999999998</v>
      </c>
      <c r="W253" s="2">
        <v>0.96699999999999997</v>
      </c>
      <c r="X253" s="2">
        <v>0.14499999999999999</v>
      </c>
      <c r="Y253" s="2">
        <v>38</v>
      </c>
      <c r="Z253" s="2">
        <v>0.30399999999999999</v>
      </c>
      <c r="AA253" s="2">
        <v>0.52400000000000002</v>
      </c>
      <c r="AB253" s="2">
        <v>0</v>
      </c>
      <c r="AC253" s="2">
        <v>0</v>
      </c>
    </row>
    <row r="254" spans="1:29" x14ac:dyDescent="0.2">
      <c r="A254" t="s">
        <v>435</v>
      </c>
      <c r="B254" s="2">
        <v>28</v>
      </c>
      <c r="C254" t="s">
        <v>80</v>
      </c>
      <c r="D254" s="2" t="s">
        <v>52</v>
      </c>
      <c r="E254" s="2">
        <v>12</v>
      </c>
      <c r="F254" s="2">
        <v>0</v>
      </c>
      <c r="G254" s="2">
        <v>154</v>
      </c>
      <c r="H254" s="2">
        <v>0.5</v>
      </c>
      <c r="I254" s="2">
        <v>20.399999999999999</v>
      </c>
      <c r="J254" s="2">
        <v>0.182</v>
      </c>
      <c r="K254" s="2">
        <v>0.13600000000000001</v>
      </c>
      <c r="L254" s="2">
        <v>4.4999999999999998E-2</v>
      </c>
      <c r="M254" s="2">
        <v>0</v>
      </c>
      <c r="N254" s="2">
        <v>0</v>
      </c>
      <c r="O254" s="2">
        <v>0.81799999999999995</v>
      </c>
      <c r="P254" s="2">
        <v>1</v>
      </c>
      <c r="Q254" s="2">
        <v>1</v>
      </c>
      <c r="R254" s="2">
        <v>1</v>
      </c>
      <c r="S254" s="2"/>
      <c r="T254" s="2"/>
      <c r="U254" s="2">
        <v>0.38900000000000001</v>
      </c>
      <c r="V254" s="2">
        <v>0.75</v>
      </c>
      <c r="W254" s="2">
        <v>1</v>
      </c>
      <c r="X254" s="2">
        <v>4.4999999999999998E-2</v>
      </c>
      <c r="Y254" s="2">
        <v>1</v>
      </c>
      <c r="Z254" s="2">
        <v>0.55600000000000005</v>
      </c>
      <c r="AA254" s="2">
        <v>0.4</v>
      </c>
      <c r="AB254" s="2">
        <v>0</v>
      </c>
      <c r="AC254" s="2">
        <v>0</v>
      </c>
    </row>
    <row r="255" spans="1:29" x14ac:dyDescent="0.2">
      <c r="A255" t="s">
        <v>399</v>
      </c>
      <c r="B255" s="2">
        <v>22</v>
      </c>
      <c r="C255" t="s">
        <v>114</v>
      </c>
      <c r="D255" s="2" t="s">
        <v>52</v>
      </c>
      <c r="E255" s="2">
        <v>17</v>
      </c>
      <c r="F255" s="2">
        <v>0</v>
      </c>
      <c r="G255" s="2">
        <v>142</v>
      </c>
      <c r="H255" s="2">
        <v>0.5</v>
      </c>
      <c r="I255" s="2">
        <v>10.6</v>
      </c>
      <c r="J255" s="2">
        <v>0.72699999999999998</v>
      </c>
      <c r="K255" s="2">
        <v>0.38600000000000001</v>
      </c>
      <c r="L255" s="2">
        <v>0.22700000000000001</v>
      </c>
      <c r="M255" s="2">
        <v>9.0999999999999998E-2</v>
      </c>
      <c r="N255" s="2">
        <v>2.3E-2</v>
      </c>
      <c r="O255" s="2">
        <v>0.27300000000000002</v>
      </c>
      <c r="P255" s="2">
        <v>0.56299999999999994</v>
      </c>
      <c r="Q255" s="2">
        <v>0.64700000000000002</v>
      </c>
      <c r="R255" s="2">
        <v>0.5</v>
      </c>
      <c r="S255" s="2">
        <v>0.25</v>
      </c>
      <c r="T255" s="2">
        <v>1</v>
      </c>
      <c r="U255" s="2">
        <v>0.33300000000000002</v>
      </c>
      <c r="V255" s="2">
        <v>0.72199999999999998</v>
      </c>
      <c r="W255" s="2">
        <v>1</v>
      </c>
      <c r="X255" s="2">
        <v>0.13600000000000001</v>
      </c>
      <c r="Y255" s="2">
        <v>4</v>
      </c>
      <c r="Z255" s="2">
        <v>0.25</v>
      </c>
      <c r="AA255" s="2">
        <v>0</v>
      </c>
      <c r="AB255" s="2">
        <v>0</v>
      </c>
      <c r="AC255" s="2">
        <v>0</v>
      </c>
    </row>
    <row r="256" spans="1:29" x14ac:dyDescent="0.2">
      <c r="A256" t="s">
        <v>403</v>
      </c>
      <c r="B256" s="2">
        <v>20</v>
      </c>
      <c r="C256" t="s">
        <v>82</v>
      </c>
      <c r="D256" s="2" t="s">
        <v>52</v>
      </c>
      <c r="E256" s="2">
        <v>15</v>
      </c>
      <c r="F256" s="2">
        <v>0</v>
      </c>
      <c r="G256" s="2">
        <v>150</v>
      </c>
      <c r="H256" s="2">
        <v>0.40500000000000003</v>
      </c>
      <c r="I256" s="2">
        <v>15.7</v>
      </c>
      <c r="J256" s="2">
        <v>0.42899999999999999</v>
      </c>
      <c r="K256" s="2">
        <v>0.23799999999999999</v>
      </c>
      <c r="L256" s="2">
        <v>0.16700000000000001</v>
      </c>
      <c r="M256" s="2">
        <v>0</v>
      </c>
      <c r="N256" s="2">
        <v>2.4E-2</v>
      </c>
      <c r="O256" s="2">
        <v>0.57099999999999995</v>
      </c>
      <c r="P256" s="2">
        <v>0.38900000000000001</v>
      </c>
      <c r="Q256" s="2">
        <v>0.7</v>
      </c>
      <c r="R256" s="2">
        <v>0</v>
      </c>
      <c r="S256" s="2"/>
      <c r="T256" s="2">
        <v>0</v>
      </c>
      <c r="U256" s="2">
        <v>0.41699999999999998</v>
      </c>
      <c r="V256" s="2">
        <v>0.85699999999999998</v>
      </c>
      <c r="W256" s="2">
        <v>1</v>
      </c>
      <c r="X256" s="2">
        <v>4.8000000000000001E-2</v>
      </c>
      <c r="Y256" s="2">
        <v>1</v>
      </c>
      <c r="Z256" s="2">
        <v>0.5</v>
      </c>
      <c r="AA256" s="2">
        <v>0.41699999999999998</v>
      </c>
      <c r="AB256" s="2">
        <v>0</v>
      </c>
      <c r="AC256" s="2">
        <v>0</v>
      </c>
    </row>
    <row r="257" spans="1:29" x14ac:dyDescent="0.2">
      <c r="A257" t="s">
        <v>305</v>
      </c>
      <c r="B257" s="2">
        <v>23</v>
      </c>
      <c r="C257" t="s">
        <v>120</v>
      </c>
      <c r="D257" s="2" t="s">
        <v>52</v>
      </c>
      <c r="E257" s="2">
        <v>19</v>
      </c>
      <c r="F257" s="2">
        <v>0</v>
      </c>
      <c r="G257" s="2">
        <v>328</v>
      </c>
      <c r="H257" s="2">
        <v>0.39300000000000002</v>
      </c>
      <c r="I257" s="2">
        <v>21</v>
      </c>
      <c r="J257" s="2">
        <v>0.28599999999999998</v>
      </c>
      <c r="K257" s="2">
        <v>7.0999999999999994E-2</v>
      </c>
      <c r="L257" s="2">
        <v>0.08</v>
      </c>
      <c r="M257" s="2">
        <v>8.8999999999999996E-2</v>
      </c>
      <c r="N257" s="2">
        <v>4.4999999999999998E-2</v>
      </c>
      <c r="O257" s="2">
        <v>0.71399999999999997</v>
      </c>
      <c r="P257" s="2">
        <v>0.46899999999999997</v>
      </c>
      <c r="Q257" s="2">
        <v>0.625</v>
      </c>
      <c r="R257" s="2">
        <v>0.33300000000000002</v>
      </c>
      <c r="S257" s="2">
        <v>0.4</v>
      </c>
      <c r="T257" s="2">
        <v>0.6</v>
      </c>
      <c r="U257" s="2">
        <v>0.36299999999999999</v>
      </c>
      <c r="V257" s="2">
        <v>0.66700000000000004</v>
      </c>
      <c r="W257" s="2">
        <v>0.89700000000000002</v>
      </c>
      <c r="X257" s="2">
        <v>8.9999999999999993E-3</v>
      </c>
      <c r="Y257" s="2">
        <v>1</v>
      </c>
      <c r="Z257" s="2">
        <v>0.26300000000000001</v>
      </c>
      <c r="AA257" s="2">
        <v>0.38100000000000001</v>
      </c>
      <c r="AB257" s="2">
        <v>0</v>
      </c>
      <c r="AC257" s="2">
        <v>0</v>
      </c>
    </row>
    <row r="258" spans="1:29" x14ac:dyDescent="0.2">
      <c r="A258" t="s">
        <v>175</v>
      </c>
      <c r="B258" s="2">
        <v>32</v>
      </c>
      <c r="C258" t="s">
        <v>114</v>
      </c>
      <c r="D258" s="2" t="s">
        <v>42</v>
      </c>
      <c r="E258" s="2">
        <v>22</v>
      </c>
      <c r="F258" s="2">
        <v>6</v>
      </c>
      <c r="G258" s="2">
        <v>447</v>
      </c>
      <c r="H258" s="2">
        <v>0.56599999999999995</v>
      </c>
      <c r="I258" s="2">
        <v>7.6</v>
      </c>
      <c r="J258" s="2">
        <v>0.94899999999999995</v>
      </c>
      <c r="K258" s="2">
        <v>0.32100000000000001</v>
      </c>
      <c r="L258" s="2">
        <v>0.36199999999999999</v>
      </c>
      <c r="M258" s="2">
        <v>0.158</v>
      </c>
      <c r="N258" s="2">
        <v>0.107</v>
      </c>
      <c r="O258" s="2">
        <v>5.0999999999999997E-2</v>
      </c>
      <c r="P258" s="2">
        <v>0.58599999999999997</v>
      </c>
      <c r="Q258" s="2">
        <v>0.76200000000000001</v>
      </c>
      <c r="R258" s="2">
        <v>0.52100000000000002</v>
      </c>
      <c r="S258" s="2">
        <v>0.48399999999999999</v>
      </c>
      <c r="T258" s="2">
        <v>0.42899999999999999</v>
      </c>
      <c r="U258" s="2">
        <v>0.2</v>
      </c>
      <c r="V258" s="2">
        <v>0.67</v>
      </c>
      <c r="W258" s="2">
        <v>1</v>
      </c>
      <c r="X258" s="2">
        <v>5.6000000000000001E-2</v>
      </c>
      <c r="Y258" s="2">
        <v>11</v>
      </c>
      <c r="Z258" s="2">
        <v>0.1</v>
      </c>
      <c r="AA258" s="2">
        <v>0</v>
      </c>
      <c r="AB258" s="2">
        <v>0</v>
      </c>
      <c r="AC258" s="2">
        <v>0</v>
      </c>
    </row>
    <row r="259" spans="1:29" x14ac:dyDescent="0.2">
      <c r="A259" t="s">
        <v>299</v>
      </c>
      <c r="B259" s="2">
        <v>27</v>
      </c>
      <c r="C259" t="s">
        <v>48</v>
      </c>
      <c r="D259" s="2" t="s">
        <v>27</v>
      </c>
      <c r="E259" s="2">
        <v>21</v>
      </c>
      <c r="F259" s="2">
        <v>0</v>
      </c>
      <c r="G259" s="2">
        <v>355</v>
      </c>
      <c r="H259" s="2">
        <v>0.442</v>
      </c>
      <c r="I259" s="2">
        <v>14.6</v>
      </c>
      <c r="J259" s="2">
        <v>0.48699999999999999</v>
      </c>
      <c r="K259" s="2">
        <v>0.34499999999999997</v>
      </c>
      <c r="L259" s="2">
        <v>2.7E-2</v>
      </c>
      <c r="M259" s="2">
        <v>9.7000000000000003E-2</v>
      </c>
      <c r="N259" s="2">
        <v>1.7999999999999999E-2</v>
      </c>
      <c r="O259" s="2">
        <v>0.51300000000000001</v>
      </c>
      <c r="P259" s="2">
        <v>0.6</v>
      </c>
      <c r="Q259" s="2">
        <v>0.76900000000000002</v>
      </c>
      <c r="R259" s="2">
        <v>0.33300000000000002</v>
      </c>
      <c r="S259" s="2">
        <v>0.182</v>
      </c>
      <c r="T259" s="2">
        <v>0</v>
      </c>
      <c r="U259" s="2">
        <v>0.29299999999999998</v>
      </c>
      <c r="V259" s="2">
        <v>0.45500000000000002</v>
      </c>
      <c r="W259" s="2">
        <v>1</v>
      </c>
      <c r="X259" s="2">
        <v>0.16800000000000001</v>
      </c>
      <c r="Y259" s="2">
        <v>17</v>
      </c>
      <c r="Z259" s="2">
        <v>0.58599999999999997</v>
      </c>
      <c r="AA259" s="2">
        <v>0.32400000000000001</v>
      </c>
      <c r="AB259" s="2">
        <v>0</v>
      </c>
      <c r="AC259" s="2">
        <v>0</v>
      </c>
    </row>
    <row r="260" spans="1:29" x14ac:dyDescent="0.2">
      <c r="A260" t="s">
        <v>141</v>
      </c>
      <c r="B260" s="2">
        <v>22</v>
      </c>
      <c r="C260" t="s">
        <v>100</v>
      </c>
      <c r="D260" s="2" t="s">
        <v>27</v>
      </c>
      <c r="E260" s="2">
        <v>22</v>
      </c>
      <c r="F260" s="2">
        <v>9</v>
      </c>
      <c r="G260" s="2">
        <v>550</v>
      </c>
      <c r="H260" s="2">
        <v>0.44400000000000001</v>
      </c>
      <c r="I260" s="2">
        <v>12</v>
      </c>
      <c r="J260" s="2">
        <v>0.70799999999999996</v>
      </c>
      <c r="K260" s="2">
        <v>0.24299999999999999</v>
      </c>
      <c r="L260" s="2">
        <v>0.33</v>
      </c>
      <c r="M260" s="2">
        <v>0.10100000000000001</v>
      </c>
      <c r="N260" s="2">
        <v>3.5000000000000003E-2</v>
      </c>
      <c r="O260" s="2">
        <v>0.29199999999999998</v>
      </c>
      <c r="P260" s="2">
        <v>0.5</v>
      </c>
      <c r="Q260" s="2">
        <v>0.7</v>
      </c>
      <c r="R260" s="2">
        <v>0.45300000000000001</v>
      </c>
      <c r="S260" s="2">
        <v>0.27600000000000002</v>
      </c>
      <c r="T260" s="2">
        <v>0.2</v>
      </c>
      <c r="U260" s="2">
        <v>0.31</v>
      </c>
      <c r="V260" s="2">
        <v>0.5</v>
      </c>
      <c r="W260" s="2">
        <v>0.88500000000000001</v>
      </c>
      <c r="X260" s="2">
        <v>8.3000000000000004E-2</v>
      </c>
      <c r="Y260" s="2">
        <v>20</v>
      </c>
      <c r="Z260" s="2">
        <v>0.27400000000000002</v>
      </c>
      <c r="AA260" s="2">
        <v>0.30399999999999999</v>
      </c>
      <c r="AB260" s="2">
        <v>2</v>
      </c>
      <c r="AC260" s="2">
        <v>0</v>
      </c>
    </row>
    <row r="261" spans="1:29" x14ac:dyDescent="0.2">
      <c r="A261" t="s">
        <v>287</v>
      </c>
      <c r="B261" s="2">
        <v>23</v>
      </c>
      <c r="C261" t="s">
        <v>66</v>
      </c>
      <c r="D261" s="2" t="s">
        <v>27</v>
      </c>
      <c r="E261" s="2">
        <v>26</v>
      </c>
      <c r="F261" s="2">
        <v>2</v>
      </c>
      <c r="G261" s="2">
        <v>439</v>
      </c>
      <c r="H261" s="2">
        <v>0.47399999999999998</v>
      </c>
      <c r="I261" s="2">
        <v>7.6</v>
      </c>
      <c r="J261" s="2">
        <v>0.82499999999999996</v>
      </c>
      <c r="K261" s="2">
        <v>0.49099999999999999</v>
      </c>
      <c r="L261" s="2">
        <v>0.23699999999999999</v>
      </c>
      <c r="M261" s="2">
        <v>7.9000000000000001E-2</v>
      </c>
      <c r="N261" s="2">
        <v>1.7999999999999999E-2</v>
      </c>
      <c r="O261" s="2">
        <v>0.17499999999999999</v>
      </c>
      <c r="P261" s="2">
        <v>0.5</v>
      </c>
      <c r="Q261" s="2">
        <v>0.66100000000000003</v>
      </c>
      <c r="R261" s="2">
        <v>0.25900000000000001</v>
      </c>
      <c r="S261" s="2">
        <v>0.222</v>
      </c>
      <c r="T261" s="2">
        <v>0.5</v>
      </c>
      <c r="U261" s="2">
        <v>0.35</v>
      </c>
      <c r="V261" s="2">
        <v>0.66</v>
      </c>
      <c r="W261" s="2">
        <v>1</v>
      </c>
      <c r="X261" s="2">
        <v>0.193</v>
      </c>
      <c r="Y261" s="2">
        <v>19</v>
      </c>
      <c r="Z261" s="2">
        <v>0.4</v>
      </c>
      <c r="AA261" s="2">
        <v>0.5</v>
      </c>
      <c r="AB261" s="2">
        <v>1</v>
      </c>
      <c r="AC261" s="2">
        <v>0</v>
      </c>
    </row>
    <row r="262" spans="1:29" x14ac:dyDescent="0.2">
      <c r="A262" t="s">
        <v>236</v>
      </c>
      <c r="B262" s="2">
        <v>32</v>
      </c>
      <c r="C262" t="s">
        <v>120</v>
      </c>
      <c r="D262" s="2" t="s">
        <v>52</v>
      </c>
      <c r="E262" s="2">
        <v>13</v>
      </c>
      <c r="F262" s="2">
        <v>2</v>
      </c>
      <c r="G262" s="2">
        <v>338</v>
      </c>
      <c r="H262" s="2">
        <v>0.39100000000000001</v>
      </c>
      <c r="I262" s="2">
        <v>16.8</v>
      </c>
      <c r="J262" s="2">
        <v>0.54</v>
      </c>
      <c r="K262" s="2">
        <v>6.3E-2</v>
      </c>
      <c r="L262" s="2">
        <v>0.28199999999999997</v>
      </c>
      <c r="M262" s="2">
        <v>0.14899999999999999</v>
      </c>
      <c r="N262" s="2">
        <v>4.5999999999999999E-2</v>
      </c>
      <c r="O262" s="2">
        <v>0.46</v>
      </c>
      <c r="P262" s="2">
        <v>0.48899999999999999</v>
      </c>
      <c r="Q262" s="2">
        <v>0.72699999999999998</v>
      </c>
      <c r="R262" s="2">
        <v>0.49</v>
      </c>
      <c r="S262" s="2">
        <v>0.38500000000000001</v>
      </c>
      <c r="T262" s="2">
        <v>0.5</v>
      </c>
      <c r="U262" s="2">
        <v>0.27500000000000002</v>
      </c>
      <c r="V262" s="2">
        <v>0.28299999999999997</v>
      </c>
      <c r="W262" s="2">
        <v>0.59099999999999997</v>
      </c>
      <c r="X262" s="2">
        <v>0</v>
      </c>
      <c r="Y262" s="2">
        <v>0</v>
      </c>
      <c r="Z262" s="2">
        <v>8.7999999999999995E-2</v>
      </c>
      <c r="AA262" s="2">
        <v>0.42899999999999999</v>
      </c>
      <c r="AB262" s="2">
        <v>2</v>
      </c>
      <c r="AC262" s="2">
        <v>0</v>
      </c>
    </row>
    <row r="263" spans="1:29" x14ac:dyDescent="0.2">
      <c r="A263" t="s">
        <v>289</v>
      </c>
      <c r="B263" s="2">
        <v>22</v>
      </c>
      <c r="C263" t="s">
        <v>117</v>
      </c>
      <c r="D263" s="2" t="s">
        <v>52</v>
      </c>
      <c r="E263" s="2">
        <v>11</v>
      </c>
      <c r="F263" s="2">
        <v>3</v>
      </c>
      <c r="G263" s="2">
        <v>302</v>
      </c>
      <c r="H263" s="2">
        <v>0.373</v>
      </c>
      <c r="I263" s="2">
        <v>18.7</v>
      </c>
      <c r="J263" s="2">
        <v>0.47599999999999998</v>
      </c>
      <c r="K263" s="2">
        <v>9.5000000000000001E-2</v>
      </c>
      <c r="L263" s="2">
        <v>9.5000000000000001E-2</v>
      </c>
      <c r="M263" s="2">
        <v>0.13500000000000001</v>
      </c>
      <c r="N263" s="2">
        <v>0.151</v>
      </c>
      <c r="O263" s="2">
        <v>0.52400000000000002</v>
      </c>
      <c r="P263" s="2">
        <v>0.41699999999999998</v>
      </c>
      <c r="Q263" s="2">
        <v>0.5</v>
      </c>
      <c r="R263" s="2">
        <v>0.25</v>
      </c>
      <c r="S263" s="2">
        <v>0.41199999999999998</v>
      </c>
      <c r="T263" s="2">
        <v>0.47399999999999998</v>
      </c>
      <c r="U263" s="2">
        <v>0.33300000000000002</v>
      </c>
      <c r="V263" s="2">
        <v>0.76</v>
      </c>
      <c r="W263" s="2">
        <v>0.86399999999999999</v>
      </c>
      <c r="X263" s="2">
        <v>3.2000000000000001E-2</v>
      </c>
      <c r="Y263" s="2">
        <v>2</v>
      </c>
      <c r="Z263" s="2">
        <v>0.13600000000000001</v>
      </c>
      <c r="AA263" s="2">
        <v>0.33300000000000002</v>
      </c>
      <c r="AB263" s="2">
        <v>0</v>
      </c>
      <c r="AC263" s="2">
        <v>0</v>
      </c>
    </row>
    <row r="264" spans="1:29" x14ac:dyDescent="0.2">
      <c r="A264" t="s">
        <v>412</v>
      </c>
      <c r="B264" s="2">
        <v>28</v>
      </c>
      <c r="C264" t="s">
        <v>37</v>
      </c>
      <c r="D264" s="2" t="s">
        <v>33</v>
      </c>
      <c r="E264" s="2">
        <v>20</v>
      </c>
      <c r="F264" s="2">
        <v>0</v>
      </c>
      <c r="G264" s="2">
        <v>158</v>
      </c>
      <c r="H264" s="2">
        <v>0.36799999999999999</v>
      </c>
      <c r="I264" s="2">
        <v>18.7</v>
      </c>
      <c r="J264" s="2">
        <v>0.42099999999999999</v>
      </c>
      <c r="K264" s="2">
        <v>0.105</v>
      </c>
      <c r="L264" s="2">
        <v>0.184</v>
      </c>
      <c r="M264" s="2">
        <v>7.9000000000000001E-2</v>
      </c>
      <c r="N264" s="2">
        <v>5.2999999999999999E-2</v>
      </c>
      <c r="O264" s="2">
        <v>0.57899999999999996</v>
      </c>
      <c r="P264" s="2">
        <v>0.375</v>
      </c>
      <c r="Q264" s="2">
        <v>0.5</v>
      </c>
      <c r="R264" s="2">
        <v>0.28599999999999998</v>
      </c>
      <c r="S264" s="2">
        <v>0.33300000000000002</v>
      </c>
      <c r="T264" s="2">
        <v>0.5</v>
      </c>
      <c r="U264" s="2">
        <v>0.36399999999999999</v>
      </c>
      <c r="V264" s="2">
        <v>0.5</v>
      </c>
      <c r="W264" s="2">
        <v>0.5</v>
      </c>
      <c r="X264" s="2">
        <v>0</v>
      </c>
      <c r="Y264" s="2">
        <v>0</v>
      </c>
      <c r="Z264" s="2">
        <v>0.36399999999999999</v>
      </c>
      <c r="AA264" s="2">
        <v>0.25</v>
      </c>
      <c r="AB264" s="2">
        <v>1</v>
      </c>
      <c r="AC264" s="2">
        <v>0</v>
      </c>
    </row>
    <row r="265" spans="1:29" x14ac:dyDescent="0.2">
      <c r="A265" t="s">
        <v>325</v>
      </c>
      <c r="B265" s="2">
        <v>25</v>
      </c>
      <c r="C265" t="s">
        <v>77</v>
      </c>
      <c r="D265" s="2" t="s">
        <v>49</v>
      </c>
      <c r="E265" s="2">
        <v>14</v>
      </c>
      <c r="F265" s="2">
        <v>0</v>
      </c>
      <c r="G265" s="2">
        <v>228</v>
      </c>
      <c r="H265" s="2">
        <v>0.46700000000000003</v>
      </c>
      <c r="I265" s="2">
        <v>9.9</v>
      </c>
      <c r="J265" s="2">
        <v>0.75</v>
      </c>
      <c r="K265" s="2">
        <v>0.27200000000000002</v>
      </c>
      <c r="L265" s="2">
        <v>0.40200000000000002</v>
      </c>
      <c r="M265" s="2">
        <v>7.5999999999999998E-2</v>
      </c>
      <c r="N265" s="2">
        <v>0</v>
      </c>
      <c r="O265" s="2">
        <v>0.25</v>
      </c>
      <c r="P265" s="2">
        <v>0.52200000000000002</v>
      </c>
      <c r="Q265" s="2">
        <v>0.68</v>
      </c>
      <c r="R265" s="2">
        <v>0.45900000000000002</v>
      </c>
      <c r="S265" s="2">
        <v>0.28599999999999998</v>
      </c>
      <c r="T265" s="2"/>
      <c r="U265" s="2">
        <v>0.30399999999999999</v>
      </c>
      <c r="V265" s="2">
        <v>0.52800000000000002</v>
      </c>
      <c r="W265" s="2">
        <v>1</v>
      </c>
      <c r="X265" s="2">
        <v>2.1999999999999999E-2</v>
      </c>
      <c r="Y265" s="2">
        <v>2</v>
      </c>
      <c r="Z265" s="2">
        <v>0.217</v>
      </c>
      <c r="AA265" s="2">
        <v>0.4</v>
      </c>
      <c r="AB265" s="2">
        <v>0</v>
      </c>
      <c r="AC265" s="2">
        <v>0</v>
      </c>
    </row>
    <row r="266" spans="1:29" x14ac:dyDescent="0.2">
      <c r="A266" t="s">
        <v>113</v>
      </c>
      <c r="B266" s="2">
        <v>25</v>
      </c>
      <c r="C266" t="s">
        <v>114</v>
      </c>
      <c r="D266" s="2" t="s">
        <v>52</v>
      </c>
      <c r="E266" s="2">
        <v>20</v>
      </c>
      <c r="F266" s="2">
        <v>20</v>
      </c>
      <c r="G266" s="2">
        <v>606</v>
      </c>
      <c r="H266" s="2">
        <v>0.436</v>
      </c>
      <c r="I266" s="2">
        <v>16.399999999999999</v>
      </c>
      <c r="J266" s="2">
        <v>0.48899999999999999</v>
      </c>
      <c r="K266" s="2">
        <v>0.23799999999999999</v>
      </c>
      <c r="L266" s="2">
        <v>0.16</v>
      </c>
      <c r="M266" s="2">
        <v>6.5000000000000002E-2</v>
      </c>
      <c r="N266" s="2">
        <v>2.5999999999999999E-2</v>
      </c>
      <c r="O266" s="2">
        <v>0.51100000000000001</v>
      </c>
      <c r="P266" s="2">
        <v>0.46700000000000003</v>
      </c>
      <c r="Q266" s="2">
        <v>0.61599999999999999</v>
      </c>
      <c r="R266" s="2">
        <v>0.38800000000000001</v>
      </c>
      <c r="S266" s="2">
        <v>0.15</v>
      </c>
      <c r="T266" s="2">
        <v>0.375</v>
      </c>
      <c r="U266" s="2">
        <v>0.40799999999999997</v>
      </c>
      <c r="V266" s="2">
        <v>0.314</v>
      </c>
      <c r="W266" s="2">
        <v>0.57799999999999996</v>
      </c>
      <c r="X266" s="2">
        <v>7.0000000000000001E-3</v>
      </c>
      <c r="Y266" s="2">
        <v>2</v>
      </c>
      <c r="Z266" s="2">
        <v>0.121</v>
      </c>
      <c r="AA266" s="2">
        <v>0.316</v>
      </c>
      <c r="AB266" s="2">
        <v>0</v>
      </c>
      <c r="AC266" s="2">
        <v>0</v>
      </c>
    </row>
    <row r="267" spans="1:29" x14ac:dyDescent="0.2">
      <c r="A267" t="s">
        <v>457</v>
      </c>
      <c r="B267" s="2">
        <v>20</v>
      </c>
      <c r="C267" t="s">
        <v>39</v>
      </c>
      <c r="D267" s="2" t="s">
        <v>27</v>
      </c>
      <c r="E267" s="2">
        <v>17</v>
      </c>
      <c r="F267" s="2">
        <v>1</v>
      </c>
      <c r="G267" s="2">
        <v>154</v>
      </c>
      <c r="H267" s="2">
        <v>0.31</v>
      </c>
      <c r="I267" s="2">
        <v>19.2</v>
      </c>
      <c r="J267" s="2">
        <v>0.24099999999999999</v>
      </c>
      <c r="K267" s="2">
        <v>0.20699999999999999</v>
      </c>
      <c r="L267" s="2">
        <v>3.4000000000000002E-2</v>
      </c>
      <c r="M267" s="2">
        <v>0</v>
      </c>
      <c r="N267" s="2">
        <v>0</v>
      </c>
      <c r="O267" s="2">
        <v>0.75900000000000001</v>
      </c>
      <c r="P267" s="2">
        <v>0.57099999999999995</v>
      </c>
      <c r="Q267" s="2">
        <v>0.66700000000000004</v>
      </c>
      <c r="R267" s="2">
        <v>0</v>
      </c>
      <c r="S267" s="2"/>
      <c r="T267" s="2"/>
      <c r="U267" s="2">
        <v>0.22700000000000001</v>
      </c>
      <c r="V267" s="2">
        <v>0.75</v>
      </c>
      <c r="W267" s="2">
        <v>1</v>
      </c>
      <c r="X267" s="2">
        <v>6.9000000000000006E-2</v>
      </c>
      <c r="Y267" s="2">
        <v>2</v>
      </c>
      <c r="Z267" s="2">
        <v>0.45500000000000002</v>
      </c>
      <c r="AA267" s="2">
        <v>0.2</v>
      </c>
      <c r="AB267" s="2">
        <v>0</v>
      </c>
      <c r="AC267" s="2">
        <v>0</v>
      </c>
    </row>
    <row r="268" spans="1:29" x14ac:dyDescent="0.2">
      <c r="A268" t="s">
        <v>317</v>
      </c>
      <c r="B268" s="2">
        <v>26</v>
      </c>
      <c r="C268" t="s">
        <v>117</v>
      </c>
      <c r="D268" s="2" t="s">
        <v>33</v>
      </c>
      <c r="E268" s="2">
        <v>11</v>
      </c>
      <c r="F268" s="2">
        <v>7</v>
      </c>
      <c r="G268" s="2">
        <v>282</v>
      </c>
      <c r="H268" s="2">
        <v>0.39600000000000002</v>
      </c>
      <c r="I268" s="2">
        <v>18.5</v>
      </c>
      <c r="J268" s="2">
        <v>0.40600000000000003</v>
      </c>
      <c r="K268" s="2">
        <v>7.9000000000000001E-2</v>
      </c>
      <c r="L268" s="2">
        <v>0.17799999999999999</v>
      </c>
      <c r="M268" s="2">
        <v>0.109</v>
      </c>
      <c r="N268" s="2">
        <v>0.04</v>
      </c>
      <c r="O268" s="2">
        <v>0.59399999999999997</v>
      </c>
      <c r="P268" s="2">
        <v>0.39</v>
      </c>
      <c r="Q268" s="2">
        <v>0.375</v>
      </c>
      <c r="R268" s="2">
        <v>0.222</v>
      </c>
      <c r="S268" s="2">
        <v>0.63600000000000001</v>
      </c>
      <c r="T268" s="2">
        <v>0.5</v>
      </c>
      <c r="U268" s="2">
        <v>0.4</v>
      </c>
      <c r="V268" s="2">
        <v>0.375</v>
      </c>
      <c r="W268" s="2">
        <v>0.625</v>
      </c>
      <c r="X268" s="2">
        <v>0</v>
      </c>
      <c r="Y268" s="2">
        <v>0</v>
      </c>
      <c r="Z268" s="2">
        <v>0.2</v>
      </c>
      <c r="AA268" s="2">
        <v>0.41699999999999998</v>
      </c>
      <c r="AB268" s="2">
        <v>0</v>
      </c>
      <c r="AC268" s="2">
        <v>0</v>
      </c>
    </row>
    <row r="269" spans="1:29" x14ac:dyDescent="0.2">
      <c r="A269" t="s">
        <v>161</v>
      </c>
      <c r="B269" s="2">
        <v>22</v>
      </c>
      <c r="C269" t="s">
        <v>70</v>
      </c>
      <c r="D269" s="2" t="s">
        <v>33</v>
      </c>
      <c r="E269" s="2">
        <v>25</v>
      </c>
      <c r="F269" s="2">
        <v>25</v>
      </c>
      <c r="G269" s="2">
        <v>679</v>
      </c>
      <c r="H269" s="2">
        <v>0.443</v>
      </c>
      <c r="I269" s="2">
        <v>12.3</v>
      </c>
      <c r="J269" s="2">
        <v>0.64</v>
      </c>
      <c r="K269" s="2">
        <v>0.33200000000000002</v>
      </c>
      <c r="L269" s="2">
        <v>0.217</v>
      </c>
      <c r="M269" s="2">
        <v>5.8999999999999997E-2</v>
      </c>
      <c r="N269" s="2">
        <v>3.2000000000000001E-2</v>
      </c>
      <c r="O269" s="2">
        <v>0.36</v>
      </c>
      <c r="P269" s="2">
        <v>0.51200000000000001</v>
      </c>
      <c r="Q269" s="2">
        <v>0.59499999999999997</v>
      </c>
      <c r="R269" s="2">
        <v>0.47299999999999998</v>
      </c>
      <c r="S269" s="2">
        <v>0.4</v>
      </c>
      <c r="T269" s="2">
        <v>0.125</v>
      </c>
      <c r="U269" s="2">
        <v>0.31900000000000001</v>
      </c>
      <c r="V269" s="2">
        <v>0.48199999999999998</v>
      </c>
      <c r="W269" s="2">
        <v>0.89700000000000002</v>
      </c>
      <c r="X269" s="2">
        <v>0.02</v>
      </c>
      <c r="Y269" s="2">
        <v>4</v>
      </c>
      <c r="Z269" s="2">
        <v>0.27500000000000002</v>
      </c>
      <c r="AA269" s="2">
        <v>0.32</v>
      </c>
      <c r="AB269" s="2">
        <v>0</v>
      </c>
      <c r="AC269" s="2">
        <v>0</v>
      </c>
    </row>
    <row r="270" spans="1:29" x14ac:dyDescent="0.2">
      <c r="A270" t="s">
        <v>264</v>
      </c>
      <c r="B270" s="2">
        <v>24</v>
      </c>
      <c r="C270" t="s">
        <v>59</v>
      </c>
      <c r="D270" s="2" t="s">
        <v>52</v>
      </c>
      <c r="E270" s="2">
        <v>22</v>
      </c>
      <c r="F270" s="2">
        <v>21</v>
      </c>
      <c r="G270" s="2">
        <v>608</v>
      </c>
      <c r="H270" s="2">
        <v>0.438</v>
      </c>
      <c r="I270" s="2">
        <v>15.6</v>
      </c>
      <c r="J270" s="2">
        <v>0.46700000000000003</v>
      </c>
      <c r="K270" s="2">
        <v>0.27</v>
      </c>
      <c r="L270" s="2">
        <v>8.7999999999999995E-2</v>
      </c>
      <c r="M270" s="2">
        <v>9.5000000000000001E-2</v>
      </c>
      <c r="N270" s="2">
        <v>1.4999999999999999E-2</v>
      </c>
      <c r="O270" s="2">
        <v>0.53300000000000003</v>
      </c>
      <c r="P270" s="2">
        <v>0.42199999999999999</v>
      </c>
      <c r="Q270" s="2">
        <v>0.54100000000000004</v>
      </c>
      <c r="R270" s="2">
        <v>0.33300000000000002</v>
      </c>
      <c r="S270" s="2">
        <v>0.154</v>
      </c>
      <c r="T270" s="2">
        <v>0.5</v>
      </c>
      <c r="U270" s="2">
        <v>0.45200000000000001</v>
      </c>
      <c r="V270" s="2">
        <v>0.51900000000000002</v>
      </c>
      <c r="W270" s="2">
        <v>0.97</v>
      </c>
      <c r="X270" s="2">
        <v>2.9000000000000001E-2</v>
      </c>
      <c r="Y270" s="2">
        <v>4</v>
      </c>
      <c r="Z270" s="2">
        <v>0.57499999999999996</v>
      </c>
      <c r="AA270" s="2">
        <v>0.45200000000000001</v>
      </c>
      <c r="AB270" s="2">
        <v>1</v>
      </c>
      <c r="AC270" s="2">
        <v>0</v>
      </c>
    </row>
    <row r="271" spans="1:29" x14ac:dyDescent="0.2">
      <c r="A271" t="s">
        <v>128</v>
      </c>
      <c r="B271" s="2">
        <v>29</v>
      </c>
      <c r="C271" t="s">
        <v>44</v>
      </c>
      <c r="D271" s="2" t="s">
        <v>52</v>
      </c>
      <c r="E271" s="2">
        <v>25</v>
      </c>
      <c r="F271" s="2">
        <v>25</v>
      </c>
      <c r="G271" s="2">
        <v>924</v>
      </c>
      <c r="H271" s="2">
        <v>0.59599999999999997</v>
      </c>
      <c r="I271" s="2">
        <v>11.9</v>
      </c>
      <c r="J271" s="2">
        <v>0.626</v>
      </c>
      <c r="K271" s="2">
        <v>0.38700000000000001</v>
      </c>
      <c r="L271" s="2">
        <v>0.157</v>
      </c>
      <c r="M271" s="2">
        <v>5.7000000000000002E-2</v>
      </c>
      <c r="N271" s="2">
        <v>2.5999999999999999E-2</v>
      </c>
      <c r="O271" s="2">
        <v>0.374</v>
      </c>
      <c r="P271" s="2">
        <v>0.70799999999999996</v>
      </c>
      <c r="Q271" s="2">
        <v>0.79800000000000004</v>
      </c>
      <c r="R271" s="2">
        <v>0.55600000000000005</v>
      </c>
      <c r="S271" s="2">
        <v>0.38500000000000001</v>
      </c>
      <c r="T271" s="2">
        <v>1</v>
      </c>
      <c r="U271" s="2">
        <v>0.40699999999999997</v>
      </c>
      <c r="V271" s="2">
        <v>0.58799999999999997</v>
      </c>
      <c r="W271" s="2">
        <v>0.88600000000000001</v>
      </c>
      <c r="X271" s="2">
        <v>2.5999999999999999E-2</v>
      </c>
      <c r="Y271" s="2">
        <v>6</v>
      </c>
      <c r="Z271" s="2">
        <v>0.32600000000000001</v>
      </c>
      <c r="AA271" s="2">
        <v>0.32100000000000001</v>
      </c>
      <c r="AB271" s="2">
        <v>0</v>
      </c>
      <c r="AC271" s="2">
        <v>0</v>
      </c>
    </row>
    <row r="272" spans="1:29" x14ac:dyDescent="0.2">
      <c r="A272" t="s">
        <v>446</v>
      </c>
      <c r="B272" s="2">
        <v>22</v>
      </c>
      <c r="C272" t="s">
        <v>51</v>
      </c>
      <c r="D272" s="2" t="s">
        <v>49</v>
      </c>
      <c r="E272" s="2">
        <v>11</v>
      </c>
      <c r="F272" s="2">
        <v>0</v>
      </c>
      <c r="G272" s="2">
        <v>82</v>
      </c>
      <c r="H272" s="2">
        <v>0.57899999999999996</v>
      </c>
      <c r="I272" s="2">
        <v>14.3</v>
      </c>
      <c r="J272" s="2">
        <v>0.47399999999999998</v>
      </c>
      <c r="K272" s="2">
        <v>0.316</v>
      </c>
      <c r="L272" s="2">
        <v>0.158</v>
      </c>
      <c r="M272" s="2">
        <v>0</v>
      </c>
      <c r="N272" s="2">
        <v>0</v>
      </c>
      <c r="O272" s="2">
        <v>0.52600000000000002</v>
      </c>
      <c r="P272" s="2">
        <v>1</v>
      </c>
      <c r="Q272" s="2">
        <v>1</v>
      </c>
      <c r="R272" s="2">
        <v>1</v>
      </c>
      <c r="S272" s="2"/>
      <c r="T272" s="2"/>
      <c r="U272" s="2">
        <v>0.2</v>
      </c>
      <c r="V272" s="2">
        <v>0.77800000000000002</v>
      </c>
      <c r="W272" s="2">
        <v>1</v>
      </c>
      <c r="X272" s="2">
        <v>0.158</v>
      </c>
      <c r="Y272" s="2">
        <v>3</v>
      </c>
      <c r="Z272" s="2">
        <v>0.5</v>
      </c>
      <c r="AA272" s="2">
        <v>0.2</v>
      </c>
      <c r="AB272" s="2">
        <v>0</v>
      </c>
      <c r="AC272" s="2">
        <v>0</v>
      </c>
    </row>
    <row r="273" spans="1:29" x14ac:dyDescent="0.2">
      <c r="A273" t="s">
        <v>342</v>
      </c>
      <c r="B273" s="2">
        <v>26</v>
      </c>
      <c r="C273" t="s">
        <v>54</v>
      </c>
      <c r="D273" s="2" t="s">
        <v>52</v>
      </c>
      <c r="E273" s="2">
        <v>13</v>
      </c>
      <c r="F273" s="2">
        <v>1</v>
      </c>
      <c r="G273" s="2">
        <v>194</v>
      </c>
      <c r="H273" s="2">
        <v>0.51400000000000001</v>
      </c>
      <c r="I273" s="2">
        <v>10.3</v>
      </c>
      <c r="J273" s="2">
        <v>0.67100000000000004</v>
      </c>
      <c r="K273" s="2">
        <v>0.38600000000000001</v>
      </c>
      <c r="L273" s="2">
        <v>0.24299999999999999</v>
      </c>
      <c r="M273" s="2">
        <v>2.9000000000000001E-2</v>
      </c>
      <c r="N273" s="2">
        <v>1.4E-2</v>
      </c>
      <c r="O273" s="2">
        <v>0.32900000000000001</v>
      </c>
      <c r="P273" s="2">
        <v>0.55300000000000005</v>
      </c>
      <c r="Q273" s="2">
        <v>0.70399999999999996</v>
      </c>
      <c r="R273" s="2">
        <v>0.29399999999999998</v>
      </c>
      <c r="S273" s="2">
        <v>1</v>
      </c>
      <c r="T273" s="2">
        <v>0</v>
      </c>
      <c r="U273" s="2">
        <v>0.435</v>
      </c>
      <c r="V273" s="2">
        <v>0.69199999999999995</v>
      </c>
      <c r="W273" s="2">
        <v>1</v>
      </c>
      <c r="X273" s="2">
        <v>8.5999999999999993E-2</v>
      </c>
      <c r="Y273" s="2">
        <v>6</v>
      </c>
      <c r="Z273" s="2">
        <v>0.69599999999999995</v>
      </c>
      <c r="AA273" s="2">
        <v>0.438</v>
      </c>
      <c r="AB273" s="2">
        <v>0</v>
      </c>
      <c r="AC273" s="2">
        <v>0</v>
      </c>
    </row>
    <row r="274" spans="1:29" x14ac:dyDescent="0.2">
      <c r="A274" t="s">
        <v>437</v>
      </c>
      <c r="B274" s="2">
        <v>31</v>
      </c>
      <c r="C274" t="s">
        <v>61</v>
      </c>
      <c r="D274" s="2" t="s">
        <v>52</v>
      </c>
      <c r="E274" s="2">
        <v>8</v>
      </c>
      <c r="F274" s="2">
        <v>0</v>
      </c>
      <c r="G274" s="2">
        <v>150</v>
      </c>
      <c r="H274" s="2">
        <v>0.28899999999999998</v>
      </c>
      <c r="I274" s="2">
        <v>18.5</v>
      </c>
      <c r="J274" s="2">
        <v>0.42099999999999999</v>
      </c>
      <c r="K274" s="2">
        <v>0.105</v>
      </c>
      <c r="L274" s="2">
        <v>0.184</v>
      </c>
      <c r="M274" s="2">
        <v>2.5999999999999999E-2</v>
      </c>
      <c r="N274" s="2">
        <v>0.105</v>
      </c>
      <c r="O274" s="2">
        <v>0.57899999999999996</v>
      </c>
      <c r="P274" s="2">
        <v>0.313</v>
      </c>
      <c r="Q274" s="2">
        <v>0.5</v>
      </c>
      <c r="R274" s="2">
        <v>0.28599999999999998</v>
      </c>
      <c r="S274" s="2">
        <v>0</v>
      </c>
      <c r="T274" s="2">
        <v>0.25</v>
      </c>
      <c r="U274" s="2">
        <v>0.27300000000000002</v>
      </c>
      <c r="V274" s="2">
        <v>1</v>
      </c>
      <c r="W274" s="2">
        <v>1</v>
      </c>
      <c r="X274" s="2">
        <v>0</v>
      </c>
      <c r="Y274" s="2">
        <v>0</v>
      </c>
      <c r="Z274" s="2">
        <v>0.22700000000000001</v>
      </c>
      <c r="AA274" s="2">
        <v>0.2</v>
      </c>
      <c r="AB274" s="2">
        <v>0</v>
      </c>
      <c r="AC274" s="2">
        <v>0</v>
      </c>
    </row>
    <row r="275" spans="1:29" x14ac:dyDescent="0.2">
      <c r="A275" t="s">
        <v>176</v>
      </c>
      <c r="B275" s="2">
        <v>34</v>
      </c>
      <c r="C275" t="s">
        <v>39</v>
      </c>
      <c r="D275" s="2" t="s">
        <v>33</v>
      </c>
      <c r="E275" s="2">
        <v>22</v>
      </c>
      <c r="F275" s="2">
        <v>22</v>
      </c>
      <c r="G275" s="2">
        <v>681</v>
      </c>
      <c r="H275" s="2">
        <v>0.436</v>
      </c>
      <c r="I275" s="2">
        <v>16.100000000000001</v>
      </c>
      <c r="J275" s="2">
        <v>0.44500000000000001</v>
      </c>
      <c r="K275" s="2">
        <v>0.19800000000000001</v>
      </c>
      <c r="L275" s="2">
        <v>0.19400000000000001</v>
      </c>
      <c r="M275" s="2">
        <v>3.5000000000000003E-2</v>
      </c>
      <c r="N275" s="2">
        <v>1.7999999999999999E-2</v>
      </c>
      <c r="O275" s="2">
        <v>0.55500000000000005</v>
      </c>
      <c r="P275" s="2">
        <v>0.56399999999999995</v>
      </c>
      <c r="Q275" s="2">
        <v>0.73299999999999998</v>
      </c>
      <c r="R275" s="2">
        <v>0.432</v>
      </c>
      <c r="S275" s="2">
        <v>0.25</v>
      </c>
      <c r="T275" s="2">
        <v>0.75</v>
      </c>
      <c r="U275" s="2">
        <v>0.33300000000000002</v>
      </c>
      <c r="V275" s="2">
        <v>0.49099999999999999</v>
      </c>
      <c r="W275" s="2">
        <v>0.81</v>
      </c>
      <c r="X275" s="2">
        <v>4.0000000000000001E-3</v>
      </c>
      <c r="Y275" s="2">
        <v>0</v>
      </c>
      <c r="Z275" s="2">
        <v>0.373</v>
      </c>
      <c r="AA275" s="2">
        <v>0.31900000000000001</v>
      </c>
      <c r="AB275" s="2">
        <v>0</v>
      </c>
      <c r="AC275" s="2">
        <v>0</v>
      </c>
    </row>
    <row r="276" spans="1:29" x14ac:dyDescent="0.2">
      <c r="A276" t="s">
        <v>473</v>
      </c>
      <c r="B276" s="2">
        <v>22</v>
      </c>
      <c r="C276" t="s">
        <v>57</v>
      </c>
      <c r="D276" s="2" t="s">
        <v>27</v>
      </c>
      <c r="E276" s="2">
        <v>3</v>
      </c>
      <c r="F276" s="2">
        <v>0</v>
      </c>
      <c r="G276" s="2">
        <v>16</v>
      </c>
      <c r="H276" s="2">
        <v>1</v>
      </c>
      <c r="I276" s="2">
        <v>16.5</v>
      </c>
      <c r="J276" s="2">
        <v>0.57099999999999995</v>
      </c>
      <c r="K276" s="2">
        <v>0.14299999999999999</v>
      </c>
      <c r="L276" s="2">
        <v>0.14299999999999999</v>
      </c>
      <c r="M276" s="2">
        <v>0.14299999999999999</v>
      </c>
      <c r="N276" s="2">
        <v>0.14299999999999999</v>
      </c>
      <c r="O276" s="2">
        <v>0.42899999999999999</v>
      </c>
      <c r="P276" s="2">
        <v>1</v>
      </c>
      <c r="Q276" s="2">
        <v>1</v>
      </c>
      <c r="R276" s="2">
        <v>1</v>
      </c>
      <c r="S276" s="2">
        <v>1</v>
      </c>
      <c r="T276" s="2">
        <v>1</v>
      </c>
      <c r="U276" s="2">
        <v>1</v>
      </c>
      <c r="V276" s="2">
        <v>1</v>
      </c>
      <c r="W276" s="2">
        <v>1</v>
      </c>
      <c r="X276" s="2">
        <v>0</v>
      </c>
      <c r="Y276" s="2">
        <v>0</v>
      </c>
      <c r="Z276" s="2">
        <v>0.33300000000000002</v>
      </c>
      <c r="AA276" s="2">
        <v>1</v>
      </c>
      <c r="AB276" s="2">
        <v>0</v>
      </c>
      <c r="AC276" s="2">
        <v>0</v>
      </c>
    </row>
    <row r="277" spans="1:29" x14ac:dyDescent="0.2">
      <c r="A277" t="s">
        <v>153</v>
      </c>
      <c r="B277" s="2">
        <v>23</v>
      </c>
      <c r="C277" t="s">
        <v>93</v>
      </c>
      <c r="D277" s="2" t="s">
        <v>49</v>
      </c>
      <c r="E277" s="2">
        <v>24</v>
      </c>
      <c r="F277" s="2">
        <v>24</v>
      </c>
      <c r="G277" s="2">
        <v>711</v>
      </c>
      <c r="H277" s="2">
        <v>0.433</v>
      </c>
      <c r="I277" s="2">
        <v>18.8</v>
      </c>
      <c r="J277" s="2">
        <v>0.28999999999999998</v>
      </c>
      <c r="K277" s="2">
        <v>0.16800000000000001</v>
      </c>
      <c r="L277" s="2">
        <v>0.105</v>
      </c>
      <c r="M277" s="2">
        <v>1.2999999999999999E-2</v>
      </c>
      <c r="N277" s="2">
        <v>4.0000000000000001E-3</v>
      </c>
      <c r="O277" s="2">
        <v>0.71</v>
      </c>
      <c r="P277" s="2">
        <v>0.623</v>
      </c>
      <c r="Q277" s="2">
        <v>0.75</v>
      </c>
      <c r="R277" s="2">
        <v>0.4</v>
      </c>
      <c r="S277" s="2">
        <v>1</v>
      </c>
      <c r="T277" s="2">
        <v>0</v>
      </c>
      <c r="U277" s="2">
        <v>0.35499999999999998</v>
      </c>
      <c r="V277" s="2">
        <v>0.79100000000000004</v>
      </c>
      <c r="W277" s="2">
        <v>0.96699999999999997</v>
      </c>
      <c r="X277" s="2">
        <v>3.7999999999999999E-2</v>
      </c>
      <c r="Y277" s="2">
        <v>8</v>
      </c>
      <c r="Z277" s="2">
        <v>0.29599999999999999</v>
      </c>
      <c r="AA277" s="2">
        <v>0.4</v>
      </c>
      <c r="AB277" s="2">
        <v>0</v>
      </c>
      <c r="AC277" s="2">
        <v>0</v>
      </c>
    </row>
    <row r="278" spans="1:29" x14ac:dyDescent="0.2">
      <c r="A278" t="s">
        <v>328</v>
      </c>
      <c r="B278" s="2">
        <v>21</v>
      </c>
      <c r="C278" t="s">
        <v>70</v>
      </c>
      <c r="D278" s="2" t="s">
        <v>49</v>
      </c>
      <c r="E278" s="2">
        <v>24</v>
      </c>
      <c r="F278" s="2">
        <v>2</v>
      </c>
      <c r="G278" s="2">
        <v>344</v>
      </c>
      <c r="H278" s="2">
        <v>0.41299999999999998</v>
      </c>
      <c r="I278" s="2">
        <v>16.100000000000001</v>
      </c>
      <c r="J278" s="2">
        <v>0.38</v>
      </c>
      <c r="K278" s="2">
        <v>0.27200000000000002</v>
      </c>
      <c r="L278" s="2">
        <v>9.8000000000000004E-2</v>
      </c>
      <c r="M278" s="2">
        <v>0</v>
      </c>
      <c r="N278" s="2">
        <v>1.0999999999999999E-2</v>
      </c>
      <c r="O278" s="2">
        <v>0.62</v>
      </c>
      <c r="P278" s="2">
        <v>0.57099999999999995</v>
      </c>
      <c r="Q278" s="2">
        <v>0.68</v>
      </c>
      <c r="R278" s="2">
        <v>0.33300000000000002</v>
      </c>
      <c r="S278" s="2"/>
      <c r="T278" s="2">
        <v>0</v>
      </c>
      <c r="U278" s="2">
        <v>0.316</v>
      </c>
      <c r="V278" s="2">
        <v>0.7</v>
      </c>
      <c r="W278" s="2">
        <v>1</v>
      </c>
      <c r="X278" s="2">
        <v>6.5000000000000002E-2</v>
      </c>
      <c r="Y278" s="2">
        <v>5</v>
      </c>
      <c r="Z278" s="2">
        <v>0.66700000000000004</v>
      </c>
      <c r="AA278" s="2">
        <v>0.39500000000000002</v>
      </c>
      <c r="AB278" s="2">
        <v>0</v>
      </c>
      <c r="AC278" s="2">
        <v>0</v>
      </c>
    </row>
    <row r="279" spans="1:29" x14ac:dyDescent="0.2">
      <c r="A279" t="s">
        <v>233</v>
      </c>
      <c r="B279" s="2">
        <v>22</v>
      </c>
      <c r="C279" t="s">
        <v>46</v>
      </c>
      <c r="D279" s="2" t="s">
        <v>52</v>
      </c>
      <c r="E279" s="2">
        <v>22</v>
      </c>
      <c r="F279" s="2">
        <v>0</v>
      </c>
      <c r="G279" s="2">
        <v>458</v>
      </c>
      <c r="H279" s="2">
        <v>0.46300000000000002</v>
      </c>
      <c r="I279" s="2">
        <v>15.9</v>
      </c>
      <c r="J279" s="2">
        <v>0.49</v>
      </c>
      <c r="K279" s="2">
        <v>0.19500000000000001</v>
      </c>
      <c r="L279" s="2">
        <v>0.215</v>
      </c>
      <c r="M279" s="2">
        <v>6.7000000000000004E-2</v>
      </c>
      <c r="N279" s="2">
        <v>1.2999999999999999E-2</v>
      </c>
      <c r="O279" s="2">
        <v>0.51</v>
      </c>
      <c r="P279" s="2">
        <v>0.52100000000000002</v>
      </c>
      <c r="Q279" s="2">
        <v>0.65500000000000003</v>
      </c>
      <c r="R279" s="2">
        <v>0.438</v>
      </c>
      <c r="S279" s="2">
        <v>0.4</v>
      </c>
      <c r="T279" s="2">
        <v>0.5</v>
      </c>
      <c r="U279" s="2">
        <v>0.40799999999999997</v>
      </c>
      <c r="V279" s="2">
        <v>0.65800000000000003</v>
      </c>
      <c r="W279" s="2">
        <v>0.90300000000000002</v>
      </c>
      <c r="X279" s="2">
        <v>1.2999999999999999E-2</v>
      </c>
      <c r="Y279" s="2">
        <v>2</v>
      </c>
      <c r="Z279" s="2">
        <v>0.105</v>
      </c>
      <c r="AA279" s="2">
        <v>0.625</v>
      </c>
      <c r="AB279" s="2">
        <v>0</v>
      </c>
      <c r="AC279" s="2">
        <v>0</v>
      </c>
    </row>
    <row r="280" spans="1:29" x14ac:dyDescent="0.2">
      <c r="A280" t="s">
        <v>91</v>
      </c>
      <c r="B280" s="2">
        <v>30</v>
      </c>
      <c r="C280" t="s">
        <v>51</v>
      </c>
      <c r="D280" s="2" t="s">
        <v>27</v>
      </c>
      <c r="E280" s="2">
        <v>23</v>
      </c>
      <c r="F280" s="2">
        <v>23</v>
      </c>
      <c r="G280" s="2">
        <v>763</v>
      </c>
      <c r="H280" s="2">
        <v>0.48899999999999999</v>
      </c>
      <c r="I280" s="2">
        <v>12.2</v>
      </c>
      <c r="J280" s="2">
        <v>0.66900000000000004</v>
      </c>
      <c r="K280" s="2">
        <v>0.24</v>
      </c>
      <c r="L280" s="2">
        <v>0.28299999999999997</v>
      </c>
      <c r="M280" s="2">
        <v>0.125</v>
      </c>
      <c r="N280" s="2">
        <v>2.1000000000000001E-2</v>
      </c>
      <c r="O280" s="2">
        <v>0.33100000000000002</v>
      </c>
      <c r="P280" s="2">
        <v>0.55000000000000004</v>
      </c>
      <c r="Q280" s="2">
        <v>0.79700000000000004</v>
      </c>
      <c r="R280" s="2">
        <v>0.43</v>
      </c>
      <c r="S280" s="2">
        <v>0.34100000000000003</v>
      </c>
      <c r="T280" s="2">
        <v>0.57099999999999995</v>
      </c>
      <c r="U280" s="2">
        <v>0.36699999999999999</v>
      </c>
      <c r="V280" s="2">
        <v>0.45500000000000002</v>
      </c>
      <c r="W280" s="2">
        <v>0.85</v>
      </c>
      <c r="X280" s="2">
        <v>6.0999999999999999E-2</v>
      </c>
      <c r="Y280" s="2">
        <v>20</v>
      </c>
      <c r="Z280" s="2">
        <v>0.22</v>
      </c>
      <c r="AA280" s="2">
        <v>0.20799999999999999</v>
      </c>
      <c r="AB280" s="2">
        <v>0</v>
      </c>
      <c r="AC280" s="2">
        <v>0</v>
      </c>
    </row>
    <row r="281" spans="1:29" x14ac:dyDescent="0.2">
      <c r="A281" t="s">
        <v>410</v>
      </c>
      <c r="B281" s="2">
        <v>23</v>
      </c>
      <c r="C281" t="s">
        <v>114</v>
      </c>
      <c r="D281" s="2" t="s">
        <v>49</v>
      </c>
      <c r="E281" s="2">
        <v>5</v>
      </c>
      <c r="F281" s="2">
        <v>2</v>
      </c>
      <c r="G281" s="2">
        <v>105</v>
      </c>
      <c r="H281" s="2">
        <v>0.55900000000000005</v>
      </c>
      <c r="I281" s="2">
        <v>11.1</v>
      </c>
      <c r="J281" s="2">
        <v>0.64700000000000002</v>
      </c>
      <c r="K281" s="2">
        <v>0.441</v>
      </c>
      <c r="L281" s="2">
        <v>0.17599999999999999</v>
      </c>
      <c r="M281" s="2">
        <v>2.9000000000000001E-2</v>
      </c>
      <c r="N281" s="2">
        <v>0</v>
      </c>
      <c r="O281" s="2">
        <v>0.35299999999999998</v>
      </c>
      <c r="P281" s="2">
        <v>0.63600000000000001</v>
      </c>
      <c r="Q281" s="2">
        <v>0.8</v>
      </c>
      <c r="R281" s="2">
        <v>0.33300000000000002</v>
      </c>
      <c r="S281" s="2">
        <v>0</v>
      </c>
      <c r="T281" s="2"/>
      <c r="U281" s="2">
        <v>0.41699999999999998</v>
      </c>
      <c r="V281" s="2">
        <v>0.71399999999999997</v>
      </c>
      <c r="W281" s="2">
        <v>1</v>
      </c>
      <c r="X281" s="2">
        <v>0.11799999999999999</v>
      </c>
      <c r="Y281" s="2">
        <v>4</v>
      </c>
      <c r="Z281" s="2">
        <v>0.41699999999999998</v>
      </c>
      <c r="AA281" s="2">
        <v>0.2</v>
      </c>
      <c r="AB281" s="2">
        <v>0</v>
      </c>
      <c r="AC281" s="2">
        <v>0</v>
      </c>
    </row>
    <row r="282" spans="1:29" x14ac:dyDescent="0.2">
      <c r="A282" t="s">
        <v>524</v>
      </c>
      <c r="B282" s="2">
        <v>21</v>
      </c>
      <c r="C282" t="s">
        <v>122</v>
      </c>
      <c r="D282" s="2" t="s">
        <v>49</v>
      </c>
      <c r="E282" s="2">
        <v>2</v>
      </c>
      <c r="F282" s="2">
        <v>0</v>
      </c>
      <c r="G282" s="2">
        <v>9</v>
      </c>
      <c r="H282" s="2">
        <v>0.66700000000000004</v>
      </c>
      <c r="I282" s="2">
        <v>8.6999999999999993</v>
      </c>
      <c r="J282" s="2">
        <v>0.66700000000000004</v>
      </c>
      <c r="K282" s="2">
        <v>0.66700000000000004</v>
      </c>
      <c r="L282" s="2">
        <v>0</v>
      </c>
      <c r="M282" s="2">
        <v>0</v>
      </c>
      <c r="N282" s="2">
        <v>0</v>
      </c>
      <c r="O282" s="2">
        <v>0.33300000000000002</v>
      </c>
      <c r="P282" s="2">
        <v>1</v>
      </c>
      <c r="Q282" s="2">
        <v>1</v>
      </c>
      <c r="R282" s="2"/>
      <c r="S282" s="2"/>
      <c r="T282" s="2"/>
      <c r="U282" s="2">
        <v>0</v>
      </c>
      <c r="V282" s="2">
        <v>0.5</v>
      </c>
      <c r="W282" s="2"/>
      <c r="X282" s="2">
        <v>0</v>
      </c>
      <c r="Y282" s="2">
        <v>0</v>
      </c>
      <c r="Z282" s="2">
        <v>1</v>
      </c>
      <c r="AA282" s="2">
        <v>0</v>
      </c>
      <c r="AB282" s="2">
        <v>0</v>
      </c>
      <c r="AC282" s="2">
        <v>0</v>
      </c>
    </row>
    <row r="283" spans="1:29" x14ac:dyDescent="0.2">
      <c r="A283" t="s">
        <v>564</v>
      </c>
      <c r="B283" s="2">
        <v>25</v>
      </c>
      <c r="C283" t="s">
        <v>135</v>
      </c>
      <c r="D283" s="2" t="s">
        <v>49</v>
      </c>
      <c r="E283" s="2">
        <v>1</v>
      </c>
      <c r="F283" s="2">
        <v>0</v>
      </c>
      <c r="G283" s="2">
        <v>6</v>
      </c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>
        <v>0</v>
      </c>
      <c r="Z283" s="2"/>
      <c r="AA283" s="2"/>
      <c r="AB283" s="2">
        <v>0</v>
      </c>
      <c r="AC283" s="2">
        <v>0</v>
      </c>
    </row>
    <row r="284" spans="1:29" x14ac:dyDescent="0.2">
      <c r="A284" t="s">
        <v>293</v>
      </c>
      <c r="B284" s="2">
        <v>30</v>
      </c>
      <c r="C284" t="s">
        <v>54</v>
      </c>
      <c r="D284" s="2" t="s">
        <v>42</v>
      </c>
      <c r="E284" s="2">
        <v>16</v>
      </c>
      <c r="F284" s="2">
        <v>16</v>
      </c>
      <c r="G284" s="2">
        <v>385</v>
      </c>
      <c r="H284" s="2">
        <v>0.42</v>
      </c>
      <c r="I284" s="2">
        <v>13.5</v>
      </c>
      <c r="J284" s="2">
        <v>0.57999999999999996</v>
      </c>
      <c r="K284" s="2">
        <v>0.26800000000000002</v>
      </c>
      <c r="L284" s="2">
        <v>0.26800000000000002</v>
      </c>
      <c r="M284" s="2">
        <v>4.4999999999999998E-2</v>
      </c>
      <c r="N284" s="2">
        <v>0</v>
      </c>
      <c r="O284" s="2">
        <v>0.42</v>
      </c>
      <c r="P284" s="2">
        <v>0.50800000000000001</v>
      </c>
      <c r="Q284" s="2">
        <v>0.66700000000000004</v>
      </c>
      <c r="R284" s="2">
        <v>0.36699999999999999</v>
      </c>
      <c r="S284" s="2">
        <v>0.4</v>
      </c>
      <c r="T284" s="2"/>
      <c r="U284" s="2">
        <v>0.29799999999999999</v>
      </c>
      <c r="V284" s="2">
        <v>0.57599999999999996</v>
      </c>
      <c r="W284" s="2">
        <v>0.92900000000000005</v>
      </c>
      <c r="X284" s="2">
        <v>8.8999999999999996E-2</v>
      </c>
      <c r="Y284" s="2">
        <v>7</v>
      </c>
      <c r="Z284" s="2">
        <v>8.5000000000000006E-2</v>
      </c>
      <c r="AA284" s="2">
        <v>0.5</v>
      </c>
      <c r="AB284" s="2">
        <v>0</v>
      </c>
      <c r="AC284" s="2">
        <v>0</v>
      </c>
    </row>
    <row r="285" spans="1:29" x14ac:dyDescent="0.2">
      <c r="A285" t="s">
        <v>423</v>
      </c>
      <c r="B285" s="2">
        <v>24</v>
      </c>
      <c r="C285" t="s">
        <v>77</v>
      </c>
      <c r="D285" s="2" t="s">
        <v>42</v>
      </c>
      <c r="E285" s="2">
        <v>16</v>
      </c>
      <c r="F285" s="2">
        <v>0</v>
      </c>
      <c r="G285" s="2">
        <v>139</v>
      </c>
      <c r="H285" s="2">
        <v>0.75</v>
      </c>
      <c r="I285" s="2">
        <v>3</v>
      </c>
      <c r="J285" s="2">
        <v>1</v>
      </c>
      <c r="K285" s="2">
        <v>0.75</v>
      </c>
      <c r="L285" s="2">
        <v>0.15</v>
      </c>
      <c r="M285" s="2">
        <v>0.1</v>
      </c>
      <c r="N285" s="2">
        <v>0</v>
      </c>
      <c r="O285" s="2">
        <v>0</v>
      </c>
      <c r="P285" s="2">
        <v>0.75</v>
      </c>
      <c r="Q285" s="2">
        <v>0.86699999999999999</v>
      </c>
      <c r="R285" s="2">
        <v>0.66700000000000004</v>
      </c>
      <c r="S285" s="2">
        <v>0</v>
      </c>
      <c r="T285" s="2"/>
      <c r="U285" s="2"/>
      <c r="V285" s="2">
        <v>0.8</v>
      </c>
      <c r="W285" s="2"/>
      <c r="X285" s="2">
        <v>0.65</v>
      </c>
      <c r="Y285" s="2">
        <v>12</v>
      </c>
      <c r="Z285" s="2"/>
      <c r="AA285" s="2"/>
      <c r="AB285" s="2">
        <v>0</v>
      </c>
      <c r="AC285" s="2">
        <v>0</v>
      </c>
    </row>
    <row r="286" spans="1:29" x14ac:dyDescent="0.2">
      <c r="A286" t="s">
        <v>55</v>
      </c>
      <c r="B286" s="2">
        <v>29</v>
      </c>
      <c r="C286" t="s">
        <v>44</v>
      </c>
      <c r="D286" s="2" t="s">
        <v>42</v>
      </c>
      <c r="E286" s="2">
        <v>23</v>
      </c>
      <c r="F286" s="2">
        <v>23</v>
      </c>
      <c r="G286" s="2">
        <v>781</v>
      </c>
      <c r="H286" s="2">
        <v>0.52900000000000003</v>
      </c>
      <c r="I286" s="2">
        <v>11.2</v>
      </c>
      <c r="J286" s="2">
        <v>0.68799999999999994</v>
      </c>
      <c r="K286" s="2">
        <v>0.35699999999999998</v>
      </c>
      <c r="L286" s="2">
        <v>0.25800000000000001</v>
      </c>
      <c r="M286" s="2">
        <v>0.06</v>
      </c>
      <c r="N286" s="2">
        <v>1.2999999999999999E-2</v>
      </c>
      <c r="O286" s="2">
        <v>0.313</v>
      </c>
      <c r="P286" s="2">
        <v>0.56799999999999995</v>
      </c>
      <c r="Q286" s="2">
        <v>0.65</v>
      </c>
      <c r="R286" s="2">
        <v>0.495</v>
      </c>
      <c r="S286" s="2">
        <v>0.52200000000000002</v>
      </c>
      <c r="T286" s="2">
        <v>0</v>
      </c>
      <c r="U286" s="2">
        <v>0.442</v>
      </c>
      <c r="V286" s="2">
        <v>0.57999999999999996</v>
      </c>
      <c r="W286" s="2">
        <v>0.98099999999999998</v>
      </c>
      <c r="X286" s="2">
        <v>7.0000000000000007E-2</v>
      </c>
      <c r="Y286" s="2">
        <v>26</v>
      </c>
      <c r="Z286" s="2">
        <v>3.3000000000000002E-2</v>
      </c>
      <c r="AA286" s="2">
        <v>0.25</v>
      </c>
      <c r="AB286" s="2">
        <v>0</v>
      </c>
      <c r="AC286" s="2">
        <v>0</v>
      </c>
    </row>
    <row r="287" spans="1:29" x14ac:dyDescent="0.2">
      <c r="A287" t="s">
        <v>530</v>
      </c>
      <c r="B287" s="2">
        <v>23</v>
      </c>
      <c r="C287" t="s">
        <v>117</v>
      </c>
      <c r="D287" s="2" t="s">
        <v>27</v>
      </c>
      <c r="E287" s="2">
        <v>5</v>
      </c>
      <c r="F287" s="2">
        <v>0</v>
      </c>
      <c r="G287" s="2">
        <v>39</v>
      </c>
      <c r="H287" s="2">
        <v>0.4</v>
      </c>
      <c r="I287" s="2">
        <v>1.7</v>
      </c>
      <c r="J287" s="2">
        <v>1</v>
      </c>
      <c r="K287" s="2">
        <v>0.8</v>
      </c>
      <c r="L287" s="2">
        <v>0.2</v>
      </c>
      <c r="M287" s="2">
        <v>0</v>
      </c>
      <c r="N287" s="2">
        <v>0</v>
      </c>
      <c r="O287" s="2">
        <v>0</v>
      </c>
      <c r="P287" s="2">
        <v>0.4</v>
      </c>
      <c r="Q287" s="2">
        <v>0.5</v>
      </c>
      <c r="R287" s="2">
        <v>0</v>
      </c>
      <c r="S287" s="2"/>
      <c r="T287" s="2"/>
      <c r="U287" s="2"/>
      <c r="V287" s="2">
        <v>0.5</v>
      </c>
      <c r="W287" s="2"/>
      <c r="X287" s="2">
        <v>0.2</v>
      </c>
      <c r="Y287" s="2">
        <v>0</v>
      </c>
      <c r="Z287" s="2"/>
      <c r="AA287" s="2"/>
      <c r="AB287" s="2">
        <v>0</v>
      </c>
      <c r="AC287" s="2">
        <v>0</v>
      </c>
    </row>
    <row r="288" spans="1:29" x14ac:dyDescent="0.2">
      <c r="A288" t="s">
        <v>396</v>
      </c>
      <c r="B288" s="2">
        <v>25</v>
      </c>
      <c r="C288" t="s">
        <v>72</v>
      </c>
      <c r="D288" s="2" t="s">
        <v>33</v>
      </c>
      <c r="E288" s="2">
        <v>12</v>
      </c>
      <c r="F288" s="2">
        <v>1</v>
      </c>
      <c r="G288" s="2">
        <v>194</v>
      </c>
      <c r="H288" s="2">
        <v>0.4</v>
      </c>
      <c r="I288" s="2">
        <v>16.899999999999999</v>
      </c>
      <c r="J288" s="2">
        <v>0.52700000000000002</v>
      </c>
      <c r="K288" s="2">
        <v>9.0999999999999998E-2</v>
      </c>
      <c r="L288" s="2">
        <v>0.255</v>
      </c>
      <c r="M288" s="2">
        <v>0.16400000000000001</v>
      </c>
      <c r="N288" s="2">
        <v>1.7999999999999999E-2</v>
      </c>
      <c r="O288" s="2">
        <v>0.47299999999999998</v>
      </c>
      <c r="P288" s="2">
        <v>0.48299999999999998</v>
      </c>
      <c r="Q288" s="2">
        <v>0.4</v>
      </c>
      <c r="R288" s="2">
        <v>0.57099999999999995</v>
      </c>
      <c r="S288" s="2">
        <v>0.44400000000000001</v>
      </c>
      <c r="T288" s="2">
        <v>0</v>
      </c>
      <c r="U288" s="2">
        <v>0.308</v>
      </c>
      <c r="V288" s="2">
        <v>0.35699999999999998</v>
      </c>
      <c r="W288" s="2">
        <v>0.75</v>
      </c>
      <c r="X288" s="2">
        <v>3.5999999999999997E-2</v>
      </c>
      <c r="Y288" s="2">
        <v>2</v>
      </c>
      <c r="Z288" s="2">
        <v>0.154</v>
      </c>
      <c r="AA288" s="2">
        <v>0.5</v>
      </c>
      <c r="AB288" s="2">
        <v>1</v>
      </c>
      <c r="AC288" s="2">
        <v>0</v>
      </c>
    </row>
    <row r="289" spans="1:29" x14ac:dyDescent="0.2">
      <c r="A289" t="s">
        <v>147</v>
      </c>
      <c r="B289" s="2">
        <v>24</v>
      </c>
      <c r="C289" t="s">
        <v>37</v>
      </c>
      <c r="D289" s="2" t="s">
        <v>27</v>
      </c>
      <c r="E289" s="2">
        <v>26</v>
      </c>
      <c r="F289" s="2">
        <v>26</v>
      </c>
      <c r="G289" s="2">
        <v>944</v>
      </c>
      <c r="H289" s="2">
        <v>0.42899999999999999</v>
      </c>
      <c r="I289" s="2">
        <v>16</v>
      </c>
      <c r="J289" s="2">
        <v>0.51</v>
      </c>
      <c r="K289" s="2">
        <v>0.16700000000000001</v>
      </c>
      <c r="L289" s="2">
        <v>0.19</v>
      </c>
      <c r="M289" s="2">
        <v>0.109</v>
      </c>
      <c r="N289" s="2">
        <v>4.3999999999999997E-2</v>
      </c>
      <c r="O289" s="2">
        <v>0.49</v>
      </c>
      <c r="P289" s="2">
        <v>0.55300000000000005</v>
      </c>
      <c r="Q289" s="2">
        <v>0.79600000000000004</v>
      </c>
      <c r="R289" s="2">
        <v>0.42899999999999999</v>
      </c>
      <c r="S289" s="2">
        <v>0.438</v>
      </c>
      <c r="T289" s="2">
        <v>0.46200000000000002</v>
      </c>
      <c r="U289" s="2">
        <v>0.29899999999999999</v>
      </c>
      <c r="V289" s="2">
        <v>0.627</v>
      </c>
      <c r="W289" s="2">
        <v>1</v>
      </c>
      <c r="X289" s="2">
        <v>7.0999999999999994E-2</v>
      </c>
      <c r="Y289" s="2">
        <v>20</v>
      </c>
      <c r="Z289" s="2">
        <v>0.38200000000000001</v>
      </c>
      <c r="AA289" s="2">
        <v>0.36399999999999999</v>
      </c>
      <c r="AB289" s="2">
        <v>0</v>
      </c>
      <c r="AC289" s="2">
        <v>0</v>
      </c>
    </row>
    <row r="290" spans="1:29" x14ac:dyDescent="0.2">
      <c r="A290" t="s">
        <v>455</v>
      </c>
      <c r="B290" s="2">
        <v>20</v>
      </c>
      <c r="C290" t="s">
        <v>61</v>
      </c>
      <c r="D290" s="2" t="s">
        <v>42</v>
      </c>
      <c r="E290" s="2">
        <v>10</v>
      </c>
      <c r="F290" s="2">
        <v>0</v>
      </c>
      <c r="G290" s="2">
        <v>69</v>
      </c>
      <c r="H290" s="2">
        <v>0.4</v>
      </c>
      <c r="I290" s="2">
        <v>11.6</v>
      </c>
      <c r="J290" s="2">
        <v>0.72</v>
      </c>
      <c r="K290" s="2">
        <v>0.24</v>
      </c>
      <c r="L290" s="2">
        <v>0.32</v>
      </c>
      <c r="M290" s="2">
        <v>0.08</v>
      </c>
      <c r="N290" s="2">
        <v>0.08</v>
      </c>
      <c r="O290" s="2">
        <v>0.28000000000000003</v>
      </c>
      <c r="P290" s="2">
        <v>0.44400000000000001</v>
      </c>
      <c r="Q290" s="2">
        <v>0.5</v>
      </c>
      <c r="R290" s="2">
        <v>0.375</v>
      </c>
      <c r="S290" s="2">
        <v>0.5</v>
      </c>
      <c r="T290" s="2">
        <v>0.5</v>
      </c>
      <c r="U290" s="2">
        <v>0.28599999999999998</v>
      </c>
      <c r="V290" s="2">
        <v>0.75</v>
      </c>
      <c r="W290" s="2">
        <v>1</v>
      </c>
      <c r="X290" s="2">
        <v>0.2</v>
      </c>
      <c r="Y290" s="2">
        <v>5</v>
      </c>
      <c r="Z290" s="2">
        <v>0.28599999999999998</v>
      </c>
      <c r="AA290" s="2">
        <v>0</v>
      </c>
      <c r="AB290" s="2">
        <v>0</v>
      </c>
      <c r="AC290" s="2">
        <v>0</v>
      </c>
    </row>
    <row r="291" spans="1:29" x14ac:dyDescent="0.2">
      <c r="A291" t="s">
        <v>164</v>
      </c>
      <c r="B291" s="2">
        <v>25</v>
      </c>
      <c r="C291" t="s">
        <v>93</v>
      </c>
      <c r="D291" s="2" t="s">
        <v>49</v>
      </c>
      <c r="E291" s="2">
        <v>23</v>
      </c>
      <c r="F291" s="2">
        <v>0</v>
      </c>
      <c r="G291" s="2">
        <v>583</v>
      </c>
      <c r="H291" s="2">
        <v>0.44800000000000001</v>
      </c>
      <c r="I291" s="2">
        <v>12.1</v>
      </c>
      <c r="J291" s="2">
        <v>0.61899999999999999</v>
      </c>
      <c r="K291" s="2">
        <v>0.28499999999999998</v>
      </c>
      <c r="L291" s="2">
        <v>0.29299999999999998</v>
      </c>
      <c r="M291" s="2">
        <v>2.5000000000000001E-2</v>
      </c>
      <c r="N291" s="2">
        <v>1.7000000000000001E-2</v>
      </c>
      <c r="O291" s="2">
        <v>0.38100000000000001</v>
      </c>
      <c r="P291" s="2">
        <v>0.54700000000000004</v>
      </c>
      <c r="Q291" s="2">
        <v>0.69099999999999995</v>
      </c>
      <c r="R291" s="2">
        <v>0.443</v>
      </c>
      <c r="S291" s="2">
        <v>0.5</v>
      </c>
      <c r="T291" s="2">
        <v>0</v>
      </c>
      <c r="U291" s="2">
        <v>0.28599999999999998</v>
      </c>
      <c r="V291" s="2">
        <v>0.63</v>
      </c>
      <c r="W291" s="2">
        <v>0.80800000000000005</v>
      </c>
      <c r="X291" s="2">
        <v>3.7999999999999999E-2</v>
      </c>
      <c r="Y291" s="2">
        <v>7</v>
      </c>
      <c r="Z291" s="2">
        <v>0.35199999999999998</v>
      </c>
      <c r="AA291" s="2">
        <v>0.313</v>
      </c>
      <c r="AB291" s="2">
        <v>0</v>
      </c>
      <c r="AC291" s="2">
        <v>0</v>
      </c>
    </row>
    <row r="292" spans="1:29" x14ac:dyDescent="0.2">
      <c r="A292" t="s">
        <v>472</v>
      </c>
      <c r="B292" s="2">
        <v>33</v>
      </c>
      <c r="C292" t="s">
        <v>66</v>
      </c>
      <c r="D292" s="2" t="s">
        <v>42</v>
      </c>
      <c r="E292" s="2">
        <v>3</v>
      </c>
      <c r="F292" s="2">
        <v>0</v>
      </c>
      <c r="G292" s="2">
        <v>41</v>
      </c>
      <c r="H292" s="2">
        <v>0.35299999999999998</v>
      </c>
      <c r="I292" s="2">
        <v>15.1</v>
      </c>
      <c r="J292" s="2">
        <v>0.58799999999999997</v>
      </c>
      <c r="K292" s="2">
        <v>0.17599999999999999</v>
      </c>
      <c r="L292" s="2">
        <v>0.23499999999999999</v>
      </c>
      <c r="M292" s="2">
        <v>5.8999999999999997E-2</v>
      </c>
      <c r="N292" s="2">
        <v>0.11799999999999999</v>
      </c>
      <c r="O292" s="2">
        <v>0.41199999999999998</v>
      </c>
      <c r="P292" s="2">
        <v>0.3</v>
      </c>
      <c r="Q292" s="2">
        <v>0.33300000000000002</v>
      </c>
      <c r="R292" s="2">
        <v>0</v>
      </c>
      <c r="S292" s="2">
        <v>1</v>
      </c>
      <c r="T292" s="2">
        <v>0.5</v>
      </c>
      <c r="U292" s="2">
        <v>0.42899999999999999</v>
      </c>
      <c r="V292" s="2">
        <v>0.33300000000000002</v>
      </c>
      <c r="W292" s="2">
        <v>0.66700000000000004</v>
      </c>
      <c r="X292" s="2">
        <v>0</v>
      </c>
      <c r="Y292" s="2">
        <v>0</v>
      </c>
      <c r="Z292" s="2">
        <v>0.14299999999999999</v>
      </c>
      <c r="AA292" s="2">
        <v>1</v>
      </c>
      <c r="AB292" s="2">
        <v>0</v>
      </c>
      <c r="AC292" s="2">
        <v>0</v>
      </c>
    </row>
    <row r="293" spans="1:29" x14ac:dyDescent="0.2">
      <c r="A293" t="s">
        <v>170</v>
      </c>
      <c r="B293" s="2">
        <v>29</v>
      </c>
      <c r="C293" t="s">
        <v>122</v>
      </c>
      <c r="D293" s="2" t="s">
        <v>49</v>
      </c>
      <c r="E293" s="2">
        <v>22</v>
      </c>
      <c r="F293" s="2">
        <v>19</v>
      </c>
      <c r="G293" s="2">
        <v>691</v>
      </c>
      <c r="H293" s="2">
        <v>0.44400000000000001</v>
      </c>
      <c r="I293" s="2">
        <v>13</v>
      </c>
      <c r="J293" s="2">
        <v>0.60099999999999998</v>
      </c>
      <c r="K293" s="2">
        <v>0.26700000000000002</v>
      </c>
      <c r="L293" s="2">
        <v>0.26300000000000001</v>
      </c>
      <c r="M293" s="2">
        <v>5.8000000000000003E-2</v>
      </c>
      <c r="N293" s="2">
        <v>1.2E-2</v>
      </c>
      <c r="O293" s="2">
        <v>0.39900000000000002</v>
      </c>
      <c r="P293" s="2">
        <v>0.52700000000000002</v>
      </c>
      <c r="Q293" s="2">
        <v>0.66200000000000003</v>
      </c>
      <c r="R293" s="2">
        <v>0.42199999999999999</v>
      </c>
      <c r="S293" s="2">
        <v>0.35699999999999998</v>
      </c>
      <c r="T293" s="2">
        <v>0.66700000000000004</v>
      </c>
      <c r="U293" s="2">
        <v>0.32</v>
      </c>
      <c r="V293" s="2">
        <v>0.54500000000000004</v>
      </c>
      <c r="W293" s="2">
        <v>1</v>
      </c>
      <c r="X293" s="2">
        <v>8.5999999999999993E-2</v>
      </c>
      <c r="Y293" s="2">
        <v>19</v>
      </c>
      <c r="Z293" s="2">
        <v>0.28899999999999998</v>
      </c>
      <c r="AA293" s="2">
        <v>0.25</v>
      </c>
      <c r="AB293" s="2">
        <v>0</v>
      </c>
      <c r="AC293" s="2">
        <v>0</v>
      </c>
    </row>
    <row r="294" spans="1:29" x14ac:dyDescent="0.2">
      <c r="A294" t="s">
        <v>364</v>
      </c>
      <c r="B294" s="2">
        <v>30</v>
      </c>
      <c r="C294" t="s">
        <v>32</v>
      </c>
      <c r="D294" s="2" t="s">
        <v>27</v>
      </c>
      <c r="E294" s="2">
        <v>14</v>
      </c>
      <c r="F294" s="2">
        <v>0</v>
      </c>
      <c r="G294" s="2">
        <v>185</v>
      </c>
      <c r="H294" s="2">
        <v>0.55400000000000005</v>
      </c>
      <c r="I294" s="2">
        <v>16.8</v>
      </c>
      <c r="J294" s="2">
        <v>0.44600000000000001</v>
      </c>
      <c r="K294" s="2">
        <v>0.214</v>
      </c>
      <c r="L294" s="2">
        <v>0.14299999999999999</v>
      </c>
      <c r="M294" s="2">
        <v>7.0999999999999994E-2</v>
      </c>
      <c r="N294" s="2">
        <v>1.7999999999999999E-2</v>
      </c>
      <c r="O294" s="2">
        <v>0.55400000000000005</v>
      </c>
      <c r="P294" s="2">
        <v>0.72</v>
      </c>
      <c r="Q294" s="2">
        <v>0.75</v>
      </c>
      <c r="R294" s="2">
        <v>0.75</v>
      </c>
      <c r="S294" s="2">
        <v>0.5</v>
      </c>
      <c r="T294" s="2">
        <v>1</v>
      </c>
      <c r="U294" s="2">
        <v>0.41899999999999998</v>
      </c>
      <c r="V294" s="2">
        <v>0.94399999999999995</v>
      </c>
      <c r="W294" s="2">
        <v>1</v>
      </c>
      <c r="X294" s="2">
        <v>0</v>
      </c>
      <c r="Y294" s="2">
        <v>0</v>
      </c>
      <c r="Z294" s="2">
        <v>0.161</v>
      </c>
      <c r="AA294" s="2">
        <v>0.4</v>
      </c>
      <c r="AB294" s="2">
        <v>0</v>
      </c>
      <c r="AC294" s="2">
        <v>0</v>
      </c>
    </row>
    <row r="295" spans="1:29" x14ac:dyDescent="0.2">
      <c r="A295" t="s">
        <v>219</v>
      </c>
      <c r="B295" s="2">
        <v>31</v>
      </c>
      <c r="C295" t="s">
        <v>48</v>
      </c>
      <c r="D295" s="2" t="s">
        <v>52</v>
      </c>
      <c r="E295" s="2">
        <v>26</v>
      </c>
      <c r="F295" s="2">
        <v>26</v>
      </c>
      <c r="G295" s="2">
        <v>786</v>
      </c>
      <c r="H295" s="2">
        <v>0.4</v>
      </c>
      <c r="I295" s="2">
        <v>19.399999999999999</v>
      </c>
      <c r="J295" s="2">
        <v>0.33</v>
      </c>
      <c r="K295" s="2">
        <v>0.16800000000000001</v>
      </c>
      <c r="L295" s="2">
        <v>4.2999999999999997E-2</v>
      </c>
      <c r="M295" s="2">
        <v>2.1999999999999999E-2</v>
      </c>
      <c r="N295" s="2">
        <v>9.7000000000000003E-2</v>
      </c>
      <c r="O295" s="2">
        <v>0.67</v>
      </c>
      <c r="P295" s="2">
        <v>0.60699999999999998</v>
      </c>
      <c r="Q295" s="2">
        <v>0.80600000000000005</v>
      </c>
      <c r="R295" s="2">
        <v>0.25</v>
      </c>
      <c r="S295" s="2">
        <v>0.25</v>
      </c>
      <c r="T295" s="2">
        <v>0.5</v>
      </c>
      <c r="U295" s="2">
        <v>0.29799999999999999</v>
      </c>
      <c r="V295" s="2">
        <v>0.67600000000000005</v>
      </c>
      <c r="W295" s="2">
        <v>0.86499999999999999</v>
      </c>
      <c r="X295" s="2">
        <v>3.7999999999999999E-2</v>
      </c>
      <c r="Y295" s="2">
        <v>7</v>
      </c>
      <c r="Z295" s="2">
        <v>0.34699999999999998</v>
      </c>
      <c r="AA295" s="2">
        <v>0.27900000000000003</v>
      </c>
      <c r="AB295" s="2">
        <v>0</v>
      </c>
      <c r="AC295" s="2">
        <v>0</v>
      </c>
    </row>
    <row r="296" spans="1:29" x14ac:dyDescent="0.2">
      <c r="A296" t="s">
        <v>277</v>
      </c>
      <c r="B296" s="2">
        <v>25</v>
      </c>
      <c r="C296" t="s">
        <v>37</v>
      </c>
      <c r="D296" s="2" t="s">
        <v>52</v>
      </c>
      <c r="E296" s="2">
        <v>24</v>
      </c>
      <c r="F296" s="2">
        <v>4</v>
      </c>
      <c r="G296" s="2">
        <v>491</v>
      </c>
      <c r="H296" s="2">
        <v>0.46700000000000003</v>
      </c>
      <c r="I296" s="2">
        <v>19.399999999999999</v>
      </c>
      <c r="J296" s="2">
        <v>0.27600000000000002</v>
      </c>
      <c r="K296" s="2">
        <v>0.114</v>
      </c>
      <c r="L296" s="2">
        <v>0.124</v>
      </c>
      <c r="M296" s="2">
        <v>1.9E-2</v>
      </c>
      <c r="N296" s="2">
        <v>1.9E-2</v>
      </c>
      <c r="O296" s="2">
        <v>0.72399999999999998</v>
      </c>
      <c r="P296" s="2">
        <v>0.58599999999999997</v>
      </c>
      <c r="Q296" s="2">
        <v>0.66700000000000004</v>
      </c>
      <c r="R296" s="2">
        <v>0.61499999999999999</v>
      </c>
      <c r="S296" s="2">
        <v>0</v>
      </c>
      <c r="T296" s="2">
        <v>0.5</v>
      </c>
      <c r="U296" s="2">
        <v>0.42099999999999999</v>
      </c>
      <c r="V296" s="2">
        <v>0.58799999999999997</v>
      </c>
      <c r="W296" s="2">
        <v>1</v>
      </c>
      <c r="X296" s="2">
        <v>2.9000000000000001E-2</v>
      </c>
      <c r="Y296" s="2">
        <v>3</v>
      </c>
      <c r="Z296" s="2">
        <v>0.5</v>
      </c>
      <c r="AA296" s="2">
        <v>0.55300000000000005</v>
      </c>
      <c r="AB296" s="2">
        <v>0</v>
      </c>
      <c r="AC296" s="2">
        <v>0</v>
      </c>
    </row>
    <row r="297" spans="1:29" x14ac:dyDescent="0.2">
      <c r="A297" t="s">
        <v>309</v>
      </c>
      <c r="B297" s="2">
        <v>22</v>
      </c>
      <c r="C297" t="s">
        <v>103</v>
      </c>
      <c r="D297" s="2" t="s">
        <v>52</v>
      </c>
      <c r="E297" s="2">
        <v>22</v>
      </c>
      <c r="F297" s="2">
        <v>3</v>
      </c>
      <c r="G297" s="2">
        <v>373</v>
      </c>
      <c r="H297" s="2">
        <v>0.34799999999999998</v>
      </c>
      <c r="I297" s="2">
        <v>17.3</v>
      </c>
      <c r="J297" s="2">
        <v>0.371</v>
      </c>
      <c r="K297" s="2">
        <v>0.24199999999999999</v>
      </c>
      <c r="L297" s="2">
        <v>0.106</v>
      </c>
      <c r="M297" s="2">
        <v>1.4999999999999999E-2</v>
      </c>
      <c r="N297" s="2">
        <v>8.0000000000000002E-3</v>
      </c>
      <c r="O297" s="2">
        <v>0.629</v>
      </c>
      <c r="P297" s="2">
        <v>0.42899999999999999</v>
      </c>
      <c r="Q297" s="2">
        <v>0.46899999999999997</v>
      </c>
      <c r="R297" s="2">
        <v>0.28599999999999998</v>
      </c>
      <c r="S297" s="2">
        <v>0.5</v>
      </c>
      <c r="T297" s="2">
        <v>1</v>
      </c>
      <c r="U297" s="2">
        <v>0.30099999999999999</v>
      </c>
      <c r="V297" s="2">
        <v>0.57099999999999995</v>
      </c>
      <c r="W297" s="2">
        <v>1</v>
      </c>
      <c r="X297" s="2">
        <v>6.8000000000000005E-2</v>
      </c>
      <c r="Y297" s="2">
        <v>4</v>
      </c>
      <c r="Z297" s="2">
        <v>0.36099999999999999</v>
      </c>
      <c r="AA297" s="2">
        <v>0.33300000000000002</v>
      </c>
      <c r="AB297" s="2">
        <v>0</v>
      </c>
      <c r="AC297" s="2">
        <v>0</v>
      </c>
    </row>
    <row r="298" spans="1:29" x14ac:dyDescent="0.2">
      <c r="A298" t="s">
        <v>546</v>
      </c>
      <c r="B298" s="2">
        <v>23</v>
      </c>
      <c r="C298" t="s">
        <v>61</v>
      </c>
      <c r="D298" s="2" t="s">
        <v>49</v>
      </c>
      <c r="E298" s="2">
        <v>2</v>
      </c>
      <c r="F298" s="2">
        <v>0</v>
      </c>
      <c r="G298" s="2">
        <v>12</v>
      </c>
      <c r="H298" s="2">
        <v>0.5</v>
      </c>
      <c r="I298" s="2">
        <v>14.4</v>
      </c>
      <c r="J298" s="2">
        <v>0.5</v>
      </c>
      <c r="K298" s="2">
        <v>0.5</v>
      </c>
      <c r="L298" s="2">
        <v>0</v>
      </c>
      <c r="M298" s="2">
        <v>0</v>
      </c>
      <c r="N298" s="2">
        <v>0</v>
      </c>
      <c r="O298" s="2">
        <v>0.5</v>
      </c>
      <c r="P298" s="2">
        <v>1</v>
      </c>
      <c r="Q298" s="2">
        <v>1</v>
      </c>
      <c r="R298" s="2"/>
      <c r="S298" s="2"/>
      <c r="T298" s="2"/>
      <c r="U298" s="2">
        <v>0</v>
      </c>
      <c r="V298" s="2">
        <v>1</v>
      </c>
      <c r="W298" s="2"/>
      <c r="X298" s="2">
        <v>0.5</v>
      </c>
      <c r="Y298" s="2">
        <v>1</v>
      </c>
      <c r="Z298" s="2">
        <v>0</v>
      </c>
      <c r="AA298" s="2"/>
      <c r="AB298" s="2">
        <v>0</v>
      </c>
      <c r="AC298" s="2">
        <v>0</v>
      </c>
    </row>
    <row r="299" spans="1:29" x14ac:dyDescent="0.2">
      <c r="A299" t="s">
        <v>557</v>
      </c>
      <c r="B299" s="2">
        <v>24</v>
      </c>
      <c r="C299" t="s">
        <v>63</v>
      </c>
      <c r="D299" s="2" t="s">
        <v>49</v>
      </c>
      <c r="E299" s="2">
        <v>5</v>
      </c>
      <c r="F299" s="2">
        <v>0</v>
      </c>
      <c r="G299" s="2">
        <v>10</v>
      </c>
      <c r="H299" s="2">
        <v>0</v>
      </c>
      <c r="I299" s="2">
        <v>24.3</v>
      </c>
      <c r="J299" s="2">
        <v>0</v>
      </c>
      <c r="K299" s="2">
        <v>0</v>
      </c>
      <c r="L299" s="2">
        <v>0</v>
      </c>
      <c r="M299" s="2">
        <v>0</v>
      </c>
      <c r="N299" s="2">
        <v>0</v>
      </c>
      <c r="O299" s="2">
        <v>1</v>
      </c>
      <c r="P299" s="2"/>
      <c r="Q299" s="2"/>
      <c r="R299" s="2"/>
      <c r="S299" s="2"/>
      <c r="T299" s="2"/>
      <c r="U299" s="2">
        <v>0</v>
      </c>
      <c r="V299" s="2"/>
      <c r="W299" s="2"/>
      <c r="X299" s="2">
        <v>0</v>
      </c>
      <c r="Y299" s="2">
        <v>0</v>
      </c>
      <c r="Z299" s="2">
        <v>0.5</v>
      </c>
      <c r="AA299" s="2">
        <v>0</v>
      </c>
      <c r="AB299" s="2">
        <v>0</v>
      </c>
      <c r="AC299" s="2">
        <v>0</v>
      </c>
    </row>
    <row r="300" spans="1:29" x14ac:dyDescent="0.2">
      <c r="A300" t="s">
        <v>140</v>
      </c>
      <c r="B300" s="2">
        <v>36</v>
      </c>
      <c r="C300" t="s">
        <v>54</v>
      </c>
      <c r="D300" s="2" t="s">
        <v>27</v>
      </c>
      <c r="E300" s="2">
        <v>13</v>
      </c>
      <c r="F300" s="2">
        <v>13</v>
      </c>
      <c r="G300" s="2">
        <v>464</v>
      </c>
      <c r="H300" s="2">
        <v>0.53600000000000003</v>
      </c>
      <c r="I300" s="2">
        <v>15.2</v>
      </c>
      <c r="J300" s="2">
        <v>0.65200000000000002</v>
      </c>
      <c r="K300" s="2">
        <v>0.152</v>
      </c>
      <c r="L300" s="2">
        <v>0.11600000000000001</v>
      </c>
      <c r="M300" s="2">
        <v>0.308</v>
      </c>
      <c r="N300" s="2">
        <v>7.5999999999999998E-2</v>
      </c>
      <c r="O300" s="2">
        <v>0.34799999999999998</v>
      </c>
      <c r="P300" s="2">
        <v>0.58199999999999996</v>
      </c>
      <c r="Q300" s="2">
        <v>0.85299999999999998</v>
      </c>
      <c r="R300" s="2">
        <v>0.65400000000000003</v>
      </c>
      <c r="S300" s="2">
        <v>0.44900000000000001</v>
      </c>
      <c r="T300" s="2">
        <v>0.47099999999999997</v>
      </c>
      <c r="U300" s="2">
        <v>0.44900000000000001</v>
      </c>
      <c r="V300" s="2">
        <v>0.45900000000000002</v>
      </c>
      <c r="W300" s="2">
        <v>0.82899999999999996</v>
      </c>
      <c r="X300" s="2">
        <v>4.4999999999999998E-2</v>
      </c>
      <c r="Y300" s="2">
        <v>10</v>
      </c>
      <c r="Z300" s="2">
        <v>0.128</v>
      </c>
      <c r="AA300" s="2">
        <v>0.3</v>
      </c>
      <c r="AB300" s="2">
        <v>0</v>
      </c>
      <c r="AC300" s="2">
        <v>0</v>
      </c>
    </row>
    <row r="301" spans="1:29" x14ac:dyDescent="0.2">
      <c r="A301" t="s">
        <v>208</v>
      </c>
      <c r="B301" s="2">
        <v>26</v>
      </c>
      <c r="C301" t="s">
        <v>37</v>
      </c>
      <c r="D301" s="2" t="s">
        <v>52</v>
      </c>
      <c r="E301" s="2">
        <v>23</v>
      </c>
      <c r="F301" s="2">
        <v>15</v>
      </c>
      <c r="G301" s="2">
        <v>589</v>
      </c>
      <c r="H301" s="2">
        <v>0.43099999999999999</v>
      </c>
      <c r="I301" s="2">
        <v>19.399999999999999</v>
      </c>
      <c r="J301" s="2">
        <v>0.33200000000000002</v>
      </c>
      <c r="K301" s="2">
        <v>0.13900000000000001</v>
      </c>
      <c r="L301" s="2">
        <v>0.109</v>
      </c>
      <c r="M301" s="2">
        <v>0.05</v>
      </c>
      <c r="N301" s="2">
        <v>3.5000000000000003E-2</v>
      </c>
      <c r="O301" s="2">
        <v>0.66800000000000004</v>
      </c>
      <c r="P301" s="2">
        <v>0.67200000000000004</v>
      </c>
      <c r="Q301" s="2">
        <v>0.78600000000000003</v>
      </c>
      <c r="R301" s="2">
        <v>0.59099999999999997</v>
      </c>
      <c r="S301" s="2">
        <v>0.6</v>
      </c>
      <c r="T301" s="2">
        <v>0.57099999999999995</v>
      </c>
      <c r="U301" s="2">
        <v>0.311</v>
      </c>
      <c r="V301" s="2">
        <v>0.82199999999999995</v>
      </c>
      <c r="W301" s="2">
        <v>0.95199999999999996</v>
      </c>
      <c r="X301" s="2">
        <v>0.01</v>
      </c>
      <c r="Y301" s="2">
        <v>2</v>
      </c>
      <c r="Z301" s="2">
        <v>0.23</v>
      </c>
      <c r="AA301" s="2">
        <v>0.35499999999999998</v>
      </c>
      <c r="AB301" s="2">
        <v>1</v>
      </c>
      <c r="AC301" s="2">
        <v>0</v>
      </c>
    </row>
    <row r="302" spans="1:29" x14ac:dyDescent="0.2">
      <c r="A302" t="s">
        <v>358</v>
      </c>
      <c r="B302" s="2">
        <v>36</v>
      </c>
      <c r="C302" t="s">
        <v>61</v>
      </c>
      <c r="D302" s="2" t="s">
        <v>27</v>
      </c>
      <c r="E302" s="2">
        <v>13</v>
      </c>
      <c r="F302" s="2">
        <v>4</v>
      </c>
      <c r="G302" s="2">
        <v>153</v>
      </c>
      <c r="H302" s="2">
        <v>0.36699999999999999</v>
      </c>
      <c r="I302" s="2">
        <v>17.5</v>
      </c>
      <c r="J302" s="2">
        <v>0.40500000000000003</v>
      </c>
      <c r="K302" s="2">
        <v>0.215</v>
      </c>
      <c r="L302" s="2">
        <v>0.13900000000000001</v>
      </c>
      <c r="M302" s="2">
        <v>2.5000000000000001E-2</v>
      </c>
      <c r="N302" s="2">
        <v>2.5000000000000001E-2</v>
      </c>
      <c r="O302" s="2">
        <v>0.59499999999999997</v>
      </c>
      <c r="P302" s="2">
        <v>0.34399999999999997</v>
      </c>
      <c r="Q302" s="2">
        <v>0.35299999999999998</v>
      </c>
      <c r="R302" s="2">
        <v>0.36399999999999999</v>
      </c>
      <c r="S302" s="2">
        <v>0</v>
      </c>
      <c r="T302" s="2">
        <v>0.5</v>
      </c>
      <c r="U302" s="2">
        <v>0.38300000000000001</v>
      </c>
      <c r="V302" s="2">
        <v>0.45500000000000002</v>
      </c>
      <c r="W302" s="2">
        <v>0.94399999999999995</v>
      </c>
      <c r="X302" s="2">
        <v>0</v>
      </c>
      <c r="Y302" s="2">
        <v>0</v>
      </c>
      <c r="Z302" s="2">
        <v>0.21299999999999999</v>
      </c>
      <c r="AA302" s="2">
        <v>0.3</v>
      </c>
      <c r="AB302" s="2">
        <v>1</v>
      </c>
      <c r="AC302" s="2">
        <v>0</v>
      </c>
    </row>
    <row r="303" spans="1:29" x14ac:dyDescent="0.2">
      <c r="A303" t="s">
        <v>227</v>
      </c>
      <c r="B303" s="2">
        <v>24</v>
      </c>
      <c r="C303" t="s">
        <v>77</v>
      </c>
      <c r="D303" s="2" t="s">
        <v>52</v>
      </c>
      <c r="E303" s="2">
        <v>22</v>
      </c>
      <c r="F303" s="2">
        <v>1</v>
      </c>
      <c r="G303" s="2">
        <v>429</v>
      </c>
      <c r="H303" s="2">
        <v>0.41699999999999998</v>
      </c>
      <c r="I303" s="2">
        <v>14.1</v>
      </c>
      <c r="J303" s="2">
        <v>0.73499999999999999</v>
      </c>
      <c r="K303" s="2">
        <v>0.13700000000000001</v>
      </c>
      <c r="L303" s="2">
        <v>0.25</v>
      </c>
      <c r="M303" s="2">
        <v>0.216</v>
      </c>
      <c r="N303" s="2">
        <v>0.13200000000000001</v>
      </c>
      <c r="O303" s="2">
        <v>0.26500000000000001</v>
      </c>
      <c r="P303" s="2">
        <v>0.49299999999999999</v>
      </c>
      <c r="Q303" s="2">
        <v>0.82099999999999995</v>
      </c>
      <c r="R303" s="2">
        <v>0.47099999999999997</v>
      </c>
      <c r="S303" s="2">
        <v>0.40899999999999997</v>
      </c>
      <c r="T303" s="2">
        <v>0.33300000000000002</v>
      </c>
      <c r="U303" s="2">
        <v>0.20399999999999999</v>
      </c>
      <c r="V303" s="2">
        <v>0.27</v>
      </c>
      <c r="W303" s="2">
        <v>0.54500000000000004</v>
      </c>
      <c r="X303" s="2">
        <v>4.3999999999999997E-2</v>
      </c>
      <c r="Y303" s="2">
        <v>7</v>
      </c>
      <c r="Z303" s="2">
        <v>7.3999999999999996E-2</v>
      </c>
      <c r="AA303" s="2">
        <v>0.5</v>
      </c>
      <c r="AB303" s="2">
        <v>0</v>
      </c>
      <c r="AC303" s="2">
        <v>0</v>
      </c>
    </row>
    <row r="304" spans="1:29" x14ac:dyDescent="0.2">
      <c r="A304" t="s">
        <v>315</v>
      </c>
      <c r="B304" s="2">
        <v>28</v>
      </c>
      <c r="C304" t="s">
        <v>100</v>
      </c>
      <c r="D304" s="2" t="s">
        <v>42</v>
      </c>
      <c r="E304" s="2">
        <v>22</v>
      </c>
      <c r="F304" s="2">
        <v>3</v>
      </c>
      <c r="G304" s="2">
        <v>360</v>
      </c>
      <c r="H304" s="2">
        <v>0.53100000000000003</v>
      </c>
      <c r="I304" s="2">
        <v>4</v>
      </c>
      <c r="J304" s="2">
        <v>1</v>
      </c>
      <c r="K304" s="2">
        <v>0.57299999999999995</v>
      </c>
      <c r="L304" s="2">
        <v>0.313</v>
      </c>
      <c r="M304" s="2">
        <v>4.2000000000000003E-2</v>
      </c>
      <c r="N304" s="2">
        <v>7.2999999999999995E-2</v>
      </c>
      <c r="O304" s="2">
        <v>0</v>
      </c>
      <c r="P304" s="2">
        <v>0.53100000000000003</v>
      </c>
      <c r="Q304" s="2">
        <v>0.70899999999999996</v>
      </c>
      <c r="R304" s="2">
        <v>0.33300000000000002</v>
      </c>
      <c r="S304" s="2">
        <v>0</v>
      </c>
      <c r="T304" s="2">
        <v>0.28599999999999998</v>
      </c>
      <c r="U304" s="2"/>
      <c r="V304" s="2">
        <v>0.49</v>
      </c>
      <c r="W304" s="2"/>
      <c r="X304" s="2">
        <v>9.4E-2</v>
      </c>
      <c r="Y304" s="2">
        <v>9</v>
      </c>
      <c r="Z304" s="2"/>
      <c r="AA304" s="2"/>
      <c r="AB304" s="2">
        <v>0</v>
      </c>
      <c r="AC304" s="2">
        <v>0</v>
      </c>
    </row>
    <row r="305" spans="1:29" x14ac:dyDescent="0.2">
      <c r="A305" t="s">
        <v>130</v>
      </c>
      <c r="B305" s="2">
        <v>21</v>
      </c>
      <c r="C305" t="s">
        <v>120</v>
      </c>
      <c r="D305" s="2" t="s">
        <v>33</v>
      </c>
      <c r="E305" s="2">
        <v>22</v>
      </c>
      <c r="F305" s="2">
        <v>22</v>
      </c>
      <c r="G305" s="2">
        <v>694</v>
      </c>
      <c r="H305" s="2">
        <v>0.39400000000000002</v>
      </c>
      <c r="I305" s="2">
        <v>17.8</v>
      </c>
      <c r="J305" s="2">
        <v>0.437</v>
      </c>
      <c r="K305" s="2">
        <v>8.8999999999999996E-2</v>
      </c>
      <c r="L305" s="2">
        <v>0.23200000000000001</v>
      </c>
      <c r="M305" s="2">
        <v>9.2999999999999999E-2</v>
      </c>
      <c r="N305" s="2">
        <v>2.3E-2</v>
      </c>
      <c r="O305" s="2">
        <v>0.56299999999999994</v>
      </c>
      <c r="P305" s="2">
        <v>0.47</v>
      </c>
      <c r="Q305" s="2">
        <v>0.70399999999999996</v>
      </c>
      <c r="R305" s="2">
        <v>0.42899999999999999</v>
      </c>
      <c r="S305" s="2">
        <v>0.32100000000000001</v>
      </c>
      <c r="T305" s="2">
        <v>0.57099999999999995</v>
      </c>
      <c r="U305" s="2">
        <v>0.33500000000000002</v>
      </c>
      <c r="V305" s="2">
        <v>0.38700000000000001</v>
      </c>
      <c r="W305" s="2">
        <v>0.754</v>
      </c>
      <c r="X305" s="2">
        <v>0.02</v>
      </c>
      <c r="Y305" s="2">
        <v>5</v>
      </c>
      <c r="Z305" s="2">
        <v>0.13500000000000001</v>
      </c>
      <c r="AA305" s="2">
        <v>0.52200000000000002</v>
      </c>
      <c r="AB305" s="2">
        <v>0</v>
      </c>
      <c r="AC305" s="2">
        <v>0</v>
      </c>
    </row>
    <row r="306" spans="1:29" x14ac:dyDescent="0.2">
      <c r="A306" t="s">
        <v>459</v>
      </c>
      <c r="B306" s="2">
        <v>33</v>
      </c>
      <c r="C306" t="s">
        <v>35</v>
      </c>
      <c r="D306" s="2" t="s">
        <v>49</v>
      </c>
      <c r="E306" s="2">
        <v>3</v>
      </c>
      <c r="F306" s="2">
        <v>0</v>
      </c>
      <c r="G306" s="2">
        <v>63</v>
      </c>
      <c r="H306" s="2">
        <v>0.25</v>
      </c>
      <c r="I306" s="2">
        <v>16.100000000000001</v>
      </c>
      <c r="J306" s="2">
        <v>0.65</v>
      </c>
      <c r="K306" s="2">
        <v>0.1</v>
      </c>
      <c r="L306" s="2">
        <v>0.2</v>
      </c>
      <c r="M306" s="2">
        <v>0.25</v>
      </c>
      <c r="N306" s="2">
        <v>0.1</v>
      </c>
      <c r="O306" s="2">
        <v>0.35</v>
      </c>
      <c r="P306" s="2">
        <v>0.23100000000000001</v>
      </c>
      <c r="Q306" s="2">
        <v>0</v>
      </c>
      <c r="R306" s="2">
        <v>0</v>
      </c>
      <c r="S306" s="2">
        <v>0.4</v>
      </c>
      <c r="T306" s="2">
        <v>0.5</v>
      </c>
      <c r="U306" s="2">
        <v>0.28599999999999998</v>
      </c>
      <c r="V306" s="2">
        <v>0.33300000000000002</v>
      </c>
      <c r="W306" s="2">
        <v>1</v>
      </c>
      <c r="X306" s="2">
        <v>0</v>
      </c>
      <c r="Y306" s="2">
        <v>0</v>
      </c>
      <c r="Z306" s="2">
        <v>0.14299999999999999</v>
      </c>
      <c r="AA306" s="2">
        <v>1</v>
      </c>
      <c r="AB306" s="2">
        <v>0</v>
      </c>
      <c r="AC306" s="2">
        <v>0</v>
      </c>
    </row>
    <row r="307" spans="1:29" x14ac:dyDescent="0.2">
      <c r="A307" t="s">
        <v>306</v>
      </c>
      <c r="B307" s="2">
        <v>24</v>
      </c>
      <c r="C307" t="s">
        <v>122</v>
      </c>
      <c r="D307" s="2" t="s">
        <v>27</v>
      </c>
      <c r="E307" s="2">
        <v>19</v>
      </c>
      <c r="F307" s="2">
        <v>3</v>
      </c>
      <c r="G307" s="2">
        <v>359</v>
      </c>
      <c r="H307" s="2">
        <v>0.64500000000000002</v>
      </c>
      <c r="I307" s="2">
        <v>6.6</v>
      </c>
      <c r="J307" s="2">
        <v>0.81599999999999995</v>
      </c>
      <c r="K307" s="2">
        <v>0.55300000000000005</v>
      </c>
      <c r="L307" s="2">
        <v>0.25</v>
      </c>
      <c r="M307" s="2">
        <v>0</v>
      </c>
      <c r="N307" s="2">
        <v>1.2999999999999999E-2</v>
      </c>
      <c r="O307" s="2">
        <v>0.184</v>
      </c>
      <c r="P307" s="2">
        <v>0.71</v>
      </c>
      <c r="Q307" s="2">
        <v>0.76200000000000001</v>
      </c>
      <c r="R307" s="2">
        <v>0.57899999999999996</v>
      </c>
      <c r="S307" s="2"/>
      <c r="T307" s="2">
        <v>1</v>
      </c>
      <c r="U307" s="2">
        <v>0.35699999999999998</v>
      </c>
      <c r="V307" s="2">
        <v>0.75</v>
      </c>
      <c r="W307" s="2">
        <v>1</v>
      </c>
      <c r="X307" s="2">
        <v>0.28899999999999998</v>
      </c>
      <c r="Y307" s="2">
        <v>21</v>
      </c>
      <c r="Z307" s="2">
        <v>0.57099999999999995</v>
      </c>
      <c r="AA307" s="2">
        <v>0.5</v>
      </c>
      <c r="AB307" s="2">
        <v>0</v>
      </c>
      <c r="AC307" s="2">
        <v>0</v>
      </c>
    </row>
    <row r="308" spans="1:29" x14ac:dyDescent="0.2">
      <c r="A308" t="s">
        <v>427</v>
      </c>
      <c r="B308" s="2">
        <v>22</v>
      </c>
      <c r="C308" t="s">
        <v>59</v>
      </c>
      <c r="D308" s="2" t="s">
        <v>33</v>
      </c>
      <c r="E308" s="2">
        <v>8</v>
      </c>
      <c r="F308" s="2">
        <v>0</v>
      </c>
      <c r="G308" s="2">
        <v>116</v>
      </c>
      <c r="H308" s="2">
        <v>0.308</v>
      </c>
      <c r="I308" s="2">
        <v>15.8</v>
      </c>
      <c r="J308" s="2">
        <v>0.51300000000000001</v>
      </c>
      <c r="K308" s="2">
        <v>0.25600000000000001</v>
      </c>
      <c r="L308" s="2">
        <v>7.6999999999999999E-2</v>
      </c>
      <c r="M308" s="2">
        <v>0.128</v>
      </c>
      <c r="N308" s="2">
        <v>5.0999999999999997E-2</v>
      </c>
      <c r="O308" s="2">
        <v>0.48699999999999999</v>
      </c>
      <c r="P308" s="2">
        <v>0.45</v>
      </c>
      <c r="Q308" s="2">
        <v>0.5</v>
      </c>
      <c r="R308" s="2">
        <v>0.66700000000000004</v>
      </c>
      <c r="S308" s="2">
        <v>0.2</v>
      </c>
      <c r="T308" s="2">
        <v>0.5</v>
      </c>
      <c r="U308" s="2">
        <v>0.158</v>
      </c>
      <c r="V308" s="2">
        <v>0.33300000000000002</v>
      </c>
      <c r="W308" s="2">
        <v>1</v>
      </c>
      <c r="X308" s="2">
        <v>5.0999999999999997E-2</v>
      </c>
      <c r="Y308" s="2">
        <v>2</v>
      </c>
      <c r="Z308" s="2">
        <v>0.158</v>
      </c>
      <c r="AA308" s="2">
        <v>0</v>
      </c>
      <c r="AB308" s="2">
        <v>0</v>
      </c>
      <c r="AC308" s="2">
        <v>0</v>
      </c>
    </row>
    <row r="309" spans="1:29" x14ac:dyDescent="0.2">
      <c r="A309" t="s">
        <v>173</v>
      </c>
      <c r="B309" s="2">
        <v>34</v>
      </c>
      <c r="C309" t="s">
        <v>63</v>
      </c>
      <c r="D309" s="2" t="s">
        <v>49</v>
      </c>
      <c r="E309" s="2">
        <v>21</v>
      </c>
      <c r="F309" s="2">
        <v>21</v>
      </c>
      <c r="G309" s="2">
        <v>579</v>
      </c>
      <c r="H309" s="2">
        <v>0.39500000000000002</v>
      </c>
      <c r="I309" s="2">
        <v>20</v>
      </c>
      <c r="J309" s="2">
        <v>0.35599999999999998</v>
      </c>
      <c r="K309" s="2">
        <v>4.7E-2</v>
      </c>
      <c r="L309" s="2">
        <v>0.10299999999999999</v>
      </c>
      <c r="M309" s="2">
        <v>0.123</v>
      </c>
      <c r="N309" s="2">
        <v>8.3000000000000004E-2</v>
      </c>
      <c r="O309" s="2">
        <v>0.64400000000000002</v>
      </c>
      <c r="P309" s="2">
        <v>0.433</v>
      </c>
      <c r="Q309" s="2">
        <v>0.66700000000000004</v>
      </c>
      <c r="R309" s="2">
        <v>0.26900000000000002</v>
      </c>
      <c r="S309" s="2">
        <v>0.48399999999999999</v>
      </c>
      <c r="T309" s="2">
        <v>0.42899999999999999</v>
      </c>
      <c r="U309" s="2">
        <v>0.374</v>
      </c>
      <c r="V309" s="2">
        <v>0.69199999999999995</v>
      </c>
      <c r="W309" s="2">
        <v>0.96699999999999997</v>
      </c>
      <c r="X309" s="2">
        <v>0</v>
      </c>
      <c r="Y309" s="2">
        <v>0</v>
      </c>
      <c r="Z309" s="2">
        <v>0.29399999999999998</v>
      </c>
      <c r="AA309" s="2">
        <v>0.375</v>
      </c>
      <c r="AB309" s="2">
        <v>0</v>
      </c>
      <c r="AC309" s="2">
        <v>0</v>
      </c>
    </row>
    <row r="310" spans="1:29" x14ac:dyDescent="0.2">
      <c r="A310" t="s">
        <v>464</v>
      </c>
      <c r="B310" s="2">
        <v>25</v>
      </c>
      <c r="C310" t="s">
        <v>77</v>
      </c>
      <c r="D310" s="2" t="s">
        <v>27</v>
      </c>
      <c r="E310" s="2">
        <v>7</v>
      </c>
      <c r="F310" s="2">
        <v>0</v>
      </c>
      <c r="G310" s="2">
        <v>47</v>
      </c>
      <c r="H310" s="2">
        <v>0.45</v>
      </c>
      <c r="I310" s="2">
        <v>9.8000000000000007</v>
      </c>
      <c r="J310" s="2">
        <v>0.7</v>
      </c>
      <c r="K310" s="2">
        <v>0.3</v>
      </c>
      <c r="L310" s="2">
        <v>0.4</v>
      </c>
      <c r="M310" s="2">
        <v>0</v>
      </c>
      <c r="N310" s="2">
        <v>0</v>
      </c>
      <c r="O310" s="2">
        <v>0.3</v>
      </c>
      <c r="P310" s="2">
        <v>0.57099999999999995</v>
      </c>
      <c r="Q310" s="2">
        <v>0.66700000000000004</v>
      </c>
      <c r="R310" s="2">
        <v>0.5</v>
      </c>
      <c r="S310" s="2"/>
      <c r="T310" s="2"/>
      <c r="U310" s="2">
        <v>0.16700000000000001</v>
      </c>
      <c r="V310" s="2">
        <v>0.375</v>
      </c>
      <c r="W310" s="2">
        <v>1</v>
      </c>
      <c r="X310" s="2">
        <v>0.1</v>
      </c>
      <c r="Y310" s="2">
        <v>2</v>
      </c>
      <c r="Z310" s="2">
        <v>0.16700000000000001</v>
      </c>
      <c r="AA310" s="2">
        <v>0</v>
      </c>
      <c r="AB310" s="2">
        <v>0</v>
      </c>
      <c r="AC310" s="2">
        <v>0</v>
      </c>
    </row>
    <row r="311" spans="1:29" x14ac:dyDescent="0.2">
      <c r="A311" t="s">
        <v>401</v>
      </c>
      <c r="B311" s="2">
        <v>21</v>
      </c>
      <c r="C311" t="s">
        <v>72</v>
      </c>
      <c r="D311" s="2" t="s">
        <v>52</v>
      </c>
      <c r="E311" s="2">
        <v>10</v>
      </c>
      <c r="F311" s="2">
        <v>0</v>
      </c>
      <c r="G311" s="2">
        <v>124</v>
      </c>
      <c r="H311" s="2">
        <v>0.38300000000000001</v>
      </c>
      <c r="I311" s="2">
        <v>14.2</v>
      </c>
      <c r="J311" s="2">
        <v>0.59599999999999997</v>
      </c>
      <c r="K311" s="2">
        <v>0.255</v>
      </c>
      <c r="L311" s="2">
        <v>0.191</v>
      </c>
      <c r="M311" s="2">
        <v>0.106</v>
      </c>
      <c r="N311" s="2">
        <v>4.2999999999999997E-2</v>
      </c>
      <c r="O311" s="2">
        <v>0.40400000000000003</v>
      </c>
      <c r="P311" s="2">
        <v>0.5</v>
      </c>
      <c r="Q311" s="2">
        <v>0.41699999999999998</v>
      </c>
      <c r="R311" s="2">
        <v>0.77800000000000002</v>
      </c>
      <c r="S311" s="2">
        <v>0.2</v>
      </c>
      <c r="T311" s="2">
        <v>0.5</v>
      </c>
      <c r="U311" s="2">
        <v>0.21099999999999999</v>
      </c>
      <c r="V311" s="2">
        <v>0.42899999999999999</v>
      </c>
      <c r="W311" s="2">
        <v>1</v>
      </c>
      <c r="X311" s="2">
        <v>0</v>
      </c>
      <c r="Y311" s="2">
        <v>0</v>
      </c>
      <c r="Z311" s="2">
        <v>0.316</v>
      </c>
      <c r="AA311" s="2">
        <v>0.16700000000000001</v>
      </c>
      <c r="AB311" s="2">
        <v>1</v>
      </c>
      <c r="AC311" s="2">
        <v>0</v>
      </c>
    </row>
    <row r="312" spans="1:29" x14ac:dyDescent="0.2">
      <c r="A312" t="s">
        <v>266</v>
      </c>
      <c r="B312" s="2">
        <v>30</v>
      </c>
      <c r="C312" t="s">
        <v>77</v>
      </c>
      <c r="D312" s="2" t="s">
        <v>33</v>
      </c>
      <c r="E312" s="2">
        <v>25</v>
      </c>
      <c r="F312" s="2">
        <v>14</v>
      </c>
      <c r="G312" s="2">
        <v>565</v>
      </c>
      <c r="H312" s="2">
        <v>0.439</v>
      </c>
      <c r="I312" s="2">
        <v>15.4</v>
      </c>
      <c r="J312" s="2">
        <v>0.51600000000000001</v>
      </c>
      <c r="K312" s="2">
        <v>0.155</v>
      </c>
      <c r="L312" s="2">
        <v>0.245</v>
      </c>
      <c r="M312" s="2">
        <v>8.4000000000000005E-2</v>
      </c>
      <c r="N312" s="2">
        <v>3.2000000000000001E-2</v>
      </c>
      <c r="O312" s="2">
        <v>0.48399999999999999</v>
      </c>
      <c r="P312" s="2">
        <v>0.55000000000000004</v>
      </c>
      <c r="Q312" s="2">
        <v>0.66700000000000004</v>
      </c>
      <c r="R312" s="2">
        <v>0.47399999999999998</v>
      </c>
      <c r="S312" s="2">
        <v>0.61499999999999999</v>
      </c>
      <c r="T312" s="2">
        <v>0.4</v>
      </c>
      <c r="U312" s="2">
        <v>0.32</v>
      </c>
      <c r="V312" s="2">
        <v>0.47699999999999998</v>
      </c>
      <c r="W312" s="2">
        <v>0.83299999999999996</v>
      </c>
      <c r="X312" s="2">
        <v>1.2999999999999999E-2</v>
      </c>
      <c r="Y312" s="2">
        <v>2</v>
      </c>
      <c r="Z312" s="2">
        <v>0.41299999999999998</v>
      </c>
      <c r="AA312" s="2">
        <v>0.25800000000000001</v>
      </c>
      <c r="AB312" s="2">
        <v>0</v>
      </c>
      <c r="AC312" s="2">
        <v>0</v>
      </c>
    </row>
    <row r="313" spans="1:29" x14ac:dyDescent="0.2">
      <c r="A313" t="s">
        <v>345</v>
      </c>
      <c r="B313" s="2">
        <v>24</v>
      </c>
      <c r="C313" t="s">
        <v>135</v>
      </c>
      <c r="D313" s="2" t="s">
        <v>49</v>
      </c>
      <c r="E313" s="2">
        <v>21</v>
      </c>
      <c r="F313" s="2">
        <v>0</v>
      </c>
      <c r="G313" s="2">
        <v>267</v>
      </c>
      <c r="H313" s="2">
        <v>0.47499999999999998</v>
      </c>
      <c r="I313" s="2">
        <v>12</v>
      </c>
      <c r="J313" s="2">
        <v>0.58799999999999997</v>
      </c>
      <c r="K313" s="2">
        <v>0.375</v>
      </c>
      <c r="L313" s="2">
        <v>0.2</v>
      </c>
      <c r="M313" s="2">
        <v>0</v>
      </c>
      <c r="N313" s="2">
        <v>1.2999999999999999E-2</v>
      </c>
      <c r="O313" s="2">
        <v>0.41299999999999998</v>
      </c>
      <c r="P313" s="2">
        <v>0.57399999999999995</v>
      </c>
      <c r="Q313" s="2">
        <v>0.66700000000000004</v>
      </c>
      <c r="R313" s="2">
        <v>0.375</v>
      </c>
      <c r="S313" s="2"/>
      <c r="T313" s="2">
        <v>1</v>
      </c>
      <c r="U313" s="2">
        <v>0.33300000000000002</v>
      </c>
      <c r="V313" s="2">
        <v>0.55600000000000005</v>
      </c>
      <c r="W313" s="2">
        <v>0.90900000000000003</v>
      </c>
      <c r="X313" s="2">
        <v>0.15</v>
      </c>
      <c r="Y313" s="2">
        <v>11</v>
      </c>
      <c r="Z313" s="2">
        <v>0.60599999999999998</v>
      </c>
      <c r="AA313" s="2">
        <v>0.4</v>
      </c>
      <c r="AB313" s="2">
        <v>0</v>
      </c>
      <c r="AC313" s="2">
        <v>0</v>
      </c>
    </row>
    <row r="314" spans="1:29" x14ac:dyDescent="0.2">
      <c r="A314" t="s">
        <v>313</v>
      </c>
      <c r="B314" s="2">
        <v>29</v>
      </c>
      <c r="C314" t="s">
        <v>39</v>
      </c>
      <c r="D314" s="2" t="s">
        <v>42</v>
      </c>
      <c r="E314" s="2">
        <v>6</v>
      </c>
      <c r="F314" s="2">
        <v>6</v>
      </c>
      <c r="G314" s="2">
        <v>173</v>
      </c>
      <c r="H314" s="2">
        <v>0.45700000000000002</v>
      </c>
      <c r="I314" s="2">
        <v>17</v>
      </c>
      <c r="J314" s="2">
        <v>0.54300000000000004</v>
      </c>
      <c r="K314" s="2">
        <v>0.19600000000000001</v>
      </c>
      <c r="L314" s="2">
        <v>0.17399999999999999</v>
      </c>
      <c r="M314" s="2">
        <v>9.8000000000000004E-2</v>
      </c>
      <c r="N314" s="2">
        <v>7.5999999999999998E-2</v>
      </c>
      <c r="O314" s="2">
        <v>0.45700000000000002</v>
      </c>
      <c r="P314" s="2">
        <v>0.56000000000000005</v>
      </c>
      <c r="Q314" s="2">
        <v>0.72199999999999998</v>
      </c>
      <c r="R314" s="2">
        <v>0.5</v>
      </c>
      <c r="S314" s="2">
        <v>0.55600000000000005</v>
      </c>
      <c r="T314" s="2">
        <v>0.28599999999999998</v>
      </c>
      <c r="U314" s="2">
        <v>0.33300000000000002</v>
      </c>
      <c r="V314" s="2">
        <v>0.82099999999999995</v>
      </c>
      <c r="W314" s="2">
        <v>0.92900000000000005</v>
      </c>
      <c r="X314" s="2">
        <v>0.12</v>
      </c>
      <c r="Y314" s="2">
        <v>9</v>
      </c>
      <c r="Z314" s="2">
        <v>2.4E-2</v>
      </c>
      <c r="AA314" s="2">
        <v>0</v>
      </c>
      <c r="AB314" s="2">
        <v>0</v>
      </c>
      <c r="AC314" s="2">
        <v>0</v>
      </c>
    </row>
    <row r="315" spans="1:29" x14ac:dyDescent="0.2">
      <c r="A315" t="s">
        <v>322</v>
      </c>
      <c r="B315" s="2">
        <v>31</v>
      </c>
      <c r="C315" t="s">
        <v>100</v>
      </c>
      <c r="D315" s="2" t="s">
        <v>27</v>
      </c>
      <c r="E315" s="2">
        <v>23</v>
      </c>
      <c r="F315" s="2">
        <v>0</v>
      </c>
      <c r="G315" s="2">
        <v>327</v>
      </c>
      <c r="H315" s="2">
        <v>0.41099999999999998</v>
      </c>
      <c r="I315" s="2">
        <v>14.2</v>
      </c>
      <c r="J315" s="2">
        <v>0.67300000000000004</v>
      </c>
      <c r="K315" s="2">
        <v>9.2999999999999999E-2</v>
      </c>
      <c r="L315" s="2">
        <v>0.39300000000000002</v>
      </c>
      <c r="M315" s="2">
        <v>0.10299999999999999</v>
      </c>
      <c r="N315" s="2">
        <v>8.4000000000000005E-2</v>
      </c>
      <c r="O315" s="2">
        <v>0.32700000000000001</v>
      </c>
      <c r="P315" s="2">
        <v>0.47199999999999998</v>
      </c>
      <c r="Q315" s="2">
        <v>0.7</v>
      </c>
      <c r="R315" s="2">
        <v>0.52400000000000002</v>
      </c>
      <c r="S315" s="2">
        <v>0.27300000000000002</v>
      </c>
      <c r="T315" s="2">
        <v>0.222</v>
      </c>
      <c r="U315" s="2">
        <v>0.28599999999999998</v>
      </c>
      <c r="V315" s="2">
        <v>0.52900000000000003</v>
      </c>
      <c r="W315" s="2">
        <v>0.9</v>
      </c>
      <c r="X315" s="2">
        <v>3.6999999999999998E-2</v>
      </c>
      <c r="Y315" s="2">
        <v>4</v>
      </c>
      <c r="Z315" s="2">
        <v>0.42899999999999999</v>
      </c>
      <c r="AA315" s="2">
        <v>0.33300000000000002</v>
      </c>
      <c r="AB315" s="2">
        <v>3</v>
      </c>
      <c r="AC315" s="2">
        <v>0</v>
      </c>
    </row>
    <row r="316" spans="1:29" x14ac:dyDescent="0.2">
      <c r="A316" t="s">
        <v>331</v>
      </c>
      <c r="B316" s="2">
        <v>21</v>
      </c>
      <c r="C316" t="s">
        <v>120</v>
      </c>
      <c r="D316" s="2" t="s">
        <v>42</v>
      </c>
      <c r="E316" s="2">
        <v>15</v>
      </c>
      <c r="F316" s="2">
        <v>8</v>
      </c>
      <c r="G316" s="2">
        <v>276</v>
      </c>
      <c r="H316" s="2">
        <v>0.50600000000000001</v>
      </c>
      <c r="I316" s="2">
        <v>11.9</v>
      </c>
      <c r="J316" s="2">
        <v>0.60799999999999998</v>
      </c>
      <c r="K316" s="2">
        <v>0.29099999999999998</v>
      </c>
      <c r="L316" s="2">
        <v>0.316</v>
      </c>
      <c r="M316" s="2">
        <v>0</v>
      </c>
      <c r="N316" s="2">
        <v>0</v>
      </c>
      <c r="O316" s="2">
        <v>0.39200000000000002</v>
      </c>
      <c r="P316" s="2">
        <v>0.64600000000000002</v>
      </c>
      <c r="Q316" s="2">
        <v>0.78300000000000003</v>
      </c>
      <c r="R316" s="2">
        <v>0.52</v>
      </c>
      <c r="S316" s="2"/>
      <c r="T316" s="2"/>
      <c r="U316" s="2">
        <v>0.28999999999999998</v>
      </c>
      <c r="V316" s="2">
        <v>0.67700000000000005</v>
      </c>
      <c r="W316" s="2">
        <v>1</v>
      </c>
      <c r="X316" s="2">
        <v>0.114</v>
      </c>
      <c r="Y316" s="2">
        <v>8</v>
      </c>
      <c r="Z316" s="2">
        <v>0.45200000000000001</v>
      </c>
      <c r="AA316" s="2">
        <v>0.42899999999999999</v>
      </c>
      <c r="AB316" s="2">
        <v>0</v>
      </c>
      <c r="AC316" s="2">
        <v>0</v>
      </c>
    </row>
    <row r="317" spans="1:29" x14ac:dyDescent="0.2">
      <c r="A317" t="s">
        <v>241</v>
      </c>
      <c r="B317" s="2">
        <v>29</v>
      </c>
      <c r="C317" t="s">
        <v>114</v>
      </c>
      <c r="D317" s="2" t="s">
        <v>27</v>
      </c>
      <c r="E317" s="2">
        <v>12</v>
      </c>
      <c r="F317" s="2">
        <v>12</v>
      </c>
      <c r="G317" s="2">
        <v>330</v>
      </c>
      <c r="H317" s="2">
        <v>0.42</v>
      </c>
      <c r="I317" s="2">
        <v>12.7</v>
      </c>
      <c r="J317" s="2">
        <v>0.68</v>
      </c>
      <c r="K317" s="2">
        <v>0.20399999999999999</v>
      </c>
      <c r="L317" s="2">
        <v>0.33100000000000002</v>
      </c>
      <c r="M317" s="2">
        <v>0.105</v>
      </c>
      <c r="N317" s="2">
        <v>3.9E-2</v>
      </c>
      <c r="O317" s="2">
        <v>0.32</v>
      </c>
      <c r="P317" s="2">
        <v>0.48799999999999999</v>
      </c>
      <c r="Q317" s="2">
        <v>0.64900000000000002</v>
      </c>
      <c r="R317" s="2">
        <v>0.433</v>
      </c>
      <c r="S317" s="2">
        <v>0.47399999999999998</v>
      </c>
      <c r="T317" s="2">
        <v>0.14299999999999999</v>
      </c>
      <c r="U317" s="2">
        <v>0.27600000000000002</v>
      </c>
      <c r="V317" s="2">
        <v>0.51700000000000002</v>
      </c>
      <c r="W317" s="2">
        <v>0.75</v>
      </c>
      <c r="X317" s="2">
        <v>2.1999999999999999E-2</v>
      </c>
      <c r="Y317" s="2">
        <v>4</v>
      </c>
      <c r="Z317" s="2">
        <v>0.17199999999999999</v>
      </c>
      <c r="AA317" s="2">
        <v>0.3</v>
      </c>
      <c r="AB317" s="2">
        <v>0</v>
      </c>
      <c r="AC317" s="2">
        <v>0</v>
      </c>
    </row>
    <row r="318" spans="1:29" x14ac:dyDescent="0.2">
      <c r="A318" t="s">
        <v>362</v>
      </c>
      <c r="B318" s="2">
        <v>38</v>
      </c>
      <c r="C318" t="s">
        <v>122</v>
      </c>
      <c r="D318" s="2" t="s">
        <v>33</v>
      </c>
      <c r="E318" s="2">
        <v>16</v>
      </c>
      <c r="F318" s="2">
        <v>10</v>
      </c>
      <c r="G318" s="2">
        <v>350</v>
      </c>
      <c r="H318" s="2">
        <v>0.373</v>
      </c>
      <c r="I318" s="2">
        <v>21.9</v>
      </c>
      <c r="J318" s="2">
        <v>0.23899999999999999</v>
      </c>
      <c r="K318" s="2">
        <v>4.4999999999999998E-2</v>
      </c>
      <c r="L318" s="2">
        <v>0.13400000000000001</v>
      </c>
      <c r="M318" s="2">
        <v>0</v>
      </c>
      <c r="N318" s="2">
        <v>0.06</v>
      </c>
      <c r="O318" s="2">
        <v>0.76100000000000001</v>
      </c>
      <c r="P318" s="2">
        <v>0.438</v>
      </c>
      <c r="Q318" s="2">
        <v>1</v>
      </c>
      <c r="R318" s="2">
        <v>0.33300000000000002</v>
      </c>
      <c r="S318" s="2"/>
      <c r="T318" s="2">
        <v>0.25</v>
      </c>
      <c r="U318" s="2">
        <v>0.35299999999999998</v>
      </c>
      <c r="V318" s="2">
        <v>0.57099999999999995</v>
      </c>
      <c r="W318" s="2">
        <v>0.94399999999999995</v>
      </c>
      <c r="X318" s="2">
        <v>0</v>
      </c>
      <c r="Y318" s="2">
        <v>0</v>
      </c>
      <c r="Z318" s="2">
        <v>0.157</v>
      </c>
      <c r="AA318" s="2">
        <v>0.5</v>
      </c>
      <c r="AB318" s="2">
        <v>0</v>
      </c>
      <c r="AC318" s="2">
        <v>0</v>
      </c>
    </row>
    <row r="319" spans="1:29" x14ac:dyDescent="0.2">
      <c r="A319" t="s">
        <v>62</v>
      </c>
      <c r="B319" s="2">
        <v>32</v>
      </c>
      <c r="C319" t="s">
        <v>63</v>
      </c>
      <c r="D319" s="2" t="s">
        <v>52</v>
      </c>
      <c r="E319" s="2">
        <v>23</v>
      </c>
      <c r="F319" s="2">
        <v>23</v>
      </c>
      <c r="G319" s="2">
        <v>813</v>
      </c>
      <c r="H319" s="2">
        <v>0.504</v>
      </c>
      <c r="I319" s="2">
        <v>15</v>
      </c>
      <c r="J319" s="2">
        <v>0.622</v>
      </c>
      <c r="K319" s="2">
        <v>0.152</v>
      </c>
      <c r="L319" s="2">
        <v>0.25800000000000001</v>
      </c>
      <c r="M319" s="2">
        <v>0.125</v>
      </c>
      <c r="N319" s="2">
        <v>8.5999999999999993E-2</v>
      </c>
      <c r="O319" s="2">
        <v>0.378</v>
      </c>
      <c r="P319" s="2">
        <v>0.52200000000000002</v>
      </c>
      <c r="Q319" s="2">
        <v>0.71</v>
      </c>
      <c r="R319" s="2">
        <v>0.47599999999999998</v>
      </c>
      <c r="S319" s="2">
        <v>0.47099999999999997</v>
      </c>
      <c r="T319" s="2">
        <v>0.4</v>
      </c>
      <c r="U319" s="2">
        <v>0.47399999999999998</v>
      </c>
      <c r="V319" s="2">
        <v>0.318</v>
      </c>
      <c r="W319" s="2">
        <v>0.58899999999999997</v>
      </c>
      <c r="X319" s="2">
        <v>0</v>
      </c>
      <c r="Y319" s="2">
        <v>0</v>
      </c>
      <c r="Z319" s="2">
        <v>0.16200000000000001</v>
      </c>
      <c r="AA319" s="2">
        <v>0.56000000000000005</v>
      </c>
      <c r="AB319" s="2">
        <v>1</v>
      </c>
      <c r="AC319" s="2">
        <v>0</v>
      </c>
    </row>
    <row r="320" spans="1:29" x14ac:dyDescent="0.2">
      <c r="A320" t="s">
        <v>292</v>
      </c>
      <c r="B320" s="2">
        <v>21</v>
      </c>
      <c r="C320" t="s">
        <v>114</v>
      </c>
      <c r="D320" s="2" t="s">
        <v>52</v>
      </c>
      <c r="E320" s="2">
        <v>19</v>
      </c>
      <c r="F320" s="2">
        <v>6</v>
      </c>
      <c r="G320" s="2">
        <v>497</v>
      </c>
      <c r="H320" s="2">
        <v>0.33600000000000002</v>
      </c>
      <c r="I320" s="2">
        <v>19.2</v>
      </c>
      <c r="J320" s="2">
        <v>0.34899999999999998</v>
      </c>
      <c r="K320" s="2">
        <v>0.18099999999999999</v>
      </c>
      <c r="L320" s="2">
        <v>9.4E-2</v>
      </c>
      <c r="M320" s="2">
        <v>5.3999999999999999E-2</v>
      </c>
      <c r="N320" s="2">
        <v>0.02</v>
      </c>
      <c r="O320" s="2">
        <v>0.65100000000000002</v>
      </c>
      <c r="P320" s="2">
        <v>0.5</v>
      </c>
      <c r="Q320" s="2">
        <v>0.66700000000000004</v>
      </c>
      <c r="R320" s="2">
        <v>0.28599999999999998</v>
      </c>
      <c r="S320" s="2">
        <v>0.375</v>
      </c>
      <c r="T320" s="2">
        <v>0.33300000000000002</v>
      </c>
      <c r="U320" s="2">
        <v>0.247</v>
      </c>
      <c r="V320" s="2">
        <v>0.84599999999999997</v>
      </c>
      <c r="W320" s="2">
        <v>0.91700000000000004</v>
      </c>
      <c r="X320" s="2">
        <v>0.02</v>
      </c>
      <c r="Y320" s="2">
        <v>3</v>
      </c>
      <c r="Z320" s="2">
        <v>0.19600000000000001</v>
      </c>
      <c r="AA320" s="2">
        <v>0.21099999999999999</v>
      </c>
      <c r="AB320" s="2">
        <v>0</v>
      </c>
      <c r="AC320" s="2">
        <v>0</v>
      </c>
    </row>
    <row r="321" spans="1:29" x14ac:dyDescent="0.2">
      <c r="A321" t="s">
        <v>58</v>
      </c>
      <c r="B321" s="2">
        <v>23</v>
      </c>
      <c r="C321" t="s">
        <v>59</v>
      </c>
      <c r="D321" s="2" t="s">
        <v>33</v>
      </c>
      <c r="E321" s="2">
        <v>18</v>
      </c>
      <c r="F321" s="2">
        <v>18</v>
      </c>
      <c r="G321" s="2">
        <v>614</v>
      </c>
      <c r="H321" s="2">
        <v>0.43</v>
      </c>
      <c r="I321" s="2">
        <v>17.399999999999999</v>
      </c>
      <c r="J321" s="2">
        <v>0.47399999999999998</v>
      </c>
      <c r="K321" s="2">
        <v>0.16500000000000001</v>
      </c>
      <c r="L321" s="2">
        <v>0.20899999999999999</v>
      </c>
      <c r="M321" s="2">
        <v>0.08</v>
      </c>
      <c r="N321" s="2">
        <v>0.02</v>
      </c>
      <c r="O321" s="2">
        <v>0.52600000000000002</v>
      </c>
      <c r="P321" s="2">
        <v>0.51200000000000001</v>
      </c>
      <c r="Q321" s="2">
        <v>0.622</v>
      </c>
      <c r="R321" s="2">
        <v>0.46800000000000003</v>
      </c>
      <c r="S321" s="2">
        <v>0.47199999999999998</v>
      </c>
      <c r="T321" s="2">
        <v>0.222</v>
      </c>
      <c r="U321" s="2">
        <v>0.35599999999999998</v>
      </c>
      <c r="V321" s="2">
        <v>0.21099999999999999</v>
      </c>
      <c r="W321" s="2">
        <v>0.53600000000000003</v>
      </c>
      <c r="X321" s="2">
        <v>8.9999999999999993E-3</v>
      </c>
      <c r="Y321" s="2">
        <v>3</v>
      </c>
      <c r="Z321" s="2">
        <v>8.1000000000000003E-2</v>
      </c>
      <c r="AA321" s="2">
        <v>0.36799999999999999</v>
      </c>
      <c r="AB321" s="2">
        <v>2</v>
      </c>
      <c r="AC321" s="2">
        <v>0</v>
      </c>
    </row>
    <row r="322" spans="1:29" x14ac:dyDescent="0.2">
      <c r="A322" t="s">
        <v>357</v>
      </c>
      <c r="B322" s="2">
        <v>32</v>
      </c>
      <c r="C322" t="s">
        <v>72</v>
      </c>
      <c r="D322" s="2" t="s">
        <v>27</v>
      </c>
      <c r="E322" s="2">
        <v>10</v>
      </c>
      <c r="F322" s="2">
        <v>2</v>
      </c>
      <c r="G322" s="2">
        <v>165</v>
      </c>
      <c r="H322" s="2">
        <v>0.63</v>
      </c>
      <c r="I322" s="2">
        <v>15.4</v>
      </c>
      <c r="J322" s="2">
        <v>0.46300000000000002</v>
      </c>
      <c r="K322" s="2">
        <v>0.20399999999999999</v>
      </c>
      <c r="L322" s="2">
        <v>0.185</v>
      </c>
      <c r="M322" s="2">
        <v>5.6000000000000001E-2</v>
      </c>
      <c r="N322" s="2">
        <v>1.9E-2</v>
      </c>
      <c r="O322" s="2">
        <v>0.53700000000000003</v>
      </c>
      <c r="P322" s="2">
        <v>0.72</v>
      </c>
      <c r="Q322" s="2">
        <v>0.63600000000000001</v>
      </c>
      <c r="R322" s="2">
        <v>0.9</v>
      </c>
      <c r="S322" s="2">
        <v>0.66700000000000004</v>
      </c>
      <c r="T322" s="2">
        <v>0</v>
      </c>
      <c r="U322" s="2">
        <v>0.55200000000000005</v>
      </c>
      <c r="V322" s="2">
        <v>0.83299999999999996</v>
      </c>
      <c r="W322" s="2">
        <v>0.93799999999999994</v>
      </c>
      <c r="X322" s="2">
        <v>0.14799999999999999</v>
      </c>
      <c r="Y322" s="2">
        <v>6</v>
      </c>
      <c r="Z322" s="2">
        <v>0.44800000000000001</v>
      </c>
      <c r="AA322" s="2">
        <v>0.53800000000000003</v>
      </c>
      <c r="AB322" s="2">
        <v>0</v>
      </c>
      <c r="AC322" s="2">
        <v>0</v>
      </c>
    </row>
    <row r="323" spans="1:29" x14ac:dyDescent="0.2">
      <c r="A323" t="s">
        <v>142</v>
      </c>
      <c r="B323" s="2">
        <v>27</v>
      </c>
      <c r="C323" t="s">
        <v>120</v>
      </c>
      <c r="D323" s="2" t="s">
        <v>27</v>
      </c>
      <c r="E323" s="2">
        <v>18</v>
      </c>
      <c r="F323" s="2">
        <v>18</v>
      </c>
      <c r="G323" s="2">
        <v>572</v>
      </c>
      <c r="H323" s="2">
        <v>0.443</v>
      </c>
      <c r="I323" s="2">
        <v>16.2</v>
      </c>
      <c r="J323" s="2">
        <v>0.48899999999999999</v>
      </c>
      <c r="K323" s="2">
        <v>0.19</v>
      </c>
      <c r="L323" s="2">
        <v>0.20699999999999999</v>
      </c>
      <c r="M323" s="2">
        <v>4.2000000000000003E-2</v>
      </c>
      <c r="N323" s="2">
        <v>5.0999999999999997E-2</v>
      </c>
      <c r="O323" s="2">
        <v>0.51100000000000001</v>
      </c>
      <c r="P323" s="2">
        <v>0.51700000000000002</v>
      </c>
      <c r="Q323" s="2">
        <v>0.57799999999999996</v>
      </c>
      <c r="R323" s="2">
        <v>0.55100000000000005</v>
      </c>
      <c r="S323" s="2">
        <v>0.3</v>
      </c>
      <c r="T323" s="2">
        <v>0.33300000000000002</v>
      </c>
      <c r="U323" s="2">
        <v>0.372</v>
      </c>
      <c r="V323" s="2">
        <v>0.63300000000000001</v>
      </c>
      <c r="W323" s="2">
        <v>1</v>
      </c>
      <c r="X323" s="2">
        <v>0.10100000000000001</v>
      </c>
      <c r="Y323" s="2">
        <v>19</v>
      </c>
      <c r="Z323" s="2">
        <v>0.107</v>
      </c>
      <c r="AA323" s="2">
        <v>0.53800000000000003</v>
      </c>
      <c r="AB323" s="2">
        <v>0</v>
      </c>
      <c r="AC323" s="2">
        <v>0</v>
      </c>
    </row>
    <row r="324" spans="1:29" x14ac:dyDescent="0.2">
      <c r="A324" t="s">
        <v>68</v>
      </c>
      <c r="B324" s="2">
        <v>40</v>
      </c>
      <c r="C324" t="s">
        <v>41</v>
      </c>
      <c r="D324" s="2" t="s">
        <v>49</v>
      </c>
      <c r="E324" s="2">
        <v>23</v>
      </c>
      <c r="F324" s="2">
        <v>23</v>
      </c>
      <c r="G324" s="2">
        <v>806</v>
      </c>
      <c r="H324" s="2">
        <v>0.495</v>
      </c>
      <c r="I324" s="2">
        <v>13.3</v>
      </c>
      <c r="J324" s="2">
        <v>0.67700000000000005</v>
      </c>
      <c r="K324" s="2">
        <v>0.28599999999999998</v>
      </c>
      <c r="L324" s="2">
        <v>0.192</v>
      </c>
      <c r="M324" s="2">
        <v>0.108</v>
      </c>
      <c r="N324" s="2">
        <v>9.0999999999999998E-2</v>
      </c>
      <c r="O324" s="2">
        <v>0.32300000000000001</v>
      </c>
      <c r="P324" s="2">
        <v>0.56000000000000005</v>
      </c>
      <c r="Q324" s="2">
        <v>0.70699999999999996</v>
      </c>
      <c r="R324" s="2">
        <v>0.5</v>
      </c>
      <c r="S324" s="2">
        <v>0.45500000000000002</v>
      </c>
      <c r="T324" s="2">
        <v>0.35099999999999998</v>
      </c>
      <c r="U324" s="2">
        <v>0.35899999999999999</v>
      </c>
      <c r="V324" s="2">
        <v>0.40300000000000002</v>
      </c>
      <c r="W324" s="2">
        <v>0.61699999999999999</v>
      </c>
      <c r="X324" s="2">
        <v>5.3999999999999999E-2</v>
      </c>
      <c r="Y324" s="2">
        <v>22</v>
      </c>
      <c r="Z324" s="2">
        <v>6.0999999999999999E-2</v>
      </c>
      <c r="AA324" s="2">
        <v>0.25</v>
      </c>
      <c r="AB324" s="2">
        <v>1</v>
      </c>
      <c r="AC324" s="2">
        <v>0</v>
      </c>
    </row>
    <row r="325" spans="1:29" x14ac:dyDescent="0.2">
      <c r="A325" t="s">
        <v>500</v>
      </c>
      <c r="B325" s="2">
        <v>24</v>
      </c>
      <c r="C325" t="s">
        <v>122</v>
      </c>
      <c r="D325" s="2" t="s">
        <v>52</v>
      </c>
      <c r="E325" s="2">
        <v>4</v>
      </c>
      <c r="F325" s="2">
        <v>0</v>
      </c>
      <c r="G325" s="2">
        <v>17</v>
      </c>
      <c r="H325" s="2">
        <v>0.5</v>
      </c>
      <c r="I325" s="2">
        <v>12</v>
      </c>
      <c r="J325" s="2">
        <v>0.625</v>
      </c>
      <c r="K325" s="2">
        <v>0.5</v>
      </c>
      <c r="L325" s="2">
        <v>0</v>
      </c>
      <c r="M325" s="2">
        <v>0.125</v>
      </c>
      <c r="N325" s="2">
        <v>0</v>
      </c>
      <c r="O325" s="2">
        <v>0.375</v>
      </c>
      <c r="P325" s="2">
        <v>0.8</v>
      </c>
      <c r="Q325" s="2">
        <v>1</v>
      </c>
      <c r="R325" s="2"/>
      <c r="S325" s="2">
        <v>0</v>
      </c>
      <c r="T325" s="2"/>
      <c r="U325" s="2">
        <v>0</v>
      </c>
      <c r="V325" s="2">
        <v>0.25</v>
      </c>
      <c r="W325" s="2"/>
      <c r="X325" s="2">
        <v>0</v>
      </c>
      <c r="Y325" s="2">
        <v>0</v>
      </c>
      <c r="Z325" s="2">
        <v>0</v>
      </c>
      <c r="AA325" s="2"/>
      <c r="AB325" s="2">
        <v>0</v>
      </c>
      <c r="AC325" s="2">
        <v>0</v>
      </c>
    </row>
    <row r="326" spans="1:29" x14ac:dyDescent="0.2">
      <c r="A326" t="s">
        <v>520</v>
      </c>
      <c r="B326" s="2">
        <v>25</v>
      </c>
      <c r="C326" t="s">
        <v>35</v>
      </c>
      <c r="D326" s="2" t="s">
        <v>42</v>
      </c>
      <c r="E326" s="2">
        <v>5</v>
      </c>
      <c r="F326" s="2">
        <v>0</v>
      </c>
      <c r="G326" s="2">
        <v>20</v>
      </c>
      <c r="H326" s="2">
        <v>0.66700000000000004</v>
      </c>
      <c r="I326" s="2">
        <v>10.5</v>
      </c>
      <c r="J326" s="2">
        <v>0.66700000000000004</v>
      </c>
      <c r="K326" s="2">
        <v>0.33300000000000002</v>
      </c>
      <c r="L326" s="2">
        <v>0.33300000000000002</v>
      </c>
      <c r="M326" s="2">
        <v>0</v>
      </c>
      <c r="N326" s="2">
        <v>0</v>
      </c>
      <c r="O326" s="2">
        <v>0.33300000000000002</v>
      </c>
      <c r="P326" s="2">
        <v>1</v>
      </c>
      <c r="Q326" s="2">
        <v>1</v>
      </c>
      <c r="R326" s="2">
        <v>1</v>
      </c>
      <c r="S326" s="2"/>
      <c r="T326" s="2"/>
      <c r="U326" s="2">
        <v>0</v>
      </c>
      <c r="V326" s="2">
        <v>1</v>
      </c>
      <c r="W326" s="2"/>
      <c r="X326" s="2">
        <v>0.33300000000000002</v>
      </c>
      <c r="Y326" s="2">
        <v>1</v>
      </c>
      <c r="Z326" s="2">
        <v>0</v>
      </c>
      <c r="AA326" s="2"/>
      <c r="AB326" s="2">
        <v>0</v>
      </c>
      <c r="AC326" s="2">
        <v>0</v>
      </c>
    </row>
    <row r="327" spans="1:29" x14ac:dyDescent="0.2">
      <c r="A327" t="s">
        <v>319</v>
      </c>
      <c r="B327" s="2">
        <v>27</v>
      </c>
      <c r="C327" t="s">
        <v>100</v>
      </c>
      <c r="D327" s="2" t="s">
        <v>52</v>
      </c>
      <c r="E327" s="2">
        <v>20</v>
      </c>
      <c r="F327" s="2">
        <v>8</v>
      </c>
      <c r="G327" s="2">
        <v>356</v>
      </c>
      <c r="H327" s="2">
        <v>0.38900000000000001</v>
      </c>
      <c r="I327" s="2">
        <v>20.3</v>
      </c>
      <c r="J327" s="2">
        <v>0.29599999999999999</v>
      </c>
      <c r="K327" s="2">
        <v>8.3000000000000004E-2</v>
      </c>
      <c r="L327" s="2">
        <v>0.111</v>
      </c>
      <c r="M327" s="2">
        <v>6.5000000000000002E-2</v>
      </c>
      <c r="N327" s="2">
        <v>3.6999999999999998E-2</v>
      </c>
      <c r="O327" s="2">
        <v>0.70399999999999996</v>
      </c>
      <c r="P327" s="2">
        <v>0.5</v>
      </c>
      <c r="Q327" s="2">
        <v>0.55600000000000005</v>
      </c>
      <c r="R327" s="2">
        <v>0.5</v>
      </c>
      <c r="S327" s="2">
        <v>0.28599999999999998</v>
      </c>
      <c r="T327" s="2">
        <v>0.75</v>
      </c>
      <c r="U327" s="2">
        <v>0.34200000000000003</v>
      </c>
      <c r="V327" s="2">
        <v>0.68799999999999994</v>
      </c>
      <c r="W327" s="2">
        <v>0.96199999999999997</v>
      </c>
      <c r="X327" s="2">
        <v>3.6999999999999998E-2</v>
      </c>
      <c r="Y327" s="2">
        <v>4</v>
      </c>
      <c r="Z327" s="2">
        <v>0.26300000000000001</v>
      </c>
      <c r="AA327" s="2">
        <v>0.35</v>
      </c>
      <c r="AB327" s="2">
        <v>0</v>
      </c>
      <c r="AC327" s="2">
        <v>0</v>
      </c>
    </row>
    <row r="328" spans="1:29" x14ac:dyDescent="0.2">
      <c r="A328" t="s">
        <v>421</v>
      </c>
      <c r="B328" s="2">
        <v>27</v>
      </c>
      <c r="C328" t="s">
        <v>70</v>
      </c>
      <c r="D328" s="2" t="s">
        <v>33</v>
      </c>
      <c r="E328" s="2">
        <v>8</v>
      </c>
      <c r="F328" s="2">
        <v>0</v>
      </c>
      <c r="G328" s="2">
        <v>134</v>
      </c>
      <c r="H328" s="2">
        <v>0.36799999999999999</v>
      </c>
      <c r="I328" s="2">
        <v>22.7</v>
      </c>
      <c r="J328" s="2">
        <v>0.184</v>
      </c>
      <c r="K328" s="2">
        <v>7.9000000000000001E-2</v>
      </c>
      <c r="L328" s="2">
        <v>5.2999999999999999E-2</v>
      </c>
      <c r="M328" s="2">
        <v>5.2999999999999999E-2</v>
      </c>
      <c r="N328" s="2">
        <v>0</v>
      </c>
      <c r="O328" s="2">
        <v>0.81599999999999995</v>
      </c>
      <c r="P328" s="2">
        <v>0.42899999999999999</v>
      </c>
      <c r="Q328" s="2">
        <v>1</v>
      </c>
      <c r="R328" s="2">
        <v>0</v>
      </c>
      <c r="S328" s="2">
        <v>0</v>
      </c>
      <c r="T328" s="2"/>
      <c r="U328" s="2">
        <v>0.35499999999999998</v>
      </c>
      <c r="V328" s="2">
        <v>0.33300000000000002</v>
      </c>
      <c r="W328" s="2">
        <v>0.81799999999999995</v>
      </c>
      <c r="X328" s="2">
        <v>0</v>
      </c>
      <c r="Y328" s="2">
        <v>0</v>
      </c>
      <c r="Z328" s="2">
        <v>6.5000000000000002E-2</v>
      </c>
      <c r="AA328" s="2">
        <v>1</v>
      </c>
      <c r="AB328" s="2">
        <v>0</v>
      </c>
      <c r="AC328" s="2">
        <v>0</v>
      </c>
    </row>
    <row r="329" spans="1:29" x14ac:dyDescent="0.2">
      <c r="A329" t="s">
        <v>204</v>
      </c>
      <c r="B329" s="2">
        <v>25</v>
      </c>
      <c r="C329" t="s">
        <v>32</v>
      </c>
      <c r="D329" s="2" t="s">
        <v>49</v>
      </c>
      <c r="E329" s="2">
        <v>24</v>
      </c>
      <c r="F329" s="2">
        <v>24</v>
      </c>
      <c r="G329" s="2">
        <v>705</v>
      </c>
      <c r="H329" s="2">
        <v>0.40899999999999997</v>
      </c>
      <c r="I329" s="2">
        <v>18.5</v>
      </c>
      <c r="J329" s="2">
        <v>0.34300000000000003</v>
      </c>
      <c r="K329" s="2">
        <v>0.157</v>
      </c>
      <c r="L329" s="2">
        <v>0.106</v>
      </c>
      <c r="M329" s="2">
        <v>4.4999999999999998E-2</v>
      </c>
      <c r="N329" s="2">
        <v>3.5000000000000003E-2</v>
      </c>
      <c r="O329" s="2">
        <v>0.65700000000000003</v>
      </c>
      <c r="P329" s="2">
        <v>0.441</v>
      </c>
      <c r="Q329" s="2">
        <v>0.58099999999999996</v>
      </c>
      <c r="R329" s="2">
        <v>0.28599999999999998</v>
      </c>
      <c r="S329" s="2">
        <v>0.33300000000000002</v>
      </c>
      <c r="T329" s="2">
        <v>0.42899999999999999</v>
      </c>
      <c r="U329" s="2">
        <v>0.39200000000000002</v>
      </c>
      <c r="V329" s="2">
        <v>0.8</v>
      </c>
      <c r="W329" s="2">
        <v>0.96099999999999997</v>
      </c>
      <c r="X329" s="2">
        <v>3.5000000000000003E-2</v>
      </c>
      <c r="Y329" s="2">
        <v>5</v>
      </c>
      <c r="Z329" s="2">
        <v>0.27700000000000002</v>
      </c>
      <c r="AA329" s="2">
        <v>0.41699999999999998</v>
      </c>
      <c r="AB329" s="2">
        <v>0</v>
      </c>
      <c r="AC329" s="2">
        <v>0</v>
      </c>
    </row>
    <row r="330" spans="1:29" x14ac:dyDescent="0.2">
      <c r="A330" t="s">
        <v>67</v>
      </c>
      <c r="B330" s="2">
        <v>25</v>
      </c>
      <c r="C330" t="s">
        <v>63</v>
      </c>
      <c r="D330" s="2" t="s">
        <v>33</v>
      </c>
      <c r="E330" s="2">
        <v>19</v>
      </c>
      <c r="F330" s="2">
        <v>19</v>
      </c>
      <c r="G330" s="2">
        <v>701</v>
      </c>
      <c r="H330" s="2">
        <v>0.44600000000000001</v>
      </c>
      <c r="I330" s="2">
        <v>17</v>
      </c>
      <c r="J330" s="2">
        <v>0.54500000000000004</v>
      </c>
      <c r="K330" s="2">
        <v>0.104</v>
      </c>
      <c r="L330" s="2">
        <v>0.20499999999999999</v>
      </c>
      <c r="M330" s="2">
        <v>0.17100000000000001</v>
      </c>
      <c r="N330" s="2">
        <v>6.5000000000000002E-2</v>
      </c>
      <c r="O330" s="2">
        <v>0.45500000000000002</v>
      </c>
      <c r="P330" s="2">
        <v>0.53100000000000003</v>
      </c>
      <c r="Q330" s="2">
        <v>0.79100000000000004</v>
      </c>
      <c r="R330" s="2">
        <v>0.52900000000000003</v>
      </c>
      <c r="S330" s="2">
        <v>0.45100000000000001</v>
      </c>
      <c r="T330" s="2">
        <v>0.33300000000000002</v>
      </c>
      <c r="U330" s="2">
        <v>0.34399999999999997</v>
      </c>
      <c r="V330" s="2">
        <v>0.29199999999999998</v>
      </c>
      <c r="W330" s="2">
        <v>0.46200000000000002</v>
      </c>
      <c r="X330" s="2">
        <v>0</v>
      </c>
      <c r="Y330" s="2">
        <v>0</v>
      </c>
      <c r="Z330" s="2">
        <v>4.2000000000000003E-2</v>
      </c>
      <c r="AA330" s="2">
        <v>0.375</v>
      </c>
      <c r="AB330" s="2">
        <v>1</v>
      </c>
      <c r="AC330" s="2">
        <v>0</v>
      </c>
    </row>
    <row r="331" spans="1:29" x14ac:dyDescent="0.2">
      <c r="A331" t="s">
        <v>448</v>
      </c>
      <c r="B331" s="2">
        <v>26</v>
      </c>
      <c r="C331" t="s">
        <v>51</v>
      </c>
      <c r="D331" s="2" t="s">
        <v>42</v>
      </c>
      <c r="E331" s="2">
        <v>7</v>
      </c>
      <c r="F331" s="2">
        <v>0</v>
      </c>
      <c r="G331" s="2">
        <v>33</v>
      </c>
      <c r="H331" s="2">
        <v>0.55000000000000004</v>
      </c>
      <c r="I331" s="2">
        <v>9.9</v>
      </c>
      <c r="J331" s="2">
        <v>0.7</v>
      </c>
      <c r="K331" s="2">
        <v>0.4</v>
      </c>
      <c r="L331" s="2">
        <v>0.25</v>
      </c>
      <c r="M331" s="2">
        <v>0.05</v>
      </c>
      <c r="N331" s="2">
        <v>0</v>
      </c>
      <c r="O331" s="2">
        <v>0.3</v>
      </c>
      <c r="P331" s="2">
        <v>0.71399999999999997</v>
      </c>
      <c r="Q331" s="2">
        <v>0.625</v>
      </c>
      <c r="R331" s="2">
        <v>1</v>
      </c>
      <c r="S331" s="2">
        <v>0</v>
      </c>
      <c r="T331" s="2"/>
      <c r="U331" s="2">
        <v>0.16700000000000001</v>
      </c>
      <c r="V331" s="2">
        <v>0.8</v>
      </c>
      <c r="W331" s="2">
        <v>1</v>
      </c>
      <c r="X331" s="2">
        <v>0.1</v>
      </c>
      <c r="Y331" s="2">
        <v>2</v>
      </c>
      <c r="Z331" s="2">
        <v>0</v>
      </c>
      <c r="AA331" s="2"/>
      <c r="AB331" s="2">
        <v>0</v>
      </c>
      <c r="AC331" s="2">
        <v>0</v>
      </c>
    </row>
    <row r="332" spans="1:29" x14ac:dyDescent="0.2">
      <c r="A332" t="s">
        <v>346</v>
      </c>
      <c r="B332" s="2">
        <v>28</v>
      </c>
      <c r="C332" t="s">
        <v>80</v>
      </c>
      <c r="D332" s="2" t="s">
        <v>52</v>
      </c>
      <c r="E332" s="2">
        <v>14</v>
      </c>
      <c r="F332" s="2">
        <v>0</v>
      </c>
      <c r="G332" s="2">
        <v>276</v>
      </c>
      <c r="H332" s="2">
        <v>0.43099999999999999</v>
      </c>
      <c r="I332" s="2">
        <v>21.3</v>
      </c>
      <c r="J332" s="2">
        <v>0.27800000000000002</v>
      </c>
      <c r="K332" s="2">
        <v>2.8000000000000001E-2</v>
      </c>
      <c r="L332" s="2">
        <v>8.3000000000000004E-2</v>
      </c>
      <c r="M332" s="2">
        <v>0.111</v>
      </c>
      <c r="N332" s="2">
        <v>5.6000000000000001E-2</v>
      </c>
      <c r="O332" s="2">
        <v>0.72199999999999998</v>
      </c>
      <c r="P332" s="2">
        <v>0.5</v>
      </c>
      <c r="Q332" s="2">
        <v>1</v>
      </c>
      <c r="R332" s="2">
        <v>0.66700000000000004</v>
      </c>
      <c r="S332" s="2">
        <v>0.25</v>
      </c>
      <c r="T332" s="2">
        <v>0.5</v>
      </c>
      <c r="U332" s="2">
        <v>0.40400000000000003</v>
      </c>
      <c r="V332" s="2">
        <v>0.7</v>
      </c>
      <c r="W332" s="2">
        <v>0.95199999999999996</v>
      </c>
      <c r="X332" s="2">
        <v>0</v>
      </c>
      <c r="Y332" s="2">
        <v>0</v>
      </c>
      <c r="Z332" s="2">
        <v>0.308</v>
      </c>
      <c r="AA332" s="2">
        <v>0.56299999999999994</v>
      </c>
      <c r="AB332" s="2">
        <v>0</v>
      </c>
      <c r="AC332" s="2">
        <v>0</v>
      </c>
    </row>
    <row r="333" spans="1:29" x14ac:dyDescent="0.2">
      <c r="A333" t="s">
        <v>350</v>
      </c>
      <c r="B333" s="2">
        <v>29</v>
      </c>
      <c r="C333" t="s">
        <v>39</v>
      </c>
      <c r="D333" s="2" t="s">
        <v>42</v>
      </c>
      <c r="E333" s="2">
        <v>19</v>
      </c>
      <c r="F333" s="2">
        <v>3</v>
      </c>
      <c r="G333" s="2">
        <v>320</v>
      </c>
      <c r="H333" s="2">
        <v>0.66</v>
      </c>
      <c r="I333" s="2">
        <v>2.6</v>
      </c>
      <c r="J333" s="2">
        <v>1</v>
      </c>
      <c r="K333" s="2">
        <v>0.79200000000000004</v>
      </c>
      <c r="L333" s="2">
        <v>0.189</v>
      </c>
      <c r="M333" s="2">
        <v>1.9E-2</v>
      </c>
      <c r="N333" s="2">
        <v>0</v>
      </c>
      <c r="O333" s="2">
        <v>0</v>
      </c>
      <c r="P333" s="2">
        <v>0.66</v>
      </c>
      <c r="Q333" s="2">
        <v>0.71399999999999997</v>
      </c>
      <c r="R333" s="2">
        <v>0.5</v>
      </c>
      <c r="S333" s="2">
        <v>0</v>
      </c>
      <c r="T333" s="2"/>
      <c r="U333" s="2"/>
      <c r="V333" s="2">
        <v>0.74299999999999999</v>
      </c>
      <c r="W333" s="2"/>
      <c r="X333" s="2">
        <v>0.32100000000000001</v>
      </c>
      <c r="Y333" s="2">
        <v>16</v>
      </c>
      <c r="Z333" s="2"/>
      <c r="AA333" s="2"/>
      <c r="AB333" s="2">
        <v>0</v>
      </c>
      <c r="AC333" s="2">
        <v>0</v>
      </c>
    </row>
    <row r="334" spans="1:29" x14ac:dyDescent="0.2">
      <c r="A334" t="s">
        <v>504</v>
      </c>
      <c r="B334" s="2">
        <v>23</v>
      </c>
      <c r="C334" t="s">
        <v>57</v>
      </c>
      <c r="D334" s="2" t="s">
        <v>52</v>
      </c>
      <c r="E334" s="2">
        <v>6</v>
      </c>
      <c r="F334" s="2">
        <v>0</v>
      </c>
      <c r="G334" s="2">
        <v>42</v>
      </c>
      <c r="H334" s="2">
        <v>0.42899999999999999</v>
      </c>
      <c r="I334" s="2">
        <v>10.8</v>
      </c>
      <c r="J334" s="2">
        <v>0.57099999999999995</v>
      </c>
      <c r="K334" s="2">
        <v>0.57099999999999995</v>
      </c>
      <c r="L334" s="2">
        <v>0</v>
      </c>
      <c r="M334" s="2">
        <v>0</v>
      </c>
      <c r="N334" s="2">
        <v>0</v>
      </c>
      <c r="O334" s="2">
        <v>0.42899999999999999</v>
      </c>
      <c r="P334" s="2">
        <v>0.75</v>
      </c>
      <c r="Q334" s="2">
        <v>0.75</v>
      </c>
      <c r="R334" s="2"/>
      <c r="S334" s="2"/>
      <c r="T334" s="2"/>
      <c r="U334" s="2">
        <v>0</v>
      </c>
      <c r="V334" s="2">
        <v>1</v>
      </c>
      <c r="W334" s="2"/>
      <c r="X334" s="2">
        <v>0.42899999999999999</v>
      </c>
      <c r="Y334" s="2">
        <v>3</v>
      </c>
      <c r="Z334" s="2">
        <v>1</v>
      </c>
      <c r="AA334" s="2">
        <v>0</v>
      </c>
      <c r="AB334" s="2">
        <v>0</v>
      </c>
      <c r="AC334" s="2">
        <v>0</v>
      </c>
    </row>
    <row r="335" spans="1:29" x14ac:dyDescent="0.2">
      <c r="A335" t="s">
        <v>563</v>
      </c>
      <c r="B335" s="2">
        <v>26</v>
      </c>
      <c r="C335" t="s">
        <v>48</v>
      </c>
      <c r="D335" s="2" t="s">
        <v>52</v>
      </c>
      <c r="E335" s="2">
        <v>1</v>
      </c>
      <c r="F335" s="2">
        <v>0</v>
      </c>
      <c r="G335" s="2">
        <v>5</v>
      </c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>
        <v>0</v>
      </c>
      <c r="Z335" s="2"/>
      <c r="AA335" s="2"/>
      <c r="AB335" s="2">
        <v>0</v>
      </c>
      <c r="AC335" s="2">
        <v>0</v>
      </c>
    </row>
    <row r="336" spans="1:29" x14ac:dyDescent="0.2">
      <c r="A336" t="s">
        <v>314</v>
      </c>
      <c r="B336" s="2">
        <v>21</v>
      </c>
      <c r="C336" t="s">
        <v>93</v>
      </c>
      <c r="D336" s="2" t="s">
        <v>52</v>
      </c>
      <c r="E336" s="2">
        <v>18</v>
      </c>
      <c r="F336" s="2">
        <v>0</v>
      </c>
      <c r="G336" s="2">
        <v>233</v>
      </c>
      <c r="H336" s="2">
        <v>0.44800000000000001</v>
      </c>
      <c r="I336" s="2">
        <v>14.9</v>
      </c>
      <c r="J336" s="2">
        <v>0.57299999999999995</v>
      </c>
      <c r="K336" s="2">
        <v>0.19800000000000001</v>
      </c>
      <c r="L336" s="2">
        <v>0.188</v>
      </c>
      <c r="M336" s="2">
        <v>0.125</v>
      </c>
      <c r="N336" s="2">
        <v>6.3E-2</v>
      </c>
      <c r="O336" s="2">
        <v>0.42699999999999999</v>
      </c>
      <c r="P336" s="2">
        <v>0.47299999999999998</v>
      </c>
      <c r="Q336" s="2">
        <v>0.84199999999999997</v>
      </c>
      <c r="R336" s="2">
        <v>0.222</v>
      </c>
      <c r="S336" s="2">
        <v>0.33300000000000002</v>
      </c>
      <c r="T336" s="2">
        <v>0.33300000000000002</v>
      </c>
      <c r="U336" s="2">
        <v>0.41499999999999998</v>
      </c>
      <c r="V336" s="2">
        <v>0.5</v>
      </c>
      <c r="W336" s="2">
        <v>0.94099999999999995</v>
      </c>
      <c r="X336" s="2">
        <v>2.1000000000000001E-2</v>
      </c>
      <c r="Y336" s="2">
        <v>1</v>
      </c>
      <c r="Z336" s="2">
        <v>0.122</v>
      </c>
      <c r="AA336" s="2">
        <v>0.4</v>
      </c>
      <c r="AB336" s="2">
        <v>0</v>
      </c>
      <c r="AC336" s="2">
        <v>0</v>
      </c>
    </row>
    <row r="337" spans="1:29" x14ac:dyDescent="0.2">
      <c r="A337" t="s">
        <v>310</v>
      </c>
      <c r="B337" s="2">
        <v>32</v>
      </c>
      <c r="C337" t="s">
        <v>114</v>
      </c>
      <c r="D337" s="2" t="s">
        <v>33</v>
      </c>
      <c r="E337" s="2">
        <v>9</v>
      </c>
      <c r="F337" s="2">
        <v>8</v>
      </c>
      <c r="G337" s="2">
        <v>214</v>
      </c>
      <c r="H337" s="2">
        <v>0.495</v>
      </c>
      <c r="I337" s="2">
        <v>11.3</v>
      </c>
      <c r="J337" s="2">
        <v>0.76900000000000002</v>
      </c>
      <c r="K337" s="2">
        <v>0.35199999999999998</v>
      </c>
      <c r="L337" s="2">
        <v>0.154</v>
      </c>
      <c r="M337" s="2">
        <v>0.14299999999999999</v>
      </c>
      <c r="N337" s="2">
        <v>0.121</v>
      </c>
      <c r="O337" s="2">
        <v>0.23100000000000001</v>
      </c>
      <c r="P337" s="2">
        <v>0.54300000000000004</v>
      </c>
      <c r="Q337" s="2">
        <v>0.68799999999999994</v>
      </c>
      <c r="R337" s="2">
        <v>0.35699999999999998</v>
      </c>
      <c r="S337" s="2">
        <v>0.61499999999999999</v>
      </c>
      <c r="T337" s="2">
        <v>0.27300000000000002</v>
      </c>
      <c r="U337" s="2">
        <v>0.33300000000000002</v>
      </c>
      <c r="V337" s="2">
        <v>0.316</v>
      </c>
      <c r="W337" s="2">
        <v>0.85699999999999998</v>
      </c>
      <c r="X337" s="2">
        <v>0</v>
      </c>
      <c r="Y337" s="2">
        <v>0</v>
      </c>
      <c r="Z337" s="2">
        <v>4.8000000000000001E-2</v>
      </c>
      <c r="AA337" s="2">
        <v>1</v>
      </c>
      <c r="AB337" s="2">
        <v>0</v>
      </c>
      <c r="AC337" s="2">
        <v>0</v>
      </c>
    </row>
    <row r="338" spans="1:29" x14ac:dyDescent="0.2">
      <c r="A338" t="s">
        <v>547</v>
      </c>
      <c r="B338" s="2">
        <v>25</v>
      </c>
      <c r="C338" t="s">
        <v>32</v>
      </c>
      <c r="D338" s="2" t="s">
        <v>49</v>
      </c>
      <c r="E338" s="2">
        <v>6</v>
      </c>
      <c r="F338" s="2">
        <v>0</v>
      </c>
      <c r="G338" s="2">
        <v>21</v>
      </c>
      <c r="H338" s="2">
        <v>0</v>
      </c>
      <c r="I338" s="2">
        <v>15.3</v>
      </c>
      <c r="J338" s="2">
        <v>0.5</v>
      </c>
      <c r="K338" s="2">
        <v>0</v>
      </c>
      <c r="L338" s="2">
        <v>0.5</v>
      </c>
      <c r="M338" s="2">
        <v>0</v>
      </c>
      <c r="N338" s="2">
        <v>0</v>
      </c>
      <c r="O338" s="2">
        <v>0.5</v>
      </c>
      <c r="P338" s="2">
        <v>0</v>
      </c>
      <c r="Q338" s="2"/>
      <c r="R338" s="2">
        <v>0</v>
      </c>
      <c r="S338" s="2"/>
      <c r="T338" s="2"/>
      <c r="U338" s="2">
        <v>0</v>
      </c>
      <c r="V338" s="2"/>
      <c r="W338" s="2"/>
      <c r="X338" s="2">
        <v>0</v>
      </c>
      <c r="Y338" s="2">
        <v>0</v>
      </c>
      <c r="Z338" s="2">
        <v>1</v>
      </c>
      <c r="AA338" s="2">
        <v>0</v>
      </c>
      <c r="AB338" s="2">
        <v>0</v>
      </c>
      <c r="AC338" s="2">
        <v>0</v>
      </c>
    </row>
    <row r="339" spans="1:29" x14ac:dyDescent="0.2">
      <c r="A339" t="s">
        <v>115</v>
      </c>
      <c r="B339" s="2">
        <v>28</v>
      </c>
      <c r="C339" t="s">
        <v>75</v>
      </c>
      <c r="D339" s="2" t="s">
        <v>52</v>
      </c>
      <c r="E339" s="2">
        <v>26</v>
      </c>
      <c r="F339" s="2">
        <v>7</v>
      </c>
      <c r="G339" s="2">
        <v>727</v>
      </c>
      <c r="H339" s="2">
        <v>0.433</v>
      </c>
      <c r="I339" s="2">
        <v>20.5</v>
      </c>
      <c r="J339" s="2">
        <v>0.315</v>
      </c>
      <c r="K339" s="2">
        <v>4.4999999999999998E-2</v>
      </c>
      <c r="L339" s="2">
        <v>0.155</v>
      </c>
      <c r="M339" s="2">
        <v>4.8000000000000001E-2</v>
      </c>
      <c r="N339" s="2">
        <v>6.7000000000000004E-2</v>
      </c>
      <c r="O339" s="2">
        <v>0.68500000000000005</v>
      </c>
      <c r="P339" s="2">
        <v>0.49</v>
      </c>
      <c r="Q339" s="2">
        <v>0.6</v>
      </c>
      <c r="R339" s="2">
        <v>0.49</v>
      </c>
      <c r="S339" s="2">
        <v>0.5</v>
      </c>
      <c r="T339" s="2">
        <v>0.40899999999999997</v>
      </c>
      <c r="U339" s="2">
        <v>0.40699999999999997</v>
      </c>
      <c r="V339" s="2">
        <v>0.66700000000000004</v>
      </c>
      <c r="W339" s="2">
        <v>0.91300000000000003</v>
      </c>
      <c r="X339" s="2">
        <v>1.4999999999999999E-2</v>
      </c>
      <c r="Y339" s="2">
        <v>4</v>
      </c>
      <c r="Z339" s="2">
        <v>0.27</v>
      </c>
      <c r="AA339" s="2">
        <v>0.50800000000000001</v>
      </c>
      <c r="AB339" s="2">
        <v>0</v>
      </c>
      <c r="AC339" s="2">
        <v>0</v>
      </c>
    </row>
    <row r="340" spans="1:29" x14ac:dyDescent="0.2">
      <c r="A340" t="s">
        <v>156</v>
      </c>
      <c r="B340" s="2">
        <v>26</v>
      </c>
      <c r="C340" t="s">
        <v>37</v>
      </c>
      <c r="D340" s="2" t="s">
        <v>52</v>
      </c>
      <c r="E340" s="2">
        <v>19</v>
      </c>
      <c r="F340" s="2">
        <v>6</v>
      </c>
      <c r="G340" s="2">
        <v>545</v>
      </c>
      <c r="H340" s="2">
        <v>0.45300000000000001</v>
      </c>
      <c r="I340" s="2">
        <v>16.899999999999999</v>
      </c>
      <c r="J340" s="2">
        <v>0.5</v>
      </c>
      <c r="K340" s="2">
        <v>0.158</v>
      </c>
      <c r="L340" s="2">
        <v>0.17499999999999999</v>
      </c>
      <c r="M340" s="2">
        <v>0.111</v>
      </c>
      <c r="N340" s="2">
        <v>5.6000000000000001E-2</v>
      </c>
      <c r="O340" s="2">
        <v>0.5</v>
      </c>
      <c r="P340" s="2">
        <v>0.53</v>
      </c>
      <c r="Q340" s="2">
        <v>0.59499999999999997</v>
      </c>
      <c r="R340" s="2">
        <v>0.56100000000000005</v>
      </c>
      <c r="S340" s="2">
        <v>0.42299999999999999</v>
      </c>
      <c r="T340" s="2">
        <v>0.46200000000000002</v>
      </c>
      <c r="U340" s="2">
        <v>0.376</v>
      </c>
      <c r="V340" s="2">
        <v>0.41899999999999998</v>
      </c>
      <c r="W340" s="2">
        <v>0.77300000000000002</v>
      </c>
      <c r="X340" s="2">
        <v>0.03</v>
      </c>
      <c r="Y340" s="2">
        <v>5</v>
      </c>
      <c r="Z340" s="2">
        <v>0.10299999999999999</v>
      </c>
      <c r="AA340" s="2">
        <v>0.75</v>
      </c>
      <c r="AB340" s="2">
        <v>1</v>
      </c>
      <c r="AC340" s="2">
        <v>0</v>
      </c>
    </row>
    <row r="341" spans="1:29" x14ac:dyDescent="0.2">
      <c r="A341" t="s">
        <v>326</v>
      </c>
      <c r="B341" s="2">
        <v>24</v>
      </c>
      <c r="C341" t="s">
        <v>75</v>
      </c>
      <c r="D341" s="2" t="s">
        <v>33</v>
      </c>
      <c r="E341" s="2">
        <v>17</v>
      </c>
      <c r="F341" s="2">
        <v>0</v>
      </c>
      <c r="G341" s="2">
        <v>227</v>
      </c>
      <c r="H341" s="2">
        <v>0.54200000000000004</v>
      </c>
      <c r="I341" s="2">
        <v>16.100000000000001</v>
      </c>
      <c r="J341" s="2">
        <v>0.56599999999999995</v>
      </c>
      <c r="K341" s="2">
        <v>0.20499999999999999</v>
      </c>
      <c r="L341" s="2">
        <v>0.14499999999999999</v>
      </c>
      <c r="M341" s="2">
        <v>0.108</v>
      </c>
      <c r="N341" s="2">
        <v>0.108</v>
      </c>
      <c r="O341" s="2">
        <v>0.434</v>
      </c>
      <c r="P341" s="2">
        <v>0.66</v>
      </c>
      <c r="Q341" s="2">
        <v>0.82399999999999995</v>
      </c>
      <c r="R341" s="2">
        <v>0.5</v>
      </c>
      <c r="S341" s="2">
        <v>0.55600000000000005</v>
      </c>
      <c r="T341" s="2">
        <v>0.66700000000000004</v>
      </c>
      <c r="U341" s="2">
        <v>0.38900000000000001</v>
      </c>
      <c r="V341" s="2">
        <v>0.41899999999999998</v>
      </c>
      <c r="W341" s="2">
        <v>0.78600000000000003</v>
      </c>
      <c r="X341" s="2">
        <v>0</v>
      </c>
      <c r="Y341" s="2">
        <v>0</v>
      </c>
      <c r="Z341" s="2">
        <v>0.222</v>
      </c>
      <c r="AA341" s="2">
        <v>0.25</v>
      </c>
      <c r="AB341" s="2">
        <v>0</v>
      </c>
      <c r="AC341" s="2">
        <v>0</v>
      </c>
    </row>
    <row r="342" spans="1:29" x14ac:dyDescent="0.2">
      <c r="A342" t="s">
        <v>291</v>
      </c>
      <c r="B342" s="2">
        <v>30</v>
      </c>
      <c r="C342" t="s">
        <v>80</v>
      </c>
      <c r="D342" s="2" t="s">
        <v>33</v>
      </c>
      <c r="E342" s="2">
        <v>15</v>
      </c>
      <c r="F342" s="2">
        <v>6</v>
      </c>
      <c r="G342" s="2">
        <v>320</v>
      </c>
      <c r="H342" s="2">
        <v>0.36899999999999999</v>
      </c>
      <c r="I342" s="2">
        <v>18.7</v>
      </c>
      <c r="J342" s="2">
        <v>0.36899999999999999</v>
      </c>
      <c r="K342" s="2">
        <v>6.6000000000000003E-2</v>
      </c>
      <c r="L342" s="2">
        <v>0.254</v>
      </c>
      <c r="M342" s="2">
        <v>3.3000000000000002E-2</v>
      </c>
      <c r="N342" s="2">
        <v>1.6E-2</v>
      </c>
      <c r="O342" s="2">
        <v>0.63100000000000001</v>
      </c>
      <c r="P342" s="2">
        <v>0.44400000000000001</v>
      </c>
      <c r="Q342" s="2">
        <v>0.625</v>
      </c>
      <c r="R342" s="2">
        <v>0.35499999999999998</v>
      </c>
      <c r="S342" s="2">
        <v>0.5</v>
      </c>
      <c r="T342" s="2">
        <v>1</v>
      </c>
      <c r="U342" s="2">
        <v>0.32500000000000001</v>
      </c>
      <c r="V342" s="2">
        <v>0.4</v>
      </c>
      <c r="W342" s="2">
        <v>0.8</v>
      </c>
      <c r="X342" s="2">
        <v>0</v>
      </c>
      <c r="Y342" s="2">
        <v>0</v>
      </c>
      <c r="Z342" s="2">
        <v>0.26</v>
      </c>
      <c r="AA342" s="2">
        <v>0.15</v>
      </c>
      <c r="AB342" s="2">
        <v>2</v>
      </c>
      <c r="AC342" s="2">
        <v>0</v>
      </c>
    </row>
    <row r="343" spans="1:29" x14ac:dyDescent="0.2">
      <c r="A343" t="s">
        <v>474</v>
      </c>
      <c r="B343" s="2">
        <v>24</v>
      </c>
      <c r="C343" t="s">
        <v>35</v>
      </c>
      <c r="D343" s="2" t="s">
        <v>49</v>
      </c>
      <c r="E343" s="2">
        <v>11</v>
      </c>
      <c r="F343" s="2">
        <v>0</v>
      </c>
      <c r="G343" s="2">
        <v>35</v>
      </c>
      <c r="H343" s="2">
        <v>0.375</v>
      </c>
      <c r="I343" s="2">
        <v>15.9</v>
      </c>
      <c r="J343" s="2">
        <v>0.5</v>
      </c>
      <c r="K343" s="2">
        <v>0.25</v>
      </c>
      <c r="L343" s="2">
        <v>0.125</v>
      </c>
      <c r="M343" s="2">
        <v>0.125</v>
      </c>
      <c r="N343" s="2">
        <v>0</v>
      </c>
      <c r="O343" s="2">
        <v>0.5</v>
      </c>
      <c r="P343" s="2">
        <v>0.5</v>
      </c>
      <c r="Q343" s="2">
        <v>0.75</v>
      </c>
      <c r="R343" s="2">
        <v>0</v>
      </c>
      <c r="S343" s="2">
        <v>0.5</v>
      </c>
      <c r="T343" s="2"/>
      <c r="U343" s="2">
        <v>0.25</v>
      </c>
      <c r="V343" s="2">
        <v>0.25</v>
      </c>
      <c r="W343" s="2">
        <v>1</v>
      </c>
      <c r="X343" s="2">
        <v>0.125</v>
      </c>
      <c r="Y343" s="2">
        <v>1</v>
      </c>
      <c r="Z343" s="2">
        <v>0.125</v>
      </c>
      <c r="AA343" s="2">
        <v>1</v>
      </c>
      <c r="AB343" s="2">
        <v>0</v>
      </c>
      <c r="AC343" s="2">
        <v>0</v>
      </c>
    </row>
    <row r="344" spans="1:29" x14ac:dyDescent="0.2">
      <c r="A344" t="s">
        <v>460</v>
      </c>
      <c r="B344" s="2">
        <v>23</v>
      </c>
      <c r="C344" t="s">
        <v>59</v>
      </c>
      <c r="D344" s="2" t="s">
        <v>42</v>
      </c>
      <c r="E344" s="2">
        <v>3</v>
      </c>
      <c r="F344" s="2">
        <v>0</v>
      </c>
      <c r="G344" s="2">
        <v>30</v>
      </c>
      <c r="H344" s="2">
        <v>0.6</v>
      </c>
      <c r="I344" s="2">
        <v>4</v>
      </c>
      <c r="J344" s="2">
        <v>1</v>
      </c>
      <c r="K344" s="2">
        <v>0.4</v>
      </c>
      <c r="L344" s="2">
        <v>0.46700000000000003</v>
      </c>
      <c r="M344" s="2">
        <v>0.13300000000000001</v>
      </c>
      <c r="N344" s="2">
        <v>0</v>
      </c>
      <c r="O344" s="2">
        <v>0</v>
      </c>
      <c r="P344" s="2">
        <v>0.6</v>
      </c>
      <c r="Q344" s="2">
        <v>1</v>
      </c>
      <c r="R344" s="2">
        <v>0.28599999999999998</v>
      </c>
      <c r="S344" s="2">
        <v>0.5</v>
      </c>
      <c r="T344" s="2"/>
      <c r="U344" s="2"/>
      <c r="V344" s="2">
        <v>0.66700000000000004</v>
      </c>
      <c r="W344" s="2"/>
      <c r="X344" s="2">
        <v>0.26700000000000002</v>
      </c>
      <c r="Y344" s="2">
        <v>4</v>
      </c>
      <c r="Z344" s="2"/>
      <c r="AA344" s="2"/>
      <c r="AB344" s="2">
        <v>0</v>
      </c>
      <c r="AC344" s="2">
        <v>0</v>
      </c>
    </row>
    <row r="345" spans="1:29" x14ac:dyDescent="0.2">
      <c r="A345" t="s">
        <v>518</v>
      </c>
      <c r="B345" s="2">
        <v>35</v>
      </c>
      <c r="C345" t="s">
        <v>63</v>
      </c>
      <c r="D345" s="2" t="s">
        <v>27</v>
      </c>
      <c r="E345" s="2">
        <v>3</v>
      </c>
      <c r="F345" s="2">
        <v>0</v>
      </c>
      <c r="G345" s="2">
        <v>18</v>
      </c>
      <c r="H345" s="2">
        <v>0.222</v>
      </c>
      <c r="I345" s="2">
        <v>18.5</v>
      </c>
      <c r="J345" s="2">
        <v>0.66700000000000004</v>
      </c>
      <c r="K345" s="2">
        <v>0.111</v>
      </c>
      <c r="L345" s="2">
        <v>0</v>
      </c>
      <c r="M345" s="2">
        <v>0.33300000000000002</v>
      </c>
      <c r="N345" s="2">
        <v>0.222</v>
      </c>
      <c r="O345" s="2">
        <v>0.33300000000000002</v>
      </c>
      <c r="P345" s="2">
        <v>0.16700000000000001</v>
      </c>
      <c r="Q345" s="2">
        <v>0</v>
      </c>
      <c r="R345" s="2"/>
      <c r="S345" s="2">
        <v>0.33300000000000002</v>
      </c>
      <c r="T345" s="2">
        <v>0</v>
      </c>
      <c r="U345" s="2">
        <v>0.33300000000000002</v>
      </c>
      <c r="V345" s="2">
        <v>0</v>
      </c>
      <c r="W345" s="2">
        <v>1</v>
      </c>
      <c r="X345" s="2">
        <v>0</v>
      </c>
      <c r="Y345" s="2">
        <v>0</v>
      </c>
      <c r="Z345" s="2">
        <v>0</v>
      </c>
      <c r="AA345" s="2"/>
      <c r="AB345" s="2">
        <v>0</v>
      </c>
      <c r="AC345" s="2">
        <v>0</v>
      </c>
    </row>
    <row r="346" spans="1:29" x14ac:dyDescent="0.2">
      <c r="A346" t="s">
        <v>366</v>
      </c>
      <c r="B346" s="2">
        <v>25</v>
      </c>
      <c r="C346" t="s">
        <v>114</v>
      </c>
      <c r="D346" s="2" t="s">
        <v>42</v>
      </c>
      <c r="E346" s="2">
        <v>16</v>
      </c>
      <c r="F346" s="2">
        <v>1</v>
      </c>
      <c r="G346" s="2">
        <v>135</v>
      </c>
      <c r="H346" s="2">
        <v>0.54100000000000004</v>
      </c>
      <c r="I346" s="2">
        <v>8</v>
      </c>
      <c r="J346" s="2">
        <v>0.83599999999999997</v>
      </c>
      <c r="K346" s="2">
        <v>0.443</v>
      </c>
      <c r="L346" s="2">
        <v>0.311</v>
      </c>
      <c r="M346" s="2">
        <v>8.2000000000000003E-2</v>
      </c>
      <c r="N346" s="2">
        <v>0</v>
      </c>
      <c r="O346" s="2">
        <v>0.16400000000000001</v>
      </c>
      <c r="P346" s="2">
        <v>0.60799999999999998</v>
      </c>
      <c r="Q346" s="2">
        <v>0.81499999999999995</v>
      </c>
      <c r="R346" s="2">
        <v>0.42099999999999999</v>
      </c>
      <c r="S346" s="2">
        <v>0.2</v>
      </c>
      <c r="T346" s="2"/>
      <c r="U346" s="2">
        <v>0.2</v>
      </c>
      <c r="V346" s="2">
        <v>0.41899999999999998</v>
      </c>
      <c r="W346" s="2">
        <v>1</v>
      </c>
      <c r="X346" s="2">
        <v>0.19700000000000001</v>
      </c>
      <c r="Y346" s="2">
        <v>11</v>
      </c>
      <c r="Z346" s="2">
        <v>0.2</v>
      </c>
      <c r="AA346" s="2">
        <v>0</v>
      </c>
      <c r="AB346" s="2">
        <v>0</v>
      </c>
      <c r="AC346" s="2">
        <v>0</v>
      </c>
    </row>
    <row r="347" spans="1:29" x14ac:dyDescent="0.2">
      <c r="A347" t="s">
        <v>561</v>
      </c>
      <c r="B347" s="2">
        <v>26</v>
      </c>
      <c r="C347" t="s">
        <v>37</v>
      </c>
      <c r="D347" s="2" t="s">
        <v>52</v>
      </c>
      <c r="E347" s="2">
        <v>3</v>
      </c>
      <c r="F347" s="2">
        <v>0</v>
      </c>
      <c r="G347" s="2">
        <v>13</v>
      </c>
      <c r="H347" s="2">
        <v>0</v>
      </c>
      <c r="I347" s="2">
        <v>26</v>
      </c>
      <c r="J347" s="2">
        <v>0</v>
      </c>
      <c r="K347" s="2">
        <v>0</v>
      </c>
      <c r="L347" s="2">
        <v>0</v>
      </c>
      <c r="M347" s="2">
        <v>0</v>
      </c>
      <c r="N347" s="2">
        <v>0</v>
      </c>
      <c r="O347" s="2">
        <v>1</v>
      </c>
      <c r="P347" s="2"/>
      <c r="Q347" s="2"/>
      <c r="R347" s="2"/>
      <c r="S347" s="2"/>
      <c r="T347" s="2"/>
      <c r="U347" s="2">
        <v>0</v>
      </c>
      <c r="V347" s="2"/>
      <c r="W347" s="2"/>
      <c r="X347" s="2">
        <v>0</v>
      </c>
      <c r="Y347" s="2">
        <v>0</v>
      </c>
      <c r="Z347" s="2">
        <v>0</v>
      </c>
      <c r="AA347" s="2"/>
      <c r="AB347" s="2">
        <v>0</v>
      </c>
      <c r="AC347" s="2">
        <v>0</v>
      </c>
    </row>
    <row r="348" spans="1:29" x14ac:dyDescent="0.2">
      <c r="A348" t="s">
        <v>335</v>
      </c>
      <c r="B348" s="2">
        <v>34</v>
      </c>
      <c r="C348" t="s">
        <v>54</v>
      </c>
      <c r="D348" s="2" t="s">
        <v>42</v>
      </c>
      <c r="E348" s="2">
        <v>22</v>
      </c>
      <c r="F348" s="2">
        <v>7</v>
      </c>
      <c r="G348" s="2">
        <v>397</v>
      </c>
      <c r="H348" s="2">
        <v>0.55700000000000005</v>
      </c>
      <c r="I348" s="2">
        <v>3.2</v>
      </c>
      <c r="J348" s="2">
        <v>1</v>
      </c>
      <c r="K348" s="2">
        <v>0.54300000000000004</v>
      </c>
      <c r="L348" s="2">
        <v>0.41399999999999998</v>
      </c>
      <c r="M348" s="2">
        <v>4.2999999999999997E-2</v>
      </c>
      <c r="N348" s="2">
        <v>0</v>
      </c>
      <c r="O348" s="2">
        <v>0</v>
      </c>
      <c r="P348" s="2">
        <v>0.55700000000000005</v>
      </c>
      <c r="Q348" s="2">
        <v>0.81599999999999995</v>
      </c>
      <c r="R348" s="2">
        <v>0.27600000000000002</v>
      </c>
      <c r="S348" s="2">
        <v>0</v>
      </c>
      <c r="T348" s="2"/>
      <c r="U348" s="2"/>
      <c r="V348" s="2">
        <v>0.74399999999999999</v>
      </c>
      <c r="W348" s="2"/>
      <c r="X348" s="2">
        <v>0.24299999999999999</v>
      </c>
      <c r="Y348" s="2">
        <v>15</v>
      </c>
      <c r="Z348" s="2"/>
      <c r="AA348" s="2"/>
      <c r="AB348" s="2">
        <v>0</v>
      </c>
      <c r="AC348" s="2">
        <v>0</v>
      </c>
    </row>
    <row r="349" spans="1:29" x14ac:dyDescent="0.2">
      <c r="A349" t="s">
        <v>304</v>
      </c>
      <c r="B349" s="2">
        <v>20</v>
      </c>
      <c r="C349" t="s">
        <v>70</v>
      </c>
      <c r="D349" s="2" t="s">
        <v>49</v>
      </c>
      <c r="E349" s="2">
        <v>24</v>
      </c>
      <c r="F349" s="2">
        <v>0</v>
      </c>
      <c r="G349" s="2">
        <v>304</v>
      </c>
      <c r="H349" s="2">
        <v>0.4</v>
      </c>
      <c r="I349" s="2">
        <v>14.5</v>
      </c>
      <c r="J349" s="2">
        <v>0.47299999999999998</v>
      </c>
      <c r="K349" s="2">
        <v>0.29099999999999998</v>
      </c>
      <c r="L349" s="2">
        <v>0.109</v>
      </c>
      <c r="M349" s="2">
        <v>6.4000000000000001E-2</v>
      </c>
      <c r="N349" s="2">
        <v>8.9999999999999993E-3</v>
      </c>
      <c r="O349" s="2">
        <v>0.52700000000000002</v>
      </c>
      <c r="P349" s="2">
        <v>0.442</v>
      </c>
      <c r="Q349" s="2">
        <v>0.56299999999999994</v>
      </c>
      <c r="R349" s="2">
        <v>0.25</v>
      </c>
      <c r="S349" s="2">
        <v>0.28599999999999998</v>
      </c>
      <c r="T349" s="2">
        <v>0</v>
      </c>
      <c r="U349" s="2">
        <v>0.36199999999999999</v>
      </c>
      <c r="V349" s="2">
        <v>0.73899999999999999</v>
      </c>
      <c r="W349" s="2">
        <v>1</v>
      </c>
      <c r="X349" s="2">
        <v>0.127</v>
      </c>
      <c r="Y349" s="2">
        <v>12</v>
      </c>
      <c r="Z349" s="2">
        <v>0.67200000000000004</v>
      </c>
      <c r="AA349" s="2">
        <v>0.33300000000000002</v>
      </c>
      <c r="AB349" s="2">
        <v>0</v>
      </c>
      <c r="AC349" s="2">
        <v>0</v>
      </c>
    </row>
    <row r="350" spans="1:29" x14ac:dyDescent="0.2">
      <c r="A350" t="s">
        <v>495</v>
      </c>
      <c r="B350" s="2">
        <v>27</v>
      </c>
      <c r="C350" t="s">
        <v>44</v>
      </c>
      <c r="D350" s="2" t="s">
        <v>49</v>
      </c>
      <c r="E350" s="2">
        <v>8</v>
      </c>
      <c r="F350" s="2">
        <v>0</v>
      </c>
      <c r="G350" s="2">
        <v>41</v>
      </c>
      <c r="H350" s="2">
        <v>0.25</v>
      </c>
      <c r="I350" s="2">
        <v>20.100000000000001</v>
      </c>
      <c r="J350" s="2">
        <v>0.25</v>
      </c>
      <c r="K350" s="2">
        <v>6.3E-2</v>
      </c>
      <c r="L350" s="2">
        <v>0.125</v>
      </c>
      <c r="M350" s="2">
        <v>6.3E-2</v>
      </c>
      <c r="N350" s="2">
        <v>0</v>
      </c>
      <c r="O350" s="2">
        <v>0.75</v>
      </c>
      <c r="P350" s="2">
        <v>0.25</v>
      </c>
      <c r="Q350" s="2">
        <v>1</v>
      </c>
      <c r="R350" s="2">
        <v>0</v>
      </c>
      <c r="S350" s="2">
        <v>0</v>
      </c>
      <c r="T350" s="2"/>
      <c r="U350" s="2">
        <v>0.25</v>
      </c>
      <c r="V350" s="2">
        <v>1</v>
      </c>
      <c r="W350" s="2">
        <v>1</v>
      </c>
      <c r="X350" s="2">
        <v>0</v>
      </c>
      <c r="Y350" s="2">
        <v>0</v>
      </c>
      <c r="Z350" s="2">
        <v>0.41699999999999998</v>
      </c>
      <c r="AA350" s="2">
        <v>0.2</v>
      </c>
      <c r="AB350" s="2">
        <v>0</v>
      </c>
      <c r="AC350" s="2">
        <v>0</v>
      </c>
    </row>
    <row r="351" spans="1:29" x14ac:dyDescent="0.2">
      <c r="A351" t="s">
        <v>302</v>
      </c>
      <c r="B351" s="2">
        <v>21</v>
      </c>
      <c r="C351" t="s">
        <v>41</v>
      </c>
      <c r="D351" s="2" t="s">
        <v>52</v>
      </c>
      <c r="E351" s="2">
        <v>23</v>
      </c>
      <c r="F351" s="2">
        <v>2</v>
      </c>
      <c r="G351" s="2">
        <v>442</v>
      </c>
      <c r="H351" s="2">
        <v>0.40799999999999997</v>
      </c>
      <c r="I351" s="2">
        <v>15.9</v>
      </c>
      <c r="J351" s="2">
        <v>0.53400000000000003</v>
      </c>
      <c r="K351" s="2">
        <v>0.20399999999999999</v>
      </c>
      <c r="L351" s="2">
        <v>0.20399999999999999</v>
      </c>
      <c r="M351" s="2">
        <v>7.8E-2</v>
      </c>
      <c r="N351" s="2">
        <v>4.9000000000000002E-2</v>
      </c>
      <c r="O351" s="2">
        <v>0.46600000000000003</v>
      </c>
      <c r="P351" s="2">
        <v>0.50900000000000001</v>
      </c>
      <c r="Q351" s="2">
        <v>0.85699999999999998</v>
      </c>
      <c r="R351" s="2">
        <v>0.33300000000000002</v>
      </c>
      <c r="S351" s="2">
        <v>0.25</v>
      </c>
      <c r="T351" s="2">
        <v>0.2</v>
      </c>
      <c r="U351" s="2">
        <v>0.29199999999999998</v>
      </c>
      <c r="V351" s="2">
        <v>0.60699999999999998</v>
      </c>
      <c r="W351" s="2">
        <v>0.85699999999999998</v>
      </c>
      <c r="X351" s="2">
        <v>0.11700000000000001</v>
      </c>
      <c r="Y351" s="2">
        <v>10</v>
      </c>
      <c r="Z351" s="2">
        <v>0.25</v>
      </c>
      <c r="AA351" s="2">
        <v>0.25</v>
      </c>
      <c r="AB351" s="2">
        <v>2</v>
      </c>
      <c r="AC351" s="2">
        <v>0</v>
      </c>
    </row>
    <row r="352" spans="1:29" x14ac:dyDescent="0.2">
      <c r="A352" t="s">
        <v>453</v>
      </c>
      <c r="B352" s="2">
        <v>33</v>
      </c>
      <c r="C352" t="s">
        <v>63</v>
      </c>
      <c r="D352" s="2" t="s">
        <v>27</v>
      </c>
      <c r="E352" s="2">
        <v>14</v>
      </c>
      <c r="F352" s="2">
        <v>2</v>
      </c>
      <c r="G352" s="2">
        <v>238</v>
      </c>
      <c r="H352" s="2">
        <v>0.34599999999999997</v>
      </c>
      <c r="I352" s="2">
        <v>11.9</v>
      </c>
      <c r="J352" s="2">
        <v>0.65400000000000003</v>
      </c>
      <c r="K352" s="2">
        <v>0.23100000000000001</v>
      </c>
      <c r="L352" s="2">
        <v>0.308</v>
      </c>
      <c r="M352" s="2">
        <v>7.6999999999999999E-2</v>
      </c>
      <c r="N352" s="2">
        <v>3.7999999999999999E-2</v>
      </c>
      <c r="O352" s="2">
        <v>0.34599999999999997</v>
      </c>
      <c r="P352" s="2">
        <v>0.41199999999999998</v>
      </c>
      <c r="Q352" s="2">
        <v>0.66700000000000004</v>
      </c>
      <c r="R352" s="2">
        <v>0.125</v>
      </c>
      <c r="S352" s="2">
        <v>0.5</v>
      </c>
      <c r="T352" s="2">
        <v>1</v>
      </c>
      <c r="U352" s="2">
        <v>0.222</v>
      </c>
      <c r="V352" s="2">
        <v>0.71399999999999997</v>
      </c>
      <c r="W352" s="2">
        <v>1</v>
      </c>
      <c r="X352" s="2">
        <v>7.6999999999999999E-2</v>
      </c>
      <c r="Y352" s="2">
        <v>2</v>
      </c>
      <c r="Z352" s="2">
        <v>0.77800000000000002</v>
      </c>
      <c r="AA352" s="2">
        <v>0.14299999999999999</v>
      </c>
      <c r="AB352" s="2">
        <v>0</v>
      </c>
      <c r="AC352" s="2">
        <v>0</v>
      </c>
    </row>
    <row r="353" spans="1:29" x14ac:dyDescent="0.2">
      <c r="A353" t="s">
        <v>529</v>
      </c>
      <c r="B353" s="2">
        <v>22</v>
      </c>
      <c r="C353" t="s">
        <v>41</v>
      </c>
      <c r="D353" s="2" t="s">
        <v>49</v>
      </c>
      <c r="E353" s="2">
        <v>7</v>
      </c>
      <c r="F353" s="2">
        <v>0</v>
      </c>
      <c r="G353" s="2">
        <v>29</v>
      </c>
      <c r="H353" s="2">
        <v>0.33300000000000002</v>
      </c>
      <c r="I353" s="2">
        <v>12.6</v>
      </c>
      <c r="J353" s="2">
        <v>1</v>
      </c>
      <c r="K353" s="2">
        <v>0.16700000000000001</v>
      </c>
      <c r="L353" s="2">
        <v>0.16700000000000001</v>
      </c>
      <c r="M353" s="2">
        <v>0.16700000000000001</v>
      </c>
      <c r="N353" s="2">
        <v>0.5</v>
      </c>
      <c r="O353" s="2">
        <v>0</v>
      </c>
      <c r="P353" s="2">
        <v>0.33300000000000002</v>
      </c>
      <c r="Q353" s="2">
        <v>1</v>
      </c>
      <c r="R353" s="2">
        <v>1</v>
      </c>
      <c r="S353" s="2">
        <v>0</v>
      </c>
      <c r="T353" s="2">
        <v>0</v>
      </c>
      <c r="U353" s="2"/>
      <c r="V353" s="2">
        <v>0.5</v>
      </c>
      <c r="W353" s="2"/>
      <c r="X353" s="2">
        <v>0</v>
      </c>
      <c r="Y353" s="2">
        <v>0</v>
      </c>
      <c r="Z353" s="2"/>
      <c r="AA353" s="2"/>
      <c r="AB353" s="2">
        <v>0</v>
      </c>
      <c r="AC353" s="2">
        <v>0</v>
      </c>
    </row>
    <row r="354" spans="1:29" x14ac:dyDescent="0.2">
      <c r="A354" t="s">
        <v>468</v>
      </c>
      <c r="B354" s="2">
        <v>26</v>
      </c>
      <c r="C354" t="s">
        <v>120</v>
      </c>
      <c r="D354" s="2" t="s">
        <v>42</v>
      </c>
      <c r="E354" s="2">
        <v>5</v>
      </c>
      <c r="F354" s="2">
        <v>1</v>
      </c>
      <c r="G354" s="2">
        <v>101</v>
      </c>
      <c r="H354" s="2">
        <v>0.36799999999999999</v>
      </c>
      <c r="I354" s="2">
        <v>20.7</v>
      </c>
      <c r="J354" s="2">
        <v>0.158</v>
      </c>
      <c r="K354" s="2">
        <v>0.105</v>
      </c>
      <c r="L354" s="2">
        <v>5.2999999999999999E-2</v>
      </c>
      <c r="M354" s="2">
        <v>0</v>
      </c>
      <c r="N354" s="2">
        <v>0</v>
      </c>
      <c r="O354" s="2">
        <v>0.84199999999999997</v>
      </c>
      <c r="P354" s="2">
        <v>0.33300000000000002</v>
      </c>
      <c r="Q354" s="2">
        <v>0.5</v>
      </c>
      <c r="R354" s="2">
        <v>0</v>
      </c>
      <c r="S354" s="2"/>
      <c r="T354" s="2"/>
      <c r="U354" s="2">
        <v>0.375</v>
      </c>
      <c r="V354" s="2">
        <v>1</v>
      </c>
      <c r="W354" s="2">
        <v>1</v>
      </c>
      <c r="X354" s="2">
        <v>5.2999999999999999E-2</v>
      </c>
      <c r="Y354" s="2">
        <v>1</v>
      </c>
      <c r="Z354" s="2">
        <v>0.56299999999999994</v>
      </c>
      <c r="AA354" s="2">
        <v>0.111</v>
      </c>
      <c r="AB354" s="2">
        <v>0</v>
      </c>
      <c r="AC354" s="2">
        <v>0</v>
      </c>
    </row>
    <row r="355" spans="1:29" x14ac:dyDescent="0.2">
      <c r="A355" t="s">
        <v>109</v>
      </c>
      <c r="B355" s="2">
        <v>26</v>
      </c>
      <c r="C355" t="s">
        <v>46</v>
      </c>
      <c r="D355" s="2" t="s">
        <v>49</v>
      </c>
      <c r="E355" s="2">
        <v>22</v>
      </c>
      <c r="F355" s="2">
        <v>22</v>
      </c>
      <c r="G355" s="2">
        <v>784</v>
      </c>
      <c r="H355" s="2">
        <v>0.51200000000000001</v>
      </c>
      <c r="I355" s="2">
        <v>15.2</v>
      </c>
      <c r="J355" s="2">
        <v>0.58399999999999996</v>
      </c>
      <c r="K355" s="2">
        <v>0.20799999999999999</v>
      </c>
      <c r="L355" s="2">
        <v>0.193</v>
      </c>
      <c r="M355" s="2">
        <v>5.6000000000000001E-2</v>
      </c>
      <c r="N355" s="2">
        <v>0.127</v>
      </c>
      <c r="O355" s="2">
        <v>0.41599999999999998</v>
      </c>
      <c r="P355" s="2">
        <v>0.60099999999999998</v>
      </c>
      <c r="Q355" s="2">
        <v>0.77600000000000002</v>
      </c>
      <c r="R355" s="2">
        <v>0.53200000000000003</v>
      </c>
      <c r="S355" s="2">
        <v>0.5</v>
      </c>
      <c r="T355" s="2">
        <v>0.46300000000000002</v>
      </c>
      <c r="U355" s="2">
        <v>0.38800000000000001</v>
      </c>
      <c r="V355" s="2">
        <v>0.79600000000000004</v>
      </c>
      <c r="W355" s="2">
        <v>0.90400000000000003</v>
      </c>
      <c r="X355" s="2">
        <v>0.09</v>
      </c>
      <c r="Y355" s="2">
        <v>25</v>
      </c>
      <c r="Z355" s="2">
        <v>0.09</v>
      </c>
      <c r="AA355" s="2">
        <v>0.41699999999999998</v>
      </c>
      <c r="AB355" s="2">
        <v>0</v>
      </c>
      <c r="AC355" s="2">
        <v>0</v>
      </c>
    </row>
    <row r="356" spans="1:29" x14ac:dyDescent="0.2">
      <c r="A356" t="s">
        <v>105</v>
      </c>
      <c r="B356" s="2">
        <v>28</v>
      </c>
      <c r="C356" t="s">
        <v>44</v>
      </c>
      <c r="D356" s="2" t="s">
        <v>49</v>
      </c>
      <c r="E356" s="2">
        <v>25</v>
      </c>
      <c r="F356" s="2">
        <v>25</v>
      </c>
      <c r="G356" s="2">
        <v>958</v>
      </c>
      <c r="H356" s="2">
        <v>0.48099999999999998</v>
      </c>
      <c r="I356" s="2">
        <v>16.3</v>
      </c>
      <c r="J356" s="2">
        <v>0.53500000000000003</v>
      </c>
      <c r="K356" s="2">
        <v>0.13600000000000001</v>
      </c>
      <c r="L356" s="2">
        <v>0.17899999999999999</v>
      </c>
      <c r="M356" s="2">
        <v>0.17100000000000001</v>
      </c>
      <c r="N356" s="2">
        <v>4.9000000000000002E-2</v>
      </c>
      <c r="O356" s="2">
        <v>0.46500000000000002</v>
      </c>
      <c r="P356" s="2">
        <v>0.60399999999999998</v>
      </c>
      <c r="Q356" s="2">
        <v>0.82</v>
      </c>
      <c r="R356" s="2">
        <v>0.56100000000000005</v>
      </c>
      <c r="S356" s="2">
        <v>0.54</v>
      </c>
      <c r="T356" s="2">
        <v>0.38900000000000001</v>
      </c>
      <c r="U356" s="2">
        <v>0.33900000000000002</v>
      </c>
      <c r="V356" s="2">
        <v>0.70599999999999996</v>
      </c>
      <c r="W356" s="2">
        <v>0.94799999999999995</v>
      </c>
      <c r="X356" s="2">
        <v>0.03</v>
      </c>
      <c r="Y356" s="2">
        <v>10</v>
      </c>
      <c r="Z356" s="2">
        <v>0.45</v>
      </c>
      <c r="AA356" s="2">
        <v>0.45500000000000002</v>
      </c>
      <c r="AB356" s="2">
        <v>6</v>
      </c>
      <c r="AC356" s="2">
        <v>0</v>
      </c>
    </row>
    <row r="357" spans="1:29" x14ac:dyDescent="0.2">
      <c r="A357" t="s">
        <v>258</v>
      </c>
      <c r="B357" s="2">
        <v>37</v>
      </c>
      <c r="C357" t="s">
        <v>51</v>
      </c>
      <c r="D357" s="2" t="s">
        <v>33</v>
      </c>
      <c r="E357" s="2">
        <v>19</v>
      </c>
      <c r="F357" s="2">
        <v>19</v>
      </c>
      <c r="G357" s="2">
        <v>485</v>
      </c>
      <c r="H357" s="2">
        <v>0.36299999999999999</v>
      </c>
      <c r="I357" s="2">
        <v>20.8</v>
      </c>
      <c r="J357" s="2">
        <v>0.29499999999999998</v>
      </c>
      <c r="K357" s="2">
        <v>4.8000000000000001E-2</v>
      </c>
      <c r="L357" s="2">
        <v>0.151</v>
      </c>
      <c r="M357" s="2">
        <v>4.8000000000000001E-2</v>
      </c>
      <c r="N357" s="2">
        <v>4.8000000000000001E-2</v>
      </c>
      <c r="O357" s="2">
        <v>0.70499999999999996</v>
      </c>
      <c r="P357" s="2">
        <v>0.34899999999999998</v>
      </c>
      <c r="Q357" s="2">
        <v>0.42899999999999999</v>
      </c>
      <c r="R357" s="2">
        <v>0.45500000000000002</v>
      </c>
      <c r="S357" s="2">
        <v>0.28599999999999998</v>
      </c>
      <c r="T357" s="2">
        <v>0</v>
      </c>
      <c r="U357" s="2">
        <v>0.36899999999999999</v>
      </c>
      <c r="V357" s="2">
        <v>0.53300000000000003</v>
      </c>
      <c r="W357" s="2">
        <v>0.92100000000000004</v>
      </c>
      <c r="X357" s="2">
        <v>0</v>
      </c>
      <c r="Y357" s="2">
        <v>0</v>
      </c>
      <c r="Z357" s="2">
        <v>0.223</v>
      </c>
      <c r="AA357" s="2">
        <v>0.39100000000000001</v>
      </c>
      <c r="AB357" s="2">
        <v>1</v>
      </c>
      <c r="AC357" s="2">
        <v>0</v>
      </c>
    </row>
    <row r="358" spans="1:29" x14ac:dyDescent="0.2">
      <c r="A358" t="s">
        <v>252</v>
      </c>
      <c r="B358" s="2">
        <v>26</v>
      </c>
      <c r="C358" t="s">
        <v>59</v>
      </c>
      <c r="D358" s="2" t="s">
        <v>27</v>
      </c>
      <c r="E358" s="2">
        <v>11</v>
      </c>
      <c r="F358" s="2">
        <v>11</v>
      </c>
      <c r="G358" s="2">
        <v>331</v>
      </c>
      <c r="H358" s="2">
        <v>0.42499999999999999</v>
      </c>
      <c r="I358" s="2">
        <v>14.4</v>
      </c>
      <c r="J358" s="2">
        <v>0.52700000000000002</v>
      </c>
      <c r="K358" s="2">
        <v>0.308</v>
      </c>
      <c r="L358" s="2">
        <v>0.151</v>
      </c>
      <c r="M358" s="2">
        <v>3.4000000000000002E-2</v>
      </c>
      <c r="N358" s="2">
        <v>3.4000000000000002E-2</v>
      </c>
      <c r="O358" s="2">
        <v>0.47299999999999998</v>
      </c>
      <c r="P358" s="2">
        <v>0.49399999999999999</v>
      </c>
      <c r="Q358" s="2">
        <v>0.66700000000000004</v>
      </c>
      <c r="R358" s="2">
        <v>0.22700000000000001</v>
      </c>
      <c r="S358" s="2">
        <v>0.4</v>
      </c>
      <c r="T358" s="2">
        <v>0.2</v>
      </c>
      <c r="U358" s="2">
        <v>0.34799999999999998</v>
      </c>
      <c r="V358" s="2">
        <v>0.68400000000000005</v>
      </c>
      <c r="W358" s="2">
        <v>1</v>
      </c>
      <c r="X358" s="2">
        <v>8.2000000000000003E-2</v>
      </c>
      <c r="Y358" s="2">
        <v>10</v>
      </c>
      <c r="Z358" s="2">
        <v>0.30399999999999999</v>
      </c>
      <c r="AA358" s="2">
        <v>0.57099999999999995</v>
      </c>
      <c r="AB358" s="2">
        <v>0</v>
      </c>
      <c r="AC358" s="2">
        <v>0</v>
      </c>
    </row>
    <row r="359" spans="1:29" x14ac:dyDescent="0.2">
      <c r="A359" t="s">
        <v>220</v>
      </c>
      <c r="B359" s="2">
        <v>24</v>
      </c>
      <c r="C359" t="s">
        <v>44</v>
      </c>
      <c r="D359" s="2" t="s">
        <v>33</v>
      </c>
      <c r="E359" s="2">
        <v>20</v>
      </c>
      <c r="F359" s="2">
        <v>0</v>
      </c>
      <c r="G359" s="2">
        <v>508</v>
      </c>
      <c r="H359" s="2">
        <v>0.45200000000000001</v>
      </c>
      <c r="I359" s="2">
        <v>18.5</v>
      </c>
      <c r="J359" s="2">
        <v>0.39800000000000002</v>
      </c>
      <c r="K359" s="2">
        <v>0.151</v>
      </c>
      <c r="L359" s="2">
        <v>0.108</v>
      </c>
      <c r="M359" s="2">
        <v>7.1999999999999995E-2</v>
      </c>
      <c r="N359" s="2">
        <v>6.6000000000000003E-2</v>
      </c>
      <c r="O359" s="2">
        <v>0.60199999999999998</v>
      </c>
      <c r="P359" s="2">
        <v>0.51500000000000001</v>
      </c>
      <c r="Q359" s="2">
        <v>0.56000000000000005</v>
      </c>
      <c r="R359" s="2">
        <v>0.27800000000000002</v>
      </c>
      <c r="S359" s="2">
        <v>0.5</v>
      </c>
      <c r="T359" s="2">
        <v>0.81799999999999995</v>
      </c>
      <c r="U359" s="2">
        <v>0.41</v>
      </c>
      <c r="V359" s="2">
        <v>0.441</v>
      </c>
      <c r="W359" s="2">
        <v>0.78</v>
      </c>
      <c r="X359" s="2">
        <v>2.4E-2</v>
      </c>
      <c r="Y359" s="2">
        <v>3</v>
      </c>
      <c r="Z359" s="2">
        <v>0.26</v>
      </c>
      <c r="AA359" s="2">
        <v>0.308</v>
      </c>
      <c r="AB359" s="2">
        <v>1</v>
      </c>
      <c r="AC359" s="2">
        <v>0</v>
      </c>
    </row>
    <row r="360" spans="1:29" x14ac:dyDescent="0.2">
      <c r="A360" t="s">
        <v>405</v>
      </c>
      <c r="B360" s="2">
        <v>26</v>
      </c>
      <c r="C360" t="s">
        <v>77</v>
      </c>
      <c r="D360" s="2" t="s">
        <v>42</v>
      </c>
      <c r="E360" s="2">
        <v>10</v>
      </c>
      <c r="F360" s="2">
        <v>0</v>
      </c>
      <c r="G360" s="2">
        <v>136</v>
      </c>
      <c r="H360" s="2">
        <v>0.442</v>
      </c>
      <c r="I360" s="2">
        <v>13.6</v>
      </c>
      <c r="J360" s="2">
        <v>0.53500000000000003</v>
      </c>
      <c r="K360" s="2">
        <v>0.30199999999999999</v>
      </c>
      <c r="L360" s="2">
        <v>0.16300000000000001</v>
      </c>
      <c r="M360" s="2">
        <v>4.7E-2</v>
      </c>
      <c r="N360" s="2">
        <v>2.3E-2</v>
      </c>
      <c r="O360" s="2">
        <v>0.46500000000000002</v>
      </c>
      <c r="P360" s="2">
        <v>0.60899999999999999</v>
      </c>
      <c r="Q360" s="2">
        <v>0.69199999999999995</v>
      </c>
      <c r="R360" s="2">
        <v>0.28599999999999998</v>
      </c>
      <c r="S360" s="2">
        <v>1</v>
      </c>
      <c r="T360" s="2">
        <v>1</v>
      </c>
      <c r="U360" s="2">
        <v>0.25</v>
      </c>
      <c r="V360" s="2">
        <v>0.78600000000000003</v>
      </c>
      <c r="W360" s="2">
        <v>1</v>
      </c>
      <c r="X360" s="2">
        <v>0.16300000000000001</v>
      </c>
      <c r="Y360" s="2">
        <v>5</v>
      </c>
      <c r="Z360" s="2">
        <v>0.4</v>
      </c>
      <c r="AA360" s="2">
        <v>0.25</v>
      </c>
      <c r="AB360" s="2">
        <v>0</v>
      </c>
      <c r="AC360" s="2">
        <v>0</v>
      </c>
    </row>
    <row r="361" spans="1:29" x14ac:dyDescent="0.2">
      <c r="A361" t="s">
        <v>341</v>
      </c>
      <c r="B361" s="2">
        <v>29</v>
      </c>
      <c r="C361" t="s">
        <v>54</v>
      </c>
      <c r="D361" s="2" t="s">
        <v>33</v>
      </c>
      <c r="E361" s="2">
        <v>18</v>
      </c>
      <c r="F361" s="2">
        <v>0</v>
      </c>
      <c r="G361" s="2">
        <v>214</v>
      </c>
      <c r="H361" s="2">
        <v>0.46700000000000003</v>
      </c>
      <c r="I361" s="2">
        <v>17.600000000000001</v>
      </c>
      <c r="J361" s="2">
        <v>0.49299999999999999</v>
      </c>
      <c r="K361" s="2">
        <v>5.2999999999999999E-2</v>
      </c>
      <c r="L361" s="2">
        <v>0.187</v>
      </c>
      <c r="M361" s="2">
        <v>0.14699999999999999</v>
      </c>
      <c r="N361" s="2">
        <v>0.107</v>
      </c>
      <c r="O361" s="2">
        <v>0.50700000000000001</v>
      </c>
      <c r="P361" s="2">
        <v>0.56799999999999995</v>
      </c>
      <c r="Q361" s="2">
        <v>1</v>
      </c>
      <c r="R361" s="2">
        <v>0.5</v>
      </c>
      <c r="S361" s="2">
        <v>0.45500000000000002</v>
      </c>
      <c r="T361" s="2">
        <v>0.625</v>
      </c>
      <c r="U361" s="2">
        <v>0.36799999999999999</v>
      </c>
      <c r="V361" s="2">
        <v>0.42899999999999999</v>
      </c>
      <c r="W361" s="2">
        <v>1</v>
      </c>
      <c r="X361" s="2">
        <v>0</v>
      </c>
      <c r="Y361" s="2">
        <v>0</v>
      </c>
      <c r="Z361" s="2">
        <v>0.52600000000000002</v>
      </c>
      <c r="AA361" s="2">
        <v>0.45</v>
      </c>
      <c r="AB361" s="2">
        <v>0</v>
      </c>
      <c r="AC361" s="2">
        <v>0</v>
      </c>
    </row>
    <row r="362" spans="1:29" x14ac:dyDescent="0.2">
      <c r="A362" t="s">
        <v>136</v>
      </c>
      <c r="B362" s="2">
        <v>27</v>
      </c>
      <c r="C362" t="s">
        <v>48</v>
      </c>
      <c r="D362" s="2" t="s">
        <v>42</v>
      </c>
      <c r="E362" s="4">
        <v>27</v>
      </c>
      <c r="F362" s="2">
        <v>1</v>
      </c>
      <c r="G362" s="2">
        <v>518</v>
      </c>
      <c r="H362" s="2">
        <v>0.55500000000000005</v>
      </c>
      <c r="I362" s="2">
        <v>9.1999999999999993</v>
      </c>
      <c r="J362" s="2">
        <v>0.70499999999999996</v>
      </c>
      <c r="K362" s="2">
        <v>0.49299999999999999</v>
      </c>
      <c r="L362" s="2">
        <v>0.20300000000000001</v>
      </c>
      <c r="M362" s="2">
        <v>8.9999999999999993E-3</v>
      </c>
      <c r="N362" s="2">
        <v>0</v>
      </c>
      <c r="O362" s="2">
        <v>0.29499999999999998</v>
      </c>
      <c r="P362" s="2">
        <v>0.64400000000000002</v>
      </c>
      <c r="Q362" s="2">
        <v>0.69599999999999995</v>
      </c>
      <c r="R362" s="2">
        <v>0.54300000000000004</v>
      </c>
      <c r="S362" s="2">
        <v>0</v>
      </c>
      <c r="T362" s="2"/>
      <c r="U362" s="2">
        <v>0.34300000000000003</v>
      </c>
      <c r="V362" s="2">
        <v>0.68</v>
      </c>
      <c r="W362" s="2">
        <v>1</v>
      </c>
      <c r="X362" s="2">
        <v>8.4000000000000005E-2</v>
      </c>
      <c r="Y362" s="2">
        <v>18</v>
      </c>
      <c r="Z362" s="2">
        <v>0.313</v>
      </c>
      <c r="AA362" s="2">
        <v>0.33300000000000002</v>
      </c>
      <c r="AB362" s="2">
        <v>0</v>
      </c>
      <c r="AC362" s="2">
        <v>0</v>
      </c>
    </row>
    <row r="363" spans="1:29" x14ac:dyDescent="0.2">
      <c r="A363" t="s">
        <v>444</v>
      </c>
      <c r="B363" s="2">
        <v>25</v>
      </c>
      <c r="C363" t="s">
        <v>82</v>
      </c>
      <c r="D363" s="2" t="s">
        <v>42</v>
      </c>
      <c r="E363" s="2">
        <v>9</v>
      </c>
      <c r="F363" s="2">
        <v>0</v>
      </c>
      <c r="G363" s="2">
        <v>46</v>
      </c>
      <c r="H363" s="2">
        <v>0.65</v>
      </c>
      <c r="I363" s="2">
        <v>3.3</v>
      </c>
      <c r="J363" s="2">
        <v>1</v>
      </c>
      <c r="K363" s="2">
        <v>0.65</v>
      </c>
      <c r="L363" s="2">
        <v>0.25</v>
      </c>
      <c r="M363" s="2">
        <v>0.1</v>
      </c>
      <c r="N363" s="2">
        <v>0</v>
      </c>
      <c r="O363" s="2">
        <v>0</v>
      </c>
      <c r="P363" s="2">
        <v>0.65</v>
      </c>
      <c r="Q363" s="2">
        <v>0.84599999999999997</v>
      </c>
      <c r="R363" s="2">
        <v>0.4</v>
      </c>
      <c r="S363" s="2">
        <v>0</v>
      </c>
      <c r="T363" s="2"/>
      <c r="U363" s="2"/>
      <c r="V363" s="2">
        <v>0.61499999999999999</v>
      </c>
      <c r="W363" s="2"/>
      <c r="X363" s="2">
        <v>0.3</v>
      </c>
      <c r="Y363" s="2">
        <v>6</v>
      </c>
      <c r="Z363" s="2"/>
      <c r="AA363" s="2"/>
      <c r="AB363" s="2">
        <v>0</v>
      </c>
      <c r="AC363" s="2">
        <v>0</v>
      </c>
    </row>
    <row r="364" spans="1:29" x14ac:dyDescent="0.2">
      <c r="A364" t="s">
        <v>260</v>
      </c>
      <c r="B364" s="2">
        <v>22</v>
      </c>
      <c r="C364" t="s">
        <v>100</v>
      </c>
      <c r="D364" s="2" t="s">
        <v>52</v>
      </c>
      <c r="E364" s="2">
        <v>23</v>
      </c>
      <c r="F364" s="2">
        <v>4</v>
      </c>
      <c r="G364" s="2">
        <v>358</v>
      </c>
      <c r="H364" s="2">
        <v>0.42</v>
      </c>
      <c r="I364" s="2">
        <v>17.3</v>
      </c>
      <c r="J364" s="2">
        <v>0.40600000000000003</v>
      </c>
      <c r="K364" s="2">
        <v>0.159</v>
      </c>
      <c r="L364" s="2">
        <v>0.17399999999999999</v>
      </c>
      <c r="M364" s="2">
        <v>5.0999999999999997E-2</v>
      </c>
      <c r="N364" s="2">
        <v>2.1999999999999999E-2</v>
      </c>
      <c r="O364" s="2">
        <v>0.59399999999999997</v>
      </c>
      <c r="P364" s="2">
        <v>0.5</v>
      </c>
      <c r="Q364" s="2">
        <v>0.63600000000000001</v>
      </c>
      <c r="R364" s="2">
        <v>0.54200000000000004</v>
      </c>
      <c r="S364" s="2">
        <v>0.14299999999999999</v>
      </c>
      <c r="T364" s="2">
        <v>0</v>
      </c>
      <c r="U364" s="2">
        <v>0.36599999999999999</v>
      </c>
      <c r="V364" s="2">
        <v>0.71399999999999997</v>
      </c>
      <c r="W364" s="2">
        <v>0.93300000000000005</v>
      </c>
      <c r="X364" s="2">
        <v>1.4E-2</v>
      </c>
      <c r="Y364" s="2">
        <v>2</v>
      </c>
      <c r="Z364" s="2">
        <v>0.30499999999999999</v>
      </c>
      <c r="AA364" s="2">
        <v>0.48</v>
      </c>
      <c r="AB364" s="2">
        <v>0</v>
      </c>
      <c r="AC364" s="2">
        <v>0</v>
      </c>
    </row>
    <row r="365" spans="1:29" x14ac:dyDescent="0.2">
      <c r="A365" t="s">
        <v>545</v>
      </c>
      <c r="B365" s="2">
        <v>22</v>
      </c>
      <c r="C365" t="s">
        <v>72</v>
      </c>
      <c r="D365" s="2" t="s">
        <v>27</v>
      </c>
      <c r="E365" s="2">
        <v>2</v>
      </c>
      <c r="F365" s="2">
        <v>0</v>
      </c>
      <c r="G365" s="2">
        <v>11</v>
      </c>
      <c r="H365" s="2">
        <v>0.25</v>
      </c>
      <c r="I365" s="2">
        <v>14.7</v>
      </c>
      <c r="J365" s="2">
        <v>0.5</v>
      </c>
      <c r="K365" s="2">
        <v>0.25</v>
      </c>
      <c r="L365" s="2">
        <v>0.25</v>
      </c>
      <c r="M365" s="2">
        <v>0</v>
      </c>
      <c r="N365" s="2">
        <v>0</v>
      </c>
      <c r="O365" s="2">
        <v>0.5</v>
      </c>
      <c r="P365" s="2">
        <v>0.5</v>
      </c>
      <c r="Q365" s="2">
        <v>1</v>
      </c>
      <c r="R365" s="2">
        <v>0</v>
      </c>
      <c r="S365" s="2"/>
      <c r="T365" s="2"/>
      <c r="U365" s="2">
        <v>0</v>
      </c>
      <c r="V365" s="2">
        <v>1</v>
      </c>
      <c r="W365" s="2"/>
      <c r="X365" s="2">
        <v>0.25</v>
      </c>
      <c r="Y365" s="2">
        <v>1</v>
      </c>
      <c r="Z365" s="2">
        <v>0</v>
      </c>
      <c r="AA365" s="2"/>
      <c r="AB365" s="2">
        <v>0</v>
      </c>
      <c r="AC365" s="2">
        <v>0</v>
      </c>
    </row>
    <row r="366" spans="1:29" x14ac:dyDescent="0.2">
      <c r="A366" t="s">
        <v>377</v>
      </c>
      <c r="B366" s="2">
        <v>23</v>
      </c>
      <c r="C366" t="s">
        <v>59</v>
      </c>
      <c r="D366" s="2" t="s">
        <v>42</v>
      </c>
      <c r="E366" s="2">
        <v>22</v>
      </c>
      <c r="F366" s="2">
        <v>4</v>
      </c>
      <c r="G366" s="2">
        <v>439</v>
      </c>
      <c r="H366" s="2">
        <v>0.55200000000000005</v>
      </c>
      <c r="I366" s="2">
        <v>2.6</v>
      </c>
      <c r="J366" s="2">
        <v>1</v>
      </c>
      <c r="K366" s="2">
        <v>0.81</v>
      </c>
      <c r="L366" s="2">
        <v>0.13800000000000001</v>
      </c>
      <c r="M366" s="2">
        <v>5.1999999999999998E-2</v>
      </c>
      <c r="N366" s="2">
        <v>0</v>
      </c>
      <c r="O366" s="2">
        <v>0</v>
      </c>
      <c r="P366" s="2">
        <v>0.55200000000000005</v>
      </c>
      <c r="Q366" s="2">
        <v>0.59599999999999997</v>
      </c>
      <c r="R366" s="2">
        <v>0.5</v>
      </c>
      <c r="S366" s="2">
        <v>0</v>
      </c>
      <c r="T366" s="2"/>
      <c r="U366" s="2"/>
      <c r="V366" s="2">
        <v>0.75</v>
      </c>
      <c r="W366" s="2"/>
      <c r="X366" s="2">
        <v>0.25900000000000001</v>
      </c>
      <c r="Y366" s="2">
        <v>13</v>
      </c>
      <c r="Z366" s="2"/>
      <c r="AA366" s="2"/>
      <c r="AB366" s="2">
        <v>0</v>
      </c>
      <c r="AC366" s="2">
        <v>0</v>
      </c>
    </row>
    <row r="367" spans="1:29" x14ac:dyDescent="0.2">
      <c r="A367" t="s">
        <v>129</v>
      </c>
      <c r="B367" s="2">
        <v>28</v>
      </c>
      <c r="C367" t="s">
        <v>82</v>
      </c>
      <c r="D367" s="2" t="s">
        <v>42</v>
      </c>
      <c r="E367" s="2">
        <v>23</v>
      </c>
      <c r="F367" s="2">
        <v>23</v>
      </c>
      <c r="G367" s="2">
        <v>734</v>
      </c>
      <c r="H367" s="2">
        <v>0.47399999999999998</v>
      </c>
      <c r="I367" s="2">
        <v>15.1</v>
      </c>
      <c r="J367" s="2">
        <v>0.56299999999999994</v>
      </c>
      <c r="K367" s="2">
        <v>0.20499999999999999</v>
      </c>
      <c r="L367" s="2">
        <v>0.20100000000000001</v>
      </c>
      <c r="M367" s="2">
        <v>8.5999999999999993E-2</v>
      </c>
      <c r="N367" s="2">
        <v>7.0999999999999994E-2</v>
      </c>
      <c r="O367" s="2">
        <v>0.437</v>
      </c>
      <c r="P367" s="2">
        <v>0.51700000000000002</v>
      </c>
      <c r="Q367" s="2">
        <v>0.745</v>
      </c>
      <c r="R367" s="2">
        <v>0.35199999999999998</v>
      </c>
      <c r="S367" s="2">
        <v>0.435</v>
      </c>
      <c r="T367" s="2">
        <v>0.42099999999999999</v>
      </c>
      <c r="U367" s="2">
        <v>0.41899999999999998</v>
      </c>
      <c r="V367" s="2">
        <v>0.79500000000000004</v>
      </c>
      <c r="W367" s="2">
        <v>0.98</v>
      </c>
      <c r="X367" s="2">
        <v>8.2000000000000003E-2</v>
      </c>
      <c r="Y367" s="2">
        <v>18</v>
      </c>
      <c r="Z367" s="2">
        <v>0.19700000000000001</v>
      </c>
      <c r="AA367" s="2">
        <v>0.47799999999999998</v>
      </c>
      <c r="AB367" s="2">
        <v>0</v>
      </c>
      <c r="AC367" s="2">
        <v>0</v>
      </c>
    </row>
    <row r="368" spans="1:29" x14ac:dyDescent="0.2">
      <c r="A368" t="s">
        <v>189</v>
      </c>
      <c r="B368" s="2">
        <v>27</v>
      </c>
      <c r="C368" t="s">
        <v>63</v>
      </c>
      <c r="D368" s="2" t="s">
        <v>49</v>
      </c>
      <c r="E368" s="2">
        <v>21</v>
      </c>
      <c r="F368" s="2">
        <v>7</v>
      </c>
      <c r="G368" s="2">
        <v>511</v>
      </c>
      <c r="H368" s="2">
        <v>0.54900000000000004</v>
      </c>
      <c r="I368" s="2">
        <v>11.1</v>
      </c>
      <c r="J368" s="2">
        <v>0.69799999999999995</v>
      </c>
      <c r="K368" s="2">
        <v>0.27500000000000002</v>
      </c>
      <c r="L368" s="2">
        <v>0.33</v>
      </c>
      <c r="M368" s="2">
        <v>8.7999999999999995E-2</v>
      </c>
      <c r="N368" s="2">
        <v>5.0000000000000001E-3</v>
      </c>
      <c r="O368" s="2">
        <v>0.30199999999999999</v>
      </c>
      <c r="P368" s="2">
        <v>0.65400000000000003</v>
      </c>
      <c r="Q368" s="2">
        <v>0.72</v>
      </c>
      <c r="R368" s="2">
        <v>0.6</v>
      </c>
      <c r="S368" s="2">
        <v>0.625</v>
      </c>
      <c r="T368" s="2">
        <v>1</v>
      </c>
      <c r="U368" s="2">
        <v>0.309</v>
      </c>
      <c r="V368" s="2">
        <v>0.54200000000000004</v>
      </c>
      <c r="W368" s="2">
        <v>1</v>
      </c>
      <c r="X368" s="2">
        <v>6.6000000000000003E-2</v>
      </c>
      <c r="Y368" s="2">
        <v>10</v>
      </c>
      <c r="Z368" s="2">
        <v>0.56399999999999995</v>
      </c>
      <c r="AA368" s="2">
        <v>0.32300000000000001</v>
      </c>
      <c r="AB368" s="2">
        <v>1</v>
      </c>
      <c r="AC368" s="2">
        <v>0</v>
      </c>
    </row>
    <row r="369" spans="1:29" x14ac:dyDescent="0.2">
      <c r="A369" t="s">
        <v>162</v>
      </c>
      <c r="B369" s="2">
        <v>25</v>
      </c>
      <c r="C369" t="s">
        <v>51</v>
      </c>
      <c r="D369" s="2" t="s">
        <v>42</v>
      </c>
      <c r="E369" s="2">
        <v>23</v>
      </c>
      <c r="F369" s="2">
        <v>0</v>
      </c>
      <c r="G369" s="2">
        <v>568</v>
      </c>
      <c r="H369" s="2">
        <v>0.47299999999999998</v>
      </c>
      <c r="I369" s="2">
        <v>15.6</v>
      </c>
      <c r="J369" s="2">
        <v>0.47799999999999998</v>
      </c>
      <c r="K369" s="2">
        <v>0.20100000000000001</v>
      </c>
      <c r="L369" s="2">
        <v>0.24099999999999999</v>
      </c>
      <c r="M369" s="2">
        <v>3.5999999999999997E-2</v>
      </c>
      <c r="N369" s="2">
        <v>0</v>
      </c>
      <c r="O369" s="2">
        <v>0.52200000000000002</v>
      </c>
      <c r="P369" s="2">
        <v>0.60699999999999998</v>
      </c>
      <c r="Q369" s="2">
        <v>0.68899999999999995</v>
      </c>
      <c r="R369" s="2">
        <v>0.53700000000000003</v>
      </c>
      <c r="S369" s="2">
        <v>0.625</v>
      </c>
      <c r="T369" s="2"/>
      <c r="U369" s="2">
        <v>0.35</v>
      </c>
      <c r="V369" s="2">
        <v>0.70799999999999996</v>
      </c>
      <c r="W369" s="2">
        <v>0.97599999999999998</v>
      </c>
      <c r="X369" s="2">
        <v>2.7E-2</v>
      </c>
      <c r="Y369" s="2">
        <v>6</v>
      </c>
      <c r="Z369" s="2">
        <v>0.26500000000000001</v>
      </c>
      <c r="AA369" s="2">
        <v>0.32300000000000001</v>
      </c>
      <c r="AB369" s="2">
        <v>0</v>
      </c>
      <c r="AC369" s="2">
        <v>0</v>
      </c>
    </row>
    <row r="370" spans="1:29" x14ac:dyDescent="0.2">
      <c r="A370" t="s">
        <v>311</v>
      </c>
      <c r="B370" s="2">
        <v>25</v>
      </c>
      <c r="C370" t="s">
        <v>39</v>
      </c>
      <c r="D370" s="2" t="s">
        <v>42</v>
      </c>
      <c r="E370" s="2">
        <v>21</v>
      </c>
      <c r="F370" s="2">
        <v>5</v>
      </c>
      <c r="G370" s="2">
        <v>375</v>
      </c>
      <c r="H370" s="2">
        <v>0.64600000000000002</v>
      </c>
      <c r="I370" s="2">
        <v>3.6</v>
      </c>
      <c r="J370" s="2">
        <v>0.97599999999999998</v>
      </c>
      <c r="K370" s="2">
        <v>0.61</v>
      </c>
      <c r="L370" s="2">
        <v>0.317</v>
      </c>
      <c r="M370" s="2">
        <v>4.9000000000000002E-2</v>
      </c>
      <c r="N370" s="2">
        <v>0</v>
      </c>
      <c r="O370" s="2">
        <v>2.4E-2</v>
      </c>
      <c r="P370" s="2">
        <v>0.66300000000000003</v>
      </c>
      <c r="Q370" s="2">
        <v>0.74</v>
      </c>
      <c r="R370" s="2">
        <v>0.5</v>
      </c>
      <c r="S370" s="2">
        <v>0.75</v>
      </c>
      <c r="T370" s="2"/>
      <c r="U370" s="2">
        <v>0</v>
      </c>
      <c r="V370" s="2">
        <v>0.79200000000000004</v>
      </c>
      <c r="W370" s="2"/>
      <c r="X370" s="2">
        <v>0.40200000000000002</v>
      </c>
      <c r="Y370" s="2">
        <v>29</v>
      </c>
      <c r="Z370" s="2">
        <v>0.5</v>
      </c>
      <c r="AA370" s="2">
        <v>0</v>
      </c>
      <c r="AB370" s="2">
        <v>0</v>
      </c>
      <c r="AC370" s="2">
        <v>0</v>
      </c>
    </row>
    <row r="371" spans="1:29" x14ac:dyDescent="0.2">
      <c r="A371" t="s">
        <v>253</v>
      </c>
      <c r="B371" s="2">
        <v>25</v>
      </c>
      <c r="C371" t="s">
        <v>103</v>
      </c>
      <c r="D371" s="2" t="s">
        <v>42</v>
      </c>
      <c r="E371" s="2">
        <v>18</v>
      </c>
      <c r="F371" s="2">
        <v>10</v>
      </c>
      <c r="G371" s="2">
        <v>455</v>
      </c>
      <c r="H371" s="2">
        <v>0.65</v>
      </c>
      <c r="I371" s="2">
        <v>4.5</v>
      </c>
      <c r="J371" s="2">
        <v>0.97499999999999998</v>
      </c>
      <c r="K371" s="2">
        <v>0.55800000000000005</v>
      </c>
      <c r="L371" s="2">
        <v>0.308</v>
      </c>
      <c r="M371" s="2">
        <v>0.1</v>
      </c>
      <c r="N371" s="2">
        <v>8.0000000000000002E-3</v>
      </c>
      <c r="O371" s="2">
        <v>2.5000000000000001E-2</v>
      </c>
      <c r="P371" s="2">
        <v>0.65800000000000003</v>
      </c>
      <c r="Q371" s="2">
        <v>0.77600000000000002</v>
      </c>
      <c r="R371" s="2">
        <v>0.51400000000000001</v>
      </c>
      <c r="S371" s="2">
        <v>0.5</v>
      </c>
      <c r="T371" s="2">
        <v>0</v>
      </c>
      <c r="U371" s="2">
        <v>0.33300000000000002</v>
      </c>
      <c r="V371" s="2">
        <v>0.67500000000000004</v>
      </c>
      <c r="W371" s="2">
        <v>1</v>
      </c>
      <c r="X371" s="2">
        <v>0.25</v>
      </c>
      <c r="Y371" s="2">
        <v>27</v>
      </c>
      <c r="Z371" s="2">
        <v>0.66700000000000004</v>
      </c>
      <c r="AA371" s="2">
        <v>0.5</v>
      </c>
      <c r="AB371" s="2">
        <v>0</v>
      </c>
      <c r="AC371" s="2">
        <v>0</v>
      </c>
    </row>
    <row r="372" spans="1:29" x14ac:dyDescent="0.2">
      <c r="A372" t="s">
        <v>334</v>
      </c>
      <c r="B372" s="2">
        <v>27</v>
      </c>
      <c r="C372" t="s">
        <v>59</v>
      </c>
      <c r="D372" s="2" t="s">
        <v>42</v>
      </c>
      <c r="E372" s="2">
        <v>9</v>
      </c>
      <c r="F372" s="2">
        <v>8</v>
      </c>
      <c r="G372" s="2">
        <v>241</v>
      </c>
      <c r="H372" s="2">
        <v>0.621</v>
      </c>
      <c r="I372" s="2">
        <v>3.4</v>
      </c>
      <c r="J372" s="2">
        <v>0.98299999999999998</v>
      </c>
      <c r="K372" s="2">
        <v>0.70699999999999996</v>
      </c>
      <c r="L372" s="2">
        <v>0.24099999999999999</v>
      </c>
      <c r="M372" s="2">
        <v>3.4000000000000002E-2</v>
      </c>
      <c r="N372" s="2">
        <v>0</v>
      </c>
      <c r="O372" s="2">
        <v>1.7000000000000001E-2</v>
      </c>
      <c r="P372" s="2">
        <v>0.63200000000000001</v>
      </c>
      <c r="Q372" s="2">
        <v>0.70699999999999996</v>
      </c>
      <c r="R372" s="2">
        <v>0.42899999999999999</v>
      </c>
      <c r="S372" s="2">
        <v>0.5</v>
      </c>
      <c r="T372" s="2"/>
      <c r="U372" s="2">
        <v>0</v>
      </c>
      <c r="V372" s="2">
        <v>0.63900000000000001</v>
      </c>
      <c r="W372" s="2"/>
      <c r="X372" s="2">
        <v>0.29299999999999998</v>
      </c>
      <c r="Y372" s="2">
        <v>16</v>
      </c>
      <c r="Z372" s="2">
        <v>1</v>
      </c>
      <c r="AA372" s="2">
        <v>0</v>
      </c>
      <c r="AB372" s="2">
        <v>0</v>
      </c>
      <c r="AC372" s="2">
        <v>0</v>
      </c>
    </row>
    <row r="373" spans="1:29" x14ac:dyDescent="0.2">
      <c r="A373" t="s">
        <v>420</v>
      </c>
      <c r="B373" s="2">
        <v>20</v>
      </c>
      <c r="C373" t="s">
        <v>59</v>
      </c>
      <c r="D373" s="2" t="s">
        <v>52</v>
      </c>
      <c r="E373" s="2">
        <v>13</v>
      </c>
      <c r="F373" s="2">
        <v>0</v>
      </c>
      <c r="G373" s="2">
        <v>121</v>
      </c>
      <c r="H373" s="2">
        <v>0.33300000000000002</v>
      </c>
      <c r="I373" s="2">
        <v>18.399999999999999</v>
      </c>
      <c r="J373" s="2">
        <v>0.45800000000000002</v>
      </c>
      <c r="K373" s="2">
        <v>8.3000000000000004E-2</v>
      </c>
      <c r="L373" s="2">
        <v>0.188</v>
      </c>
      <c r="M373" s="2">
        <v>0.125</v>
      </c>
      <c r="N373" s="2">
        <v>6.3E-2</v>
      </c>
      <c r="O373" s="2">
        <v>0.54200000000000004</v>
      </c>
      <c r="P373" s="2">
        <v>0.36399999999999999</v>
      </c>
      <c r="Q373" s="2">
        <v>0.5</v>
      </c>
      <c r="R373" s="2">
        <v>0.44400000000000001</v>
      </c>
      <c r="S373" s="2">
        <v>0.33300000000000002</v>
      </c>
      <c r="T373" s="2">
        <v>0</v>
      </c>
      <c r="U373" s="2">
        <v>0.308</v>
      </c>
      <c r="V373" s="2">
        <v>0.5</v>
      </c>
      <c r="W373" s="2">
        <v>0.875</v>
      </c>
      <c r="X373" s="2">
        <v>0</v>
      </c>
      <c r="Y373" s="2">
        <v>0</v>
      </c>
      <c r="Z373" s="2">
        <v>0.192</v>
      </c>
      <c r="AA373" s="2">
        <v>0.4</v>
      </c>
      <c r="AB373" s="2">
        <v>0</v>
      </c>
      <c r="AC373" s="2">
        <v>0</v>
      </c>
    </row>
    <row r="374" spans="1:29" x14ac:dyDescent="0.2">
      <c r="A374" t="s">
        <v>213</v>
      </c>
      <c r="B374" s="2">
        <v>26</v>
      </c>
      <c r="C374" t="s">
        <v>51</v>
      </c>
      <c r="D374" s="2" t="s">
        <v>52</v>
      </c>
      <c r="E374" s="2">
        <v>23</v>
      </c>
      <c r="F374" s="2">
        <v>2</v>
      </c>
      <c r="G374" s="2">
        <v>553</v>
      </c>
      <c r="H374" s="2">
        <v>0.51600000000000001</v>
      </c>
      <c r="I374" s="2">
        <v>17.100000000000001</v>
      </c>
      <c r="J374" s="2">
        <v>0.439</v>
      </c>
      <c r="K374" s="2">
        <v>0.14199999999999999</v>
      </c>
      <c r="L374" s="2">
        <v>0.161</v>
      </c>
      <c r="M374" s="2">
        <v>0.10299999999999999</v>
      </c>
      <c r="N374" s="2">
        <v>3.2000000000000001E-2</v>
      </c>
      <c r="O374" s="2">
        <v>0.56100000000000005</v>
      </c>
      <c r="P374" s="2">
        <v>0.58799999999999997</v>
      </c>
      <c r="Q374" s="2">
        <v>0.81799999999999995</v>
      </c>
      <c r="R374" s="2">
        <v>0.44</v>
      </c>
      <c r="S374" s="2">
        <v>0.5</v>
      </c>
      <c r="T374" s="2">
        <v>0.6</v>
      </c>
      <c r="U374" s="2">
        <v>0.46</v>
      </c>
      <c r="V374" s="2">
        <v>0.55000000000000004</v>
      </c>
      <c r="W374" s="2">
        <v>0.97499999999999998</v>
      </c>
      <c r="X374" s="2">
        <v>1.9E-2</v>
      </c>
      <c r="Y374" s="2">
        <v>3</v>
      </c>
      <c r="Z374" s="2">
        <v>0.35599999999999998</v>
      </c>
      <c r="AA374" s="2">
        <v>0.51600000000000001</v>
      </c>
      <c r="AB374" s="2">
        <v>0</v>
      </c>
      <c r="AC374" s="2">
        <v>0</v>
      </c>
    </row>
    <row r="375" spans="1:29" x14ac:dyDescent="0.2">
      <c r="A375" t="s">
        <v>355</v>
      </c>
      <c r="B375" s="2">
        <v>36</v>
      </c>
      <c r="C375" t="s">
        <v>77</v>
      </c>
      <c r="D375" s="2" t="s">
        <v>27</v>
      </c>
      <c r="E375" s="2">
        <v>25</v>
      </c>
      <c r="F375" s="2">
        <v>0</v>
      </c>
      <c r="G375" s="2">
        <v>449</v>
      </c>
      <c r="H375" s="2">
        <v>0.36599999999999999</v>
      </c>
      <c r="I375" s="2">
        <v>20.9</v>
      </c>
      <c r="J375" s="2">
        <v>0.22</v>
      </c>
      <c r="K375" s="2">
        <v>6.0999999999999999E-2</v>
      </c>
      <c r="L375" s="2">
        <v>0.11</v>
      </c>
      <c r="M375" s="2">
        <v>0</v>
      </c>
      <c r="N375" s="2">
        <v>4.9000000000000002E-2</v>
      </c>
      <c r="O375" s="2">
        <v>0.78</v>
      </c>
      <c r="P375" s="2">
        <v>0.38900000000000001</v>
      </c>
      <c r="Q375" s="2">
        <v>0.6</v>
      </c>
      <c r="R375" s="2">
        <v>0.222</v>
      </c>
      <c r="S375" s="2"/>
      <c r="T375" s="2">
        <v>0.5</v>
      </c>
      <c r="U375" s="2">
        <v>0.35899999999999999</v>
      </c>
      <c r="V375" s="2">
        <v>0.57099999999999995</v>
      </c>
      <c r="W375" s="2">
        <v>1</v>
      </c>
      <c r="X375" s="2">
        <v>1.2E-2</v>
      </c>
      <c r="Y375" s="2">
        <v>1</v>
      </c>
      <c r="Z375" s="2">
        <v>0.5</v>
      </c>
      <c r="AA375" s="2">
        <v>0.5</v>
      </c>
      <c r="AB375" s="2">
        <v>0</v>
      </c>
      <c r="AC375" s="2">
        <v>0</v>
      </c>
    </row>
    <row r="376" spans="1:29" x14ac:dyDescent="0.2">
      <c r="A376" t="s">
        <v>45</v>
      </c>
      <c r="B376" s="2">
        <v>29</v>
      </c>
      <c r="C376" t="s">
        <v>46</v>
      </c>
      <c r="D376" s="2" t="s">
        <v>42</v>
      </c>
      <c r="E376" s="2">
        <v>19</v>
      </c>
      <c r="F376" s="2">
        <v>19</v>
      </c>
      <c r="G376" s="2">
        <v>714</v>
      </c>
      <c r="H376" s="2">
        <v>0.56100000000000005</v>
      </c>
      <c r="I376" s="2">
        <v>10.6</v>
      </c>
      <c r="J376" s="2">
        <v>0.79800000000000004</v>
      </c>
      <c r="K376" s="2">
        <v>0.248</v>
      </c>
      <c r="L376" s="2">
        <v>0.42199999999999999</v>
      </c>
      <c r="M376" s="2">
        <v>9.1999999999999998E-2</v>
      </c>
      <c r="N376" s="2">
        <v>3.5999999999999997E-2</v>
      </c>
      <c r="O376" s="2">
        <v>0.20200000000000001</v>
      </c>
      <c r="P376" s="2">
        <v>0.57699999999999996</v>
      </c>
      <c r="Q376" s="2">
        <v>0.66</v>
      </c>
      <c r="R376" s="2">
        <v>0.57699999999999996</v>
      </c>
      <c r="S376" s="2">
        <v>0.36799999999999999</v>
      </c>
      <c r="T376" s="2">
        <v>0.53300000000000003</v>
      </c>
      <c r="U376" s="2">
        <v>0.5</v>
      </c>
      <c r="V376" s="2">
        <v>0.63400000000000001</v>
      </c>
      <c r="W376" s="2">
        <v>0.85699999999999998</v>
      </c>
      <c r="X376" s="2">
        <v>1.9E-2</v>
      </c>
      <c r="Y376" s="2">
        <v>7</v>
      </c>
      <c r="Z376" s="2">
        <v>4.8000000000000001E-2</v>
      </c>
      <c r="AA376" s="2">
        <v>0.75</v>
      </c>
      <c r="AB376" s="2">
        <v>7</v>
      </c>
      <c r="AC376" s="2">
        <v>0</v>
      </c>
    </row>
    <row r="377" spans="1:29" x14ac:dyDescent="0.2">
      <c r="A377" t="s">
        <v>312</v>
      </c>
      <c r="B377" s="2">
        <v>21</v>
      </c>
      <c r="C377" t="s">
        <v>61</v>
      </c>
      <c r="D377" s="2" t="s">
        <v>27</v>
      </c>
      <c r="E377" s="2">
        <v>15</v>
      </c>
      <c r="F377" s="2">
        <v>8</v>
      </c>
      <c r="G377" s="2">
        <v>279</v>
      </c>
      <c r="H377" s="2">
        <v>0.46700000000000003</v>
      </c>
      <c r="I377" s="2">
        <v>14.2</v>
      </c>
      <c r="J377" s="2">
        <v>0.5</v>
      </c>
      <c r="K377" s="2">
        <v>0.217</v>
      </c>
      <c r="L377" s="2">
        <v>0.26100000000000001</v>
      </c>
      <c r="M377" s="2">
        <v>2.1999999999999999E-2</v>
      </c>
      <c r="N377" s="2">
        <v>0</v>
      </c>
      <c r="O377" s="2">
        <v>0.5</v>
      </c>
      <c r="P377" s="2">
        <v>0.58699999999999997</v>
      </c>
      <c r="Q377" s="2">
        <v>0.7</v>
      </c>
      <c r="R377" s="2">
        <v>0.5</v>
      </c>
      <c r="S377" s="2">
        <v>0.5</v>
      </c>
      <c r="T377" s="2"/>
      <c r="U377" s="2">
        <v>0.34799999999999998</v>
      </c>
      <c r="V377" s="2">
        <v>0.70399999999999996</v>
      </c>
      <c r="W377" s="2">
        <v>1</v>
      </c>
      <c r="X377" s="2">
        <v>3.3000000000000002E-2</v>
      </c>
      <c r="Y377" s="2">
        <v>2</v>
      </c>
      <c r="Z377" s="2">
        <v>0.37</v>
      </c>
      <c r="AA377" s="2">
        <v>0.52900000000000003</v>
      </c>
      <c r="AB377" s="2">
        <v>0</v>
      </c>
      <c r="AC377" s="2">
        <v>0</v>
      </c>
    </row>
    <row r="378" spans="1:29" x14ac:dyDescent="0.2">
      <c r="A378" t="s">
        <v>69</v>
      </c>
      <c r="B378" s="2">
        <v>34</v>
      </c>
      <c r="C378" t="s">
        <v>70</v>
      </c>
      <c r="D378" s="2" t="s">
        <v>42</v>
      </c>
      <c r="E378" s="2">
        <v>25</v>
      </c>
      <c r="F378" s="2">
        <v>25</v>
      </c>
      <c r="G378" s="2">
        <v>793</v>
      </c>
      <c r="H378" s="2">
        <v>0.58699999999999997</v>
      </c>
      <c r="I378" s="2">
        <v>12.6</v>
      </c>
      <c r="J378" s="2">
        <v>0.67400000000000004</v>
      </c>
      <c r="K378" s="2">
        <v>0.216</v>
      </c>
      <c r="L378" s="2">
        <v>0.32</v>
      </c>
      <c r="M378" s="2">
        <v>0.104</v>
      </c>
      <c r="N378" s="2">
        <v>3.4000000000000002E-2</v>
      </c>
      <c r="O378" s="2">
        <v>0.32600000000000001</v>
      </c>
      <c r="P378" s="2">
        <v>0.64200000000000002</v>
      </c>
      <c r="Q378" s="2">
        <v>0.76600000000000001</v>
      </c>
      <c r="R378" s="2">
        <v>0.60499999999999998</v>
      </c>
      <c r="S378" s="2">
        <v>0.51400000000000001</v>
      </c>
      <c r="T378" s="2">
        <v>0.58299999999999996</v>
      </c>
      <c r="U378" s="2">
        <v>0.47399999999999998</v>
      </c>
      <c r="V378" s="2">
        <v>0.76</v>
      </c>
      <c r="W378" s="2">
        <v>0.98199999999999998</v>
      </c>
      <c r="X378" s="2">
        <v>1.0999999999999999E-2</v>
      </c>
      <c r="Y378" s="2">
        <v>3</v>
      </c>
      <c r="Z378" s="2">
        <v>8.5999999999999993E-2</v>
      </c>
      <c r="AA378" s="2">
        <v>0.3</v>
      </c>
      <c r="AB378" s="2">
        <v>0</v>
      </c>
      <c r="AC378" s="2">
        <v>0</v>
      </c>
    </row>
    <row r="379" spans="1:29" x14ac:dyDescent="0.2">
      <c r="A379" t="s">
        <v>320</v>
      </c>
      <c r="B379" s="2">
        <v>20</v>
      </c>
      <c r="C379" t="s">
        <v>103</v>
      </c>
      <c r="D379" s="2" t="s">
        <v>27</v>
      </c>
      <c r="E379" s="2">
        <v>15</v>
      </c>
      <c r="F379" s="2">
        <v>1</v>
      </c>
      <c r="G379" s="2">
        <v>248</v>
      </c>
      <c r="H379" s="2">
        <v>0.39400000000000002</v>
      </c>
      <c r="I379" s="2">
        <v>17.399999999999999</v>
      </c>
      <c r="J379" s="2">
        <v>0.35099999999999998</v>
      </c>
      <c r="K379" s="2">
        <v>0.255</v>
      </c>
      <c r="L379" s="2">
        <v>7.3999999999999996E-2</v>
      </c>
      <c r="M379" s="2">
        <v>2.1000000000000001E-2</v>
      </c>
      <c r="N379" s="2">
        <v>0</v>
      </c>
      <c r="O379" s="2">
        <v>0.64900000000000002</v>
      </c>
      <c r="P379" s="2">
        <v>0.42399999999999999</v>
      </c>
      <c r="Q379" s="2">
        <v>0.58299999999999996</v>
      </c>
      <c r="R379" s="2">
        <v>0</v>
      </c>
      <c r="S379" s="2">
        <v>0</v>
      </c>
      <c r="T379" s="2"/>
      <c r="U379" s="2">
        <v>0.377</v>
      </c>
      <c r="V379" s="2">
        <v>0.85699999999999998</v>
      </c>
      <c r="W379" s="2">
        <v>0.95699999999999996</v>
      </c>
      <c r="X379" s="2">
        <v>8.5000000000000006E-2</v>
      </c>
      <c r="Y379" s="2">
        <v>6</v>
      </c>
      <c r="Z379" s="2">
        <v>0.26200000000000001</v>
      </c>
      <c r="AA379" s="2">
        <v>0.375</v>
      </c>
      <c r="AB379" s="2">
        <v>1</v>
      </c>
      <c r="AC379" s="2">
        <v>0</v>
      </c>
    </row>
    <row r="380" spans="1:29" x14ac:dyDescent="0.2">
      <c r="A380" t="s">
        <v>106</v>
      </c>
      <c r="B380" s="2">
        <v>31</v>
      </c>
      <c r="C380" t="s">
        <v>77</v>
      </c>
      <c r="D380" s="2" t="s">
        <v>52</v>
      </c>
      <c r="E380" s="2">
        <v>18</v>
      </c>
      <c r="F380" s="2">
        <v>18</v>
      </c>
      <c r="G380" s="2">
        <v>586</v>
      </c>
      <c r="H380" s="2">
        <v>0.49199999999999999</v>
      </c>
      <c r="I380" s="2">
        <v>16.100000000000001</v>
      </c>
      <c r="J380" s="2">
        <v>0.52200000000000002</v>
      </c>
      <c r="K380" s="2">
        <v>0.16500000000000001</v>
      </c>
      <c r="L380" s="2">
        <v>0.20499999999999999</v>
      </c>
      <c r="M380" s="2">
        <v>0.111</v>
      </c>
      <c r="N380" s="2">
        <v>0.04</v>
      </c>
      <c r="O380" s="2">
        <v>0.47799999999999998</v>
      </c>
      <c r="P380" s="2">
        <v>0.497</v>
      </c>
      <c r="Q380" s="2">
        <v>0.63300000000000001</v>
      </c>
      <c r="R380" s="2">
        <v>0.47499999999999998</v>
      </c>
      <c r="S380" s="2">
        <v>0.42399999999999999</v>
      </c>
      <c r="T380" s="2">
        <v>0.25</v>
      </c>
      <c r="U380" s="2">
        <v>0.48599999999999999</v>
      </c>
      <c r="V380" s="2">
        <v>0.58399999999999996</v>
      </c>
      <c r="W380" s="2">
        <v>0.73899999999999999</v>
      </c>
      <c r="X380" s="2">
        <v>1.2999999999999999E-2</v>
      </c>
      <c r="Y380" s="2">
        <v>4</v>
      </c>
      <c r="Z380" s="2">
        <v>0.12</v>
      </c>
      <c r="AA380" s="2">
        <v>0.52900000000000003</v>
      </c>
      <c r="AB380" s="2">
        <v>0</v>
      </c>
      <c r="AC380" s="2">
        <v>0</v>
      </c>
    </row>
    <row r="381" spans="1:29" x14ac:dyDescent="0.2">
      <c r="A381" t="s">
        <v>200</v>
      </c>
      <c r="B381" s="2">
        <v>26</v>
      </c>
      <c r="C381" t="s">
        <v>82</v>
      </c>
      <c r="D381" s="2" t="s">
        <v>27</v>
      </c>
      <c r="E381" s="2">
        <v>24</v>
      </c>
      <c r="F381" s="2">
        <v>0</v>
      </c>
      <c r="G381" s="2">
        <v>483</v>
      </c>
      <c r="H381" s="2">
        <v>0.53300000000000003</v>
      </c>
      <c r="I381" s="2">
        <v>13.9</v>
      </c>
      <c r="J381" s="2">
        <v>0.52800000000000002</v>
      </c>
      <c r="K381" s="2">
        <v>0.36699999999999999</v>
      </c>
      <c r="L381" s="2">
        <v>0.111</v>
      </c>
      <c r="M381" s="2">
        <v>3.3000000000000002E-2</v>
      </c>
      <c r="N381" s="2">
        <v>1.7000000000000001E-2</v>
      </c>
      <c r="O381" s="2">
        <v>0.47199999999999998</v>
      </c>
      <c r="P381" s="2">
        <v>0.71599999999999997</v>
      </c>
      <c r="Q381" s="2">
        <v>0.80300000000000005</v>
      </c>
      <c r="R381" s="2">
        <v>0.6</v>
      </c>
      <c r="S381" s="2">
        <v>0.33300000000000002</v>
      </c>
      <c r="T381" s="2">
        <v>0.33300000000000002</v>
      </c>
      <c r="U381" s="2">
        <v>0.32900000000000001</v>
      </c>
      <c r="V381" s="2">
        <v>0.75</v>
      </c>
      <c r="W381" s="2">
        <v>0.92900000000000005</v>
      </c>
      <c r="X381" s="2">
        <v>0.13900000000000001</v>
      </c>
      <c r="Y381" s="2">
        <v>23</v>
      </c>
      <c r="Z381" s="2">
        <v>0.50600000000000001</v>
      </c>
      <c r="AA381" s="2">
        <v>0.34899999999999998</v>
      </c>
      <c r="AB381" s="2">
        <v>2</v>
      </c>
      <c r="AC381" s="2">
        <v>0</v>
      </c>
    </row>
    <row r="382" spans="1:29" x14ac:dyDescent="0.2">
      <c r="A382" t="s">
        <v>159</v>
      </c>
      <c r="B382" s="2">
        <v>24</v>
      </c>
      <c r="C382" t="s">
        <v>66</v>
      </c>
      <c r="D382" s="2" t="s">
        <v>52</v>
      </c>
      <c r="E382" s="2">
        <v>26</v>
      </c>
      <c r="F382" s="2">
        <v>24</v>
      </c>
      <c r="G382" s="2">
        <v>801</v>
      </c>
      <c r="H382" s="2">
        <v>0.52700000000000002</v>
      </c>
      <c r="I382" s="2">
        <v>12.5</v>
      </c>
      <c r="J382" s="2">
        <v>0.54500000000000004</v>
      </c>
      <c r="K382" s="2">
        <v>0.38300000000000001</v>
      </c>
      <c r="L382" s="2">
        <v>0.14000000000000001</v>
      </c>
      <c r="M382" s="2">
        <v>2.3E-2</v>
      </c>
      <c r="N382" s="2">
        <v>0</v>
      </c>
      <c r="O382" s="2">
        <v>0.45500000000000002</v>
      </c>
      <c r="P382" s="2">
        <v>0.58699999999999997</v>
      </c>
      <c r="Q382" s="2">
        <v>0.65900000000000003</v>
      </c>
      <c r="R382" s="2">
        <v>0.45200000000000001</v>
      </c>
      <c r="S382" s="2">
        <v>0.2</v>
      </c>
      <c r="T382" s="2"/>
      <c r="U382" s="2">
        <v>0.45500000000000002</v>
      </c>
      <c r="V382" s="2">
        <v>0.76100000000000001</v>
      </c>
      <c r="W382" s="2">
        <v>0.95699999999999996</v>
      </c>
      <c r="X382" s="2">
        <v>4.4999999999999998E-2</v>
      </c>
      <c r="Y382" s="2">
        <v>10</v>
      </c>
      <c r="Z382" s="2">
        <v>0.61399999999999999</v>
      </c>
      <c r="AA382" s="2">
        <v>0.5</v>
      </c>
      <c r="AB382" s="2">
        <v>0</v>
      </c>
      <c r="AC382" s="2">
        <v>0</v>
      </c>
    </row>
    <row r="383" spans="1:29" x14ac:dyDescent="0.2">
      <c r="A383" t="s">
        <v>98</v>
      </c>
      <c r="B383" s="2">
        <v>27</v>
      </c>
      <c r="C383" t="s">
        <v>44</v>
      </c>
      <c r="D383" s="2" t="s">
        <v>27</v>
      </c>
      <c r="E383" s="2">
        <v>25</v>
      </c>
      <c r="F383" s="2">
        <v>25</v>
      </c>
      <c r="G383" s="2">
        <v>920</v>
      </c>
      <c r="H383" s="2">
        <v>0.47799999999999998</v>
      </c>
      <c r="I383" s="2">
        <v>13.6</v>
      </c>
      <c r="J383" s="2">
        <v>0.54800000000000004</v>
      </c>
      <c r="K383" s="2">
        <v>0.35199999999999998</v>
      </c>
      <c r="L383" s="2">
        <v>0.1</v>
      </c>
      <c r="M383" s="2">
        <v>5.2999999999999999E-2</v>
      </c>
      <c r="N383" s="2">
        <v>4.3999999999999997E-2</v>
      </c>
      <c r="O383" s="2">
        <v>0.45200000000000001</v>
      </c>
      <c r="P383" s="2">
        <v>0.57799999999999996</v>
      </c>
      <c r="Q383" s="2">
        <v>0.71699999999999997</v>
      </c>
      <c r="R383" s="2">
        <v>0.35299999999999998</v>
      </c>
      <c r="S383" s="2">
        <v>0.33300000000000002</v>
      </c>
      <c r="T383" s="2">
        <v>0.26700000000000002</v>
      </c>
      <c r="U383" s="2">
        <v>0.35699999999999998</v>
      </c>
      <c r="V383" s="2">
        <v>0.77800000000000002</v>
      </c>
      <c r="W383" s="2">
        <v>1</v>
      </c>
      <c r="X383" s="2">
        <v>0.16400000000000001</v>
      </c>
      <c r="Y383" s="2">
        <v>51</v>
      </c>
      <c r="Z383" s="2">
        <v>0.435</v>
      </c>
      <c r="AA383" s="2">
        <v>0.32800000000000001</v>
      </c>
      <c r="AB383" s="2">
        <v>0</v>
      </c>
      <c r="AC383" s="2">
        <v>0</v>
      </c>
    </row>
    <row r="384" spans="1:29" x14ac:dyDescent="0.2">
      <c r="A384" t="s">
        <v>442</v>
      </c>
      <c r="B384" s="2">
        <v>22</v>
      </c>
      <c r="C384" t="s">
        <v>63</v>
      </c>
      <c r="D384" s="2" t="s">
        <v>27</v>
      </c>
      <c r="E384" s="2">
        <v>15</v>
      </c>
      <c r="F384" s="2">
        <v>0</v>
      </c>
      <c r="G384" s="2">
        <v>97</v>
      </c>
      <c r="H384" s="2">
        <v>0.379</v>
      </c>
      <c r="I384" s="2">
        <v>10.6</v>
      </c>
      <c r="J384" s="2">
        <v>0.69</v>
      </c>
      <c r="K384" s="2">
        <v>0.379</v>
      </c>
      <c r="L384" s="2">
        <v>0.20699999999999999</v>
      </c>
      <c r="M384" s="2">
        <v>6.9000000000000006E-2</v>
      </c>
      <c r="N384" s="2">
        <v>3.4000000000000002E-2</v>
      </c>
      <c r="O384" s="2">
        <v>0.31</v>
      </c>
      <c r="P384" s="2">
        <v>0.4</v>
      </c>
      <c r="Q384" s="2">
        <v>0.72699999999999998</v>
      </c>
      <c r="R384" s="2">
        <v>0</v>
      </c>
      <c r="S384" s="2">
        <v>0</v>
      </c>
      <c r="T384" s="2">
        <v>0</v>
      </c>
      <c r="U384" s="2">
        <v>0.33300000000000002</v>
      </c>
      <c r="V384" s="2">
        <v>0.5</v>
      </c>
      <c r="W384" s="2">
        <v>1</v>
      </c>
      <c r="X384" s="2">
        <v>0.13800000000000001</v>
      </c>
      <c r="Y384" s="2">
        <v>3</v>
      </c>
      <c r="Z384" s="2">
        <v>0.77800000000000002</v>
      </c>
      <c r="AA384" s="2">
        <v>0.42899999999999999</v>
      </c>
      <c r="AB384" s="2">
        <v>0</v>
      </c>
      <c r="AC384" s="2">
        <v>0</v>
      </c>
    </row>
    <row r="385" spans="1:29" x14ac:dyDescent="0.2">
      <c r="A385" t="s">
        <v>179</v>
      </c>
      <c r="B385" s="2">
        <v>24</v>
      </c>
      <c r="C385" t="s">
        <v>72</v>
      </c>
      <c r="D385" s="2" t="s">
        <v>42</v>
      </c>
      <c r="E385" s="2">
        <v>24</v>
      </c>
      <c r="F385" s="2">
        <v>0</v>
      </c>
      <c r="G385" s="2">
        <v>574</v>
      </c>
      <c r="H385" s="2">
        <v>0.54500000000000004</v>
      </c>
      <c r="I385" s="2">
        <v>6.9</v>
      </c>
      <c r="J385" s="2">
        <v>0.80300000000000005</v>
      </c>
      <c r="K385" s="2">
        <v>0.56599999999999995</v>
      </c>
      <c r="L385" s="2">
        <v>0.19700000000000001</v>
      </c>
      <c r="M385" s="2">
        <v>0.04</v>
      </c>
      <c r="N385" s="2">
        <v>0</v>
      </c>
      <c r="O385" s="2">
        <v>0.19700000000000001</v>
      </c>
      <c r="P385" s="2">
        <v>0.629</v>
      </c>
      <c r="Q385" s="2">
        <v>0.71399999999999997</v>
      </c>
      <c r="R385" s="2">
        <v>0.38500000000000001</v>
      </c>
      <c r="S385" s="2">
        <v>0.625</v>
      </c>
      <c r="T385" s="2"/>
      <c r="U385" s="2">
        <v>0.20499999999999999</v>
      </c>
      <c r="V385" s="2">
        <v>0.78</v>
      </c>
      <c r="W385" s="2">
        <v>1</v>
      </c>
      <c r="X385" s="2">
        <v>0.157</v>
      </c>
      <c r="Y385" s="2">
        <v>29</v>
      </c>
      <c r="Z385" s="2">
        <v>0.76900000000000002</v>
      </c>
      <c r="AA385" s="2">
        <v>0.23300000000000001</v>
      </c>
      <c r="AB385" s="2">
        <v>0</v>
      </c>
      <c r="AC385" s="2">
        <v>0</v>
      </c>
    </row>
    <row r="386" spans="1:29" x14ac:dyDescent="0.2">
      <c r="A386" t="s">
        <v>491</v>
      </c>
      <c r="B386" s="2">
        <v>24</v>
      </c>
      <c r="C386" t="s">
        <v>37</v>
      </c>
      <c r="D386" s="2" t="s">
        <v>42</v>
      </c>
      <c r="E386" s="2">
        <v>6</v>
      </c>
      <c r="F386" s="2">
        <v>0</v>
      </c>
      <c r="G386" s="2">
        <v>45</v>
      </c>
      <c r="H386" s="2">
        <v>0.45500000000000002</v>
      </c>
      <c r="I386" s="2">
        <v>12</v>
      </c>
      <c r="J386" s="2">
        <v>0.63600000000000001</v>
      </c>
      <c r="K386" s="2">
        <v>0.36399999999999999</v>
      </c>
      <c r="L386" s="2">
        <v>0.27300000000000002</v>
      </c>
      <c r="M386" s="2">
        <v>0</v>
      </c>
      <c r="N386" s="2">
        <v>0</v>
      </c>
      <c r="O386" s="2">
        <v>0.36399999999999999</v>
      </c>
      <c r="P386" s="2">
        <v>0.57099999999999995</v>
      </c>
      <c r="Q386" s="2">
        <v>0.75</v>
      </c>
      <c r="R386" s="2">
        <v>0.33300000000000002</v>
      </c>
      <c r="S386" s="2"/>
      <c r="T386" s="2"/>
      <c r="U386" s="2">
        <v>0.25</v>
      </c>
      <c r="V386" s="2">
        <v>1</v>
      </c>
      <c r="W386" s="2">
        <v>1</v>
      </c>
      <c r="X386" s="2">
        <v>0</v>
      </c>
      <c r="Y386" s="2">
        <v>0</v>
      </c>
      <c r="Z386" s="2">
        <v>0.25</v>
      </c>
      <c r="AA386" s="2">
        <v>0</v>
      </c>
      <c r="AB386" s="2">
        <v>0</v>
      </c>
      <c r="AC386" s="2">
        <v>0</v>
      </c>
    </row>
    <row r="387" spans="1:29" x14ac:dyDescent="0.2">
      <c r="A387" t="s">
        <v>541</v>
      </c>
      <c r="B387" s="2">
        <v>25</v>
      </c>
      <c r="C387" t="s">
        <v>120</v>
      </c>
      <c r="D387" s="2" t="s">
        <v>27</v>
      </c>
      <c r="E387" s="2">
        <v>1</v>
      </c>
      <c r="F387" s="2">
        <v>0</v>
      </c>
      <c r="G387" s="2">
        <v>16</v>
      </c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>
        <v>0</v>
      </c>
      <c r="Z387" s="2"/>
      <c r="AA387" s="2"/>
      <c r="AB387" s="2">
        <v>0</v>
      </c>
      <c r="AC387" s="2">
        <v>0</v>
      </c>
    </row>
    <row r="388" spans="1:29" x14ac:dyDescent="0.2">
      <c r="A388" t="s">
        <v>365</v>
      </c>
      <c r="B388" s="2">
        <v>22</v>
      </c>
      <c r="C388" t="s">
        <v>54</v>
      </c>
      <c r="D388" s="2" t="s">
        <v>27</v>
      </c>
      <c r="E388" s="2">
        <v>18</v>
      </c>
      <c r="F388" s="2">
        <v>2</v>
      </c>
      <c r="G388" s="2">
        <v>319</v>
      </c>
      <c r="H388" s="2">
        <v>0.61399999999999999</v>
      </c>
      <c r="I388" s="2">
        <v>5.4</v>
      </c>
      <c r="J388" s="2">
        <v>1</v>
      </c>
      <c r="K388" s="2">
        <v>0.42099999999999999</v>
      </c>
      <c r="L388" s="2">
        <v>0.35099999999999998</v>
      </c>
      <c r="M388" s="2">
        <v>0.22800000000000001</v>
      </c>
      <c r="N388" s="2">
        <v>0</v>
      </c>
      <c r="O388" s="2">
        <v>0</v>
      </c>
      <c r="P388" s="2">
        <v>0.61399999999999999</v>
      </c>
      <c r="Q388" s="2">
        <v>0.95799999999999996</v>
      </c>
      <c r="R388" s="2">
        <v>0.4</v>
      </c>
      <c r="S388" s="2">
        <v>0.308</v>
      </c>
      <c r="T388" s="2"/>
      <c r="U388" s="2"/>
      <c r="V388" s="2">
        <v>0.74299999999999999</v>
      </c>
      <c r="W388" s="2"/>
      <c r="X388" s="2">
        <v>0.26300000000000001</v>
      </c>
      <c r="Y388" s="2">
        <v>15</v>
      </c>
      <c r="Z388" s="2"/>
      <c r="AA388" s="2"/>
      <c r="AB388" s="2">
        <v>0</v>
      </c>
      <c r="AC388" s="2">
        <v>0</v>
      </c>
    </row>
    <row r="389" spans="1:29" x14ac:dyDescent="0.2">
      <c r="A389" t="s">
        <v>395</v>
      </c>
      <c r="B389" s="2">
        <v>21</v>
      </c>
      <c r="C389" t="s">
        <v>32</v>
      </c>
      <c r="D389" s="2" t="s">
        <v>27</v>
      </c>
      <c r="E389" s="2">
        <v>16</v>
      </c>
      <c r="F389" s="2">
        <v>0</v>
      </c>
      <c r="G389" s="2">
        <v>186</v>
      </c>
      <c r="H389" s="2">
        <v>0.33900000000000002</v>
      </c>
      <c r="I389" s="2">
        <v>17.2</v>
      </c>
      <c r="J389" s="2">
        <v>0.39</v>
      </c>
      <c r="K389" s="2">
        <v>0.23699999999999999</v>
      </c>
      <c r="L389" s="2">
        <v>8.5000000000000006E-2</v>
      </c>
      <c r="M389" s="2">
        <v>1.7000000000000001E-2</v>
      </c>
      <c r="N389" s="2">
        <v>5.0999999999999997E-2</v>
      </c>
      <c r="O389" s="2">
        <v>0.61</v>
      </c>
      <c r="P389" s="2">
        <v>0.47799999999999998</v>
      </c>
      <c r="Q389" s="2">
        <v>0.57099999999999995</v>
      </c>
      <c r="R389" s="2">
        <v>0.2</v>
      </c>
      <c r="S389" s="2">
        <v>0</v>
      </c>
      <c r="T389" s="2">
        <v>0.66700000000000004</v>
      </c>
      <c r="U389" s="2">
        <v>0.25</v>
      </c>
      <c r="V389" s="2">
        <v>0.81799999999999995</v>
      </c>
      <c r="W389" s="2">
        <v>1</v>
      </c>
      <c r="X389" s="2">
        <v>0.10199999999999999</v>
      </c>
      <c r="Y389" s="2">
        <v>6</v>
      </c>
      <c r="Z389" s="2">
        <v>0.38900000000000001</v>
      </c>
      <c r="AA389" s="2">
        <v>0.214</v>
      </c>
      <c r="AB389" s="2">
        <v>0</v>
      </c>
      <c r="AC389" s="2">
        <v>0</v>
      </c>
    </row>
    <row r="390" spans="1:29" x14ac:dyDescent="0.2">
      <c r="A390" t="s">
        <v>201</v>
      </c>
      <c r="B390" s="2">
        <v>26</v>
      </c>
      <c r="C390" t="s">
        <v>63</v>
      </c>
      <c r="D390" s="2" t="s">
        <v>27</v>
      </c>
      <c r="E390" s="2">
        <v>19</v>
      </c>
      <c r="F390" s="2">
        <v>18</v>
      </c>
      <c r="G390" s="2">
        <v>619</v>
      </c>
      <c r="H390" s="2">
        <v>0.45100000000000001</v>
      </c>
      <c r="I390" s="2">
        <v>12.3</v>
      </c>
      <c r="J390" s="2">
        <v>0.61499999999999999</v>
      </c>
      <c r="K390" s="2">
        <v>0.22600000000000001</v>
      </c>
      <c r="L390" s="2">
        <v>0.32300000000000001</v>
      </c>
      <c r="M390" s="2">
        <v>6.2E-2</v>
      </c>
      <c r="N390" s="2">
        <v>5.0000000000000001E-3</v>
      </c>
      <c r="O390" s="2">
        <v>0.38500000000000001</v>
      </c>
      <c r="P390" s="2">
        <v>0.50800000000000001</v>
      </c>
      <c r="Q390" s="2">
        <v>0.77300000000000002</v>
      </c>
      <c r="R390" s="2">
        <v>0.39700000000000002</v>
      </c>
      <c r="S390" s="2">
        <v>0.16700000000000001</v>
      </c>
      <c r="T390" s="2">
        <v>0</v>
      </c>
      <c r="U390" s="2">
        <v>0.36</v>
      </c>
      <c r="V390" s="2">
        <v>0.50800000000000001</v>
      </c>
      <c r="W390" s="2">
        <v>0.88900000000000001</v>
      </c>
      <c r="X390" s="2">
        <v>7.1999999999999995E-2</v>
      </c>
      <c r="Y390" s="2">
        <v>13</v>
      </c>
      <c r="Z390" s="2">
        <v>0.41299999999999998</v>
      </c>
      <c r="AA390" s="2">
        <v>0.19400000000000001</v>
      </c>
      <c r="AB390" s="2">
        <v>0</v>
      </c>
      <c r="AC390" s="2">
        <v>0</v>
      </c>
    </row>
    <row r="391" spans="1:29" x14ac:dyDescent="0.2">
      <c r="A391" t="s">
        <v>470</v>
      </c>
      <c r="B391" s="2">
        <v>19</v>
      </c>
      <c r="C391" t="s">
        <v>44</v>
      </c>
      <c r="D391" s="2" t="s">
        <v>52</v>
      </c>
      <c r="E391" s="2">
        <v>11</v>
      </c>
      <c r="F391" s="2">
        <v>0</v>
      </c>
      <c r="G391" s="2">
        <v>77</v>
      </c>
      <c r="H391" s="2">
        <v>0.33300000000000002</v>
      </c>
      <c r="I391" s="2">
        <v>19.600000000000001</v>
      </c>
      <c r="J391" s="2">
        <v>0.33300000000000002</v>
      </c>
      <c r="K391" s="2">
        <v>5.6000000000000001E-2</v>
      </c>
      <c r="L391" s="2">
        <v>0.111</v>
      </c>
      <c r="M391" s="2">
        <v>5.6000000000000001E-2</v>
      </c>
      <c r="N391" s="2">
        <v>0.111</v>
      </c>
      <c r="O391" s="2">
        <v>0.66700000000000004</v>
      </c>
      <c r="P391" s="2">
        <v>0.16700000000000001</v>
      </c>
      <c r="Q391" s="2">
        <v>0</v>
      </c>
      <c r="R391" s="2">
        <v>0</v>
      </c>
      <c r="S391" s="2">
        <v>0</v>
      </c>
      <c r="T391" s="2">
        <v>0.5</v>
      </c>
      <c r="U391" s="2">
        <v>0.41699999999999998</v>
      </c>
      <c r="V391" s="2">
        <v>1</v>
      </c>
      <c r="W391" s="2">
        <v>1</v>
      </c>
      <c r="X391" s="2">
        <v>0</v>
      </c>
      <c r="Y391" s="2">
        <v>0</v>
      </c>
      <c r="Z391" s="2">
        <v>0.41699999999999998</v>
      </c>
      <c r="AA391" s="2">
        <v>0.2</v>
      </c>
      <c r="AB391" s="2">
        <v>0</v>
      </c>
      <c r="AC391" s="2">
        <v>0</v>
      </c>
    </row>
    <row r="392" spans="1:29" x14ac:dyDescent="0.2">
      <c r="A392" t="s">
        <v>286</v>
      </c>
      <c r="B392" s="2">
        <v>22</v>
      </c>
      <c r="C392" t="s">
        <v>48</v>
      </c>
      <c r="D392" s="2" t="s">
        <v>27</v>
      </c>
      <c r="E392" s="2">
        <v>5</v>
      </c>
      <c r="F392" s="2">
        <v>5</v>
      </c>
      <c r="G392" s="2">
        <v>182</v>
      </c>
      <c r="H392" s="2">
        <v>0.495</v>
      </c>
      <c r="I392" s="2">
        <v>12.9</v>
      </c>
      <c r="J392" s="2">
        <v>0.67</v>
      </c>
      <c r="K392" s="2">
        <v>0.34</v>
      </c>
      <c r="L392" s="2">
        <v>0.13400000000000001</v>
      </c>
      <c r="M392" s="2">
        <v>0.113</v>
      </c>
      <c r="N392" s="2">
        <v>8.2000000000000003E-2</v>
      </c>
      <c r="O392" s="2">
        <v>0.33</v>
      </c>
      <c r="P392" s="2">
        <v>0.56899999999999995</v>
      </c>
      <c r="Q392" s="2">
        <v>0.69699999999999995</v>
      </c>
      <c r="R392" s="2">
        <v>0.38500000000000001</v>
      </c>
      <c r="S392" s="2">
        <v>0.36399999999999999</v>
      </c>
      <c r="T392" s="2">
        <v>0.625</v>
      </c>
      <c r="U392" s="2">
        <v>0.34399999999999997</v>
      </c>
      <c r="V392" s="2">
        <v>0.48599999999999999</v>
      </c>
      <c r="W392" s="2">
        <v>0.54500000000000004</v>
      </c>
      <c r="X392" s="2">
        <v>4.1000000000000002E-2</v>
      </c>
      <c r="Y392" s="2">
        <v>4</v>
      </c>
      <c r="Z392" s="2">
        <v>9.4E-2</v>
      </c>
      <c r="AA392" s="2">
        <v>0</v>
      </c>
      <c r="AB392" s="2">
        <v>0</v>
      </c>
      <c r="AC392" s="2">
        <v>0</v>
      </c>
    </row>
    <row r="393" spans="1:29" x14ac:dyDescent="0.2">
      <c r="A393" t="s">
        <v>81</v>
      </c>
      <c r="B393" s="2">
        <v>30</v>
      </c>
      <c r="C393" t="s">
        <v>82</v>
      </c>
      <c r="D393" s="2" t="s">
        <v>27</v>
      </c>
      <c r="E393" s="2">
        <v>25</v>
      </c>
      <c r="F393" s="2">
        <v>25</v>
      </c>
      <c r="G393" s="2">
        <v>861</v>
      </c>
      <c r="H393" s="2">
        <v>0.52500000000000002</v>
      </c>
      <c r="I393" s="2">
        <v>12.8</v>
      </c>
      <c r="J393" s="2">
        <v>0.70299999999999996</v>
      </c>
      <c r="K393" s="2">
        <v>0.22500000000000001</v>
      </c>
      <c r="L393" s="2">
        <v>0.22500000000000001</v>
      </c>
      <c r="M393" s="2">
        <v>0.186</v>
      </c>
      <c r="N393" s="2">
        <v>6.7000000000000004E-2</v>
      </c>
      <c r="O393" s="2">
        <v>0.29699999999999999</v>
      </c>
      <c r="P393" s="2">
        <v>0.57299999999999995</v>
      </c>
      <c r="Q393" s="2">
        <v>0.74099999999999999</v>
      </c>
      <c r="R393" s="2">
        <v>0.56799999999999995</v>
      </c>
      <c r="S393" s="2">
        <v>0.44800000000000001</v>
      </c>
      <c r="T393" s="2">
        <v>0.375</v>
      </c>
      <c r="U393" s="2">
        <v>0.41099999999999998</v>
      </c>
      <c r="V393" s="2">
        <v>0.54500000000000004</v>
      </c>
      <c r="W393" s="2">
        <v>1</v>
      </c>
      <c r="X393" s="2">
        <v>2.1999999999999999E-2</v>
      </c>
      <c r="Y393" s="2">
        <v>8</v>
      </c>
      <c r="Z393" s="2">
        <v>0.32700000000000001</v>
      </c>
      <c r="AA393" s="2">
        <v>0.45700000000000002</v>
      </c>
      <c r="AB393" s="2">
        <v>0</v>
      </c>
      <c r="AC393" s="2">
        <v>0</v>
      </c>
    </row>
    <row r="394" spans="1:29" x14ac:dyDescent="0.2">
      <c r="A394" t="s">
        <v>373</v>
      </c>
      <c r="B394" s="2">
        <v>32</v>
      </c>
      <c r="C394" t="s">
        <v>35</v>
      </c>
      <c r="D394" s="2" t="s">
        <v>52</v>
      </c>
      <c r="E394" s="2">
        <v>15</v>
      </c>
      <c r="F394" s="2">
        <v>0</v>
      </c>
      <c r="G394" s="2">
        <v>255</v>
      </c>
      <c r="H394" s="2">
        <v>0.371</v>
      </c>
      <c r="I394" s="2">
        <v>17.3</v>
      </c>
      <c r="J394" s="2">
        <v>0.371</v>
      </c>
      <c r="K394" s="2">
        <v>0.214</v>
      </c>
      <c r="L394" s="2">
        <v>0.14299999999999999</v>
      </c>
      <c r="M394" s="2">
        <v>1.4E-2</v>
      </c>
      <c r="N394" s="2">
        <v>0</v>
      </c>
      <c r="O394" s="2">
        <v>0.629</v>
      </c>
      <c r="P394" s="2">
        <v>0.5</v>
      </c>
      <c r="Q394" s="2">
        <v>0.66700000000000004</v>
      </c>
      <c r="R394" s="2">
        <v>0.3</v>
      </c>
      <c r="S394" s="2">
        <v>0</v>
      </c>
      <c r="T394" s="2"/>
      <c r="U394" s="2">
        <v>0.29499999999999998</v>
      </c>
      <c r="V394" s="2">
        <v>0.92300000000000004</v>
      </c>
      <c r="W394" s="2">
        <v>0.92300000000000004</v>
      </c>
      <c r="X394" s="2">
        <v>1.4E-2</v>
      </c>
      <c r="Y394" s="2">
        <v>1</v>
      </c>
      <c r="Z394" s="2">
        <v>0.25</v>
      </c>
      <c r="AA394" s="2">
        <v>0.182</v>
      </c>
      <c r="AB394" s="2">
        <v>0</v>
      </c>
      <c r="AC394" s="2">
        <v>0</v>
      </c>
    </row>
    <row r="395" spans="1:29" x14ac:dyDescent="0.2">
      <c r="A395" t="s">
        <v>492</v>
      </c>
      <c r="B395" s="2">
        <v>28</v>
      </c>
      <c r="C395" t="s">
        <v>100</v>
      </c>
      <c r="D395" s="2" t="s">
        <v>33</v>
      </c>
      <c r="E395" s="2">
        <v>8</v>
      </c>
      <c r="F395" s="2">
        <v>0</v>
      </c>
      <c r="G395" s="2">
        <v>44</v>
      </c>
      <c r="H395" s="2">
        <v>0.375</v>
      </c>
      <c r="I395" s="2">
        <v>9.8000000000000007</v>
      </c>
      <c r="J395" s="2">
        <v>0.81299999999999994</v>
      </c>
      <c r="K395" s="2">
        <v>0.125</v>
      </c>
      <c r="L395" s="2">
        <v>0.56299999999999994</v>
      </c>
      <c r="M395" s="2">
        <v>6.3E-2</v>
      </c>
      <c r="N395" s="2">
        <v>6.3E-2</v>
      </c>
      <c r="O395" s="2">
        <v>0.188</v>
      </c>
      <c r="P395" s="2">
        <v>0.46200000000000002</v>
      </c>
      <c r="Q395" s="2">
        <v>0</v>
      </c>
      <c r="R395" s="2">
        <v>0.55600000000000005</v>
      </c>
      <c r="S395" s="2">
        <v>1</v>
      </c>
      <c r="T395" s="2">
        <v>0</v>
      </c>
      <c r="U395" s="2">
        <v>0</v>
      </c>
      <c r="V395" s="2">
        <v>0.5</v>
      </c>
      <c r="W395" s="2"/>
      <c r="X395" s="2">
        <v>0</v>
      </c>
      <c r="Y395" s="2">
        <v>0</v>
      </c>
      <c r="Z395" s="2">
        <v>0</v>
      </c>
      <c r="AA395" s="2"/>
      <c r="AB395" s="2">
        <v>0</v>
      </c>
      <c r="AC395" s="2">
        <v>0</v>
      </c>
    </row>
    <row r="396" spans="1:29" x14ac:dyDescent="0.2">
      <c r="A396" t="s">
        <v>452</v>
      </c>
      <c r="B396" s="2">
        <v>22</v>
      </c>
      <c r="C396" t="s">
        <v>114</v>
      </c>
      <c r="D396" s="2" t="s">
        <v>49</v>
      </c>
      <c r="E396" s="2">
        <v>11</v>
      </c>
      <c r="F396" s="2">
        <v>0</v>
      </c>
      <c r="G396" s="2">
        <v>56</v>
      </c>
      <c r="H396" s="2">
        <v>0.47399999999999998</v>
      </c>
      <c r="I396" s="2">
        <v>16.600000000000001</v>
      </c>
      <c r="J396" s="2">
        <v>0.42099999999999999</v>
      </c>
      <c r="K396" s="2">
        <v>0.26300000000000001</v>
      </c>
      <c r="L396" s="2">
        <v>0.158</v>
      </c>
      <c r="M396" s="2">
        <v>0</v>
      </c>
      <c r="N396" s="2">
        <v>0</v>
      </c>
      <c r="O396" s="2">
        <v>0.57899999999999996</v>
      </c>
      <c r="P396" s="2">
        <v>0.5</v>
      </c>
      <c r="Q396" s="2">
        <v>0.8</v>
      </c>
      <c r="R396" s="2">
        <v>0</v>
      </c>
      <c r="S396" s="2"/>
      <c r="T396" s="2"/>
      <c r="U396" s="2">
        <v>0.45500000000000002</v>
      </c>
      <c r="V396" s="2">
        <v>1</v>
      </c>
      <c r="W396" s="2">
        <v>1</v>
      </c>
      <c r="X396" s="2">
        <v>0.21099999999999999</v>
      </c>
      <c r="Y396" s="2">
        <v>4</v>
      </c>
      <c r="Z396" s="2">
        <v>0.182</v>
      </c>
      <c r="AA396" s="2">
        <v>0.5</v>
      </c>
      <c r="AB396" s="2">
        <v>0</v>
      </c>
      <c r="AC396" s="2">
        <v>0</v>
      </c>
    </row>
    <row r="397" spans="1:29" x14ac:dyDescent="0.2">
      <c r="A397" t="s">
        <v>283</v>
      </c>
      <c r="B397" s="2">
        <v>23</v>
      </c>
      <c r="C397" t="s">
        <v>70</v>
      </c>
      <c r="D397" s="2" t="s">
        <v>27</v>
      </c>
      <c r="E397" s="2">
        <v>15</v>
      </c>
      <c r="F397" s="2">
        <v>15</v>
      </c>
      <c r="G397" s="2">
        <v>433</v>
      </c>
      <c r="H397" s="2">
        <v>0.376</v>
      </c>
      <c r="I397" s="2">
        <v>16.399999999999999</v>
      </c>
      <c r="J397" s="2">
        <v>0.46600000000000003</v>
      </c>
      <c r="K397" s="2">
        <v>0.22600000000000001</v>
      </c>
      <c r="L397" s="2">
        <v>0.12</v>
      </c>
      <c r="M397" s="2">
        <v>0.06</v>
      </c>
      <c r="N397" s="2">
        <v>0.06</v>
      </c>
      <c r="O397" s="2">
        <v>0.53400000000000003</v>
      </c>
      <c r="P397" s="2">
        <v>0.35499999999999998</v>
      </c>
      <c r="Q397" s="2">
        <v>0.5</v>
      </c>
      <c r="R397" s="2">
        <v>0.188</v>
      </c>
      <c r="S397" s="2">
        <v>0.25</v>
      </c>
      <c r="T397" s="2">
        <v>0.25</v>
      </c>
      <c r="U397" s="2">
        <v>0.39400000000000002</v>
      </c>
      <c r="V397" s="2">
        <v>0.59099999999999997</v>
      </c>
      <c r="W397" s="2">
        <v>0.96399999999999997</v>
      </c>
      <c r="X397" s="2">
        <v>5.2999999999999999E-2</v>
      </c>
      <c r="Y397" s="2">
        <v>2</v>
      </c>
      <c r="Z397" s="2">
        <v>0.22500000000000001</v>
      </c>
      <c r="AA397" s="2">
        <v>0.5</v>
      </c>
      <c r="AB397" s="2">
        <v>0</v>
      </c>
      <c r="AC397" s="2">
        <v>0</v>
      </c>
    </row>
    <row r="398" spans="1:29" x14ac:dyDescent="0.2">
      <c r="A398" t="s">
        <v>436</v>
      </c>
      <c r="B398" s="2">
        <v>36</v>
      </c>
      <c r="C398" t="s">
        <v>120</v>
      </c>
      <c r="D398" s="2" t="s">
        <v>33</v>
      </c>
      <c r="E398" s="2">
        <v>9</v>
      </c>
      <c r="F398" s="2">
        <v>0</v>
      </c>
      <c r="G398" s="2">
        <v>138</v>
      </c>
      <c r="H398" s="2">
        <v>0.35499999999999998</v>
      </c>
      <c r="I398" s="2">
        <v>21.6</v>
      </c>
      <c r="J398" s="2">
        <v>0.22600000000000001</v>
      </c>
      <c r="K398" s="2">
        <v>6.5000000000000002E-2</v>
      </c>
      <c r="L398" s="2">
        <v>3.2000000000000001E-2</v>
      </c>
      <c r="M398" s="2">
        <v>6.5000000000000002E-2</v>
      </c>
      <c r="N398" s="2">
        <v>6.5000000000000002E-2</v>
      </c>
      <c r="O398" s="2">
        <v>0.77400000000000002</v>
      </c>
      <c r="P398" s="2">
        <v>0.57099999999999995</v>
      </c>
      <c r="Q398" s="2">
        <v>0.5</v>
      </c>
      <c r="R398" s="2">
        <v>1</v>
      </c>
      <c r="S398" s="2">
        <v>0.5</v>
      </c>
      <c r="T398" s="2">
        <v>0.5</v>
      </c>
      <c r="U398" s="2">
        <v>0.29199999999999998</v>
      </c>
      <c r="V398" s="2">
        <v>0.5</v>
      </c>
      <c r="W398" s="2">
        <v>0.85699999999999998</v>
      </c>
      <c r="X398" s="2">
        <v>0</v>
      </c>
      <c r="Y398" s="2">
        <v>0</v>
      </c>
      <c r="Z398" s="2">
        <v>0.20799999999999999</v>
      </c>
      <c r="AA398" s="2">
        <v>0.4</v>
      </c>
      <c r="AB398" s="2">
        <v>0</v>
      </c>
      <c r="AC398" s="2">
        <v>0</v>
      </c>
    </row>
    <row r="399" spans="1:29" x14ac:dyDescent="0.2">
      <c r="A399" t="s">
        <v>239</v>
      </c>
      <c r="B399" s="2">
        <v>34</v>
      </c>
      <c r="C399" t="s">
        <v>122</v>
      </c>
      <c r="D399" s="2" t="s">
        <v>27</v>
      </c>
      <c r="E399" s="2">
        <v>12</v>
      </c>
      <c r="F399" s="2">
        <v>12</v>
      </c>
      <c r="G399" s="2">
        <v>367</v>
      </c>
      <c r="H399" s="2">
        <v>0.41299999999999998</v>
      </c>
      <c r="I399" s="2">
        <v>18.100000000000001</v>
      </c>
      <c r="J399" s="2">
        <v>0.53900000000000003</v>
      </c>
      <c r="K399" s="2">
        <v>8.4000000000000005E-2</v>
      </c>
      <c r="L399" s="2">
        <v>0.14399999999999999</v>
      </c>
      <c r="M399" s="2">
        <v>0.114</v>
      </c>
      <c r="N399" s="2">
        <v>0.19800000000000001</v>
      </c>
      <c r="O399" s="2">
        <v>0.46100000000000002</v>
      </c>
      <c r="P399" s="2">
        <v>0.5</v>
      </c>
      <c r="Q399" s="2">
        <v>0.85699999999999998</v>
      </c>
      <c r="R399" s="2">
        <v>0.41699999999999998</v>
      </c>
      <c r="S399" s="2">
        <v>0.52600000000000002</v>
      </c>
      <c r="T399" s="2">
        <v>0.39400000000000002</v>
      </c>
      <c r="U399" s="2">
        <v>0.312</v>
      </c>
      <c r="V399" s="2">
        <v>0.2</v>
      </c>
      <c r="W399" s="2">
        <v>0.54200000000000004</v>
      </c>
      <c r="X399" s="2">
        <v>1.7999999999999999E-2</v>
      </c>
      <c r="Y399" s="2">
        <v>1</v>
      </c>
      <c r="Z399" s="2">
        <v>0.156</v>
      </c>
      <c r="AA399" s="2">
        <v>8.3000000000000004E-2</v>
      </c>
      <c r="AB399" s="2">
        <v>0</v>
      </c>
      <c r="AC399" s="2">
        <v>0</v>
      </c>
    </row>
    <row r="400" spans="1:29" x14ac:dyDescent="0.2">
      <c r="A400" t="s">
        <v>392</v>
      </c>
      <c r="B400" s="2">
        <v>25</v>
      </c>
      <c r="C400" t="s">
        <v>75</v>
      </c>
      <c r="D400" s="2" t="s">
        <v>42</v>
      </c>
      <c r="E400" s="2">
        <v>12</v>
      </c>
      <c r="F400" s="2">
        <v>0</v>
      </c>
      <c r="G400" s="2">
        <v>125</v>
      </c>
      <c r="H400" s="2">
        <v>0.53800000000000003</v>
      </c>
      <c r="I400" s="2">
        <v>10.5</v>
      </c>
      <c r="J400" s="2">
        <v>0.71799999999999997</v>
      </c>
      <c r="K400" s="2">
        <v>0.436</v>
      </c>
      <c r="L400" s="2">
        <v>0.154</v>
      </c>
      <c r="M400" s="2">
        <v>0.10299999999999999</v>
      </c>
      <c r="N400" s="2">
        <v>2.5999999999999999E-2</v>
      </c>
      <c r="O400" s="2">
        <v>0.28199999999999997</v>
      </c>
      <c r="P400" s="2">
        <v>0.60699999999999998</v>
      </c>
      <c r="Q400" s="2">
        <v>0.82399999999999995</v>
      </c>
      <c r="R400" s="2">
        <v>0.16700000000000001</v>
      </c>
      <c r="S400" s="2">
        <v>0.25</v>
      </c>
      <c r="T400" s="2">
        <v>1</v>
      </c>
      <c r="U400" s="2">
        <v>0.36399999999999999</v>
      </c>
      <c r="V400" s="2">
        <v>0.76500000000000001</v>
      </c>
      <c r="W400" s="2">
        <v>1</v>
      </c>
      <c r="X400" s="2">
        <v>0.17899999999999999</v>
      </c>
      <c r="Y400" s="2">
        <v>6</v>
      </c>
      <c r="Z400" s="2">
        <v>0.182</v>
      </c>
      <c r="AA400" s="2">
        <v>0.5</v>
      </c>
      <c r="AB400" s="2">
        <v>0</v>
      </c>
      <c r="AC400" s="2">
        <v>0</v>
      </c>
    </row>
    <row r="401" spans="1:29" x14ac:dyDescent="0.2">
      <c r="A401" t="s">
        <v>111</v>
      </c>
      <c r="B401" s="2">
        <v>27</v>
      </c>
      <c r="C401" t="s">
        <v>39</v>
      </c>
      <c r="D401" s="2" t="s">
        <v>33</v>
      </c>
      <c r="E401" s="2">
        <v>25</v>
      </c>
      <c r="F401" s="2">
        <v>0</v>
      </c>
      <c r="G401" s="2">
        <v>709</v>
      </c>
      <c r="H401" s="2">
        <v>0.48799999999999999</v>
      </c>
      <c r="I401" s="2">
        <v>22.6</v>
      </c>
      <c r="J401" s="2">
        <v>0.22600000000000001</v>
      </c>
      <c r="K401" s="2">
        <v>9.4E-2</v>
      </c>
      <c r="L401" s="2">
        <v>5.6000000000000001E-2</v>
      </c>
      <c r="M401" s="2">
        <v>4.4999999999999998E-2</v>
      </c>
      <c r="N401" s="2">
        <v>3.1E-2</v>
      </c>
      <c r="O401" s="2">
        <v>0.77400000000000002</v>
      </c>
      <c r="P401" s="2">
        <v>0.67700000000000005</v>
      </c>
      <c r="Q401" s="2">
        <v>0.74099999999999999</v>
      </c>
      <c r="R401" s="2">
        <v>0.68799999999999994</v>
      </c>
      <c r="S401" s="2">
        <v>0.61499999999999999</v>
      </c>
      <c r="T401" s="2">
        <v>0.55600000000000005</v>
      </c>
      <c r="U401" s="2">
        <v>0.432</v>
      </c>
      <c r="V401" s="2">
        <v>0.22700000000000001</v>
      </c>
      <c r="W401" s="2">
        <v>0.81299999999999994</v>
      </c>
      <c r="X401" s="2">
        <v>0</v>
      </c>
      <c r="Y401" s="2">
        <v>0</v>
      </c>
      <c r="Z401" s="2">
        <v>0.14899999999999999</v>
      </c>
      <c r="AA401" s="2">
        <v>0.57599999999999996</v>
      </c>
      <c r="AB401" s="2">
        <v>3</v>
      </c>
      <c r="AC401" s="2">
        <v>0</v>
      </c>
    </row>
    <row r="402" spans="1:29" x14ac:dyDescent="0.2">
      <c r="A402" t="s">
        <v>354</v>
      </c>
      <c r="B402" s="2">
        <v>23</v>
      </c>
      <c r="C402" t="s">
        <v>61</v>
      </c>
      <c r="D402" s="2" t="s">
        <v>52</v>
      </c>
      <c r="E402" s="2">
        <v>15</v>
      </c>
      <c r="F402" s="2">
        <v>0</v>
      </c>
      <c r="G402" s="2">
        <v>245</v>
      </c>
      <c r="H402" s="2">
        <v>0.54</v>
      </c>
      <c r="I402" s="2">
        <v>12.7</v>
      </c>
      <c r="J402" s="2">
        <v>0.54</v>
      </c>
      <c r="K402" s="2">
        <v>0.39700000000000002</v>
      </c>
      <c r="L402" s="2">
        <v>0.14299999999999999</v>
      </c>
      <c r="M402" s="2">
        <v>0</v>
      </c>
      <c r="N402" s="2">
        <v>0</v>
      </c>
      <c r="O402" s="2">
        <v>0.46</v>
      </c>
      <c r="P402" s="2">
        <v>0.67600000000000005</v>
      </c>
      <c r="Q402" s="2">
        <v>0.68</v>
      </c>
      <c r="R402" s="2">
        <v>0.66700000000000004</v>
      </c>
      <c r="S402" s="2"/>
      <c r="T402" s="2"/>
      <c r="U402" s="2">
        <v>0.379</v>
      </c>
      <c r="V402" s="2">
        <v>0.82599999999999996</v>
      </c>
      <c r="W402" s="2">
        <v>1</v>
      </c>
      <c r="X402" s="2">
        <v>3.2000000000000001E-2</v>
      </c>
      <c r="Y402" s="2">
        <v>2</v>
      </c>
      <c r="Z402" s="2">
        <v>0.34499999999999997</v>
      </c>
      <c r="AA402" s="2">
        <v>0.5</v>
      </c>
      <c r="AB402" s="2">
        <v>0</v>
      </c>
      <c r="AC402" s="2">
        <v>0</v>
      </c>
    </row>
    <row r="403" spans="1:29" x14ac:dyDescent="0.2">
      <c r="A403" t="s">
        <v>238</v>
      </c>
      <c r="B403" s="2">
        <v>22</v>
      </c>
      <c r="C403" t="s">
        <v>46</v>
      </c>
      <c r="D403" s="2" t="s">
        <v>49</v>
      </c>
      <c r="E403" s="2">
        <v>22</v>
      </c>
      <c r="F403" s="2">
        <v>12</v>
      </c>
      <c r="G403" s="2">
        <v>547</v>
      </c>
      <c r="H403" s="2">
        <v>0.48299999999999998</v>
      </c>
      <c r="I403" s="2">
        <v>11.1</v>
      </c>
      <c r="J403" s="2">
        <v>0.66400000000000003</v>
      </c>
      <c r="K403" s="2">
        <v>0.34899999999999998</v>
      </c>
      <c r="L403" s="2">
        <v>0.248</v>
      </c>
      <c r="M403" s="2">
        <v>0.06</v>
      </c>
      <c r="N403" s="2">
        <v>7.0000000000000001E-3</v>
      </c>
      <c r="O403" s="2">
        <v>0.33600000000000002</v>
      </c>
      <c r="P403" s="2">
        <v>0.54500000000000004</v>
      </c>
      <c r="Q403" s="2">
        <v>0.65400000000000003</v>
      </c>
      <c r="R403" s="2">
        <v>0.48599999999999999</v>
      </c>
      <c r="S403" s="2">
        <v>0.222</v>
      </c>
      <c r="T403" s="2">
        <v>0</v>
      </c>
      <c r="U403" s="2">
        <v>0.36</v>
      </c>
      <c r="V403" s="2">
        <v>0.74099999999999999</v>
      </c>
      <c r="W403" s="2">
        <v>1</v>
      </c>
      <c r="X403" s="2">
        <v>0.121</v>
      </c>
      <c r="Y403" s="2">
        <v>12</v>
      </c>
      <c r="Z403" s="2">
        <v>0.52</v>
      </c>
      <c r="AA403" s="2">
        <v>0.46200000000000002</v>
      </c>
      <c r="AB403" s="2">
        <v>1</v>
      </c>
      <c r="AC403" s="2">
        <v>0</v>
      </c>
    </row>
    <row r="404" spans="1:29" x14ac:dyDescent="0.2">
      <c r="A404" t="s">
        <v>506</v>
      </c>
      <c r="B404" s="2">
        <v>28</v>
      </c>
      <c r="C404" t="s">
        <v>51</v>
      </c>
      <c r="D404" s="2" t="s">
        <v>52</v>
      </c>
      <c r="E404" s="2">
        <v>7</v>
      </c>
      <c r="F404" s="2">
        <v>0</v>
      </c>
      <c r="G404" s="2">
        <v>30</v>
      </c>
      <c r="H404" s="2">
        <v>0.66700000000000004</v>
      </c>
      <c r="I404" s="2">
        <v>24.7</v>
      </c>
      <c r="J404" s="2">
        <v>0</v>
      </c>
      <c r="K404" s="2">
        <v>0</v>
      </c>
      <c r="L404" s="2">
        <v>0</v>
      </c>
      <c r="M404" s="2">
        <v>0</v>
      </c>
      <c r="N404" s="2">
        <v>0</v>
      </c>
      <c r="O404" s="2">
        <v>1</v>
      </c>
      <c r="P404" s="2"/>
      <c r="Q404" s="2"/>
      <c r="R404" s="2"/>
      <c r="S404" s="2"/>
      <c r="T404" s="2"/>
      <c r="U404" s="2">
        <v>0.66700000000000004</v>
      </c>
      <c r="V404" s="2"/>
      <c r="W404" s="2">
        <v>1</v>
      </c>
      <c r="X404" s="2">
        <v>0</v>
      </c>
      <c r="Y404" s="2">
        <v>0</v>
      </c>
      <c r="Z404" s="2">
        <v>0.33300000000000002</v>
      </c>
      <c r="AA404" s="2">
        <v>1</v>
      </c>
      <c r="AB404" s="2">
        <v>0</v>
      </c>
      <c r="AC404" s="2">
        <v>0</v>
      </c>
    </row>
    <row r="405" spans="1:29" x14ac:dyDescent="0.2">
      <c r="A405" t="s">
        <v>525</v>
      </c>
      <c r="B405" s="2">
        <v>22</v>
      </c>
      <c r="C405" t="s">
        <v>46</v>
      </c>
      <c r="D405" s="2" t="s">
        <v>42</v>
      </c>
      <c r="E405" s="2">
        <v>5</v>
      </c>
      <c r="F405" s="2">
        <v>0</v>
      </c>
      <c r="G405" s="2">
        <v>11</v>
      </c>
      <c r="H405" s="2">
        <v>0.4</v>
      </c>
      <c r="I405" s="2">
        <v>11.7</v>
      </c>
      <c r="J405" s="2">
        <v>0.6</v>
      </c>
      <c r="K405" s="2">
        <v>0.4</v>
      </c>
      <c r="L405" s="2">
        <v>0.2</v>
      </c>
      <c r="M405" s="2">
        <v>0</v>
      </c>
      <c r="N405" s="2">
        <v>0</v>
      </c>
      <c r="O405" s="2">
        <v>0.4</v>
      </c>
      <c r="P405" s="2">
        <v>0.66700000000000004</v>
      </c>
      <c r="Q405" s="2">
        <v>0.5</v>
      </c>
      <c r="R405" s="2">
        <v>1</v>
      </c>
      <c r="S405" s="2"/>
      <c r="T405" s="2"/>
      <c r="U405" s="2">
        <v>0</v>
      </c>
      <c r="V405" s="2">
        <v>1</v>
      </c>
      <c r="W405" s="2"/>
      <c r="X405" s="2">
        <v>0.2</v>
      </c>
      <c r="Y405" s="2">
        <v>1</v>
      </c>
      <c r="Z405" s="2">
        <v>0</v>
      </c>
      <c r="AA405" s="2"/>
      <c r="AB405" s="2">
        <v>0</v>
      </c>
      <c r="AC405" s="2">
        <v>0</v>
      </c>
    </row>
    <row r="406" spans="1:29" x14ac:dyDescent="0.2">
      <c r="A406" t="s">
        <v>479</v>
      </c>
      <c r="B406" s="2">
        <v>25</v>
      </c>
      <c r="C406" t="s">
        <v>44</v>
      </c>
      <c r="D406" s="2" t="s">
        <v>27</v>
      </c>
      <c r="E406" s="2">
        <v>4</v>
      </c>
      <c r="F406" s="2">
        <v>0</v>
      </c>
      <c r="G406" s="2">
        <v>75</v>
      </c>
      <c r="H406" s="2">
        <v>0.438</v>
      </c>
      <c r="I406" s="2">
        <v>5.5</v>
      </c>
      <c r="J406" s="2">
        <v>0.875</v>
      </c>
      <c r="K406" s="2">
        <v>0.56299999999999994</v>
      </c>
      <c r="L406" s="2">
        <v>0.25</v>
      </c>
      <c r="M406" s="2">
        <v>6.3E-2</v>
      </c>
      <c r="N406" s="2">
        <v>0</v>
      </c>
      <c r="O406" s="2">
        <v>0.125</v>
      </c>
      <c r="P406" s="2">
        <v>0.5</v>
      </c>
      <c r="Q406" s="2">
        <v>0.66700000000000004</v>
      </c>
      <c r="R406" s="2">
        <v>0.25</v>
      </c>
      <c r="S406" s="2">
        <v>0</v>
      </c>
      <c r="T406" s="2"/>
      <c r="U406" s="2">
        <v>0</v>
      </c>
      <c r="V406" s="2">
        <v>0.71399999999999997</v>
      </c>
      <c r="W406" s="2"/>
      <c r="X406" s="2">
        <v>0.188</v>
      </c>
      <c r="Y406" s="2">
        <v>3</v>
      </c>
      <c r="Z406" s="2">
        <v>0.5</v>
      </c>
      <c r="AA406" s="2">
        <v>0</v>
      </c>
      <c r="AB406" s="2">
        <v>0</v>
      </c>
      <c r="AC406" s="2">
        <v>0</v>
      </c>
    </row>
    <row r="407" spans="1:29" x14ac:dyDescent="0.2">
      <c r="A407" t="s">
        <v>237</v>
      </c>
      <c r="B407" s="2">
        <v>24</v>
      </c>
      <c r="C407" t="s">
        <v>63</v>
      </c>
      <c r="D407" s="2" t="s">
        <v>52</v>
      </c>
      <c r="E407" s="2">
        <v>23</v>
      </c>
      <c r="F407" s="2">
        <v>8</v>
      </c>
      <c r="G407" s="2">
        <v>468</v>
      </c>
      <c r="H407" s="2">
        <v>0.47899999999999998</v>
      </c>
      <c r="I407" s="2">
        <v>16.899999999999999</v>
      </c>
      <c r="J407" s="2">
        <v>0.42099999999999999</v>
      </c>
      <c r="K407" s="2">
        <v>0.221</v>
      </c>
      <c r="L407" s="2">
        <v>0.107</v>
      </c>
      <c r="M407" s="2">
        <v>4.2999999999999997E-2</v>
      </c>
      <c r="N407" s="2">
        <v>0.05</v>
      </c>
      <c r="O407" s="2">
        <v>0.57899999999999996</v>
      </c>
      <c r="P407" s="2">
        <v>0.57599999999999996</v>
      </c>
      <c r="Q407" s="2">
        <v>0.71</v>
      </c>
      <c r="R407" s="2">
        <v>0.4</v>
      </c>
      <c r="S407" s="2">
        <v>0.33300000000000002</v>
      </c>
      <c r="T407" s="2">
        <v>0.57099999999999995</v>
      </c>
      <c r="U407" s="2">
        <v>0.40699999999999997</v>
      </c>
      <c r="V407" s="2">
        <v>0.67600000000000005</v>
      </c>
      <c r="W407" s="2">
        <v>1</v>
      </c>
      <c r="X407" s="2">
        <v>3.5999999999999997E-2</v>
      </c>
      <c r="Y407" s="2">
        <v>5</v>
      </c>
      <c r="Z407" s="2">
        <v>0.27200000000000002</v>
      </c>
      <c r="AA407" s="2">
        <v>0.40899999999999997</v>
      </c>
      <c r="AB407" s="2">
        <v>0</v>
      </c>
      <c r="AC407" s="2">
        <v>0</v>
      </c>
    </row>
    <row r="408" spans="1:29" x14ac:dyDescent="0.2">
      <c r="A408" t="s">
        <v>344</v>
      </c>
      <c r="B408" s="2">
        <v>26</v>
      </c>
      <c r="C408" t="s">
        <v>82</v>
      </c>
      <c r="D408" s="2" t="s">
        <v>33</v>
      </c>
      <c r="E408" s="2">
        <v>14</v>
      </c>
      <c r="F408" s="2">
        <v>7</v>
      </c>
      <c r="G408" s="2">
        <v>240</v>
      </c>
      <c r="H408" s="2">
        <v>0.52100000000000002</v>
      </c>
      <c r="I408" s="2">
        <v>10.5</v>
      </c>
      <c r="J408" s="2">
        <v>0.68500000000000005</v>
      </c>
      <c r="K408" s="2">
        <v>0.47899999999999998</v>
      </c>
      <c r="L408" s="2">
        <v>0.13700000000000001</v>
      </c>
      <c r="M408" s="2">
        <v>1.4E-2</v>
      </c>
      <c r="N408" s="2">
        <v>5.5E-2</v>
      </c>
      <c r="O408" s="2">
        <v>0.315</v>
      </c>
      <c r="P408" s="2">
        <v>0.57999999999999996</v>
      </c>
      <c r="Q408" s="2">
        <v>0.629</v>
      </c>
      <c r="R408" s="2">
        <v>0.5</v>
      </c>
      <c r="S408" s="2">
        <v>1</v>
      </c>
      <c r="T408" s="2">
        <v>0.25</v>
      </c>
      <c r="U408" s="2">
        <v>0.39100000000000001</v>
      </c>
      <c r="V408" s="2">
        <v>0.55200000000000005</v>
      </c>
      <c r="W408" s="2">
        <v>1</v>
      </c>
      <c r="X408" s="2">
        <v>5.5E-2</v>
      </c>
      <c r="Y408" s="2">
        <v>3</v>
      </c>
      <c r="Z408" s="2">
        <v>0.39100000000000001</v>
      </c>
      <c r="AA408" s="2">
        <v>0.44400000000000001</v>
      </c>
      <c r="AB408" s="2">
        <v>0</v>
      </c>
      <c r="AC408" s="2">
        <v>0</v>
      </c>
    </row>
    <row r="409" spans="1:29" x14ac:dyDescent="0.2">
      <c r="A409" t="s">
        <v>539</v>
      </c>
      <c r="B409" s="2">
        <v>23</v>
      </c>
      <c r="C409" t="s">
        <v>41</v>
      </c>
      <c r="D409" s="2" t="s">
        <v>33</v>
      </c>
      <c r="E409" s="2">
        <v>1</v>
      </c>
      <c r="F409" s="2">
        <v>0</v>
      </c>
      <c r="G409" s="2">
        <v>8</v>
      </c>
      <c r="H409" s="2">
        <v>0.33300000000000002</v>
      </c>
      <c r="I409" s="2">
        <v>25.6</v>
      </c>
      <c r="J409" s="2">
        <v>0</v>
      </c>
      <c r="K409" s="2">
        <v>0</v>
      </c>
      <c r="L409" s="2">
        <v>0</v>
      </c>
      <c r="M409" s="2">
        <v>0</v>
      </c>
      <c r="N409" s="2">
        <v>0</v>
      </c>
      <c r="O409" s="2">
        <v>1</v>
      </c>
      <c r="P409" s="2"/>
      <c r="Q409" s="2"/>
      <c r="R409" s="2"/>
      <c r="S409" s="2"/>
      <c r="T409" s="2"/>
      <c r="U409" s="2">
        <v>0.33300000000000002</v>
      </c>
      <c r="V409" s="2"/>
      <c r="W409" s="2">
        <v>1</v>
      </c>
      <c r="X409" s="2">
        <v>0</v>
      </c>
      <c r="Y409" s="2">
        <v>0</v>
      </c>
      <c r="Z409" s="2">
        <v>0.33300000000000002</v>
      </c>
      <c r="AA409" s="2">
        <v>0</v>
      </c>
      <c r="AB409" s="2">
        <v>0</v>
      </c>
      <c r="AC409" s="2">
        <v>0</v>
      </c>
    </row>
    <row r="410" spans="1:29" x14ac:dyDescent="0.2">
      <c r="A410" t="s">
        <v>374</v>
      </c>
      <c r="B410" s="2">
        <v>20</v>
      </c>
      <c r="C410" t="s">
        <v>135</v>
      </c>
      <c r="D410" s="2" t="s">
        <v>52</v>
      </c>
      <c r="E410" s="2">
        <v>21</v>
      </c>
      <c r="F410" s="2">
        <v>0</v>
      </c>
      <c r="G410" s="2">
        <v>223</v>
      </c>
      <c r="H410" s="2">
        <v>0.438</v>
      </c>
      <c r="I410" s="2">
        <v>13.7</v>
      </c>
      <c r="J410" s="2">
        <v>0.54700000000000004</v>
      </c>
      <c r="K410" s="2">
        <v>0.28100000000000003</v>
      </c>
      <c r="L410" s="2">
        <v>0.219</v>
      </c>
      <c r="M410" s="2">
        <v>4.7E-2</v>
      </c>
      <c r="N410" s="2">
        <v>0</v>
      </c>
      <c r="O410" s="2">
        <v>0.45300000000000001</v>
      </c>
      <c r="P410" s="2">
        <v>0.54300000000000004</v>
      </c>
      <c r="Q410" s="2">
        <v>0.72199999999999998</v>
      </c>
      <c r="R410" s="2">
        <v>0.214</v>
      </c>
      <c r="S410" s="2">
        <v>1</v>
      </c>
      <c r="T410" s="2"/>
      <c r="U410" s="2">
        <v>0.31</v>
      </c>
      <c r="V410" s="2">
        <v>0.57899999999999996</v>
      </c>
      <c r="W410" s="2">
        <v>1</v>
      </c>
      <c r="X410" s="2">
        <v>1.6E-2</v>
      </c>
      <c r="Y410" s="2">
        <v>1</v>
      </c>
      <c r="Z410" s="2">
        <v>0.41399999999999998</v>
      </c>
      <c r="AA410" s="2">
        <v>0.33300000000000002</v>
      </c>
      <c r="AB410" s="2">
        <v>0</v>
      </c>
      <c r="AC410" s="2">
        <v>0</v>
      </c>
    </row>
    <row r="411" spans="1:29" x14ac:dyDescent="0.2">
      <c r="A411" t="s">
        <v>543</v>
      </c>
      <c r="B411" s="2">
        <v>23</v>
      </c>
      <c r="C411" t="s">
        <v>100</v>
      </c>
      <c r="D411" s="2" t="s">
        <v>33</v>
      </c>
      <c r="E411" s="2">
        <v>2</v>
      </c>
      <c r="F411" s="2">
        <v>0</v>
      </c>
      <c r="G411" s="2">
        <v>4</v>
      </c>
      <c r="H411" s="2">
        <v>1</v>
      </c>
      <c r="I411" s="2">
        <v>3.3</v>
      </c>
      <c r="J411" s="2">
        <v>1</v>
      </c>
      <c r="K411" s="2">
        <v>0</v>
      </c>
      <c r="L411" s="2">
        <v>1</v>
      </c>
      <c r="M411" s="2">
        <v>0</v>
      </c>
      <c r="N411" s="2">
        <v>0</v>
      </c>
      <c r="O411" s="2">
        <v>0</v>
      </c>
      <c r="P411" s="2">
        <v>1</v>
      </c>
      <c r="Q411" s="2"/>
      <c r="R411" s="2">
        <v>1</v>
      </c>
      <c r="S411" s="2"/>
      <c r="T411" s="2"/>
      <c r="U411" s="2"/>
      <c r="V411" s="2">
        <v>1</v>
      </c>
      <c r="W411" s="2"/>
      <c r="X411" s="2">
        <v>0</v>
      </c>
      <c r="Y411" s="2">
        <v>0</v>
      </c>
      <c r="Z411" s="2"/>
      <c r="AA411" s="2"/>
      <c r="AB411" s="2">
        <v>0</v>
      </c>
      <c r="AC411" s="2">
        <v>0</v>
      </c>
    </row>
    <row r="412" spans="1:29" x14ac:dyDescent="0.2">
      <c r="A412" t="s">
        <v>352</v>
      </c>
      <c r="B412" s="2">
        <v>20</v>
      </c>
      <c r="C412" t="s">
        <v>87</v>
      </c>
      <c r="D412" s="2" t="s">
        <v>33</v>
      </c>
      <c r="E412" s="2">
        <v>24</v>
      </c>
      <c r="F412" s="2">
        <v>0</v>
      </c>
      <c r="G412" s="2">
        <v>282</v>
      </c>
      <c r="H412" s="2">
        <v>0.35699999999999998</v>
      </c>
      <c r="I412" s="2">
        <v>18.8</v>
      </c>
      <c r="J412" s="2">
        <v>0.42899999999999999</v>
      </c>
      <c r="K412" s="2">
        <v>0.14299999999999999</v>
      </c>
      <c r="L412" s="2">
        <v>6.0999999999999999E-2</v>
      </c>
      <c r="M412" s="2">
        <v>0.17299999999999999</v>
      </c>
      <c r="N412" s="2">
        <v>5.0999999999999997E-2</v>
      </c>
      <c r="O412" s="2">
        <v>0.57099999999999995</v>
      </c>
      <c r="P412" s="2">
        <v>0.42899999999999999</v>
      </c>
      <c r="Q412" s="2">
        <v>0.64300000000000002</v>
      </c>
      <c r="R412" s="2">
        <v>0.33300000000000002</v>
      </c>
      <c r="S412" s="2">
        <v>0.29399999999999998</v>
      </c>
      <c r="T412" s="2">
        <v>0.4</v>
      </c>
      <c r="U412" s="2">
        <v>0.30399999999999999</v>
      </c>
      <c r="V412" s="2">
        <v>0.38900000000000001</v>
      </c>
      <c r="W412" s="2">
        <v>0.88200000000000001</v>
      </c>
      <c r="X412" s="2">
        <v>0.01</v>
      </c>
      <c r="Y412" s="2">
        <v>0</v>
      </c>
      <c r="Z412" s="2">
        <v>0.17899999999999999</v>
      </c>
      <c r="AA412" s="2">
        <v>0.3</v>
      </c>
      <c r="AB412" s="2">
        <v>0</v>
      </c>
      <c r="AC412" s="2">
        <v>0</v>
      </c>
    </row>
    <row r="413" spans="1:29" x14ac:dyDescent="0.2">
      <c r="A413" t="s">
        <v>416</v>
      </c>
      <c r="B413" s="2">
        <v>34</v>
      </c>
      <c r="C413" t="s">
        <v>122</v>
      </c>
      <c r="D413" s="2" t="s">
        <v>33</v>
      </c>
      <c r="E413" s="2">
        <v>10</v>
      </c>
      <c r="F413" s="2">
        <v>0</v>
      </c>
      <c r="G413" s="2">
        <v>119</v>
      </c>
      <c r="H413" s="2">
        <v>0.41</v>
      </c>
      <c r="I413" s="2">
        <v>19.7</v>
      </c>
      <c r="J413" s="2">
        <v>0.35899999999999999</v>
      </c>
      <c r="K413" s="2">
        <v>0.128</v>
      </c>
      <c r="L413" s="2">
        <v>0.154</v>
      </c>
      <c r="M413" s="2">
        <v>5.0999999999999997E-2</v>
      </c>
      <c r="N413" s="2">
        <v>2.5999999999999999E-2</v>
      </c>
      <c r="O413" s="2">
        <v>0.64100000000000001</v>
      </c>
      <c r="P413" s="2">
        <v>0.35699999999999998</v>
      </c>
      <c r="Q413" s="2">
        <v>0.4</v>
      </c>
      <c r="R413" s="2">
        <v>0.33300000000000002</v>
      </c>
      <c r="S413" s="2">
        <v>0.5</v>
      </c>
      <c r="T413" s="2">
        <v>0</v>
      </c>
      <c r="U413" s="2">
        <v>0.44</v>
      </c>
      <c r="V413" s="2">
        <v>0.4</v>
      </c>
      <c r="W413" s="2">
        <v>0.81799999999999995</v>
      </c>
      <c r="X413" s="2">
        <v>0</v>
      </c>
      <c r="Y413" s="2">
        <v>0</v>
      </c>
      <c r="Z413" s="2">
        <v>0.12</v>
      </c>
      <c r="AA413" s="2">
        <v>0.66700000000000004</v>
      </c>
      <c r="AB413" s="2">
        <v>1</v>
      </c>
      <c r="AC413" s="2">
        <v>0</v>
      </c>
    </row>
    <row r="414" spans="1:29" x14ac:dyDescent="0.2">
      <c r="A414" t="s">
        <v>493</v>
      </c>
      <c r="B414" s="2">
        <v>31</v>
      </c>
      <c r="C414" t="s">
        <v>114</v>
      </c>
      <c r="D414" s="2" t="s">
        <v>27</v>
      </c>
      <c r="E414" s="2">
        <v>3</v>
      </c>
      <c r="F414" s="2">
        <v>0</v>
      </c>
      <c r="G414" s="2">
        <v>20</v>
      </c>
      <c r="H414" s="2">
        <v>0.5</v>
      </c>
      <c r="I414" s="2">
        <v>6.5</v>
      </c>
      <c r="J414" s="2">
        <v>0.9</v>
      </c>
      <c r="K414" s="2">
        <v>0.6</v>
      </c>
      <c r="L414" s="2">
        <v>0.2</v>
      </c>
      <c r="M414" s="2">
        <v>0</v>
      </c>
      <c r="N414" s="2">
        <v>0.1</v>
      </c>
      <c r="O414" s="2">
        <v>0.1</v>
      </c>
      <c r="P414" s="2">
        <v>0.55600000000000005</v>
      </c>
      <c r="Q414" s="2">
        <v>0.66700000000000004</v>
      </c>
      <c r="R414" s="2">
        <v>0.5</v>
      </c>
      <c r="S414" s="2"/>
      <c r="T414" s="2">
        <v>0</v>
      </c>
      <c r="U414" s="2">
        <v>0</v>
      </c>
      <c r="V414" s="2">
        <v>0.8</v>
      </c>
      <c r="W414" s="2"/>
      <c r="X414" s="2">
        <v>0.3</v>
      </c>
      <c r="Y414" s="2">
        <v>3</v>
      </c>
      <c r="Z414" s="2">
        <v>1</v>
      </c>
      <c r="AA414" s="2">
        <v>0</v>
      </c>
      <c r="AB414" s="2">
        <v>0</v>
      </c>
      <c r="AC414" s="2">
        <v>0</v>
      </c>
    </row>
    <row r="415" spans="1:29" x14ac:dyDescent="0.2">
      <c r="A415" t="s">
        <v>369</v>
      </c>
      <c r="B415" s="2">
        <v>23</v>
      </c>
      <c r="C415" t="s">
        <v>122</v>
      </c>
      <c r="D415" s="2" t="s">
        <v>49</v>
      </c>
      <c r="E415" s="2">
        <v>17</v>
      </c>
      <c r="F415" s="2">
        <v>0</v>
      </c>
      <c r="G415" s="2">
        <v>200</v>
      </c>
      <c r="H415" s="2">
        <v>0.41</v>
      </c>
      <c r="I415" s="2">
        <v>14.3</v>
      </c>
      <c r="J415" s="2">
        <v>0.55700000000000005</v>
      </c>
      <c r="K415" s="2">
        <v>0.29499999999999998</v>
      </c>
      <c r="L415" s="2">
        <v>0.19700000000000001</v>
      </c>
      <c r="M415" s="2">
        <v>6.6000000000000003E-2</v>
      </c>
      <c r="N415" s="2">
        <v>0</v>
      </c>
      <c r="O415" s="2">
        <v>0.443</v>
      </c>
      <c r="P415" s="2">
        <v>0.52900000000000003</v>
      </c>
      <c r="Q415" s="2">
        <v>0.66700000000000004</v>
      </c>
      <c r="R415" s="2">
        <v>0.5</v>
      </c>
      <c r="S415" s="2">
        <v>0</v>
      </c>
      <c r="T415" s="2"/>
      <c r="U415" s="2">
        <v>0.25900000000000001</v>
      </c>
      <c r="V415" s="2">
        <v>0.55600000000000005</v>
      </c>
      <c r="W415" s="2">
        <v>1</v>
      </c>
      <c r="X415" s="2">
        <v>0.13100000000000001</v>
      </c>
      <c r="Y415" s="2">
        <v>8</v>
      </c>
      <c r="Z415" s="2">
        <v>0.111</v>
      </c>
      <c r="AA415" s="2">
        <v>0.66700000000000004</v>
      </c>
      <c r="AB415" s="2">
        <v>0</v>
      </c>
      <c r="AC415" s="2">
        <v>0</v>
      </c>
    </row>
    <row r="416" spans="1:29" x14ac:dyDescent="0.2">
      <c r="A416" t="s">
        <v>565</v>
      </c>
      <c r="B416" s="2">
        <v>24</v>
      </c>
      <c r="C416" t="s">
        <v>93</v>
      </c>
      <c r="D416" s="2" t="s">
        <v>49</v>
      </c>
      <c r="E416" s="2">
        <v>1</v>
      </c>
      <c r="F416" s="2">
        <v>0</v>
      </c>
      <c r="G416" s="2">
        <v>7</v>
      </c>
      <c r="H416" s="2">
        <v>0</v>
      </c>
      <c r="I416" s="2">
        <v>30.4</v>
      </c>
      <c r="J416" s="2">
        <v>0</v>
      </c>
      <c r="K416" s="2">
        <v>0</v>
      </c>
      <c r="L416" s="2">
        <v>0</v>
      </c>
      <c r="M416" s="2">
        <v>0</v>
      </c>
      <c r="N416" s="2">
        <v>0</v>
      </c>
      <c r="O416" s="2">
        <v>1</v>
      </c>
      <c r="P416" s="2"/>
      <c r="Q416" s="2"/>
      <c r="R416" s="2"/>
      <c r="S416" s="2"/>
      <c r="T416" s="2"/>
      <c r="U416" s="2">
        <v>0</v>
      </c>
      <c r="V416" s="2"/>
      <c r="W416" s="2"/>
      <c r="X416" s="2">
        <v>0</v>
      </c>
      <c r="Y416" s="2">
        <v>0</v>
      </c>
      <c r="Z416" s="2">
        <v>0</v>
      </c>
      <c r="AA416" s="2"/>
      <c r="AB416" s="2">
        <v>0</v>
      </c>
      <c r="AC416" s="2">
        <v>0</v>
      </c>
    </row>
    <row r="417" spans="1:29" x14ac:dyDescent="0.2">
      <c r="A417" t="s">
        <v>65</v>
      </c>
      <c r="B417" s="2">
        <v>24</v>
      </c>
      <c r="C417" t="s">
        <v>66</v>
      </c>
      <c r="D417" s="2" t="s">
        <v>52</v>
      </c>
      <c r="E417" s="2">
        <v>23</v>
      </c>
      <c r="F417" s="2">
        <v>23</v>
      </c>
      <c r="G417" s="2">
        <v>787</v>
      </c>
      <c r="H417" s="2">
        <v>0.45500000000000002</v>
      </c>
      <c r="I417" s="2">
        <v>10.8</v>
      </c>
      <c r="J417" s="2">
        <v>0.69099999999999995</v>
      </c>
      <c r="K417" s="2">
        <v>0.36399999999999999</v>
      </c>
      <c r="L417" s="2">
        <v>0.27100000000000002</v>
      </c>
      <c r="M417" s="2">
        <v>3.9E-2</v>
      </c>
      <c r="N417" s="2">
        <v>1.6E-2</v>
      </c>
      <c r="O417" s="2">
        <v>0.309</v>
      </c>
      <c r="P417" s="2">
        <v>0.503</v>
      </c>
      <c r="Q417" s="2">
        <v>0.61799999999999999</v>
      </c>
      <c r="R417" s="2">
        <v>0.376</v>
      </c>
      <c r="S417" s="2">
        <v>0.41199999999999998</v>
      </c>
      <c r="T417" s="2">
        <v>0.28599999999999998</v>
      </c>
      <c r="U417" s="2">
        <v>0.34599999999999997</v>
      </c>
      <c r="V417" s="2">
        <v>0.42</v>
      </c>
      <c r="W417" s="2">
        <v>0.84799999999999998</v>
      </c>
      <c r="X417" s="2">
        <v>2.8000000000000001E-2</v>
      </c>
      <c r="Y417" s="2">
        <v>9</v>
      </c>
      <c r="Z417" s="2">
        <v>0.23300000000000001</v>
      </c>
      <c r="AA417" s="2">
        <v>0.45200000000000001</v>
      </c>
      <c r="AB417" s="2">
        <v>1</v>
      </c>
      <c r="AC417" s="2">
        <v>0</v>
      </c>
    </row>
    <row r="418" spans="1:29" x14ac:dyDescent="0.2">
      <c r="A418" t="s">
        <v>417</v>
      </c>
      <c r="B418" s="2">
        <v>20</v>
      </c>
      <c r="C418" t="s">
        <v>51</v>
      </c>
      <c r="D418" s="2" t="s">
        <v>33</v>
      </c>
      <c r="E418" s="2">
        <v>11</v>
      </c>
      <c r="F418" s="2">
        <v>0</v>
      </c>
      <c r="G418" s="2">
        <v>92</v>
      </c>
      <c r="H418" s="2">
        <v>0.5</v>
      </c>
      <c r="I418" s="2">
        <v>12.2</v>
      </c>
      <c r="J418" s="2">
        <v>0.66700000000000004</v>
      </c>
      <c r="K418" s="2">
        <v>0.30599999999999999</v>
      </c>
      <c r="L418" s="2">
        <v>0.222</v>
      </c>
      <c r="M418" s="2">
        <v>8.3000000000000004E-2</v>
      </c>
      <c r="N418" s="2">
        <v>5.6000000000000001E-2</v>
      </c>
      <c r="O418" s="2">
        <v>0.33300000000000002</v>
      </c>
      <c r="P418" s="2">
        <v>0.5</v>
      </c>
      <c r="Q418" s="2">
        <v>0.63600000000000001</v>
      </c>
      <c r="R418" s="2">
        <v>0.5</v>
      </c>
      <c r="S418" s="2">
        <v>0.33300000000000002</v>
      </c>
      <c r="T418" s="2">
        <v>0</v>
      </c>
      <c r="U418" s="2">
        <v>0.5</v>
      </c>
      <c r="V418" s="2">
        <v>0.16700000000000001</v>
      </c>
      <c r="W418" s="2">
        <v>0.66700000000000004</v>
      </c>
      <c r="X418" s="2">
        <v>0</v>
      </c>
      <c r="Y418" s="2">
        <v>0</v>
      </c>
      <c r="Z418" s="2">
        <v>0.33300000000000002</v>
      </c>
      <c r="AA418" s="2">
        <v>0.5</v>
      </c>
      <c r="AB418" s="2">
        <v>0</v>
      </c>
      <c r="AC418" s="2">
        <v>0</v>
      </c>
    </row>
    <row r="419" spans="1:29" x14ac:dyDescent="0.2">
      <c r="A419" t="s">
        <v>381</v>
      </c>
      <c r="B419" s="2">
        <v>27</v>
      </c>
      <c r="C419" t="s">
        <v>135</v>
      </c>
      <c r="D419" s="2" t="s">
        <v>42</v>
      </c>
      <c r="E419" s="2">
        <v>7</v>
      </c>
      <c r="F419" s="2">
        <v>1</v>
      </c>
      <c r="G419" s="2">
        <v>131</v>
      </c>
      <c r="H419" s="2">
        <v>0.71099999999999997</v>
      </c>
      <c r="I419" s="2">
        <v>3</v>
      </c>
      <c r="J419" s="2">
        <v>0.94699999999999995</v>
      </c>
      <c r="K419" s="2">
        <v>0.76300000000000001</v>
      </c>
      <c r="L419" s="2">
        <v>0.184</v>
      </c>
      <c r="M419" s="2">
        <v>0</v>
      </c>
      <c r="N419" s="2">
        <v>0</v>
      </c>
      <c r="O419" s="2">
        <v>5.2999999999999999E-2</v>
      </c>
      <c r="P419" s="2">
        <v>0.72199999999999998</v>
      </c>
      <c r="Q419" s="2">
        <v>0.79300000000000004</v>
      </c>
      <c r="R419" s="2">
        <v>0.42899999999999999</v>
      </c>
      <c r="S419" s="2"/>
      <c r="T419" s="2"/>
      <c r="U419" s="2">
        <v>0.5</v>
      </c>
      <c r="V419" s="2">
        <v>0.73099999999999998</v>
      </c>
      <c r="W419" s="2">
        <v>1</v>
      </c>
      <c r="X419" s="2">
        <v>0.28899999999999998</v>
      </c>
      <c r="Y419" s="2">
        <v>10</v>
      </c>
      <c r="Z419" s="2">
        <v>1</v>
      </c>
      <c r="AA419" s="2">
        <v>0.5</v>
      </c>
      <c r="AB419" s="2">
        <v>0</v>
      </c>
      <c r="AC419" s="2">
        <v>0</v>
      </c>
    </row>
    <row r="420" spans="1:29" x14ac:dyDescent="0.2">
      <c r="A420" t="s">
        <v>267</v>
      </c>
      <c r="B420" s="2">
        <v>19</v>
      </c>
      <c r="C420" t="s">
        <v>75</v>
      </c>
      <c r="D420" s="2" t="s">
        <v>49</v>
      </c>
      <c r="E420" s="2">
        <v>26</v>
      </c>
      <c r="F420" s="2">
        <v>1</v>
      </c>
      <c r="G420" s="2">
        <v>418</v>
      </c>
      <c r="H420" s="2">
        <v>0.46100000000000002</v>
      </c>
      <c r="I420" s="2">
        <v>12.8</v>
      </c>
      <c r="J420" s="2">
        <v>0.61</v>
      </c>
      <c r="K420" s="2">
        <v>0.32600000000000001</v>
      </c>
      <c r="L420" s="2">
        <v>0.22</v>
      </c>
      <c r="M420" s="2">
        <v>5.7000000000000002E-2</v>
      </c>
      <c r="N420" s="2">
        <v>7.0000000000000001E-3</v>
      </c>
      <c r="O420" s="2">
        <v>0.39</v>
      </c>
      <c r="P420" s="2">
        <v>0.628</v>
      </c>
      <c r="Q420" s="2">
        <v>0.71699999999999997</v>
      </c>
      <c r="R420" s="2">
        <v>0.51600000000000001</v>
      </c>
      <c r="S420" s="2">
        <v>0.625</v>
      </c>
      <c r="T420" s="2">
        <v>0</v>
      </c>
      <c r="U420" s="2">
        <v>0.2</v>
      </c>
      <c r="V420" s="2">
        <v>0.59299999999999997</v>
      </c>
      <c r="W420" s="2">
        <v>1</v>
      </c>
      <c r="X420" s="2">
        <v>8.5000000000000006E-2</v>
      </c>
      <c r="Y420" s="2">
        <v>9</v>
      </c>
      <c r="Z420" s="2">
        <v>0.45500000000000002</v>
      </c>
      <c r="AA420" s="2">
        <v>0.16</v>
      </c>
      <c r="AB420" s="2">
        <v>2</v>
      </c>
      <c r="AC420" s="2">
        <v>0</v>
      </c>
    </row>
    <row r="421" spans="1:29" x14ac:dyDescent="0.2">
      <c r="A421" t="s">
        <v>190</v>
      </c>
      <c r="B421" s="2">
        <v>31</v>
      </c>
      <c r="C421" t="s">
        <v>54</v>
      </c>
      <c r="D421" s="2" t="s">
        <v>49</v>
      </c>
      <c r="E421" s="2">
        <v>23</v>
      </c>
      <c r="F421" s="2">
        <v>5</v>
      </c>
      <c r="G421" s="2">
        <v>595</v>
      </c>
      <c r="H421" s="2">
        <v>0.44900000000000001</v>
      </c>
      <c r="I421" s="2">
        <v>18.399999999999999</v>
      </c>
      <c r="J421" s="2">
        <v>0.35199999999999998</v>
      </c>
      <c r="K421" s="2">
        <v>0.14299999999999999</v>
      </c>
      <c r="L421" s="2">
        <v>0.17299999999999999</v>
      </c>
      <c r="M421" s="2">
        <v>3.1E-2</v>
      </c>
      <c r="N421" s="2">
        <v>5.0000000000000001E-3</v>
      </c>
      <c r="O421" s="2">
        <v>0.64800000000000002</v>
      </c>
      <c r="P421" s="2">
        <v>0.44900000000000001</v>
      </c>
      <c r="Q421" s="2">
        <v>0.64300000000000002</v>
      </c>
      <c r="R421" s="2">
        <v>0.32400000000000001</v>
      </c>
      <c r="S421" s="2">
        <v>0.33300000000000002</v>
      </c>
      <c r="T421" s="2">
        <v>0</v>
      </c>
      <c r="U421" s="2">
        <v>0.44900000000000001</v>
      </c>
      <c r="V421" s="2">
        <v>0.58099999999999996</v>
      </c>
      <c r="W421" s="2">
        <v>0.96499999999999997</v>
      </c>
      <c r="X421" s="2">
        <v>5.0000000000000001E-3</v>
      </c>
      <c r="Y421" s="2">
        <v>1</v>
      </c>
      <c r="Z421" s="2">
        <v>0.22</v>
      </c>
      <c r="AA421" s="2">
        <v>0.60699999999999998</v>
      </c>
      <c r="AB421" s="2">
        <v>0</v>
      </c>
      <c r="AC421" s="2">
        <v>0</v>
      </c>
    </row>
    <row r="422" spans="1:29" x14ac:dyDescent="0.2">
      <c r="A422" t="s">
        <v>197</v>
      </c>
      <c r="B422" s="2">
        <v>32</v>
      </c>
      <c r="C422" t="s">
        <v>51</v>
      </c>
      <c r="D422" s="2" t="s">
        <v>42</v>
      </c>
      <c r="E422" s="2">
        <v>23</v>
      </c>
      <c r="F422" s="2">
        <v>23</v>
      </c>
      <c r="G422" s="2">
        <v>788</v>
      </c>
      <c r="H422" s="2">
        <v>0.64700000000000002</v>
      </c>
      <c r="I422" s="2">
        <v>2.6</v>
      </c>
      <c r="J422" s="2">
        <v>1</v>
      </c>
      <c r="K422" s="2">
        <v>0.68300000000000005</v>
      </c>
      <c r="L422" s="2">
        <v>0.28100000000000003</v>
      </c>
      <c r="M422" s="2">
        <v>3.5999999999999997E-2</v>
      </c>
      <c r="N422" s="2">
        <v>0</v>
      </c>
      <c r="O422" s="2">
        <v>0</v>
      </c>
      <c r="P422" s="2">
        <v>0.64700000000000002</v>
      </c>
      <c r="Q422" s="2">
        <v>0.81100000000000005</v>
      </c>
      <c r="R422" s="2">
        <v>0.33300000000000002</v>
      </c>
      <c r="S422" s="2">
        <v>0</v>
      </c>
      <c r="T422" s="2"/>
      <c r="U422" s="2"/>
      <c r="V422" s="2">
        <v>0.74399999999999999</v>
      </c>
      <c r="W422" s="2"/>
      <c r="X422" s="2">
        <v>0.48899999999999999</v>
      </c>
      <c r="Y422" s="2">
        <v>58</v>
      </c>
      <c r="Z422" s="2"/>
      <c r="AA422" s="2"/>
      <c r="AB422" s="2">
        <v>0</v>
      </c>
      <c r="AC422" s="2">
        <v>0</v>
      </c>
    </row>
    <row r="423" spans="1:29" x14ac:dyDescent="0.2">
      <c r="A423" t="s">
        <v>202</v>
      </c>
      <c r="B423" s="2">
        <v>26</v>
      </c>
      <c r="C423" t="s">
        <v>41</v>
      </c>
      <c r="D423" s="2" t="s">
        <v>27</v>
      </c>
      <c r="E423" s="2">
        <v>19</v>
      </c>
      <c r="F423" s="2">
        <v>19</v>
      </c>
      <c r="G423" s="2">
        <v>616</v>
      </c>
      <c r="H423" s="2">
        <v>0.5</v>
      </c>
      <c r="I423" s="2">
        <v>12.8</v>
      </c>
      <c r="J423" s="2">
        <v>0.628</v>
      </c>
      <c r="K423" s="2">
        <v>0.311</v>
      </c>
      <c r="L423" s="2">
        <v>0.19400000000000001</v>
      </c>
      <c r="M423" s="2">
        <v>7.8E-2</v>
      </c>
      <c r="N423" s="2">
        <v>4.3999999999999997E-2</v>
      </c>
      <c r="O423" s="2">
        <v>0.372</v>
      </c>
      <c r="P423" s="2">
        <v>0.52200000000000002</v>
      </c>
      <c r="Q423" s="2">
        <v>0.69599999999999995</v>
      </c>
      <c r="R423" s="2">
        <v>0.314</v>
      </c>
      <c r="S423" s="2">
        <v>0.42899999999999999</v>
      </c>
      <c r="T423" s="2">
        <v>0.375</v>
      </c>
      <c r="U423" s="2">
        <v>0.46300000000000002</v>
      </c>
      <c r="V423" s="2">
        <v>0.83099999999999996</v>
      </c>
      <c r="W423" s="2">
        <v>1</v>
      </c>
      <c r="X423" s="2">
        <v>0.128</v>
      </c>
      <c r="Y423" s="2">
        <v>20</v>
      </c>
      <c r="Z423" s="2">
        <v>0.34300000000000003</v>
      </c>
      <c r="AA423" s="2">
        <v>0.435</v>
      </c>
      <c r="AB423" s="2">
        <v>0</v>
      </c>
      <c r="AC423" s="2">
        <v>0</v>
      </c>
    </row>
    <row r="424" spans="1:29" x14ac:dyDescent="0.2">
      <c r="A424" t="s">
        <v>191</v>
      </c>
      <c r="B424" s="2">
        <v>36</v>
      </c>
      <c r="C424" t="s">
        <v>46</v>
      </c>
      <c r="D424" s="2" t="s">
        <v>33</v>
      </c>
      <c r="E424" s="2">
        <v>22</v>
      </c>
      <c r="F424" s="2">
        <v>5</v>
      </c>
      <c r="G424" s="2">
        <v>545</v>
      </c>
      <c r="H424" s="2">
        <v>0.39900000000000002</v>
      </c>
      <c r="I424" s="2">
        <v>12.9</v>
      </c>
      <c r="J424" s="2">
        <v>0.624</v>
      </c>
      <c r="K424" s="2">
        <v>0.315</v>
      </c>
      <c r="L424" s="2">
        <v>0.16900000000000001</v>
      </c>
      <c r="M424" s="2">
        <v>7.4999999999999997E-2</v>
      </c>
      <c r="N424" s="2">
        <v>6.6000000000000003E-2</v>
      </c>
      <c r="O424" s="2">
        <v>0.376</v>
      </c>
      <c r="P424" s="2">
        <v>0.42899999999999999</v>
      </c>
      <c r="Q424" s="2">
        <v>0.58199999999999996</v>
      </c>
      <c r="R424" s="2">
        <v>0.33300000000000002</v>
      </c>
      <c r="S424" s="2">
        <v>0.125</v>
      </c>
      <c r="T424" s="2">
        <v>0.28599999999999998</v>
      </c>
      <c r="U424" s="2">
        <v>0.35</v>
      </c>
      <c r="V424" s="2">
        <v>0.29799999999999999</v>
      </c>
      <c r="W424" s="2">
        <v>0.78600000000000003</v>
      </c>
      <c r="X424" s="2">
        <v>3.7999999999999999E-2</v>
      </c>
      <c r="Y424" s="2">
        <v>7</v>
      </c>
      <c r="Z424" s="2">
        <v>0.28799999999999998</v>
      </c>
      <c r="AA424" s="2">
        <v>0.56499999999999995</v>
      </c>
      <c r="AB424" s="2">
        <v>0</v>
      </c>
      <c r="AC424" s="2">
        <v>0</v>
      </c>
    </row>
    <row r="425" spans="1:29" x14ac:dyDescent="0.2">
      <c r="A425" t="s">
        <v>318</v>
      </c>
      <c r="B425" s="2">
        <v>22</v>
      </c>
      <c r="C425" t="s">
        <v>54</v>
      </c>
      <c r="D425" s="2" t="s">
        <v>49</v>
      </c>
      <c r="E425" s="2">
        <v>19</v>
      </c>
      <c r="F425" s="2">
        <v>9</v>
      </c>
      <c r="G425" s="2">
        <v>339</v>
      </c>
      <c r="H425" s="2">
        <v>0.40899999999999997</v>
      </c>
      <c r="I425" s="2">
        <v>17.7</v>
      </c>
      <c r="J425" s="2">
        <v>0.35499999999999998</v>
      </c>
      <c r="K425" s="2">
        <v>0.14499999999999999</v>
      </c>
      <c r="L425" s="2">
        <v>0.13600000000000001</v>
      </c>
      <c r="M425" s="2">
        <v>5.5E-2</v>
      </c>
      <c r="N425" s="2">
        <v>1.7999999999999999E-2</v>
      </c>
      <c r="O425" s="2">
        <v>0.64500000000000002</v>
      </c>
      <c r="P425" s="2">
        <v>0.59</v>
      </c>
      <c r="Q425" s="2">
        <v>0.81299999999999994</v>
      </c>
      <c r="R425" s="2">
        <v>0.53300000000000003</v>
      </c>
      <c r="S425" s="2">
        <v>0.16700000000000001</v>
      </c>
      <c r="T425" s="2">
        <v>0.5</v>
      </c>
      <c r="U425" s="2">
        <v>0.31</v>
      </c>
      <c r="V425" s="2">
        <v>0.69599999999999995</v>
      </c>
      <c r="W425" s="2">
        <v>1</v>
      </c>
      <c r="X425" s="2">
        <v>6.4000000000000001E-2</v>
      </c>
      <c r="Y425" s="2">
        <v>7</v>
      </c>
      <c r="Z425" s="2">
        <v>0.53500000000000003</v>
      </c>
      <c r="AA425" s="2">
        <v>0.316</v>
      </c>
      <c r="AB425" s="2">
        <v>0</v>
      </c>
      <c r="AC425" s="2">
        <v>0</v>
      </c>
    </row>
    <row r="426" spans="1:29" x14ac:dyDescent="0.2">
      <c r="A426" t="s">
        <v>439</v>
      </c>
      <c r="B426" s="2">
        <v>22</v>
      </c>
      <c r="C426" t="s">
        <v>35</v>
      </c>
      <c r="D426" s="2" t="s">
        <v>33</v>
      </c>
      <c r="E426" s="2">
        <v>11</v>
      </c>
      <c r="F426" s="2">
        <v>1</v>
      </c>
      <c r="G426" s="2">
        <v>72</v>
      </c>
      <c r="H426" s="2">
        <v>0.4</v>
      </c>
      <c r="I426" s="2">
        <v>16</v>
      </c>
      <c r="J426" s="2">
        <v>0.52</v>
      </c>
      <c r="K426" s="2">
        <v>0.08</v>
      </c>
      <c r="L426" s="2">
        <v>0.28000000000000003</v>
      </c>
      <c r="M426" s="2">
        <v>0.12</v>
      </c>
      <c r="N426" s="2">
        <v>0.04</v>
      </c>
      <c r="O426" s="2">
        <v>0.48</v>
      </c>
      <c r="P426" s="2">
        <v>0.308</v>
      </c>
      <c r="Q426" s="2">
        <v>0.5</v>
      </c>
      <c r="R426" s="2">
        <v>0.42899999999999999</v>
      </c>
      <c r="S426" s="2">
        <v>0</v>
      </c>
      <c r="T426" s="2">
        <v>0</v>
      </c>
      <c r="U426" s="2">
        <v>0.5</v>
      </c>
      <c r="V426" s="2">
        <v>0</v>
      </c>
      <c r="W426" s="2">
        <v>0.83299999999999996</v>
      </c>
      <c r="X426" s="2">
        <v>0</v>
      </c>
      <c r="Y426" s="2">
        <v>0</v>
      </c>
      <c r="Z426" s="2">
        <v>0.41699999999999998</v>
      </c>
      <c r="AA426" s="2">
        <v>0.4</v>
      </c>
      <c r="AB426" s="2">
        <v>0</v>
      </c>
      <c r="AC426" s="2">
        <v>0</v>
      </c>
    </row>
    <row r="427" spans="1:29" x14ac:dyDescent="0.2">
      <c r="A427" t="s">
        <v>262</v>
      </c>
      <c r="B427" s="2">
        <v>27</v>
      </c>
      <c r="C427" t="s">
        <v>39</v>
      </c>
      <c r="D427" s="2" t="s">
        <v>27</v>
      </c>
      <c r="E427" s="2">
        <v>20</v>
      </c>
      <c r="F427" s="2">
        <v>2</v>
      </c>
      <c r="G427" s="2">
        <v>443</v>
      </c>
      <c r="H427" s="2">
        <v>0.44</v>
      </c>
      <c r="I427" s="2">
        <v>22.2</v>
      </c>
      <c r="J427" s="2">
        <v>0.17</v>
      </c>
      <c r="K427" s="2">
        <v>7.8E-2</v>
      </c>
      <c r="L427" s="2">
        <v>3.5000000000000003E-2</v>
      </c>
      <c r="M427" s="2">
        <v>4.2999999999999997E-2</v>
      </c>
      <c r="N427" s="2">
        <v>1.4E-2</v>
      </c>
      <c r="O427" s="2">
        <v>0.83</v>
      </c>
      <c r="P427" s="2">
        <v>0.79200000000000004</v>
      </c>
      <c r="Q427" s="2">
        <v>0.81799999999999995</v>
      </c>
      <c r="R427" s="2">
        <v>0.4</v>
      </c>
      <c r="S427" s="2">
        <v>1</v>
      </c>
      <c r="T427" s="2">
        <v>1</v>
      </c>
      <c r="U427" s="2">
        <v>0.36799999999999999</v>
      </c>
      <c r="V427" s="2">
        <v>0.78900000000000003</v>
      </c>
      <c r="W427" s="2">
        <v>0.95299999999999996</v>
      </c>
      <c r="X427" s="2">
        <v>7.0000000000000001E-3</v>
      </c>
      <c r="Y427" s="2">
        <v>1</v>
      </c>
      <c r="Z427" s="2">
        <v>0.316</v>
      </c>
      <c r="AA427" s="2">
        <v>0.40500000000000003</v>
      </c>
      <c r="AB427" s="2">
        <v>0</v>
      </c>
      <c r="AC427" s="2">
        <v>0</v>
      </c>
    </row>
    <row r="428" spans="1:29" x14ac:dyDescent="0.2">
      <c r="A428" t="s">
        <v>281</v>
      </c>
      <c r="B428" s="2">
        <v>28</v>
      </c>
      <c r="C428" t="s">
        <v>57</v>
      </c>
      <c r="D428" s="2" t="s">
        <v>52</v>
      </c>
      <c r="E428" s="2">
        <v>21</v>
      </c>
      <c r="F428" s="2">
        <v>1</v>
      </c>
      <c r="G428" s="2">
        <v>417</v>
      </c>
      <c r="H428" s="2">
        <v>0.39700000000000002</v>
      </c>
      <c r="I428" s="2">
        <v>22.7</v>
      </c>
      <c r="J428" s="2">
        <v>0.13500000000000001</v>
      </c>
      <c r="K428" s="2">
        <v>9.5000000000000001E-2</v>
      </c>
      <c r="L428" s="2">
        <v>1.6E-2</v>
      </c>
      <c r="M428" s="2">
        <v>0</v>
      </c>
      <c r="N428" s="2">
        <v>2.4E-2</v>
      </c>
      <c r="O428" s="2">
        <v>0.86499999999999999</v>
      </c>
      <c r="P428" s="2">
        <v>0.70599999999999996</v>
      </c>
      <c r="Q428" s="2">
        <v>0.83299999999999996</v>
      </c>
      <c r="R428" s="2">
        <v>0</v>
      </c>
      <c r="S428" s="2"/>
      <c r="T428" s="2">
        <v>0.66700000000000004</v>
      </c>
      <c r="U428" s="2">
        <v>0.34899999999999998</v>
      </c>
      <c r="V428" s="2">
        <v>0.83299999999999996</v>
      </c>
      <c r="W428" s="2">
        <v>1</v>
      </c>
      <c r="X428" s="2">
        <v>0</v>
      </c>
      <c r="Y428" s="2">
        <v>0</v>
      </c>
      <c r="Z428" s="2">
        <v>0.20200000000000001</v>
      </c>
      <c r="AA428" s="2">
        <v>0.27300000000000002</v>
      </c>
      <c r="AB428" s="2">
        <v>0</v>
      </c>
      <c r="AC428" s="2">
        <v>0</v>
      </c>
    </row>
    <row r="429" spans="1:29" x14ac:dyDescent="0.2">
      <c r="A429" t="s">
        <v>360</v>
      </c>
      <c r="B429" s="2">
        <v>25</v>
      </c>
      <c r="C429" t="s">
        <v>93</v>
      </c>
      <c r="D429" s="2" t="s">
        <v>27</v>
      </c>
      <c r="E429" s="2">
        <v>17</v>
      </c>
      <c r="F429" s="2">
        <v>0</v>
      </c>
      <c r="G429" s="2">
        <v>160</v>
      </c>
      <c r="H429" s="2">
        <v>0.56899999999999995</v>
      </c>
      <c r="I429" s="2">
        <v>18.399999999999999</v>
      </c>
      <c r="J429" s="2">
        <v>0.314</v>
      </c>
      <c r="K429" s="2">
        <v>0.157</v>
      </c>
      <c r="L429" s="2">
        <v>0.11799999999999999</v>
      </c>
      <c r="M429" s="2">
        <v>3.9E-2</v>
      </c>
      <c r="N429" s="2">
        <v>0</v>
      </c>
      <c r="O429" s="2">
        <v>0.68600000000000005</v>
      </c>
      <c r="P429" s="2">
        <v>0.81299999999999994</v>
      </c>
      <c r="Q429" s="2">
        <v>0.875</v>
      </c>
      <c r="R429" s="2">
        <v>0.66700000000000004</v>
      </c>
      <c r="S429" s="2">
        <v>1</v>
      </c>
      <c r="T429" s="2"/>
      <c r="U429" s="2">
        <v>0.45700000000000002</v>
      </c>
      <c r="V429" s="2">
        <v>0.84599999999999997</v>
      </c>
      <c r="W429" s="2">
        <v>1</v>
      </c>
      <c r="X429" s="2">
        <v>7.8E-2</v>
      </c>
      <c r="Y429" s="2">
        <v>4</v>
      </c>
      <c r="Z429" s="2">
        <v>0.25700000000000001</v>
      </c>
      <c r="AA429" s="2">
        <v>0.33300000000000002</v>
      </c>
      <c r="AB429" s="2">
        <v>0</v>
      </c>
      <c r="AC429" s="2">
        <v>0</v>
      </c>
    </row>
    <row r="430" spans="1:29" x14ac:dyDescent="0.2">
      <c r="A430" t="s">
        <v>145</v>
      </c>
      <c r="B430" s="2">
        <v>24</v>
      </c>
      <c r="C430" t="s">
        <v>80</v>
      </c>
      <c r="D430" s="2" t="s">
        <v>27</v>
      </c>
      <c r="E430" s="2">
        <v>25</v>
      </c>
      <c r="F430" s="2">
        <v>11</v>
      </c>
      <c r="G430" s="2">
        <v>672</v>
      </c>
      <c r="H430" s="2">
        <v>0.52500000000000002</v>
      </c>
      <c r="I430" s="2">
        <v>12.9</v>
      </c>
      <c r="J430" s="2">
        <v>0.59199999999999997</v>
      </c>
      <c r="K430" s="2">
        <v>0.28999999999999998</v>
      </c>
      <c r="L430" s="2">
        <v>0.23899999999999999</v>
      </c>
      <c r="M430" s="2">
        <v>4.2999999999999997E-2</v>
      </c>
      <c r="N430" s="2">
        <v>0.02</v>
      </c>
      <c r="O430" s="2">
        <v>0.40799999999999997</v>
      </c>
      <c r="P430" s="2">
        <v>0.629</v>
      </c>
      <c r="Q430" s="2">
        <v>0.82399999999999995</v>
      </c>
      <c r="R430" s="2">
        <v>0.49199999999999999</v>
      </c>
      <c r="S430" s="2">
        <v>0.36399999999999999</v>
      </c>
      <c r="T430" s="2">
        <v>0</v>
      </c>
      <c r="U430" s="2">
        <v>0.375</v>
      </c>
      <c r="V430" s="2">
        <v>0.67400000000000004</v>
      </c>
      <c r="W430" s="2">
        <v>0.97399999999999998</v>
      </c>
      <c r="X430" s="2">
        <v>0.11799999999999999</v>
      </c>
      <c r="Y430" s="2">
        <v>30</v>
      </c>
      <c r="Z430" s="2">
        <v>0.26900000000000002</v>
      </c>
      <c r="AA430" s="2">
        <v>0.42899999999999999</v>
      </c>
      <c r="AB430" s="2">
        <v>0</v>
      </c>
      <c r="AC430" s="2">
        <v>0</v>
      </c>
    </row>
    <row r="431" spans="1:29" x14ac:dyDescent="0.2">
      <c r="A431" t="s">
        <v>231</v>
      </c>
      <c r="B431" s="2">
        <v>20</v>
      </c>
      <c r="C431" t="s">
        <v>135</v>
      </c>
      <c r="D431" s="2" t="s">
        <v>33</v>
      </c>
      <c r="E431" s="2">
        <v>17</v>
      </c>
      <c r="F431" s="2">
        <v>3</v>
      </c>
      <c r="G431" s="2">
        <v>445</v>
      </c>
      <c r="H431" s="2">
        <v>0.41899999999999998</v>
      </c>
      <c r="I431" s="2">
        <v>12.1</v>
      </c>
      <c r="J431" s="2">
        <v>0.69199999999999995</v>
      </c>
      <c r="K431" s="2">
        <v>0.378</v>
      </c>
      <c r="L431" s="2">
        <v>0.186</v>
      </c>
      <c r="M431" s="2">
        <v>7.5999999999999998E-2</v>
      </c>
      <c r="N431" s="2">
        <v>5.1999999999999998E-2</v>
      </c>
      <c r="O431" s="2">
        <v>0.308</v>
      </c>
      <c r="P431" s="2">
        <v>0.46200000000000002</v>
      </c>
      <c r="Q431" s="2">
        <v>0.55400000000000005</v>
      </c>
      <c r="R431" s="2">
        <v>0.25</v>
      </c>
      <c r="S431" s="2">
        <v>0.61499999999999999</v>
      </c>
      <c r="T431" s="2">
        <v>0.33300000000000002</v>
      </c>
      <c r="U431" s="2">
        <v>0.32100000000000001</v>
      </c>
      <c r="V431" s="2">
        <v>0.23599999999999999</v>
      </c>
      <c r="W431" s="2">
        <v>0.82399999999999995</v>
      </c>
      <c r="X431" s="2">
        <v>1.7000000000000001E-2</v>
      </c>
      <c r="Y431" s="2">
        <v>2</v>
      </c>
      <c r="Z431" s="2">
        <v>0.17</v>
      </c>
      <c r="AA431" s="2">
        <v>0.44400000000000001</v>
      </c>
      <c r="AB431" s="2">
        <v>3</v>
      </c>
      <c r="AC431" s="2">
        <v>1</v>
      </c>
    </row>
    <row r="432" spans="1:29" x14ac:dyDescent="0.2">
      <c r="A432" t="s">
        <v>167</v>
      </c>
      <c r="B432" s="2">
        <v>23</v>
      </c>
      <c r="C432" t="s">
        <v>66</v>
      </c>
      <c r="D432" s="2" t="s">
        <v>27</v>
      </c>
      <c r="E432" s="2">
        <v>14</v>
      </c>
      <c r="F432" s="2">
        <v>14</v>
      </c>
      <c r="G432" s="2">
        <v>465</v>
      </c>
      <c r="H432" s="2">
        <v>0.46100000000000002</v>
      </c>
      <c r="I432" s="2">
        <v>14.4</v>
      </c>
      <c r="J432" s="2">
        <v>0.63500000000000001</v>
      </c>
      <c r="K432" s="2">
        <v>0.17799999999999999</v>
      </c>
      <c r="L432" s="2">
        <v>0.26100000000000001</v>
      </c>
      <c r="M432" s="2">
        <v>0.109</v>
      </c>
      <c r="N432" s="2">
        <v>8.6999999999999994E-2</v>
      </c>
      <c r="O432" s="2">
        <v>0.36499999999999999</v>
      </c>
      <c r="P432" s="2">
        <v>0.54800000000000004</v>
      </c>
      <c r="Q432" s="2">
        <v>0.73199999999999998</v>
      </c>
      <c r="R432" s="2">
        <v>0.5</v>
      </c>
      <c r="S432" s="2">
        <v>0.56000000000000005</v>
      </c>
      <c r="T432" s="2">
        <v>0.3</v>
      </c>
      <c r="U432" s="2">
        <v>0.31</v>
      </c>
      <c r="V432" s="2">
        <v>0.42499999999999999</v>
      </c>
      <c r="W432" s="2">
        <v>0.76900000000000002</v>
      </c>
      <c r="X432" s="2">
        <v>5.1999999999999998E-2</v>
      </c>
      <c r="Y432" s="2">
        <v>10</v>
      </c>
      <c r="Z432" s="2">
        <v>0.107</v>
      </c>
      <c r="AA432" s="2">
        <v>0.222</v>
      </c>
      <c r="AB432" s="2">
        <v>1</v>
      </c>
      <c r="AC432" s="2">
        <v>0</v>
      </c>
    </row>
    <row r="433" spans="1:29" x14ac:dyDescent="0.2">
      <c r="A433" t="s">
        <v>181</v>
      </c>
      <c r="B433" s="2">
        <v>24</v>
      </c>
      <c r="C433" t="s">
        <v>80</v>
      </c>
      <c r="D433" s="2" t="s">
        <v>33</v>
      </c>
      <c r="E433" s="2">
        <v>25</v>
      </c>
      <c r="F433" s="2">
        <v>10</v>
      </c>
      <c r="G433" s="2">
        <v>583</v>
      </c>
      <c r="H433" s="2">
        <v>0.47199999999999998</v>
      </c>
      <c r="I433" s="2">
        <v>11.6</v>
      </c>
      <c r="J433" s="2">
        <v>0.67</v>
      </c>
      <c r="K433" s="2">
        <v>0.30299999999999999</v>
      </c>
      <c r="L433" s="2">
        <v>0.30299999999999999</v>
      </c>
      <c r="M433" s="2">
        <v>5.5E-2</v>
      </c>
      <c r="N433" s="2">
        <v>8.9999999999999993E-3</v>
      </c>
      <c r="O433" s="2">
        <v>0.33</v>
      </c>
      <c r="P433" s="2">
        <v>0.54100000000000004</v>
      </c>
      <c r="Q433" s="2">
        <v>0.69699999999999995</v>
      </c>
      <c r="R433" s="2">
        <v>0.439</v>
      </c>
      <c r="S433" s="2">
        <v>0.25</v>
      </c>
      <c r="T433" s="2">
        <v>0.5</v>
      </c>
      <c r="U433" s="2">
        <v>0.33300000000000002</v>
      </c>
      <c r="V433" s="2">
        <v>0.49399999999999999</v>
      </c>
      <c r="W433" s="2">
        <v>1</v>
      </c>
      <c r="X433" s="2">
        <v>1.7999999999999999E-2</v>
      </c>
      <c r="Y433" s="2">
        <v>3</v>
      </c>
      <c r="Z433" s="2">
        <v>0.16700000000000001</v>
      </c>
      <c r="AA433" s="2">
        <v>0.33300000000000002</v>
      </c>
      <c r="AB433" s="2">
        <v>1</v>
      </c>
      <c r="AC433" s="2">
        <v>0</v>
      </c>
    </row>
    <row r="434" spans="1:29" x14ac:dyDescent="0.2">
      <c r="A434" t="s">
        <v>323</v>
      </c>
      <c r="B434" s="2">
        <v>34</v>
      </c>
      <c r="C434" t="s">
        <v>59</v>
      </c>
      <c r="D434" s="2" t="s">
        <v>52</v>
      </c>
      <c r="E434" s="2">
        <v>23</v>
      </c>
      <c r="F434" s="2">
        <v>4</v>
      </c>
      <c r="G434" s="2">
        <v>285</v>
      </c>
      <c r="H434" s="2">
        <v>0.47699999999999998</v>
      </c>
      <c r="I434" s="2">
        <v>19</v>
      </c>
      <c r="J434" s="2">
        <v>0.47699999999999998</v>
      </c>
      <c r="K434" s="2">
        <v>3.5000000000000003E-2</v>
      </c>
      <c r="L434" s="2">
        <v>0.11600000000000001</v>
      </c>
      <c r="M434" s="2">
        <v>0.14000000000000001</v>
      </c>
      <c r="N434" s="2">
        <v>0.186</v>
      </c>
      <c r="O434" s="2">
        <v>0.52300000000000002</v>
      </c>
      <c r="P434" s="2">
        <v>0.51200000000000001</v>
      </c>
      <c r="Q434" s="2">
        <v>0.66700000000000004</v>
      </c>
      <c r="R434" s="2">
        <v>0.4</v>
      </c>
      <c r="S434" s="2">
        <v>0.41699999999999998</v>
      </c>
      <c r="T434" s="2">
        <v>0.625</v>
      </c>
      <c r="U434" s="2">
        <v>0.44400000000000001</v>
      </c>
      <c r="V434" s="2">
        <v>0.66700000000000004</v>
      </c>
      <c r="W434" s="2">
        <v>0.75</v>
      </c>
      <c r="X434" s="2">
        <v>0</v>
      </c>
      <c r="Y434" s="2">
        <v>0</v>
      </c>
      <c r="Z434" s="2">
        <v>0.42199999999999999</v>
      </c>
      <c r="AA434" s="2">
        <v>0.47399999999999998</v>
      </c>
      <c r="AB434" s="2">
        <v>0</v>
      </c>
      <c r="AC434" s="2">
        <v>0</v>
      </c>
    </row>
    <row r="435" spans="1:29" x14ac:dyDescent="0.2">
      <c r="A435" t="s">
        <v>174</v>
      </c>
      <c r="B435" s="2">
        <v>21</v>
      </c>
      <c r="C435" t="s">
        <v>135</v>
      </c>
      <c r="D435" s="2" t="s">
        <v>52</v>
      </c>
      <c r="E435" s="2">
        <v>16</v>
      </c>
      <c r="F435" s="2">
        <v>14</v>
      </c>
      <c r="G435" s="2">
        <v>489</v>
      </c>
      <c r="H435" s="2">
        <v>0.432</v>
      </c>
      <c r="I435" s="2">
        <v>15.7</v>
      </c>
      <c r="J435" s="2">
        <v>0.56799999999999995</v>
      </c>
      <c r="K435" s="2">
        <v>0.23599999999999999</v>
      </c>
      <c r="L435" s="2">
        <v>0.13100000000000001</v>
      </c>
      <c r="M435" s="2">
        <v>0.109</v>
      </c>
      <c r="N435" s="2">
        <v>9.1999999999999998E-2</v>
      </c>
      <c r="O435" s="2">
        <v>0.432</v>
      </c>
      <c r="P435" s="2">
        <v>0.54600000000000004</v>
      </c>
      <c r="Q435" s="2">
        <v>0.75900000000000001</v>
      </c>
      <c r="R435" s="2">
        <v>0.3</v>
      </c>
      <c r="S435" s="2">
        <v>0.44</v>
      </c>
      <c r="T435" s="2">
        <v>0.47599999999999998</v>
      </c>
      <c r="U435" s="2">
        <v>0.28299999999999997</v>
      </c>
      <c r="V435" s="2">
        <v>0.38</v>
      </c>
      <c r="W435" s="2">
        <v>0.75</v>
      </c>
      <c r="X435" s="2">
        <v>7.0000000000000007E-2</v>
      </c>
      <c r="Y435" s="2">
        <v>14</v>
      </c>
      <c r="Z435" s="2">
        <v>0.182</v>
      </c>
      <c r="AA435" s="2">
        <v>0.222</v>
      </c>
      <c r="AB435" s="2">
        <v>1</v>
      </c>
      <c r="AC435" s="2">
        <v>0</v>
      </c>
    </row>
    <row r="436" spans="1:29" x14ac:dyDescent="0.2">
      <c r="A436" t="s">
        <v>31</v>
      </c>
      <c r="B436" s="2">
        <v>26</v>
      </c>
      <c r="C436" t="s">
        <v>32</v>
      </c>
      <c r="D436" s="2" t="s">
        <v>33</v>
      </c>
      <c r="E436" s="2">
        <v>24</v>
      </c>
      <c r="F436" s="2">
        <v>24</v>
      </c>
      <c r="G436" s="2">
        <v>823</v>
      </c>
      <c r="H436" s="2">
        <v>0.51500000000000001</v>
      </c>
      <c r="I436" s="2">
        <v>13.2</v>
      </c>
      <c r="J436" s="2">
        <v>0.69699999999999995</v>
      </c>
      <c r="K436" s="2">
        <v>0.23200000000000001</v>
      </c>
      <c r="L436" s="2">
        <v>0.218</v>
      </c>
      <c r="M436" s="2">
        <v>0.17199999999999999</v>
      </c>
      <c r="N436" s="2">
        <v>7.4999999999999997E-2</v>
      </c>
      <c r="O436" s="2">
        <v>0.30299999999999999</v>
      </c>
      <c r="P436" s="2">
        <v>0.59099999999999997</v>
      </c>
      <c r="Q436" s="2">
        <v>0.77400000000000002</v>
      </c>
      <c r="R436" s="2">
        <v>0.47199999999999998</v>
      </c>
      <c r="S436" s="2">
        <v>0.56499999999999995</v>
      </c>
      <c r="T436" s="2">
        <v>0.432</v>
      </c>
      <c r="U436" s="2">
        <v>0.34</v>
      </c>
      <c r="V436" s="2">
        <v>0.221</v>
      </c>
      <c r="W436" s="2">
        <v>0.29399999999999998</v>
      </c>
      <c r="X436" s="2">
        <v>1.6E-2</v>
      </c>
      <c r="Y436" s="2">
        <v>8</v>
      </c>
      <c r="Z436" s="2">
        <v>4.7E-2</v>
      </c>
      <c r="AA436" s="2">
        <v>0.42899999999999999</v>
      </c>
      <c r="AB436" s="2">
        <v>0</v>
      </c>
      <c r="AC436" s="2">
        <v>0</v>
      </c>
    </row>
    <row r="437" spans="1:29" x14ac:dyDescent="0.2">
      <c r="A437" t="s">
        <v>316</v>
      </c>
      <c r="B437" s="2">
        <v>28</v>
      </c>
      <c r="C437" t="s">
        <v>103</v>
      </c>
      <c r="D437" s="2" t="s">
        <v>52</v>
      </c>
      <c r="E437" s="2">
        <v>20</v>
      </c>
      <c r="F437" s="2">
        <v>0</v>
      </c>
      <c r="G437" s="2">
        <v>327</v>
      </c>
      <c r="H437" s="2">
        <v>0.47299999999999998</v>
      </c>
      <c r="I437" s="2">
        <v>15.7</v>
      </c>
      <c r="J437" s="2">
        <v>0.51600000000000001</v>
      </c>
      <c r="K437" s="2">
        <v>0.17199999999999999</v>
      </c>
      <c r="L437" s="2">
        <v>0.215</v>
      </c>
      <c r="M437" s="2">
        <v>0.108</v>
      </c>
      <c r="N437" s="2">
        <v>2.1999999999999999E-2</v>
      </c>
      <c r="O437" s="2">
        <v>0.48399999999999999</v>
      </c>
      <c r="P437" s="2">
        <v>0.52100000000000002</v>
      </c>
      <c r="Q437" s="2">
        <v>0.56299999999999994</v>
      </c>
      <c r="R437" s="2">
        <v>0.45</v>
      </c>
      <c r="S437" s="2">
        <v>0.5</v>
      </c>
      <c r="T437" s="2">
        <v>1</v>
      </c>
      <c r="U437" s="2">
        <v>0.42199999999999999</v>
      </c>
      <c r="V437" s="2">
        <v>0.2</v>
      </c>
      <c r="W437" s="2">
        <v>1</v>
      </c>
      <c r="X437" s="2">
        <v>0</v>
      </c>
      <c r="Y437" s="2">
        <v>0</v>
      </c>
      <c r="Z437" s="2">
        <v>0.311</v>
      </c>
      <c r="AA437" s="2">
        <v>0.28599999999999998</v>
      </c>
      <c r="AB437" s="2">
        <v>1</v>
      </c>
      <c r="AC437" s="2">
        <v>0</v>
      </c>
    </row>
    <row r="438" spans="1:29" x14ac:dyDescent="0.2">
      <c r="A438" t="s">
        <v>517</v>
      </c>
      <c r="B438" s="2">
        <v>20</v>
      </c>
      <c r="C438" t="s">
        <v>93</v>
      </c>
      <c r="D438" s="2" t="s">
        <v>49</v>
      </c>
      <c r="E438" s="2">
        <v>10</v>
      </c>
      <c r="F438" s="2">
        <v>0</v>
      </c>
      <c r="G438" s="2">
        <v>30</v>
      </c>
      <c r="H438" s="2">
        <v>0.28599999999999998</v>
      </c>
      <c r="I438" s="2">
        <v>11.8</v>
      </c>
      <c r="J438" s="2">
        <v>0.71399999999999997</v>
      </c>
      <c r="K438" s="2">
        <v>0.28599999999999998</v>
      </c>
      <c r="L438" s="2">
        <v>0.28599999999999998</v>
      </c>
      <c r="M438" s="2">
        <v>0</v>
      </c>
      <c r="N438" s="2">
        <v>0.14299999999999999</v>
      </c>
      <c r="O438" s="2">
        <v>0.28599999999999998</v>
      </c>
      <c r="P438" s="2">
        <v>0.2</v>
      </c>
      <c r="Q438" s="2">
        <v>0.5</v>
      </c>
      <c r="R438" s="2">
        <v>0</v>
      </c>
      <c r="S438" s="2"/>
      <c r="T438" s="2">
        <v>0</v>
      </c>
      <c r="U438" s="2">
        <v>0.5</v>
      </c>
      <c r="V438" s="2">
        <v>0</v>
      </c>
      <c r="W438" s="2">
        <v>1</v>
      </c>
      <c r="X438" s="2">
        <v>0</v>
      </c>
      <c r="Y438" s="2">
        <v>0</v>
      </c>
      <c r="Z438" s="2">
        <v>0</v>
      </c>
      <c r="AA438" s="2"/>
      <c r="AB438" s="2">
        <v>0</v>
      </c>
      <c r="AC438" s="2">
        <v>0</v>
      </c>
    </row>
    <row r="439" spans="1:29" x14ac:dyDescent="0.2">
      <c r="A439" t="s">
        <v>278</v>
      </c>
      <c r="B439" s="2">
        <v>29</v>
      </c>
      <c r="C439" t="s">
        <v>75</v>
      </c>
      <c r="D439" s="2" t="s">
        <v>49</v>
      </c>
      <c r="E439" s="2">
        <v>24</v>
      </c>
      <c r="F439" s="2">
        <v>0</v>
      </c>
      <c r="G439" s="2">
        <v>432</v>
      </c>
      <c r="H439" s="2">
        <v>0.39500000000000002</v>
      </c>
      <c r="I439" s="2">
        <v>19.600000000000001</v>
      </c>
      <c r="J439" s="2">
        <v>0.32300000000000001</v>
      </c>
      <c r="K439" s="2">
        <v>0.121</v>
      </c>
      <c r="L439" s="2">
        <v>0.121</v>
      </c>
      <c r="M439" s="2">
        <v>3.2000000000000001E-2</v>
      </c>
      <c r="N439" s="2">
        <v>4.8000000000000001E-2</v>
      </c>
      <c r="O439" s="2">
        <v>0.67700000000000005</v>
      </c>
      <c r="P439" s="2">
        <v>0.5</v>
      </c>
      <c r="Q439" s="2">
        <v>0.6</v>
      </c>
      <c r="R439" s="2">
        <v>0.33300000000000002</v>
      </c>
      <c r="S439" s="2">
        <v>0.75</v>
      </c>
      <c r="T439" s="2">
        <v>0.5</v>
      </c>
      <c r="U439" s="2">
        <v>0.34499999999999997</v>
      </c>
      <c r="V439" s="2">
        <v>0.7</v>
      </c>
      <c r="W439" s="2">
        <v>1</v>
      </c>
      <c r="X439" s="2">
        <v>1.6E-2</v>
      </c>
      <c r="Y439" s="2">
        <v>2</v>
      </c>
      <c r="Z439" s="2">
        <v>0.29799999999999999</v>
      </c>
      <c r="AA439" s="2">
        <v>0.2</v>
      </c>
      <c r="AB439" s="2">
        <v>2</v>
      </c>
      <c r="AC439" s="2">
        <v>0</v>
      </c>
    </row>
    <row r="440" spans="1:29" x14ac:dyDescent="0.2">
      <c r="A440" t="s">
        <v>243</v>
      </c>
      <c r="B440" s="2">
        <v>31</v>
      </c>
      <c r="C440" t="s">
        <v>63</v>
      </c>
      <c r="D440" s="2" t="s">
        <v>33</v>
      </c>
      <c r="E440" s="2">
        <v>23</v>
      </c>
      <c r="F440" s="2">
        <v>0</v>
      </c>
      <c r="G440" s="2">
        <v>492</v>
      </c>
      <c r="H440" s="2">
        <v>0.40100000000000002</v>
      </c>
      <c r="I440" s="2">
        <v>18.3</v>
      </c>
      <c r="J440" s="2">
        <v>0.38700000000000001</v>
      </c>
      <c r="K440" s="2">
        <v>0.109</v>
      </c>
      <c r="L440" s="2">
        <v>0.182</v>
      </c>
      <c r="M440" s="2">
        <v>5.8000000000000003E-2</v>
      </c>
      <c r="N440" s="2">
        <v>3.5999999999999997E-2</v>
      </c>
      <c r="O440" s="2">
        <v>0.61299999999999999</v>
      </c>
      <c r="P440" s="2">
        <v>0.434</v>
      </c>
      <c r="Q440" s="2">
        <v>0.6</v>
      </c>
      <c r="R440" s="2">
        <v>0.36</v>
      </c>
      <c r="S440" s="2">
        <v>0.25</v>
      </c>
      <c r="T440" s="2">
        <v>0.6</v>
      </c>
      <c r="U440" s="2">
        <v>0.38100000000000001</v>
      </c>
      <c r="V440" s="2">
        <v>0.39100000000000001</v>
      </c>
      <c r="W440" s="2">
        <v>0.65600000000000003</v>
      </c>
      <c r="X440" s="2">
        <v>0</v>
      </c>
      <c r="Y440" s="2">
        <v>0</v>
      </c>
      <c r="Z440" s="2">
        <v>0.28599999999999998</v>
      </c>
      <c r="AA440" s="2">
        <v>0.45800000000000002</v>
      </c>
      <c r="AB440" s="2">
        <v>0</v>
      </c>
      <c r="AC440" s="2">
        <v>0</v>
      </c>
    </row>
    <row r="441" spans="1:29" x14ac:dyDescent="0.2">
      <c r="A441" t="s">
        <v>562</v>
      </c>
      <c r="B441" s="2">
        <v>23</v>
      </c>
      <c r="C441" t="s">
        <v>46</v>
      </c>
      <c r="D441" s="2" t="s">
        <v>49</v>
      </c>
      <c r="E441" s="2">
        <v>2</v>
      </c>
      <c r="F441" s="2">
        <v>0</v>
      </c>
      <c r="G441" s="2">
        <v>4</v>
      </c>
      <c r="H441" s="2">
        <v>0</v>
      </c>
      <c r="I441" s="2">
        <v>23.1</v>
      </c>
      <c r="J441" s="2">
        <v>0</v>
      </c>
      <c r="K441" s="2">
        <v>0</v>
      </c>
      <c r="L441" s="2">
        <v>0</v>
      </c>
      <c r="M441" s="2">
        <v>0</v>
      </c>
      <c r="N441" s="2">
        <v>0</v>
      </c>
      <c r="O441" s="2">
        <v>1</v>
      </c>
      <c r="P441" s="2"/>
      <c r="Q441" s="2"/>
      <c r="R441" s="2"/>
      <c r="S441" s="2"/>
      <c r="T441" s="2"/>
      <c r="U441" s="2">
        <v>0</v>
      </c>
      <c r="V441" s="2"/>
      <c r="W441" s="2"/>
      <c r="X441" s="2">
        <v>0</v>
      </c>
      <c r="Y441" s="2">
        <v>0</v>
      </c>
      <c r="Z441" s="2">
        <v>1</v>
      </c>
      <c r="AA441" s="2">
        <v>0</v>
      </c>
      <c r="AB441" s="2">
        <v>0</v>
      </c>
      <c r="AC441" s="2">
        <v>0</v>
      </c>
    </row>
    <row r="442" spans="1:29" x14ac:dyDescent="0.2">
      <c r="A442" t="s">
        <v>542</v>
      </c>
      <c r="B442" s="2">
        <v>25</v>
      </c>
      <c r="C442" t="s">
        <v>35</v>
      </c>
      <c r="D442" s="2" t="s">
        <v>52</v>
      </c>
      <c r="E442" s="2">
        <v>6</v>
      </c>
      <c r="F442" s="2">
        <v>0</v>
      </c>
      <c r="G442" s="2">
        <v>17</v>
      </c>
      <c r="H442" s="2">
        <v>0.33300000000000002</v>
      </c>
      <c r="I442" s="2">
        <v>24.6</v>
      </c>
      <c r="J442" s="2">
        <v>0</v>
      </c>
      <c r="K442" s="2">
        <v>0</v>
      </c>
      <c r="L442" s="2">
        <v>0</v>
      </c>
      <c r="M442" s="2">
        <v>0</v>
      </c>
      <c r="N442" s="2">
        <v>0</v>
      </c>
      <c r="O442" s="2">
        <v>1</v>
      </c>
      <c r="P442" s="2"/>
      <c r="Q442" s="2"/>
      <c r="R442" s="2"/>
      <c r="S442" s="2"/>
      <c r="T442" s="2"/>
      <c r="U442" s="2">
        <v>0.33300000000000002</v>
      </c>
      <c r="V442" s="2"/>
      <c r="W442" s="2">
        <v>1</v>
      </c>
      <c r="X442" s="2">
        <v>0</v>
      </c>
      <c r="Y442" s="2">
        <v>0</v>
      </c>
      <c r="Z442" s="2">
        <v>0.33300000000000002</v>
      </c>
      <c r="AA442" s="2">
        <v>1</v>
      </c>
      <c r="AB442" s="2">
        <v>0</v>
      </c>
      <c r="AC442" s="2">
        <v>0</v>
      </c>
    </row>
    <row r="443" spans="1:29" x14ac:dyDescent="0.2">
      <c r="A443" t="s">
        <v>99</v>
      </c>
      <c r="B443" s="2">
        <v>36</v>
      </c>
      <c r="C443" t="s">
        <v>100</v>
      </c>
      <c r="D443" s="2" t="s">
        <v>33</v>
      </c>
      <c r="E443" s="2">
        <v>19</v>
      </c>
      <c r="F443" s="2">
        <v>19</v>
      </c>
      <c r="G443" s="2">
        <v>583</v>
      </c>
      <c r="H443" s="2">
        <v>0.45100000000000001</v>
      </c>
      <c r="I443" s="2">
        <v>19.2</v>
      </c>
      <c r="J443" s="2">
        <v>0.4</v>
      </c>
      <c r="K443" s="2">
        <v>0.124</v>
      </c>
      <c r="L443" s="2">
        <v>0.152</v>
      </c>
      <c r="M443" s="2">
        <v>6.3E-2</v>
      </c>
      <c r="N443" s="2">
        <v>0.06</v>
      </c>
      <c r="O443" s="2">
        <v>0.6</v>
      </c>
      <c r="P443" s="2">
        <v>0.50800000000000001</v>
      </c>
      <c r="Q443" s="2">
        <v>0.64100000000000001</v>
      </c>
      <c r="R443" s="2">
        <v>0.41699999999999998</v>
      </c>
      <c r="S443" s="2">
        <v>0.5</v>
      </c>
      <c r="T443" s="2">
        <v>0.47399999999999998</v>
      </c>
      <c r="U443" s="2">
        <v>0.41299999999999998</v>
      </c>
      <c r="V443" s="2">
        <v>0.42199999999999999</v>
      </c>
      <c r="W443" s="2">
        <v>0.66700000000000004</v>
      </c>
      <c r="X443" s="2">
        <v>0</v>
      </c>
      <c r="Y443" s="2">
        <v>0</v>
      </c>
      <c r="Z443" s="2">
        <v>0.111</v>
      </c>
      <c r="AA443" s="2">
        <v>0.47599999999999998</v>
      </c>
      <c r="AB443" s="2">
        <v>1</v>
      </c>
      <c r="AC443" s="2">
        <v>0</v>
      </c>
    </row>
    <row r="444" spans="1:29" x14ac:dyDescent="0.2">
      <c r="A444" t="s">
        <v>163</v>
      </c>
      <c r="B444" s="2">
        <v>20</v>
      </c>
      <c r="C444" t="s">
        <v>93</v>
      </c>
      <c r="D444" s="2" t="s">
        <v>33</v>
      </c>
      <c r="E444" s="2">
        <v>24</v>
      </c>
      <c r="F444" s="2">
        <v>17</v>
      </c>
      <c r="G444" s="2">
        <v>658</v>
      </c>
      <c r="H444" s="2">
        <v>0.38600000000000001</v>
      </c>
      <c r="I444" s="2">
        <v>14.4</v>
      </c>
      <c r="J444" s="2">
        <v>0.60199999999999998</v>
      </c>
      <c r="K444" s="2">
        <v>0.27</v>
      </c>
      <c r="L444" s="2">
        <v>0.19700000000000001</v>
      </c>
      <c r="M444" s="2">
        <v>6.9000000000000006E-2</v>
      </c>
      <c r="N444" s="2">
        <v>6.6000000000000003E-2</v>
      </c>
      <c r="O444" s="2">
        <v>0.39800000000000002</v>
      </c>
      <c r="P444" s="2">
        <v>0.45500000000000002</v>
      </c>
      <c r="Q444" s="2">
        <v>0.64300000000000002</v>
      </c>
      <c r="R444" s="2">
        <v>0.314</v>
      </c>
      <c r="S444" s="2">
        <v>0.38900000000000001</v>
      </c>
      <c r="T444" s="2">
        <v>0.17599999999999999</v>
      </c>
      <c r="U444" s="2">
        <v>0.28199999999999997</v>
      </c>
      <c r="V444" s="2">
        <v>0.49299999999999999</v>
      </c>
      <c r="W444" s="2">
        <v>0.82799999999999996</v>
      </c>
      <c r="X444" s="2">
        <v>4.2000000000000003E-2</v>
      </c>
      <c r="Y444" s="2">
        <v>11</v>
      </c>
      <c r="Z444" s="2">
        <v>0.126</v>
      </c>
      <c r="AA444" s="2">
        <v>0.38500000000000001</v>
      </c>
      <c r="AB444" s="2">
        <v>3</v>
      </c>
      <c r="AC444" s="2">
        <v>0</v>
      </c>
    </row>
    <row r="445" spans="1:29" x14ac:dyDescent="0.2">
      <c r="A445" t="s">
        <v>428</v>
      </c>
      <c r="B445" s="2">
        <v>31</v>
      </c>
      <c r="C445" t="s">
        <v>87</v>
      </c>
      <c r="D445" s="2" t="s">
        <v>42</v>
      </c>
      <c r="E445" s="2">
        <v>13</v>
      </c>
      <c r="F445" s="2">
        <v>0</v>
      </c>
      <c r="G445" s="2">
        <v>144</v>
      </c>
      <c r="H445" s="2">
        <v>0.59099999999999997</v>
      </c>
      <c r="I445" s="2">
        <v>3.2</v>
      </c>
      <c r="J445" s="2">
        <v>1</v>
      </c>
      <c r="K445" s="2">
        <v>0.63600000000000001</v>
      </c>
      <c r="L445" s="2">
        <v>0.318</v>
      </c>
      <c r="M445" s="2">
        <v>4.4999999999999998E-2</v>
      </c>
      <c r="N445" s="2">
        <v>0</v>
      </c>
      <c r="O445" s="2">
        <v>0</v>
      </c>
      <c r="P445" s="2">
        <v>0.59099999999999997</v>
      </c>
      <c r="Q445" s="2">
        <v>0.64300000000000002</v>
      </c>
      <c r="R445" s="2">
        <v>0.57099999999999995</v>
      </c>
      <c r="S445" s="2">
        <v>0</v>
      </c>
      <c r="T445" s="2"/>
      <c r="U445" s="2"/>
      <c r="V445" s="2">
        <v>0.61499999999999999</v>
      </c>
      <c r="W445" s="2"/>
      <c r="X445" s="2">
        <v>9.0999999999999998E-2</v>
      </c>
      <c r="Y445" s="2">
        <v>2</v>
      </c>
      <c r="Z445" s="2"/>
      <c r="AA445" s="2"/>
      <c r="AB445" s="2">
        <v>0</v>
      </c>
      <c r="AC445" s="2">
        <v>0</v>
      </c>
    </row>
    <row r="446" spans="1:29" x14ac:dyDescent="0.2">
      <c r="A446" t="s">
        <v>441</v>
      </c>
      <c r="B446" s="2">
        <v>27</v>
      </c>
      <c r="C446" t="s">
        <v>120</v>
      </c>
      <c r="D446" s="2" t="s">
        <v>49</v>
      </c>
      <c r="E446" s="2">
        <v>6</v>
      </c>
      <c r="F446" s="2">
        <v>2</v>
      </c>
      <c r="G446" s="2">
        <v>81</v>
      </c>
      <c r="H446" s="2">
        <v>0.37</v>
      </c>
      <c r="I446" s="2">
        <v>21.9</v>
      </c>
      <c r="J446" s="2">
        <v>0.185</v>
      </c>
      <c r="K446" s="2">
        <v>0.14799999999999999</v>
      </c>
      <c r="L446" s="2">
        <v>3.6999999999999998E-2</v>
      </c>
      <c r="M446" s="2">
        <v>0</v>
      </c>
      <c r="N446" s="2">
        <v>0</v>
      </c>
      <c r="O446" s="2">
        <v>0.81499999999999995</v>
      </c>
      <c r="P446" s="2">
        <v>0.6</v>
      </c>
      <c r="Q446" s="2">
        <v>0.75</v>
      </c>
      <c r="R446" s="2">
        <v>0</v>
      </c>
      <c r="S446" s="2"/>
      <c r="T446" s="2"/>
      <c r="U446" s="2">
        <v>0.318</v>
      </c>
      <c r="V446" s="2">
        <v>0.33300000000000002</v>
      </c>
      <c r="W446" s="2">
        <v>0.85699999999999998</v>
      </c>
      <c r="X446" s="2">
        <v>3.6999999999999998E-2</v>
      </c>
      <c r="Y446" s="2">
        <v>1</v>
      </c>
      <c r="Z446" s="2">
        <v>0.182</v>
      </c>
      <c r="AA446" s="2">
        <v>0.25</v>
      </c>
      <c r="AB446" s="2">
        <v>0</v>
      </c>
      <c r="AC446" s="2">
        <v>0</v>
      </c>
    </row>
    <row r="447" spans="1:29" x14ac:dyDescent="0.2">
      <c r="A447" t="s">
        <v>178</v>
      </c>
      <c r="B447" s="2">
        <v>32</v>
      </c>
      <c r="C447" t="s">
        <v>82</v>
      </c>
      <c r="D447" s="2" t="s">
        <v>33</v>
      </c>
      <c r="E447" s="2">
        <v>24</v>
      </c>
      <c r="F447" s="2">
        <v>0</v>
      </c>
      <c r="G447" s="2">
        <v>480</v>
      </c>
      <c r="H447" s="2">
        <v>0.57699999999999996</v>
      </c>
      <c r="I447" s="2">
        <v>7.9</v>
      </c>
      <c r="J447" s="2">
        <v>0.94499999999999995</v>
      </c>
      <c r="K447" s="2">
        <v>0.32700000000000001</v>
      </c>
      <c r="L447" s="2">
        <v>0.33600000000000002</v>
      </c>
      <c r="M447" s="2">
        <v>0.24099999999999999</v>
      </c>
      <c r="N447" s="2">
        <v>4.1000000000000002E-2</v>
      </c>
      <c r="O447" s="2">
        <v>5.5E-2</v>
      </c>
      <c r="P447" s="2">
        <v>0.59599999999999997</v>
      </c>
      <c r="Q447" s="2">
        <v>0.69399999999999995</v>
      </c>
      <c r="R447" s="2">
        <v>0.58099999999999996</v>
      </c>
      <c r="S447" s="2">
        <v>0.50900000000000001</v>
      </c>
      <c r="T447" s="2">
        <v>0.44400000000000001</v>
      </c>
      <c r="U447" s="2">
        <v>0.25</v>
      </c>
      <c r="V447" s="2">
        <v>0.33100000000000002</v>
      </c>
      <c r="W447" s="2">
        <v>0.33300000000000002</v>
      </c>
      <c r="X447" s="2">
        <v>0</v>
      </c>
      <c r="Y447" s="2">
        <v>0</v>
      </c>
      <c r="Z447" s="2">
        <v>0.16700000000000001</v>
      </c>
      <c r="AA447" s="2">
        <v>0.5</v>
      </c>
      <c r="AB447" s="2">
        <v>1</v>
      </c>
      <c r="AC447" s="2">
        <v>0</v>
      </c>
    </row>
    <row r="448" spans="1:29" x14ac:dyDescent="0.2">
      <c r="A448" t="s">
        <v>422</v>
      </c>
      <c r="B448" s="2">
        <v>39</v>
      </c>
      <c r="C448" t="s">
        <v>59</v>
      </c>
      <c r="D448" s="2" t="s">
        <v>42</v>
      </c>
      <c r="E448" s="2">
        <v>13</v>
      </c>
      <c r="F448" s="2">
        <v>8</v>
      </c>
      <c r="G448" s="2">
        <v>150</v>
      </c>
      <c r="H448" s="2">
        <v>0.47099999999999997</v>
      </c>
      <c r="I448" s="2">
        <v>5.3</v>
      </c>
      <c r="J448" s="2">
        <v>0.94099999999999995</v>
      </c>
      <c r="K448" s="2">
        <v>0.5</v>
      </c>
      <c r="L448" s="2">
        <v>0.32400000000000001</v>
      </c>
      <c r="M448" s="2">
        <v>0.11799999999999999</v>
      </c>
      <c r="N448" s="2">
        <v>0</v>
      </c>
      <c r="O448" s="2">
        <v>5.8999999999999997E-2</v>
      </c>
      <c r="P448" s="2">
        <v>0.46899999999999997</v>
      </c>
      <c r="Q448" s="2">
        <v>0.70599999999999996</v>
      </c>
      <c r="R448" s="2">
        <v>0.182</v>
      </c>
      <c r="S448" s="2">
        <v>0.25</v>
      </c>
      <c r="T448" s="2"/>
      <c r="U448" s="2">
        <v>0.5</v>
      </c>
      <c r="V448" s="2">
        <v>0.66700000000000004</v>
      </c>
      <c r="W448" s="2">
        <v>1</v>
      </c>
      <c r="X448" s="2">
        <v>0.11799999999999999</v>
      </c>
      <c r="Y448" s="2">
        <v>4</v>
      </c>
      <c r="Z448" s="2">
        <v>1</v>
      </c>
      <c r="AA448" s="2">
        <v>0.5</v>
      </c>
      <c r="AB448" s="2">
        <v>0</v>
      </c>
      <c r="AC448" s="2">
        <v>0</v>
      </c>
    </row>
    <row r="449" spans="1:29" x14ac:dyDescent="0.2">
      <c r="A449" t="s">
        <v>298</v>
      </c>
      <c r="B449" s="2">
        <v>24</v>
      </c>
      <c r="C449" t="s">
        <v>70</v>
      </c>
      <c r="D449" s="2" t="s">
        <v>52</v>
      </c>
      <c r="E449" s="2">
        <v>19</v>
      </c>
      <c r="F449" s="2">
        <v>0</v>
      </c>
      <c r="G449" s="2">
        <v>208</v>
      </c>
      <c r="H449" s="2">
        <v>0.55200000000000005</v>
      </c>
      <c r="I449" s="2">
        <v>12.5</v>
      </c>
      <c r="J449" s="2">
        <v>0.57499999999999996</v>
      </c>
      <c r="K449" s="2">
        <v>0.44800000000000001</v>
      </c>
      <c r="L449" s="2">
        <v>0.10299999999999999</v>
      </c>
      <c r="M449" s="2">
        <v>2.3E-2</v>
      </c>
      <c r="N449" s="2">
        <v>0</v>
      </c>
      <c r="O449" s="2">
        <v>0.42499999999999999</v>
      </c>
      <c r="P449" s="2">
        <v>0.57999999999999996</v>
      </c>
      <c r="Q449" s="2">
        <v>0.56399999999999995</v>
      </c>
      <c r="R449" s="2">
        <v>0.55600000000000005</v>
      </c>
      <c r="S449" s="2">
        <v>1</v>
      </c>
      <c r="T449" s="2"/>
      <c r="U449" s="2">
        <v>0.51400000000000001</v>
      </c>
      <c r="V449" s="2">
        <v>0.31</v>
      </c>
      <c r="W449" s="2">
        <v>0.84199999999999997</v>
      </c>
      <c r="X449" s="2">
        <v>2.3E-2</v>
      </c>
      <c r="Y449" s="2">
        <v>2</v>
      </c>
      <c r="Z449" s="2">
        <v>0.216</v>
      </c>
      <c r="AA449" s="2">
        <v>0.625</v>
      </c>
      <c r="AB449" s="2">
        <v>0</v>
      </c>
      <c r="AC449" s="2">
        <v>0</v>
      </c>
    </row>
    <row r="450" spans="1:29" x14ac:dyDescent="0.2">
      <c r="A450" t="s">
        <v>187</v>
      </c>
      <c r="B450" s="2">
        <v>23</v>
      </c>
      <c r="C450" t="s">
        <v>87</v>
      </c>
      <c r="D450" s="2" t="s">
        <v>27</v>
      </c>
      <c r="E450" s="2">
        <v>23</v>
      </c>
      <c r="F450" s="2">
        <v>0</v>
      </c>
      <c r="G450" s="2">
        <v>529</v>
      </c>
      <c r="H450" s="2">
        <v>0.47899999999999998</v>
      </c>
      <c r="I450" s="2">
        <v>10.9</v>
      </c>
      <c r="J450" s="2">
        <v>0.68500000000000005</v>
      </c>
      <c r="K450" s="2">
        <v>0.39900000000000002</v>
      </c>
      <c r="L450" s="2">
        <v>0.188</v>
      </c>
      <c r="M450" s="2">
        <v>0.08</v>
      </c>
      <c r="N450" s="2">
        <v>1.9E-2</v>
      </c>
      <c r="O450" s="2">
        <v>0.315</v>
      </c>
      <c r="P450" s="2">
        <v>0.55500000000000005</v>
      </c>
      <c r="Q450" s="2">
        <v>0.69399999999999995</v>
      </c>
      <c r="R450" s="2">
        <v>0.32500000000000001</v>
      </c>
      <c r="S450" s="2">
        <v>0.47099999999999997</v>
      </c>
      <c r="T450" s="2">
        <v>0.25</v>
      </c>
      <c r="U450" s="2">
        <v>0.313</v>
      </c>
      <c r="V450" s="2">
        <v>0.50600000000000001</v>
      </c>
      <c r="W450" s="2">
        <v>1</v>
      </c>
      <c r="X450" s="2">
        <v>0.11700000000000001</v>
      </c>
      <c r="Y450" s="2">
        <v>21</v>
      </c>
      <c r="Z450" s="2">
        <v>0.40300000000000002</v>
      </c>
      <c r="AA450" s="2">
        <v>0.33300000000000002</v>
      </c>
      <c r="AB450" s="2">
        <v>1</v>
      </c>
      <c r="AC450" s="2">
        <v>0</v>
      </c>
    </row>
    <row r="451" spans="1:29" x14ac:dyDescent="0.2">
      <c r="A451" t="s">
        <v>242</v>
      </c>
      <c r="B451" s="2">
        <v>30</v>
      </c>
      <c r="C451" t="s">
        <v>35</v>
      </c>
      <c r="D451" s="2" t="s">
        <v>49</v>
      </c>
      <c r="E451" s="2">
        <v>24</v>
      </c>
      <c r="F451" s="2">
        <v>24</v>
      </c>
      <c r="G451" s="2">
        <v>644</v>
      </c>
      <c r="H451" s="2">
        <v>0.49299999999999999</v>
      </c>
      <c r="I451" s="2">
        <v>17</v>
      </c>
      <c r="J451" s="2">
        <v>0.38200000000000001</v>
      </c>
      <c r="K451" s="2">
        <v>0.21299999999999999</v>
      </c>
      <c r="L451" s="2">
        <v>0.11</v>
      </c>
      <c r="M451" s="2">
        <v>5.8999999999999997E-2</v>
      </c>
      <c r="N451" s="2">
        <v>0</v>
      </c>
      <c r="O451" s="2">
        <v>0.61799999999999999</v>
      </c>
      <c r="P451" s="2">
        <v>0.42299999999999999</v>
      </c>
      <c r="Q451" s="2">
        <v>0.58599999999999997</v>
      </c>
      <c r="R451" s="2">
        <v>0.2</v>
      </c>
      <c r="S451" s="2">
        <v>0.25</v>
      </c>
      <c r="T451" s="2"/>
      <c r="U451" s="2">
        <v>0.53600000000000003</v>
      </c>
      <c r="V451" s="2">
        <v>0.72699999999999998</v>
      </c>
      <c r="W451" s="2">
        <v>0.97799999999999998</v>
      </c>
      <c r="X451" s="2">
        <v>1.4999999999999999E-2</v>
      </c>
      <c r="Y451" s="2">
        <v>1</v>
      </c>
      <c r="Z451" s="2">
        <v>0.48799999999999999</v>
      </c>
      <c r="AA451" s="2">
        <v>0.48799999999999999</v>
      </c>
      <c r="AB451" s="2">
        <v>0</v>
      </c>
      <c r="AC451" s="2">
        <v>0</v>
      </c>
    </row>
    <row r="452" spans="1:29" x14ac:dyDescent="0.2">
      <c r="A452" t="s">
        <v>489</v>
      </c>
      <c r="B452" s="2">
        <v>21</v>
      </c>
      <c r="C452" t="s">
        <v>120</v>
      </c>
      <c r="D452" s="2" t="s">
        <v>27</v>
      </c>
      <c r="E452" s="2">
        <v>3</v>
      </c>
      <c r="F452" s="2">
        <v>3</v>
      </c>
      <c r="G452" s="2">
        <v>75</v>
      </c>
      <c r="H452" s="2">
        <v>0.222</v>
      </c>
      <c r="I452" s="2">
        <v>18.8</v>
      </c>
      <c r="J452" s="2">
        <v>0.33300000000000002</v>
      </c>
      <c r="K452" s="2">
        <v>5.6000000000000001E-2</v>
      </c>
      <c r="L452" s="2">
        <v>0.16700000000000001</v>
      </c>
      <c r="M452" s="2">
        <v>0.111</v>
      </c>
      <c r="N452" s="2">
        <v>0</v>
      </c>
      <c r="O452" s="2">
        <v>0.66700000000000004</v>
      </c>
      <c r="P452" s="2">
        <v>0.16700000000000001</v>
      </c>
      <c r="Q452" s="2">
        <v>0</v>
      </c>
      <c r="R452" s="2">
        <v>0.33300000000000002</v>
      </c>
      <c r="S452" s="2">
        <v>0</v>
      </c>
      <c r="T452" s="2"/>
      <c r="U452" s="2">
        <v>0.25</v>
      </c>
      <c r="V452" s="2">
        <v>1</v>
      </c>
      <c r="W452" s="2">
        <v>1</v>
      </c>
      <c r="X452" s="2">
        <v>5.6000000000000001E-2</v>
      </c>
      <c r="Y452" s="2">
        <v>1</v>
      </c>
      <c r="Z452" s="2">
        <v>0.58299999999999996</v>
      </c>
      <c r="AA452" s="2">
        <v>0.42899999999999999</v>
      </c>
      <c r="AB452" s="2">
        <v>0</v>
      </c>
      <c r="AC452" s="2">
        <v>0</v>
      </c>
    </row>
    <row r="453" spans="1:29" x14ac:dyDescent="0.2">
      <c r="A453" t="s">
        <v>510</v>
      </c>
      <c r="B453" s="2">
        <v>26</v>
      </c>
      <c r="C453" t="s">
        <v>135</v>
      </c>
      <c r="D453" s="2" t="s">
        <v>52</v>
      </c>
      <c r="E453" s="2">
        <v>2</v>
      </c>
      <c r="F453" s="2">
        <v>0</v>
      </c>
      <c r="G453" s="2">
        <v>20</v>
      </c>
      <c r="H453" s="2">
        <v>0.2</v>
      </c>
      <c r="I453" s="2">
        <v>19.100000000000001</v>
      </c>
      <c r="J453" s="2">
        <v>0.6</v>
      </c>
      <c r="K453" s="2">
        <v>0.2</v>
      </c>
      <c r="L453" s="2">
        <v>0.3</v>
      </c>
      <c r="M453" s="2">
        <v>0.1</v>
      </c>
      <c r="N453" s="2">
        <v>0</v>
      </c>
      <c r="O453" s="2">
        <v>0.4</v>
      </c>
      <c r="P453" s="2">
        <v>0.16700000000000001</v>
      </c>
      <c r="Q453" s="2">
        <v>0.5</v>
      </c>
      <c r="R453" s="2">
        <v>0</v>
      </c>
      <c r="S453" s="2">
        <v>0</v>
      </c>
      <c r="T453" s="2"/>
      <c r="U453" s="2">
        <v>0.25</v>
      </c>
      <c r="V453" s="2">
        <v>0</v>
      </c>
      <c r="W453" s="2">
        <v>1</v>
      </c>
      <c r="X453" s="2">
        <v>0.1</v>
      </c>
      <c r="Y453" s="2">
        <v>1</v>
      </c>
      <c r="Z453" s="2">
        <v>0</v>
      </c>
      <c r="AA453" s="2"/>
      <c r="AB453" s="2">
        <v>1</v>
      </c>
      <c r="AC453" s="2">
        <v>0</v>
      </c>
    </row>
    <row r="454" spans="1:29" x14ac:dyDescent="0.2">
      <c r="A454" t="s">
        <v>290</v>
      </c>
      <c r="B454" s="2">
        <v>28</v>
      </c>
      <c r="C454" t="s">
        <v>77</v>
      </c>
      <c r="D454" s="2" t="s">
        <v>52</v>
      </c>
      <c r="E454" s="2">
        <v>23</v>
      </c>
      <c r="F454" s="2">
        <v>11</v>
      </c>
      <c r="G454" s="2">
        <v>484</v>
      </c>
      <c r="H454" s="2">
        <v>0.438</v>
      </c>
      <c r="I454" s="2">
        <v>12.8</v>
      </c>
      <c r="J454" s="2">
        <v>0.63300000000000001</v>
      </c>
      <c r="K454" s="2">
        <v>0.28899999999999998</v>
      </c>
      <c r="L454" s="2">
        <v>0.18</v>
      </c>
      <c r="M454" s="2">
        <v>0.125</v>
      </c>
      <c r="N454" s="2">
        <v>3.9E-2</v>
      </c>
      <c r="O454" s="2">
        <v>0.36699999999999999</v>
      </c>
      <c r="P454" s="2">
        <v>0.49399999999999999</v>
      </c>
      <c r="Q454" s="2">
        <v>0.67600000000000005</v>
      </c>
      <c r="R454" s="2">
        <v>0.26100000000000001</v>
      </c>
      <c r="S454" s="2">
        <v>0.438</v>
      </c>
      <c r="T454" s="2">
        <v>0.4</v>
      </c>
      <c r="U454" s="2">
        <v>0.34</v>
      </c>
      <c r="V454" s="2">
        <v>0.65</v>
      </c>
      <c r="W454" s="2">
        <v>1</v>
      </c>
      <c r="X454" s="2">
        <v>7.0000000000000007E-2</v>
      </c>
      <c r="Y454" s="2">
        <v>8</v>
      </c>
      <c r="Z454" s="2">
        <v>0.46800000000000003</v>
      </c>
      <c r="AA454" s="2">
        <v>0.5</v>
      </c>
      <c r="AB454" s="2">
        <v>0</v>
      </c>
      <c r="AC454" s="2">
        <v>0</v>
      </c>
    </row>
    <row r="455" spans="1:29" x14ac:dyDescent="0.2">
      <c r="A455" t="s">
        <v>501</v>
      </c>
      <c r="B455" s="2">
        <v>24</v>
      </c>
      <c r="C455" t="s">
        <v>51</v>
      </c>
      <c r="D455" s="2" t="s">
        <v>52</v>
      </c>
      <c r="E455" s="2">
        <v>7</v>
      </c>
      <c r="F455" s="2">
        <v>0</v>
      </c>
      <c r="G455" s="2">
        <v>30</v>
      </c>
      <c r="H455" s="2">
        <v>0.44400000000000001</v>
      </c>
      <c r="I455" s="2">
        <v>9.5</v>
      </c>
      <c r="J455" s="2">
        <v>0.66700000000000004</v>
      </c>
      <c r="K455" s="2">
        <v>0.44400000000000001</v>
      </c>
      <c r="L455" s="2">
        <v>0.222</v>
      </c>
      <c r="M455" s="2">
        <v>0</v>
      </c>
      <c r="N455" s="2">
        <v>0</v>
      </c>
      <c r="O455" s="2">
        <v>0.33300000000000002</v>
      </c>
      <c r="P455" s="2">
        <v>0.5</v>
      </c>
      <c r="Q455" s="2">
        <v>0.75</v>
      </c>
      <c r="R455" s="2">
        <v>0</v>
      </c>
      <c r="S455" s="2"/>
      <c r="T455" s="2"/>
      <c r="U455" s="2">
        <v>0.33300000000000002</v>
      </c>
      <c r="V455" s="2">
        <v>0.33300000000000002</v>
      </c>
      <c r="W455" s="2">
        <v>1</v>
      </c>
      <c r="X455" s="2">
        <v>0.222</v>
      </c>
      <c r="Y455" s="2">
        <v>2</v>
      </c>
      <c r="Z455" s="2">
        <v>0.66700000000000004</v>
      </c>
      <c r="AA455" s="2">
        <v>0.5</v>
      </c>
      <c r="AB455" s="2">
        <v>0</v>
      </c>
      <c r="AC455" s="2">
        <v>0</v>
      </c>
    </row>
    <row r="456" spans="1:29" x14ac:dyDescent="0.2">
      <c r="A456" t="s">
        <v>193</v>
      </c>
      <c r="B456" s="2">
        <v>30</v>
      </c>
      <c r="C456" t="s">
        <v>61</v>
      </c>
      <c r="D456" s="2" t="s">
        <v>33</v>
      </c>
      <c r="E456" s="2">
        <v>21</v>
      </c>
      <c r="F456" s="2">
        <v>12</v>
      </c>
      <c r="G456" s="2">
        <v>597</v>
      </c>
      <c r="H456" s="2">
        <v>0.39900000000000002</v>
      </c>
      <c r="I456" s="2">
        <v>16.3</v>
      </c>
      <c r="J456" s="2">
        <v>0.48199999999999998</v>
      </c>
      <c r="K456" s="2">
        <v>0.17899999999999999</v>
      </c>
      <c r="L456" s="2">
        <v>0.16500000000000001</v>
      </c>
      <c r="M456" s="2">
        <v>7.2999999999999995E-2</v>
      </c>
      <c r="N456" s="2">
        <v>6.4000000000000001E-2</v>
      </c>
      <c r="O456" s="2">
        <v>0.51800000000000002</v>
      </c>
      <c r="P456" s="2">
        <v>0.44800000000000001</v>
      </c>
      <c r="Q456" s="2">
        <v>0.61499999999999999</v>
      </c>
      <c r="R456" s="2">
        <v>0.25</v>
      </c>
      <c r="S456" s="2">
        <v>0.438</v>
      </c>
      <c r="T456" s="2">
        <v>0.5</v>
      </c>
      <c r="U456" s="2">
        <v>0.35399999999999998</v>
      </c>
      <c r="V456" s="2">
        <v>0.57399999999999995</v>
      </c>
      <c r="W456" s="2">
        <v>0.77500000000000002</v>
      </c>
      <c r="X456" s="2">
        <v>0</v>
      </c>
      <c r="Y456" s="2">
        <v>0</v>
      </c>
      <c r="Z456" s="2">
        <v>0.41599999999999998</v>
      </c>
      <c r="AA456" s="2">
        <v>0.36199999999999999</v>
      </c>
      <c r="AB456" s="2">
        <v>1</v>
      </c>
      <c r="AC456" s="2">
        <v>0</v>
      </c>
    </row>
    <row r="457" spans="1:29" x14ac:dyDescent="0.2">
      <c r="A457" t="s">
        <v>419</v>
      </c>
      <c r="B457" s="2">
        <v>27</v>
      </c>
      <c r="C457" t="s">
        <v>61</v>
      </c>
      <c r="D457" s="2" t="s">
        <v>42</v>
      </c>
      <c r="E457" s="2">
        <v>10</v>
      </c>
      <c r="F457" s="2">
        <v>0</v>
      </c>
      <c r="G457" s="2">
        <v>115</v>
      </c>
      <c r="H457" s="2">
        <v>0.42899999999999999</v>
      </c>
      <c r="I457" s="2">
        <v>16.600000000000001</v>
      </c>
      <c r="J457" s="2">
        <v>0.39300000000000002</v>
      </c>
      <c r="K457" s="2">
        <v>0.32100000000000001</v>
      </c>
      <c r="L457" s="2">
        <v>3.5999999999999997E-2</v>
      </c>
      <c r="M457" s="2">
        <v>3.5999999999999997E-2</v>
      </c>
      <c r="N457" s="2">
        <v>0</v>
      </c>
      <c r="O457" s="2">
        <v>0.60699999999999998</v>
      </c>
      <c r="P457" s="2">
        <v>0.54500000000000004</v>
      </c>
      <c r="Q457" s="2">
        <v>0.55600000000000005</v>
      </c>
      <c r="R457" s="2">
        <v>1</v>
      </c>
      <c r="S457" s="2">
        <v>0</v>
      </c>
      <c r="T457" s="2"/>
      <c r="U457" s="2">
        <v>0.35299999999999998</v>
      </c>
      <c r="V457" s="2">
        <v>0.66700000000000004</v>
      </c>
      <c r="W457" s="2">
        <v>1</v>
      </c>
      <c r="X457" s="2">
        <v>0</v>
      </c>
      <c r="Y457" s="2">
        <v>0</v>
      </c>
      <c r="Z457" s="2">
        <v>0.17599999999999999</v>
      </c>
      <c r="AA457" s="2">
        <v>0.33300000000000002</v>
      </c>
      <c r="AB457" s="2">
        <v>0</v>
      </c>
      <c r="AC457" s="2">
        <v>0</v>
      </c>
    </row>
    <row r="458" spans="1:29" x14ac:dyDescent="0.2">
      <c r="A458" t="s">
        <v>337</v>
      </c>
      <c r="B458" s="2">
        <v>19</v>
      </c>
      <c r="C458" t="s">
        <v>59</v>
      </c>
      <c r="D458" s="2" t="s">
        <v>27</v>
      </c>
      <c r="E458" s="2">
        <v>20</v>
      </c>
      <c r="F458" s="2">
        <v>8</v>
      </c>
      <c r="G458" s="2">
        <v>376</v>
      </c>
      <c r="H458" s="2">
        <v>0.32700000000000001</v>
      </c>
      <c r="I458" s="2">
        <v>19</v>
      </c>
      <c r="J458" s="2">
        <v>0.32700000000000001</v>
      </c>
      <c r="K458" s="2">
        <v>0.188</v>
      </c>
      <c r="L458" s="2">
        <v>0.109</v>
      </c>
      <c r="M458" s="2">
        <v>0.02</v>
      </c>
      <c r="N458" s="2">
        <v>0.01</v>
      </c>
      <c r="O458" s="2">
        <v>0.67300000000000004</v>
      </c>
      <c r="P458" s="2">
        <v>0.39400000000000002</v>
      </c>
      <c r="Q458" s="2">
        <v>0.52600000000000002</v>
      </c>
      <c r="R458" s="2">
        <v>0.182</v>
      </c>
      <c r="S458" s="2">
        <v>0</v>
      </c>
      <c r="T458" s="2">
        <v>1</v>
      </c>
      <c r="U458" s="2">
        <v>0.29399999999999998</v>
      </c>
      <c r="V458" s="2">
        <v>0.53800000000000003</v>
      </c>
      <c r="W458" s="2">
        <v>0.95</v>
      </c>
      <c r="X458" s="2">
        <v>5.8999999999999997E-2</v>
      </c>
      <c r="Y458" s="2">
        <v>6</v>
      </c>
      <c r="Z458" s="2">
        <v>0.26500000000000001</v>
      </c>
      <c r="AA458" s="2">
        <v>0.27800000000000002</v>
      </c>
      <c r="AB458" s="2">
        <v>0</v>
      </c>
      <c r="AC458" s="2">
        <v>0</v>
      </c>
    </row>
    <row r="459" spans="1:29" x14ac:dyDescent="0.2">
      <c r="A459" t="s">
        <v>214</v>
      </c>
      <c r="B459" s="2">
        <v>32</v>
      </c>
      <c r="C459" t="s">
        <v>75</v>
      </c>
      <c r="D459" s="2" t="s">
        <v>52</v>
      </c>
      <c r="E459" s="2">
        <v>23</v>
      </c>
      <c r="F459" s="2">
        <v>23</v>
      </c>
      <c r="G459" s="2">
        <v>627</v>
      </c>
      <c r="H459" s="2">
        <v>0.41</v>
      </c>
      <c r="I459" s="2">
        <v>20.3</v>
      </c>
      <c r="J459" s="2">
        <v>0.34300000000000003</v>
      </c>
      <c r="K459" s="2">
        <v>7.9000000000000001E-2</v>
      </c>
      <c r="L459" s="2">
        <v>7.9000000000000001E-2</v>
      </c>
      <c r="M459" s="2">
        <v>0.09</v>
      </c>
      <c r="N459" s="2">
        <v>9.6000000000000002E-2</v>
      </c>
      <c r="O459" s="2">
        <v>0.65700000000000003</v>
      </c>
      <c r="P459" s="2">
        <v>0.54100000000000004</v>
      </c>
      <c r="Q459" s="2">
        <v>0.92900000000000005</v>
      </c>
      <c r="R459" s="2">
        <v>0.5</v>
      </c>
      <c r="S459" s="2">
        <v>0.375</v>
      </c>
      <c r="T459" s="2">
        <v>0.41199999999999998</v>
      </c>
      <c r="U459" s="2">
        <v>0.34200000000000003</v>
      </c>
      <c r="V459" s="2">
        <v>0.72699999999999998</v>
      </c>
      <c r="W459" s="2">
        <v>0.92500000000000004</v>
      </c>
      <c r="X459" s="2">
        <v>1.0999999999999999E-2</v>
      </c>
      <c r="Y459" s="2">
        <v>2</v>
      </c>
      <c r="Z459" s="2">
        <v>0.23100000000000001</v>
      </c>
      <c r="AA459" s="2">
        <v>0.33300000000000002</v>
      </c>
      <c r="AB459" s="2">
        <v>0</v>
      </c>
      <c r="AC459" s="2">
        <v>0</v>
      </c>
    </row>
    <row r="460" spans="1:29" x14ac:dyDescent="0.2">
      <c r="A460" t="s">
        <v>132</v>
      </c>
      <c r="B460" s="2">
        <v>32</v>
      </c>
      <c r="C460" t="s">
        <v>75</v>
      </c>
      <c r="D460" s="2" t="s">
        <v>27</v>
      </c>
      <c r="E460" s="2">
        <v>25</v>
      </c>
      <c r="F460" s="2">
        <v>25</v>
      </c>
      <c r="G460" s="2">
        <v>807</v>
      </c>
      <c r="H460" s="2">
        <v>0.44900000000000001</v>
      </c>
      <c r="I460" s="2">
        <v>13.9</v>
      </c>
      <c r="J460" s="2">
        <v>0.62</v>
      </c>
      <c r="K460" s="2">
        <v>0.182</v>
      </c>
      <c r="L460" s="2">
        <v>0.253</v>
      </c>
      <c r="M460" s="2">
        <v>0.13400000000000001</v>
      </c>
      <c r="N460" s="2">
        <v>5.0999999999999997E-2</v>
      </c>
      <c r="O460" s="2">
        <v>0.38</v>
      </c>
      <c r="P460" s="2">
        <v>0.51400000000000001</v>
      </c>
      <c r="Q460" s="2">
        <v>0.81100000000000005</v>
      </c>
      <c r="R460" s="2">
        <v>0.39200000000000002</v>
      </c>
      <c r="S460" s="2">
        <v>0.38500000000000001</v>
      </c>
      <c r="T460" s="2">
        <v>0.4</v>
      </c>
      <c r="U460" s="2">
        <v>0.34200000000000003</v>
      </c>
      <c r="V460" s="2">
        <v>0.53800000000000003</v>
      </c>
      <c r="W460" s="2">
        <v>0.94699999999999995</v>
      </c>
      <c r="X460" s="2">
        <v>6.2E-2</v>
      </c>
      <c r="Y460" s="2">
        <v>17</v>
      </c>
      <c r="Z460" s="2">
        <v>0.51400000000000001</v>
      </c>
      <c r="AA460" s="2">
        <v>0.38600000000000001</v>
      </c>
      <c r="AB460" s="2">
        <v>0</v>
      </c>
      <c r="AC460" s="2">
        <v>0</v>
      </c>
    </row>
    <row r="461" spans="1:29" x14ac:dyDescent="0.2">
      <c r="A461" t="s">
        <v>438</v>
      </c>
      <c r="B461" s="2">
        <v>34</v>
      </c>
      <c r="C461" t="s">
        <v>70</v>
      </c>
      <c r="D461" s="2" t="s">
        <v>49</v>
      </c>
      <c r="E461" s="2">
        <v>6</v>
      </c>
      <c r="F461" s="2">
        <v>1</v>
      </c>
      <c r="G461" s="2">
        <v>67</v>
      </c>
      <c r="H461" s="2">
        <v>0.5</v>
      </c>
      <c r="I461" s="2">
        <v>21.6</v>
      </c>
      <c r="J461" s="2">
        <v>0.182</v>
      </c>
      <c r="K461" s="2">
        <v>0.13600000000000001</v>
      </c>
      <c r="L461" s="2">
        <v>4.4999999999999998E-2</v>
      </c>
      <c r="M461" s="2">
        <v>0</v>
      </c>
      <c r="N461" s="2">
        <v>0</v>
      </c>
      <c r="O461" s="2">
        <v>0.81799999999999995</v>
      </c>
      <c r="P461" s="2">
        <v>1</v>
      </c>
      <c r="Q461" s="2">
        <v>1</v>
      </c>
      <c r="R461" s="2">
        <v>1</v>
      </c>
      <c r="S461" s="2"/>
      <c r="T461" s="2"/>
      <c r="U461" s="2">
        <v>0.38900000000000001</v>
      </c>
      <c r="V461" s="2">
        <v>0.75</v>
      </c>
      <c r="W461" s="2">
        <v>0.85699999999999998</v>
      </c>
      <c r="X461" s="2">
        <v>0</v>
      </c>
      <c r="Y461" s="2">
        <v>0</v>
      </c>
      <c r="Z461" s="2">
        <v>0.33300000000000002</v>
      </c>
      <c r="AA461" s="2">
        <v>0.33300000000000002</v>
      </c>
      <c r="AB461" s="2">
        <v>0</v>
      </c>
      <c r="AC461" s="2">
        <v>0</v>
      </c>
    </row>
    <row r="462" spans="1:29" x14ac:dyDescent="0.2">
      <c r="A462" t="s">
        <v>217</v>
      </c>
      <c r="B462" s="2">
        <v>24</v>
      </c>
      <c r="C462" t="s">
        <v>135</v>
      </c>
      <c r="D462" s="2" t="s">
        <v>27</v>
      </c>
      <c r="E462" s="2">
        <v>24</v>
      </c>
      <c r="F462" s="2">
        <v>24</v>
      </c>
      <c r="G462" s="2">
        <v>720</v>
      </c>
      <c r="H462" s="2">
        <v>0.41899999999999998</v>
      </c>
      <c r="I462" s="2">
        <v>14.1</v>
      </c>
      <c r="J462" s="2">
        <v>0.47599999999999998</v>
      </c>
      <c r="K462" s="2">
        <v>0.33</v>
      </c>
      <c r="L462" s="2">
        <v>0.14099999999999999</v>
      </c>
      <c r="M462" s="2">
        <v>5.0000000000000001E-3</v>
      </c>
      <c r="N462" s="2">
        <v>0</v>
      </c>
      <c r="O462" s="2">
        <v>0.52400000000000002</v>
      </c>
      <c r="P462" s="2">
        <v>0.47299999999999998</v>
      </c>
      <c r="Q462" s="2">
        <v>0.55600000000000005</v>
      </c>
      <c r="R462" s="2">
        <v>0.29599999999999999</v>
      </c>
      <c r="S462" s="2">
        <v>0</v>
      </c>
      <c r="T462" s="2"/>
      <c r="U462" s="2">
        <v>0.37</v>
      </c>
      <c r="V462" s="2">
        <v>0.58099999999999996</v>
      </c>
      <c r="W462" s="2">
        <v>0.91900000000000004</v>
      </c>
      <c r="X462" s="2">
        <v>7.2999999999999995E-2</v>
      </c>
      <c r="Y462" s="2">
        <v>10</v>
      </c>
      <c r="Z462" s="2">
        <v>0.44</v>
      </c>
      <c r="AA462" s="2">
        <v>0.36399999999999999</v>
      </c>
      <c r="AB462" s="2">
        <v>0</v>
      </c>
      <c r="AC462" s="2">
        <v>0</v>
      </c>
    </row>
    <row r="463" spans="1:29" x14ac:dyDescent="0.2">
      <c r="A463" t="s">
        <v>71</v>
      </c>
      <c r="B463" s="2">
        <v>26</v>
      </c>
      <c r="C463" t="s">
        <v>72</v>
      </c>
      <c r="D463" s="2" t="s">
        <v>33</v>
      </c>
      <c r="E463" s="2">
        <v>25</v>
      </c>
      <c r="F463" s="2">
        <v>25</v>
      </c>
      <c r="G463" s="2">
        <v>899</v>
      </c>
      <c r="H463" s="2">
        <v>0.38400000000000001</v>
      </c>
      <c r="I463" s="2">
        <v>17.3</v>
      </c>
      <c r="J463" s="2">
        <v>0.5</v>
      </c>
      <c r="K463" s="2">
        <v>0.13500000000000001</v>
      </c>
      <c r="L463" s="2">
        <v>0.21299999999999999</v>
      </c>
      <c r="M463" s="2">
        <v>0.11799999999999999</v>
      </c>
      <c r="N463" s="2">
        <v>3.3000000000000002E-2</v>
      </c>
      <c r="O463" s="2">
        <v>0.5</v>
      </c>
      <c r="P463" s="2">
        <v>0.46</v>
      </c>
      <c r="Q463" s="2">
        <v>0.59599999999999997</v>
      </c>
      <c r="R463" s="2">
        <v>0.42199999999999999</v>
      </c>
      <c r="S463" s="2">
        <v>0.38</v>
      </c>
      <c r="T463" s="2">
        <v>0.42899999999999999</v>
      </c>
      <c r="U463" s="2">
        <v>0.308</v>
      </c>
      <c r="V463" s="2">
        <v>0.35099999999999998</v>
      </c>
      <c r="W463" s="2">
        <v>0.36899999999999999</v>
      </c>
      <c r="X463" s="2">
        <v>2E-3</v>
      </c>
      <c r="Y463" s="2">
        <v>0</v>
      </c>
      <c r="Z463" s="2">
        <v>0.13300000000000001</v>
      </c>
      <c r="AA463" s="2">
        <v>0.35699999999999998</v>
      </c>
      <c r="AB463" s="2">
        <v>2</v>
      </c>
      <c r="AC463" s="2">
        <v>0</v>
      </c>
    </row>
    <row r="464" spans="1:29" x14ac:dyDescent="0.2">
      <c r="A464" t="s">
        <v>259</v>
      </c>
      <c r="B464" s="2">
        <v>24</v>
      </c>
      <c r="C464" t="s">
        <v>100</v>
      </c>
      <c r="D464" s="2" t="s">
        <v>42</v>
      </c>
      <c r="E464" s="2">
        <v>23</v>
      </c>
      <c r="F464" s="2">
        <v>18</v>
      </c>
      <c r="G464" s="2">
        <v>388</v>
      </c>
      <c r="H464" s="2">
        <v>0.59799999999999998</v>
      </c>
      <c r="I464" s="2">
        <v>3</v>
      </c>
      <c r="J464" s="2">
        <v>0.99199999999999999</v>
      </c>
      <c r="K464" s="2">
        <v>0.56699999999999995</v>
      </c>
      <c r="L464" s="2">
        <v>0.42499999999999999</v>
      </c>
      <c r="M464" s="2">
        <v>0</v>
      </c>
      <c r="N464" s="2">
        <v>0</v>
      </c>
      <c r="O464" s="2">
        <v>8.0000000000000002E-3</v>
      </c>
      <c r="P464" s="2">
        <v>0.60299999999999998</v>
      </c>
      <c r="Q464" s="2">
        <v>0.69399999999999995</v>
      </c>
      <c r="R464" s="2">
        <v>0.48099999999999998</v>
      </c>
      <c r="S464" s="2"/>
      <c r="T464" s="2"/>
      <c r="U464" s="2">
        <v>0</v>
      </c>
      <c r="V464" s="2">
        <v>0.84199999999999997</v>
      </c>
      <c r="W464" s="2"/>
      <c r="X464" s="2">
        <v>0.38600000000000001</v>
      </c>
      <c r="Y464" s="2">
        <v>45</v>
      </c>
      <c r="Z464" s="2">
        <v>1</v>
      </c>
      <c r="AA464" s="2">
        <v>0</v>
      </c>
      <c r="AB464" s="2">
        <v>0</v>
      </c>
      <c r="AC464" s="2">
        <v>0</v>
      </c>
    </row>
    <row r="465" spans="1:29" x14ac:dyDescent="0.2">
      <c r="A465" t="s">
        <v>432</v>
      </c>
      <c r="B465" s="2">
        <v>25</v>
      </c>
      <c r="C465" t="s">
        <v>93</v>
      </c>
      <c r="D465" s="2" t="s">
        <v>33</v>
      </c>
      <c r="E465" s="2">
        <v>8</v>
      </c>
      <c r="F465" s="2">
        <v>0</v>
      </c>
      <c r="G465" s="2">
        <v>140</v>
      </c>
      <c r="H465" s="2">
        <v>0.33300000000000002</v>
      </c>
      <c r="I465" s="2">
        <v>13</v>
      </c>
      <c r="J465" s="2">
        <v>0.6</v>
      </c>
      <c r="K465" s="2">
        <v>0.3</v>
      </c>
      <c r="L465" s="2">
        <v>0.2</v>
      </c>
      <c r="M465" s="2">
        <v>0.1</v>
      </c>
      <c r="N465" s="2">
        <v>0</v>
      </c>
      <c r="O465" s="2">
        <v>0.4</v>
      </c>
      <c r="P465" s="2">
        <v>0.38900000000000001</v>
      </c>
      <c r="Q465" s="2">
        <v>0.66700000000000004</v>
      </c>
      <c r="R465" s="2">
        <v>0.16700000000000001</v>
      </c>
      <c r="S465" s="2">
        <v>0</v>
      </c>
      <c r="T465" s="2"/>
      <c r="U465" s="2">
        <v>0.25</v>
      </c>
      <c r="V465" s="2">
        <v>0.85699999999999998</v>
      </c>
      <c r="W465" s="2">
        <v>1</v>
      </c>
      <c r="X465" s="2">
        <v>0</v>
      </c>
      <c r="Y465" s="2">
        <v>0</v>
      </c>
      <c r="Z465" s="2">
        <v>0.41699999999999998</v>
      </c>
      <c r="AA465" s="2">
        <v>0.2</v>
      </c>
      <c r="AB465" s="2">
        <v>0</v>
      </c>
      <c r="AC465" s="2">
        <v>0</v>
      </c>
    </row>
    <row r="466" spans="1:29" x14ac:dyDescent="0.2">
      <c r="A466" t="s">
        <v>246</v>
      </c>
      <c r="B466" s="2">
        <v>23</v>
      </c>
      <c r="C466" t="s">
        <v>59</v>
      </c>
      <c r="D466" s="2" t="s">
        <v>33</v>
      </c>
      <c r="E466" s="2">
        <v>13</v>
      </c>
      <c r="F466" s="2">
        <v>0</v>
      </c>
      <c r="G466" s="2">
        <v>319</v>
      </c>
      <c r="H466" s="2">
        <v>0.435</v>
      </c>
      <c r="I466" s="2">
        <v>13.6</v>
      </c>
      <c r="J466" s="2">
        <v>0.627</v>
      </c>
      <c r="K466" s="2">
        <v>0.27300000000000002</v>
      </c>
      <c r="L466" s="2">
        <v>0.20499999999999999</v>
      </c>
      <c r="M466" s="2">
        <v>9.9000000000000005E-2</v>
      </c>
      <c r="N466" s="2">
        <v>0.05</v>
      </c>
      <c r="O466" s="2">
        <v>0.373</v>
      </c>
      <c r="P466" s="2">
        <v>0.45500000000000002</v>
      </c>
      <c r="Q466" s="2">
        <v>0.45500000000000002</v>
      </c>
      <c r="R466" s="2">
        <v>0.51500000000000001</v>
      </c>
      <c r="S466" s="2">
        <v>0.375</v>
      </c>
      <c r="T466" s="2">
        <v>0.375</v>
      </c>
      <c r="U466" s="2">
        <v>0.4</v>
      </c>
      <c r="V466" s="2">
        <v>0.17399999999999999</v>
      </c>
      <c r="W466" s="2">
        <v>0.54200000000000004</v>
      </c>
      <c r="X466" s="2">
        <v>6.0000000000000001E-3</v>
      </c>
      <c r="Y466" s="2">
        <v>1</v>
      </c>
      <c r="Z466" s="2">
        <v>0.217</v>
      </c>
      <c r="AA466" s="2">
        <v>0.38500000000000001</v>
      </c>
      <c r="AB466" s="2">
        <v>0</v>
      </c>
      <c r="AC466" s="2">
        <v>0</v>
      </c>
    </row>
    <row r="467" spans="1:29" x14ac:dyDescent="0.2">
      <c r="A467" t="s">
        <v>338</v>
      </c>
      <c r="B467" s="2">
        <v>24</v>
      </c>
      <c r="C467" t="s">
        <v>103</v>
      </c>
      <c r="D467" s="2" t="s">
        <v>27</v>
      </c>
      <c r="E467" s="2">
        <v>11</v>
      </c>
      <c r="F467" s="2">
        <v>0</v>
      </c>
      <c r="G467" s="2">
        <v>199</v>
      </c>
      <c r="H467" s="2">
        <v>0.434</v>
      </c>
      <c r="I467" s="2">
        <v>11.2</v>
      </c>
      <c r="J467" s="2">
        <v>0.67100000000000004</v>
      </c>
      <c r="K467" s="2">
        <v>0.316</v>
      </c>
      <c r="L467" s="2">
        <v>0.32900000000000001</v>
      </c>
      <c r="M467" s="2">
        <v>2.5999999999999999E-2</v>
      </c>
      <c r="N467" s="2">
        <v>0</v>
      </c>
      <c r="O467" s="2">
        <v>0.32900000000000001</v>
      </c>
      <c r="P467" s="2">
        <v>0.51</v>
      </c>
      <c r="Q467" s="2">
        <v>0.625</v>
      </c>
      <c r="R467" s="2">
        <v>0.44</v>
      </c>
      <c r="S467" s="2">
        <v>0</v>
      </c>
      <c r="T467" s="2"/>
      <c r="U467" s="2">
        <v>0.28000000000000003</v>
      </c>
      <c r="V467" s="2">
        <v>0.53800000000000003</v>
      </c>
      <c r="W467" s="2">
        <v>1</v>
      </c>
      <c r="X467" s="2">
        <v>0</v>
      </c>
      <c r="Y467" s="2">
        <v>0</v>
      </c>
      <c r="Z467" s="2">
        <v>0.28000000000000003</v>
      </c>
      <c r="AA467" s="2">
        <v>0.14299999999999999</v>
      </c>
      <c r="AB467" s="2">
        <v>0</v>
      </c>
      <c r="AC467" s="2">
        <v>0</v>
      </c>
    </row>
    <row r="468" spans="1:29" x14ac:dyDescent="0.2">
      <c r="A468" t="s">
        <v>499</v>
      </c>
      <c r="B468" s="2">
        <v>19</v>
      </c>
      <c r="C468" t="s">
        <v>77</v>
      </c>
      <c r="D468" s="2" t="s">
        <v>49</v>
      </c>
      <c r="E468" s="2">
        <v>1</v>
      </c>
      <c r="F468" s="2">
        <v>0</v>
      </c>
      <c r="G468" s="2">
        <v>14</v>
      </c>
      <c r="H468" s="2">
        <v>0.44400000000000001</v>
      </c>
      <c r="I468" s="2">
        <v>9.1</v>
      </c>
      <c r="J468" s="2">
        <v>0.77800000000000002</v>
      </c>
      <c r="K468" s="2">
        <v>0.222</v>
      </c>
      <c r="L468" s="2">
        <v>0.44400000000000001</v>
      </c>
      <c r="M468" s="2">
        <v>0.111</v>
      </c>
      <c r="N468" s="2">
        <v>0</v>
      </c>
      <c r="O468" s="2">
        <v>0.222</v>
      </c>
      <c r="P468" s="2">
        <v>0.57099999999999995</v>
      </c>
      <c r="Q468" s="2">
        <v>0.5</v>
      </c>
      <c r="R468" s="2">
        <v>0.5</v>
      </c>
      <c r="S468" s="2">
        <v>1</v>
      </c>
      <c r="T468" s="2"/>
      <c r="U468" s="2">
        <v>0</v>
      </c>
      <c r="V468" s="2">
        <v>0.5</v>
      </c>
      <c r="W468" s="2"/>
      <c r="X468" s="2">
        <v>0.111</v>
      </c>
      <c r="Y468" s="2">
        <v>1</v>
      </c>
      <c r="Z468" s="2">
        <v>0.5</v>
      </c>
      <c r="AA468" s="2">
        <v>0</v>
      </c>
      <c r="AB468" s="2">
        <v>0</v>
      </c>
      <c r="AC468" s="2">
        <v>0</v>
      </c>
    </row>
    <row r="469" spans="1:29" x14ac:dyDescent="0.2">
      <c r="A469" t="s">
        <v>540</v>
      </c>
      <c r="B469" s="2">
        <v>27</v>
      </c>
      <c r="C469" t="s">
        <v>48</v>
      </c>
      <c r="D469" s="2" t="s">
        <v>52</v>
      </c>
      <c r="E469" s="2">
        <v>2</v>
      </c>
      <c r="F469" s="2">
        <v>0</v>
      </c>
      <c r="G469" s="2">
        <v>5</v>
      </c>
      <c r="H469" s="2">
        <v>0.33300000000000002</v>
      </c>
      <c r="I469" s="2">
        <v>10.8</v>
      </c>
      <c r="J469" s="2">
        <v>0.66700000000000004</v>
      </c>
      <c r="K469" s="2">
        <v>0.33300000000000002</v>
      </c>
      <c r="L469" s="2">
        <v>0.33300000000000002</v>
      </c>
      <c r="M469" s="2">
        <v>0</v>
      </c>
      <c r="N469" s="2">
        <v>0</v>
      </c>
      <c r="O469" s="2">
        <v>0.33300000000000002</v>
      </c>
      <c r="P469" s="2">
        <v>0</v>
      </c>
      <c r="Q469" s="2">
        <v>0</v>
      </c>
      <c r="R469" s="2">
        <v>0</v>
      </c>
      <c r="S469" s="2"/>
      <c r="T469" s="2"/>
      <c r="U469" s="2">
        <v>1</v>
      </c>
      <c r="V469" s="2"/>
      <c r="W469" s="2">
        <v>1</v>
      </c>
      <c r="X469" s="2">
        <v>0</v>
      </c>
      <c r="Y469" s="2">
        <v>0</v>
      </c>
      <c r="Z469" s="2">
        <v>0</v>
      </c>
      <c r="AA469" s="2"/>
      <c r="AB469" s="2">
        <v>0</v>
      </c>
      <c r="AC469" s="2">
        <v>0</v>
      </c>
    </row>
    <row r="470" spans="1:29" x14ac:dyDescent="0.2">
      <c r="A470" t="s">
        <v>497</v>
      </c>
      <c r="B470" s="2">
        <v>21</v>
      </c>
      <c r="C470" t="s">
        <v>46</v>
      </c>
      <c r="D470" s="2" t="s">
        <v>52</v>
      </c>
      <c r="E470" s="2">
        <v>9</v>
      </c>
      <c r="F470" s="2">
        <v>0</v>
      </c>
      <c r="G470" s="2">
        <v>44</v>
      </c>
      <c r="H470" s="2">
        <v>0.25</v>
      </c>
      <c r="I470" s="2">
        <v>18.5</v>
      </c>
      <c r="J470" s="2">
        <v>0.5</v>
      </c>
      <c r="K470" s="2">
        <v>8.3000000000000004E-2</v>
      </c>
      <c r="L470" s="2">
        <v>0.16700000000000001</v>
      </c>
      <c r="M470" s="2">
        <v>8.3000000000000004E-2</v>
      </c>
      <c r="N470" s="2">
        <v>0.16700000000000001</v>
      </c>
      <c r="O470" s="2">
        <v>0.5</v>
      </c>
      <c r="P470" s="2">
        <v>0.33300000000000002</v>
      </c>
      <c r="Q470" s="2">
        <v>0</v>
      </c>
      <c r="R470" s="2">
        <v>0</v>
      </c>
      <c r="S470" s="2">
        <v>1</v>
      </c>
      <c r="T470" s="2">
        <v>0.5</v>
      </c>
      <c r="U470" s="2">
        <v>0.16700000000000001</v>
      </c>
      <c r="V470" s="2">
        <v>0.5</v>
      </c>
      <c r="W470" s="2">
        <v>1</v>
      </c>
      <c r="X470" s="2">
        <v>0</v>
      </c>
      <c r="Y470" s="2">
        <v>0</v>
      </c>
      <c r="Z470" s="2">
        <v>0.16700000000000001</v>
      </c>
      <c r="AA470" s="2">
        <v>1</v>
      </c>
      <c r="AB470" s="2">
        <v>0</v>
      </c>
      <c r="AC470" s="2">
        <v>0</v>
      </c>
    </row>
    <row r="471" spans="1:29" x14ac:dyDescent="0.2">
      <c r="A471" t="s">
        <v>426</v>
      </c>
      <c r="B471" s="2">
        <v>25</v>
      </c>
      <c r="C471" t="s">
        <v>117</v>
      </c>
      <c r="D471" s="2" t="s">
        <v>42</v>
      </c>
      <c r="E471" s="2">
        <v>15</v>
      </c>
      <c r="F471" s="2">
        <v>0</v>
      </c>
      <c r="G471" s="2">
        <v>152</v>
      </c>
      <c r="H471" s="2">
        <v>0.48299999999999998</v>
      </c>
      <c r="I471" s="2">
        <v>3.9</v>
      </c>
      <c r="J471" s="2">
        <v>1</v>
      </c>
      <c r="K471" s="2">
        <v>0.58599999999999997</v>
      </c>
      <c r="L471" s="2">
        <v>0.34499999999999997</v>
      </c>
      <c r="M471" s="2">
        <v>3.4000000000000002E-2</v>
      </c>
      <c r="N471" s="2">
        <v>3.4000000000000002E-2</v>
      </c>
      <c r="O471" s="2">
        <v>0</v>
      </c>
      <c r="P471" s="2">
        <v>0.48299999999999998</v>
      </c>
      <c r="Q471" s="2">
        <v>0.58799999999999997</v>
      </c>
      <c r="R471" s="2">
        <v>0.3</v>
      </c>
      <c r="S471" s="2">
        <v>1</v>
      </c>
      <c r="T471" s="2">
        <v>0</v>
      </c>
      <c r="U471" s="2"/>
      <c r="V471" s="2">
        <v>0.78600000000000003</v>
      </c>
      <c r="W471" s="2"/>
      <c r="X471" s="2">
        <v>0.24099999999999999</v>
      </c>
      <c r="Y471" s="2">
        <v>6</v>
      </c>
      <c r="Z471" s="2"/>
      <c r="AA471" s="2"/>
      <c r="AB471" s="2">
        <v>0</v>
      </c>
      <c r="AC471" s="2">
        <v>0</v>
      </c>
    </row>
    <row r="472" spans="1:29" x14ac:dyDescent="0.2">
      <c r="A472" t="s">
        <v>340</v>
      </c>
      <c r="B472" s="2">
        <v>29</v>
      </c>
      <c r="C472" t="s">
        <v>37</v>
      </c>
      <c r="D472" s="2" t="s">
        <v>27</v>
      </c>
      <c r="E472" s="2">
        <v>18</v>
      </c>
      <c r="F472" s="2">
        <v>2</v>
      </c>
      <c r="G472" s="2">
        <v>353</v>
      </c>
      <c r="H472" s="2">
        <v>0.36299999999999999</v>
      </c>
      <c r="I472" s="2">
        <v>19.3</v>
      </c>
      <c r="J472" s="2">
        <v>0.27500000000000002</v>
      </c>
      <c r="K472" s="2">
        <v>0.16500000000000001</v>
      </c>
      <c r="L472" s="2">
        <v>8.7999999999999995E-2</v>
      </c>
      <c r="M472" s="2">
        <v>1.0999999999999999E-2</v>
      </c>
      <c r="N472" s="2">
        <v>1.0999999999999999E-2</v>
      </c>
      <c r="O472" s="2">
        <v>0.72499999999999998</v>
      </c>
      <c r="P472" s="2">
        <v>0.44</v>
      </c>
      <c r="Q472" s="2">
        <v>0.53300000000000003</v>
      </c>
      <c r="R472" s="2">
        <v>0.375</v>
      </c>
      <c r="S472" s="2">
        <v>0</v>
      </c>
      <c r="T472" s="2">
        <v>0</v>
      </c>
      <c r="U472" s="2">
        <v>0.33300000000000002</v>
      </c>
      <c r="V472" s="2">
        <v>0.81799999999999995</v>
      </c>
      <c r="W472" s="2">
        <v>1</v>
      </c>
      <c r="X472" s="2">
        <v>4.3999999999999997E-2</v>
      </c>
      <c r="Y472" s="2">
        <v>4</v>
      </c>
      <c r="Z472" s="2">
        <v>0.21199999999999999</v>
      </c>
      <c r="AA472" s="2">
        <v>0.35699999999999998</v>
      </c>
      <c r="AB472" s="2">
        <v>0</v>
      </c>
      <c r="AC472" s="2">
        <v>0</v>
      </c>
    </row>
    <row r="473" spans="1:29" x14ac:dyDescent="0.2">
      <c r="A473" t="s">
        <v>205</v>
      </c>
      <c r="B473" s="2">
        <v>24</v>
      </c>
      <c r="C473" t="s">
        <v>117</v>
      </c>
      <c r="D473" s="2" t="s">
        <v>49</v>
      </c>
      <c r="E473" s="2">
        <v>13</v>
      </c>
      <c r="F473" s="2">
        <v>11</v>
      </c>
      <c r="G473" s="2">
        <v>438</v>
      </c>
      <c r="H473" s="2">
        <v>0.42599999999999999</v>
      </c>
      <c r="I473" s="2">
        <v>17.2</v>
      </c>
      <c r="J473" s="2">
        <v>0.436</v>
      </c>
      <c r="K473" s="2">
        <v>0.20699999999999999</v>
      </c>
      <c r="L473" s="2">
        <v>0.154</v>
      </c>
      <c r="M473" s="2">
        <v>3.6999999999999998E-2</v>
      </c>
      <c r="N473" s="2">
        <v>3.6999999999999998E-2</v>
      </c>
      <c r="O473" s="2">
        <v>0.56399999999999995</v>
      </c>
      <c r="P473" s="2">
        <v>0.53700000000000003</v>
      </c>
      <c r="Q473" s="2">
        <v>0.74399999999999999</v>
      </c>
      <c r="R473" s="2">
        <v>0.24099999999999999</v>
      </c>
      <c r="S473" s="2">
        <v>0.57099999999999995</v>
      </c>
      <c r="T473" s="2">
        <v>0.57099999999999995</v>
      </c>
      <c r="U473" s="2">
        <v>0.34</v>
      </c>
      <c r="V473" s="2">
        <v>0.77300000000000002</v>
      </c>
      <c r="W473" s="2">
        <v>0.88900000000000001</v>
      </c>
      <c r="X473" s="2">
        <v>6.9000000000000006E-2</v>
      </c>
      <c r="Y473" s="2">
        <v>13</v>
      </c>
      <c r="Z473" s="2">
        <v>0.17899999999999999</v>
      </c>
      <c r="AA473" s="2">
        <v>0.316</v>
      </c>
      <c r="AB473" s="2">
        <v>0</v>
      </c>
      <c r="AC473" s="2">
        <v>0</v>
      </c>
    </row>
    <row r="474" spans="1:29" x14ac:dyDescent="0.2">
      <c r="A474" t="s">
        <v>268</v>
      </c>
      <c r="B474" s="2">
        <v>23</v>
      </c>
      <c r="C474" t="s">
        <v>48</v>
      </c>
      <c r="D474" s="2" t="s">
        <v>49</v>
      </c>
      <c r="E474" s="2">
        <v>23</v>
      </c>
      <c r="F474" s="2">
        <v>16</v>
      </c>
      <c r="G474" s="2">
        <v>523</v>
      </c>
      <c r="H474" s="2">
        <v>0.40699999999999997</v>
      </c>
      <c r="I474" s="2">
        <v>15.2</v>
      </c>
      <c r="J474" s="2">
        <v>0.49299999999999999</v>
      </c>
      <c r="K474" s="2">
        <v>0.24</v>
      </c>
      <c r="L474" s="2">
        <v>0.187</v>
      </c>
      <c r="M474" s="2">
        <v>2.7E-2</v>
      </c>
      <c r="N474" s="2">
        <v>0.04</v>
      </c>
      <c r="O474" s="2">
        <v>0.50700000000000001</v>
      </c>
      <c r="P474" s="2">
        <v>0.48599999999999999</v>
      </c>
      <c r="Q474" s="2">
        <v>0.61099999999999999</v>
      </c>
      <c r="R474" s="2">
        <v>0.42899999999999999</v>
      </c>
      <c r="S474" s="2">
        <v>0.5</v>
      </c>
      <c r="T474" s="2">
        <v>0</v>
      </c>
      <c r="U474" s="2">
        <v>0.32900000000000001</v>
      </c>
      <c r="V474" s="2">
        <v>0.72199999999999998</v>
      </c>
      <c r="W474" s="2">
        <v>1</v>
      </c>
      <c r="X474" s="2">
        <v>8.6999999999999994E-2</v>
      </c>
      <c r="Y474" s="2">
        <v>10</v>
      </c>
      <c r="Z474" s="2">
        <v>0.40799999999999997</v>
      </c>
      <c r="AA474" s="2">
        <v>0.38700000000000001</v>
      </c>
      <c r="AB474" s="2">
        <v>1</v>
      </c>
      <c r="AC474" s="2">
        <v>0</v>
      </c>
    </row>
    <row r="475" spans="1:29" x14ac:dyDescent="0.2">
      <c r="A475" t="s">
        <v>451</v>
      </c>
      <c r="B475" s="2">
        <v>33</v>
      </c>
      <c r="C475" t="s">
        <v>57</v>
      </c>
      <c r="D475" s="2" t="s">
        <v>27</v>
      </c>
      <c r="E475" s="2">
        <v>8</v>
      </c>
      <c r="F475" s="2">
        <v>0</v>
      </c>
      <c r="G475" s="2">
        <v>58</v>
      </c>
      <c r="H475" s="2">
        <v>0.68400000000000005</v>
      </c>
      <c r="I475" s="2">
        <v>5.0999999999999996</v>
      </c>
      <c r="J475" s="2">
        <v>0.94699999999999995</v>
      </c>
      <c r="K475" s="2">
        <v>0.57899999999999996</v>
      </c>
      <c r="L475" s="2">
        <v>0.316</v>
      </c>
      <c r="M475" s="2">
        <v>5.2999999999999999E-2</v>
      </c>
      <c r="N475" s="2">
        <v>0</v>
      </c>
      <c r="O475" s="2">
        <v>5.2999999999999999E-2</v>
      </c>
      <c r="P475" s="2">
        <v>0.72199999999999998</v>
      </c>
      <c r="Q475" s="2">
        <v>0.81799999999999995</v>
      </c>
      <c r="R475" s="2">
        <v>0.66700000000000004</v>
      </c>
      <c r="S475" s="2">
        <v>0</v>
      </c>
      <c r="T475" s="2"/>
      <c r="U475" s="2">
        <v>0</v>
      </c>
      <c r="V475" s="2">
        <v>0.69199999999999995</v>
      </c>
      <c r="W475" s="2"/>
      <c r="X475" s="2">
        <v>0.158</v>
      </c>
      <c r="Y475" s="2">
        <v>3</v>
      </c>
      <c r="Z475" s="2">
        <v>0</v>
      </c>
      <c r="AA475" s="2"/>
      <c r="AB475" s="2">
        <v>0</v>
      </c>
      <c r="AC475" s="2">
        <v>0</v>
      </c>
    </row>
    <row r="476" spans="1:29" x14ac:dyDescent="0.2">
      <c r="A476" t="s">
        <v>538</v>
      </c>
      <c r="B476" s="2">
        <v>23</v>
      </c>
      <c r="C476" t="s">
        <v>82</v>
      </c>
      <c r="D476" s="2" t="s">
        <v>52</v>
      </c>
      <c r="E476" s="2">
        <v>5</v>
      </c>
      <c r="F476" s="2">
        <v>0</v>
      </c>
      <c r="G476" s="2">
        <v>8</v>
      </c>
      <c r="H476" s="2">
        <v>0.16700000000000001</v>
      </c>
      <c r="I476" s="2">
        <v>16.8</v>
      </c>
      <c r="J476" s="2">
        <v>0.5</v>
      </c>
      <c r="K476" s="2">
        <v>0.16700000000000001</v>
      </c>
      <c r="L476" s="2">
        <v>0.16700000000000001</v>
      </c>
      <c r="M476" s="2">
        <v>0.16700000000000001</v>
      </c>
      <c r="N476" s="2">
        <v>0</v>
      </c>
      <c r="O476" s="2">
        <v>0.5</v>
      </c>
      <c r="P476" s="2">
        <v>0.33300000000000002</v>
      </c>
      <c r="Q476" s="2">
        <v>1</v>
      </c>
      <c r="R476" s="2">
        <v>0</v>
      </c>
      <c r="S476" s="2">
        <v>0</v>
      </c>
      <c r="T476" s="2"/>
      <c r="U476" s="2">
        <v>0</v>
      </c>
      <c r="V476" s="2">
        <v>0</v>
      </c>
      <c r="W476" s="2"/>
      <c r="X476" s="2">
        <v>0</v>
      </c>
      <c r="Y476" s="2">
        <v>0</v>
      </c>
      <c r="Z476" s="2">
        <v>0</v>
      </c>
      <c r="AA476" s="2"/>
      <c r="AB476" s="2">
        <v>0</v>
      </c>
      <c r="AC476" s="2">
        <v>0</v>
      </c>
    </row>
    <row r="477" spans="1:29" x14ac:dyDescent="0.2">
      <c r="A477" t="s">
        <v>180</v>
      </c>
      <c r="B477" s="2">
        <v>27</v>
      </c>
      <c r="C477" t="s">
        <v>57</v>
      </c>
      <c r="D477" s="2" t="s">
        <v>52</v>
      </c>
      <c r="E477" s="2">
        <v>24</v>
      </c>
      <c r="F477" s="2">
        <v>2</v>
      </c>
      <c r="G477" s="2">
        <v>441</v>
      </c>
      <c r="H477" s="2">
        <v>0.55100000000000005</v>
      </c>
      <c r="I477" s="2">
        <v>14.4</v>
      </c>
      <c r="J477" s="2">
        <v>0.60699999999999998</v>
      </c>
      <c r="K477" s="2">
        <v>0.23</v>
      </c>
      <c r="L477" s="2">
        <v>0.23599999999999999</v>
      </c>
      <c r="M477" s="2">
        <v>0.107</v>
      </c>
      <c r="N477" s="2">
        <v>3.4000000000000002E-2</v>
      </c>
      <c r="O477" s="2">
        <v>0.39300000000000002</v>
      </c>
      <c r="P477" s="2">
        <v>0.60199999999999998</v>
      </c>
      <c r="Q477" s="2">
        <v>0.53700000000000003</v>
      </c>
      <c r="R477" s="2">
        <v>0.66700000000000004</v>
      </c>
      <c r="S477" s="2">
        <v>0.63200000000000001</v>
      </c>
      <c r="T477" s="2">
        <v>0.5</v>
      </c>
      <c r="U477" s="2">
        <v>0.47099999999999997</v>
      </c>
      <c r="V477" s="2">
        <v>0.29199999999999998</v>
      </c>
      <c r="W477" s="2">
        <v>0.63600000000000001</v>
      </c>
      <c r="X477" s="2">
        <v>0</v>
      </c>
      <c r="Y477" s="2">
        <v>0</v>
      </c>
      <c r="Z477" s="2">
        <v>0.214</v>
      </c>
      <c r="AA477" s="2">
        <v>0.46700000000000003</v>
      </c>
      <c r="AB477" s="2">
        <v>1</v>
      </c>
      <c r="AC477" s="2">
        <v>0</v>
      </c>
    </row>
    <row r="478" spans="1:29" x14ac:dyDescent="0.2">
      <c r="A478" t="s">
        <v>60</v>
      </c>
      <c r="B478" s="2">
        <v>25</v>
      </c>
      <c r="C478" t="s">
        <v>61</v>
      </c>
      <c r="D478" s="2" t="s">
        <v>52</v>
      </c>
      <c r="E478" s="2">
        <v>23</v>
      </c>
      <c r="F478" s="2">
        <v>23</v>
      </c>
      <c r="G478" s="2">
        <v>797</v>
      </c>
      <c r="H478" s="2">
        <v>0.48399999999999999</v>
      </c>
      <c r="I478" s="2">
        <v>17.3</v>
      </c>
      <c r="J478" s="2">
        <v>0.433</v>
      </c>
      <c r="K478" s="2">
        <v>0.17399999999999999</v>
      </c>
      <c r="L478" s="2">
        <v>0.191</v>
      </c>
      <c r="M478" s="2">
        <v>4.8000000000000001E-2</v>
      </c>
      <c r="N478" s="2">
        <v>0.02</v>
      </c>
      <c r="O478" s="2">
        <v>0.56699999999999995</v>
      </c>
      <c r="P478" s="2">
        <v>0.55800000000000005</v>
      </c>
      <c r="Q478" s="2">
        <v>0.69599999999999995</v>
      </c>
      <c r="R478" s="2">
        <v>0.46100000000000002</v>
      </c>
      <c r="S478" s="2">
        <v>0.47399999999999998</v>
      </c>
      <c r="T478" s="2">
        <v>0.5</v>
      </c>
      <c r="U478" s="2">
        <v>0.42699999999999999</v>
      </c>
      <c r="V478" s="2">
        <v>0.33300000000000002</v>
      </c>
      <c r="W478" s="2">
        <v>0.72899999999999998</v>
      </c>
      <c r="X478" s="2">
        <v>8.0000000000000002E-3</v>
      </c>
      <c r="Y478" s="2">
        <v>3</v>
      </c>
      <c r="Z478" s="2">
        <v>0.13300000000000001</v>
      </c>
      <c r="AA478" s="2">
        <v>0.433</v>
      </c>
      <c r="AB478" s="2">
        <v>1</v>
      </c>
      <c r="AC478" s="2">
        <v>0</v>
      </c>
    </row>
    <row r="479" spans="1:29" x14ac:dyDescent="0.2">
      <c r="A479" t="s">
        <v>411</v>
      </c>
      <c r="B479" s="2">
        <v>23</v>
      </c>
      <c r="C479" t="s">
        <v>44</v>
      </c>
      <c r="D479" s="2" t="s">
        <v>33</v>
      </c>
      <c r="E479" s="2">
        <v>16</v>
      </c>
      <c r="F479" s="2">
        <v>0</v>
      </c>
      <c r="G479" s="2">
        <v>110</v>
      </c>
      <c r="H479" s="2">
        <v>0.432</v>
      </c>
      <c r="I479" s="2">
        <v>18.5</v>
      </c>
      <c r="J479" s="2">
        <v>0.40500000000000003</v>
      </c>
      <c r="K479" s="2">
        <v>0.108</v>
      </c>
      <c r="L479" s="2">
        <v>0.16200000000000001</v>
      </c>
      <c r="M479" s="2">
        <v>0.108</v>
      </c>
      <c r="N479" s="2">
        <v>2.7E-2</v>
      </c>
      <c r="O479" s="2">
        <v>0.59499999999999997</v>
      </c>
      <c r="P479" s="2">
        <v>0.4</v>
      </c>
      <c r="Q479" s="2">
        <v>0.25</v>
      </c>
      <c r="R479" s="2">
        <v>0.33300000000000002</v>
      </c>
      <c r="S479" s="2">
        <v>0.5</v>
      </c>
      <c r="T479" s="2">
        <v>1</v>
      </c>
      <c r="U479" s="2">
        <v>0.45500000000000002</v>
      </c>
      <c r="V479" s="2">
        <v>0.16700000000000001</v>
      </c>
      <c r="W479" s="2">
        <v>1</v>
      </c>
      <c r="X479" s="2">
        <v>0</v>
      </c>
      <c r="Y479" s="2">
        <v>0</v>
      </c>
      <c r="Z479" s="2">
        <v>0.22700000000000001</v>
      </c>
      <c r="AA479" s="2">
        <v>0.6</v>
      </c>
      <c r="AB479" s="2">
        <v>1</v>
      </c>
      <c r="AC479" s="2">
        <v>0</v>
      </c>
    </row>
    <row r="480" spans="1:29" x14ac:dyDescent="0.2">
      <c r="A480" t="s">
        <v>469</v>
      </c>
      <c r="B480" s="2">
        <v>20</v>
      </c>
      <c r="C480" t="s">
        <v>35</v>
      </c>
      <c r="D480" s="2" t="s">
        <v>27</v>
      </c>
      <c r="E480" s="2">
        <v>10</v>
      </c>
      <c r="F480" s="2">
        <v>0</v>
      </c>
      <c r="G480" s="2">
        <v>34</v>
      </c>
      <c r="H480" s="2">
        <v>0.61499999999999999</v>
      </c>
      <c r="I480" s="2">
        <v>16.8</v>
      </c>
      <c r="J480" s="2">
        <v>0.38500000000000001</v>
      </c>
      <c r="K480" s="2">
        <v>0.154</v>
      </c>
      <c r="L480" s="2">
        <v>0.23100000000000001</v>
      </c>
      <c r="M480" s="2">
        <v>0</v>
      </c>
      <c r="N480" s="2">
        <v>0</v>
      </c>
      <c r="O480" s="2">
        <v>0.61499999999999999</v>
      </c>
      <c r="P480" s="2">
        <v>1</v>
      </c>
      <c r="Q480" s="2">
        <v>1</v>
      </c>
      <c r="R480" s="2">
        <v>1</v>
      </c>
      <c r="S480" s="2"/>
      <c r="T480" s="2"/>
      <c r="U480" s="2">
        <v>0.375</v>
      </c>
      <c r="V480" s="2">
        <v>0.8</v>
      </c>
      <c r="W480" s="2">
        <v>0.66700000000000004</v>
      </c>
      <c r="X480" s="2">
        <v>0.154</v>
      </c>
      <c r="Y480" s="2">
        <v>2</v>
      </c>
      <c r="Z480" s="2">
        <v>0.375</v>
      </c>
      <c r="AA480" s="2">
        <v>0.33300000000000002</v>
      </c>
      <c r="AB480" s="2">
        <v>0</v>
      </c>
      <c r="AC480" s="2">
        <v>0</v>
      </c>
    </row>
    <row r="481" spans="1:29" x14ac:dyDescent="0.2">
      <c r="A481" t="s">
        <v>97</v>
      </c>
      <c r="B481" s="2">
        <v>24</v>
      </c>
      <c r="C481" t="s">
        <v>82</v>
      </c>
      <c r="D481" s="2" t="s">
        <v>33</v>
      </c>
      <c r="E481" s="2">
        <v>25</v>
      </c>
      <c r="F481" s="2">
        <v>25</v>
      </c>
      <c r="G481" s="2">
        <v>884</v>
      </c>
      <c r="H481" s="2">
        <v>0.42</v>
      </c>
      <c r="I481" s="2">
        <v>20.2</v>
      </c>
      <c r="J481" s="2">
        <v>0.40899999999999997</v>
      </c>
      <c r="K481" s="2">
        <v>0.09</v>
      </c>
      <c r="L481" s="2">
        <v>0.13400000000000001</v>
      </c>
      <c r="M481" s="2">
        <v>0.106</v>
      </c>
      <c r="N481" s="2">
        <v>7.8E-2</v>
      </c>
      <c r="O481" s="2">
        <v>0.59099999999999997</v>
      </c>
      <c r="P481" s="2">
        <v>0.54100000000000004</v>
      </c>
      <c r="Q481" s="2">
        <v>0.71899999999999997</v>
      </c>
      <c r="R481" s="2">
        <v>0.54200000000000004</v>
      </c>
      <c r="S481" s="2">
        <v>0.47399999999999998</v>
      </c>
      <c r="T481" s="2">
        <v>0.42899999999999999</v>
      </c>
      <c r="U481" s="2">
        <v>0.33600000000000002</v>
      </c>
      <c r="V481" s="2">
        <v>0.39200000000000002</v>
      </c>
      <c r="W481" s="2">
        <v>0.50700000000000001</v>
      </c>
      <c r="X481" s="2">
        <v>1.0999999999999999E-2</v>
      </c>
      <c r="Y481" s="2">
        <v>3</v>
      </c>
      <c r="Z481" s="2">
        <v>6.2E-2</v>
      </c>
      <c r="AA481" s="2">
        <v>0.46200000000000002</v>
      </c>
      <c r="AB481" s="2">
        <v>6</v>
      </c>
      <c r="AC481" s="2">
        <v>0</v>
      </c>
    </row>
    <row r="482" spans="1:29" x14ac:dyDescent="0.2">
      <c r="A482" t="s">
        <v>383</v>
      </c>
      <c r="B482" s="2">
        <v>25</v>
      </c>
      <c r="C482" t="s">
        <v>103</v>
      </c>
      <c r="D482" s="2" t="s">
        <v>52</v>
      </c>
      <c r="E482" s="2">
        <v>9</v>
      </c>
      <c r="F482" s="2">
        <v>2</v>
      </c>
      <c r="G482" s="2">
        <v>132</v>
      </c>
      <c r="H482" s="2">
        <v>0.5</v>
      </c>
      <c r="I482" s="2">
        <v>19.8</v>
      </c>
      <c r="J482" s="2">
        <v>0.25</v>
      </c>
      <c r="K482" s="2">
        <v>0.13600000000000001</v>
      </c>
      <c r="L482" s="2">
        <v>9.0999999999999998E-2</v>
      </c>
      <c r="M482" s="2">
        <v>2.3E-2</v>
      </c>
      <c r="N482" s="2">
        <v>0</v>
      </c>
      <c r="O482" s="2">
        <v>0.75</v>
      </c>
      <c r="P482" s="2">
        <v>0.45500000000000002</v>
      </c>
      <c r="Q482" s="2">
        <v>0.66700000000000004</v>
      </c>
      <c r="R482" s="2">
        <v>0.25</v>
      </c>
      <c r="S482" s="2">
        <v>0</v>
      </c>
      <c r="T482" s="2"/>
      <c r="U482" s="2">
        <v>0.51500000000000001</v>
      </c>
      <c r="V482" s="2">
        <v>0.6</v>
      </c>
      <c r="W482" s="2">
        <v>1</v>
      </c>
      <c r="X482" s="2">
        <v>0</v>
      </c>
      <c r="Y482" s="2">
        <v>0</v>
      </c>
      <c r="Z482" s="2">
        <v>0.33300000000000002</v>
      </c>
      <c r="AA482" s="2">
        <v>0.45500000000000002</v>
      </c>
      <c r="AB482" s="2">
        <v>0</v>
      </c>
      <c r="AC482" s="2">
        <v>0</v>
      </c>
    </row>
    <row r="483" spans="1:29" x14ac:dyDescent="0.2">
      <c r="A483" t="s">
        <v>121</v>
      </c>
      <c r="B483" s="2">
        <v>24</v>
      </c>
      <c r="C483" t="s">
        <v>122</v>
      </c>
      <c r="D483" s="2" t="s">
        <v>33</v>
      </c>
      <c r="E483" s="2">
        <v>16</v>
      </c>
      <c r="F483" s="2">
        <v>16</v>
      </c>
      <c r="G483" s="2">
        <v>587</v>
      </c>
      <c r="H483" s="2">
        <v>0.40600000000000003</v>
      </c>
      <c r="I483" s="2">
        <v>15.1</v>
      </c>
      <c r="J483" s="2">
        <v>0.55900000000000005</v>
      </c>
      <c r="K483" s="2">
        <v>0.221</v>
      </c>
      <c r="L483" s="2">
        <v>0.22600000000000001</v>
      </c>
      <c r="M483" s="2">
        <v>7.0999999999999994E-2</v>
      </c>
      <c r="N483" s="2">
        <v>4.1000000000000002E-2</v>
      </c>
      <c r="O483" s="2">
        <v>0.441</v>
      </c>
      <c r="P483" s="2">
        <v>0.495</v>
      </c>
      <c r="Q483" s="2">
        <v>0.58699999999999997</v>
      </c>
      <c r="R483" s="2">
        <v>0.442</v>
      </c>
      <c r="S483" s="2">
        <v>0.5</v>
      </c>
      <c r="T483" s="2">
        <v>0.28599999999999998</v>
      </c>
      <c r="U483" s="2">
        <v>0.29299999999999998</v>
      </c>
      <c r="V483" s="2">
        <v>0.191</v>
      </c>
      <c r="W483" s="2">
        <v>0.38600000000000001</v>
      </c>
      <c r="X483" s="2">
        <v>1.4999999999999999E-2</v>
      </c>
      <c r="Y483" s="2">
        <v>5</v>
      </c>
      <c r="Z483" s="2">
        <v>8.6999999999999994E-2</v>
      </c>
      <c r="AA483" s="2">
        <v>0.308</v>
      </c>
      <c r="AB483" s="2">
        <v>1</v>
      </c>
      <c r="AC483" s="2">
        <v>0</v>
      </c>
    </row>
    <row r="484" spans="1:29" x14ac:dyDescent="0.2">
      <c r="A484" t="s">
        <v>505</v>
      </c>
      <c r="B484" s="2">
        <v>23</v>
      </c>
      <c r="C484" t="s">
        <v>54</v>
      </c>
      <c r="D484" s="2" t="s">
        <v>33</v>
      </c>
      <c r="E484" s="2">
        <v>3</v>
      </c>
      <c r="F484" s="2">
        <v>0</v>
      </c>
      <c r="G484" s="2">
        <v>27</v>
      </c>
      <c r="H484" s="2">
        <v>0.5</v>
      </c>
      <c r="I484" s="2">
        <v>14.6</v>
      </c>
      <c r="J484" s="2">
        <v>0.5</v>
      </c>
      <c r="K484" s="2">
        <v>0</v>
      </c>
      <c r="L484" s="2">
        <v>0.5</v>
      </c>
      <c r="M484" s="2">
        <v>0</v>
      </c>
      <c r="N484" s="2">
        <v>0</v>
      </c>
      <c r="O484" s="2">
        <v>0.5</v>
      </c>
      <c r="P484" s="2">
        <v>0.33300000000000002</v>
      </c>
      <c r="Q484" s="2"/>
      <c r="R484" s="2">
        <v>0.33300000000000002</v>
      </c>
      <c r="S484" s="2"/>
      <c r="T484" s="2"/>
      <c r="U484" s="2">
        <v>0.66700000000000004</v>
      </c>
      <c r="V484" s="2">
        <v>1</v>
      </c>
      <c r="W484" s="2">
        <v>1</v>
      </c>
      <c r="X484" s="2">
        <v>0</v>
      </c>
      <c r="Y484" s="2">
        <v>0</v>
      </c>
      <c r="Z484" s="2">
        <v>0.66700000000000004</v>
      </c>
      <c r="AA484" s="2">
        <v>0.5</v>
      </c>
      <c r="AB484" s="2">
        <v>0</v>
      </c>
      <c r="AC484" s="2">
        <v>0</v>
      </c>
    </row>
    <row r="485" spans="1:29" x14ac:dyDescent="0.2">
      <c r="A485" t="s">
        <v>171</v>
      </c>
      <c r="B485" s="2">
        <v>28</v>
      </c>
      <c r="C485" t="s">
        <v>54</v>
      </c>
      <c r="D485" s="2" t="s">
        <v>33</v>
      </c>
      <c r="E485" s="2">
        <v>23</v>
      </c>
      <c r="F485" s="2">
        <v>23</v>
      </c>
      <c r="G485" s="2">
        <v>742</v>
      </c>
      <c r="H485" s="2">
        <v>0.47099999999999997</v>
      </c>
      <c r="I485" s="2">
        <v>17.399999999999999</v>
      </c>
      <c r="J485" s="2">
        <v>0.44500000000000001</v>
      </c>
      <c r="K485" s="2">
        <v>8.4000000000000005E-2</v>
      </c>
      <c r="L485" s="2">
        <v>0.20300000000000001</v>
      </c>
      <c r="M485" s="2">
        <v>0.13700000000000001</v>
      </c>
      <c r="N485" s="2">
        <v>2.1999999999999999E-2</v>
      </c>
      <c r="O485" s="2">
        <v>0.55500000000000005</v>
      </c>
      <c r="P485" s="2">
        <v>0.54500000000000004</v>
      </c>
      <c r="Q485" s="2">
        <v>0.94699999999999995</v>
      </c>
      <c r="R485" s="2">
        <v>0.56499999999999995</v>
      </c>
      <c r="S485" s="2">
        <v>0.25800000000000001</v>
      </c>
      <c r="T485" s="2">
        <v>0.6</v>
      </c>
      <c r="U485" s="2">
        <v>0.41299999999999998</v>
      </c>
      <c r="V485" s="2">
        <v>0.41799999999999998</v>
      </c>
      <c r="W485" s="2">
        <v>0.88500000000000001</v>
      </c>
      <c r="X485" s="2">
        <v>0</v>
      </c>
      <c r="Y485" s="2">
        <v>0</v>
      </c>
      <c r="Z485" s="2">
        <v>0.373</v>
      </c>
      <c r="AA485" s="2">
        <v>0.48899999999999999</v>
      </c>
      <c r="AB485" s="2">
        <v>0</v>
      </c>
      <c r="AC485" s="2">
        <v>0</v>
      </c>
    </row>
    <row r="486" spans="1:29" x14ac:dyDescent="0.2">
      <c r="A486" t="s">
        <v>544</v>
      </c>
      <c r="B486" s="2">
        <v>19</v>
      </c>
      <c r="C486" t="s">
        <v>66</v>
      </c>
      <c r="D486" s="2" t="s">
        <v>27</v>
      </c>
      <c r="E486" s="2">
        <v>1</v>
      </c>
      <c r="F486" s="2">
        <v>0</v>
      </c>
      <c r="G486" s="2">
        <v>5</v>
      </c>
      <c r="H486" s="2">
        <v>1</v>
      </c>
      <c r="I486" s="2">
        <v>10.5</v>
      </c>
      <c r="J486" s="2">
        <v>1</v>
      </c>
      <c r="K486" s="2">
        <v>0</v>
      </c>
      <c r="L486" s="2">
        <v>0</v>
      </c>
      <c r="M486" s="2">
        <v>1</v>
      </c>
      <c r="N486" s="2">
        <v>0</v>
      </c>
      <c r="O486" s="2">
        <v>0</v>
      </c>
      <c r="P486" s="2">
        <v>1</v>
      </c>
      <c r="Q486" s="2"/>
      <c r="R486" s="2"/>
      <c r="S486" s="2">
        <v>1</v>
      </c>
      <c r="T486" s="2"/>
      <c r="U486" s="2"/>
      <c r="V486" s="2">
        <v>1</v>
      </c>
      <c r="W486" s="2"/>
      <c r="X486" s="2">
        <v>0</v>
      </c>
      <c r="Y486" s="2">
        <v>0</v>
      </c>
      <c r="Z486" s="2"/>
      <c r="AA486" s="2"/>
      <c r="AB486" s="2">
        <v>0</v>
      </c>
      <c r="AC486" s="2">
        <v>0</v>
      </c>
    </row>
    <row r="487" spans="1:29" x14ac:dyDescent="0.2">
      <c r="A487" t="s">
        <v>336</v>
      </c>
      <c r="B487" s="2">
        <v>31</v>
      </c>
      <c r="C487" t="s">
        <v>59</v>
      </c>
      <c r="D487" s="2" t="s">
        <v>33</v>
      </c>
      <c r="E487" s="2">
        <v>13</v>
      </c>
      <c r="F487" s="2">
        <v>6</v>
      </c>
      <c r="G487" s="2">
        <v>283</v>
      </c>
      <c r="H487" s="2">
        <v>0.36899999999999999</v>
      </c>
      <c r="I487" s="2">
        <v>16.2</v>
      </c>
      <c r="J487" s="2">
        <v>0.58299999999999996</v>
      </c>
      <c r="K487" s="2">
        <v>0.17499999999999999</v>
      </c>
      <c r="L487" s="2">
        <v>0.13600000000000001</v>
      </c>
      <c r="M487" s="2">
        <v>0.16500000000000001</v>
      </c>
      <c r="N487" s="2">
        <v>0.107</v>
      </c>
      <c r="O487" s="2">
        <v>0.41699999999999998</v>
      </c>
      <c r="P487" s="2">
        <v>0.35</v>
      </c>
      <c r="Q487" s="2">
        <v>0.5</v>
      </c>
      <c r="R487" s="2">
        <v>0.28599999999999998</v>
      </c>
      <c r="S487" s="2">
        <v>0.29399999999999998</v>
      </c>
      <c r="T487" s="2">
        <v>0.27300000000000002</v>
      </c>
      <c r="U487" s="2">
        <v>0.39500000000000002</v>
      </c>
      <c r="V487" s="2">
        <v>0.19</v>
      </c>
      <c r="W487" s="2">
        <v>0.47099999999999997</v>
      </c>
      <c r="X487" s="2">
        <v>0</v>
      </c>
      <c r="Y487" s="2">
        <v>0</v>
      </c>
      <c r="Z487" s="2">
        <v>4.7E-2</v>
      </c>
      <c r="AA487" s="2">
        <v>0.5</v>
      </c>
      <c r="AB487" s="2">
        <v>0</v>
      </c>
      <c r="AC487" s="2">
        <v>0</v>
      </c>
    </row>
    <row r="488" spans="1:29" x14ac:dyDescent="0.2">
      <c r="A488" t="s">
        <v>92</v>
      </c>
      <c r="B488" s="2">
        <v>21</v>
      </c>
      <c r="C488" t="s">
        <v>93</v>
      </c>
      <c r="D488" s="2" t="s">
        <v>42</v>
      </c>
      <c r="E488" s="2">
        <v>19</v>
      </c>
      <c r="F488" s="2">
        <v>19</v>
      </c>
      <c r="G488" s="2">
        <v>611</v>
      </c>
      <c r="H488" s="2">
        <v>0.48</v>
      </c>
      <c r="I488" s="2">
        <v>17.100000000000001</v>
      </c>
      <c r="J488" s="2">
        <v>0.497</v>
      </c>
      <c r="K488" s="2">
        <v>0.221</v>
      </c>
      <c r="L488" s="2">
        <v>0.113</v>
      </c>
      <c r="M488" s="2">
        <v>6.0999999999999999E-2</v>
      </c>
      <c r="N488" s="2">
        <v>0.10199999999999999</v>
      </c>
      <c r="O488" s="2">
        <v>0.503</v>
      </c>
      <c r="P488" s="2">
        <v>0.62</v>
      </c>
      <c r="Q488" s="2">
        <v>0.84199999999999997</v>
      </c>
      <c r="R488" s="2">
        <v>0.51300000000000001</v>
      </c>
      <c r="S488" s="2">
        <v>0.47599999999999998</v>
      </c>
      <c r="T488" s="2">
        <v>0.34300000000000003</v>
      </c>
      <c r="U488" s="2">
        <v>0.34100000000000003</v>
      </c>
      <c r="V488" s="2">
        <v>0.61299999999999999</v>
      </c>
      <c r="W488" s="2">
        <v>0.83099999999999996</v>
      </c>
      <c r="X488" s="2">
        <v>0.122</v>
      </c>
      <c r="Y488" s="2">
        <v>38</v>
      </c>
      <c r="Z488" s="2">
        <v>4.5999999999999999E-2</v>
      </c>
      <c r="AA488" s="2">
        <v>0.125</v>
      </c>
      <c r="AB488" s="2">
        <v>0</v>
      </c>
      <c r="AC488" s="2">
        <v>0</v>
      </c>
    </row>
    <row r="489" spans="1:29" x14ac:dyDescent="0.2">
      <c r="A489" t="s">
        <v>483</v>
      </c>
      <c r="B489" s="2">
        <v>24</v>
      </c>
      <c r="C489" t="s">
        <v>80</v>
      </c>
      <c r="D489" s="2" t="s">
        <v>52</v>
      </c>
      <c r="E489" s="2">
        <v>3</v>
      </c>
      <c r="F489" s="2">
        <v>0</v>
      </c>
      <c r="G489" s="2">
        <v>45</v>
      </c>
      <c r="H489" s="2">
        <v>0.36799999999999999</v>
      </c>
      <c r="I489" s="2">
        <v>14.2</v>
      </c>
      <c r="J489" s="2">
        <v>0.57899999999999996</v>
      </c>
      <c r="K489" s="2">
        <v>0.26300000000000001</v>
      </c>
      <c r="L489" s="2">
        <v>0.316</v>
      </c>
      <c r="M489" s="2">
        <v>0</v>
      </c>
      <c r="N489" s="2">
        <v>0</v>
      </c>
      <c r="O489" s="2">
        <v>0.42099999999999999</v>
      </c>
      <c r="P489" s="2">
        <v>0.54500000000000004</v>
      </c>
      <c r="Q489" s="2">
        <v>0.6</v>
      </c>
      <c r="R489" s="2">
        <v>0.5</v>
      </c>
      <c r="S489" s="2"/>
      <c r="T489" s="2"/>
      <c r="U489" s="2">
        <v>0.125</v>
      </c>
      <c r="V489" s="2">
        <v>0.16700000000000001</v>
      </c>
      <c r="W489" s="2">
        <v>1</v>
      </c>
      <c r="X489" s="2">
        <v>5.2999999999999999E-2</v>
      </c>
      <c r="Y489" s="2">
        <v>1</v>
      </c>
      <c r="Z489" s="2">
        <v>0</v>
      </c>
      <c r="AA489" s="2"/>
      <c r="AB489" s="2">
        <v>1</v>
      </c>
      <c r="AC489" s="2">
        <v>0</v>
      </c>
    </row>
    <row r="490" spans="1:29" x14ac:dyDescent="0.2">
      <c r="A490" t="s">
        <v>433</v>
      </c>
      <c r="B490" s="2">
        <v>24</v>
      </c>
      <c r="C490" t="s">
        <v>72</v>
      </c>
      <c r="D490" s="2" t="s">
        <v>33</v>
      </c>
      <c r="E490" s="2">
        <v>12</v>
      </c>
      <c r="F490" s="2">
        <v>0</v>
      </c>
      <c r="G490" s="2">
        <v>140</v>
      </c>
      <c r="H490" s="2">
        <v>0.34300000000000003</v>
      </c>
      <c r="I490" s="2">
        <v>14.3</v>
      </c>
      <c r="J490" s="2">
        <v>0.51400000000000001</v>
      </c>
      <c r="K490" s="2">
        <v>0.28599999999999998</v>
      </c>
      <c r="L490" s="2">
        <v>0.2</v>
      </c>
      <c r="M490" s="2">
        <v>2.9000000000000001E-2</v>
      </c>
      <c r="N490" s="2">
        <v>0</v>
      </c>
      <c r="O490" s="2">
        <v>0.48599999999999999</v>
      </c>
      <c r="P490" s="2">
        <v>0.44400000000000001</v>
      </c>
      <c r="Q490" s="2">
        <v>0.5</v>
      </c>
      <c r="R490" s="2">
        <v>0.42899999999999999</v>
      </c>
      <c r="S490" s="2">
        <v>0</v>
      </c>
      <c r="T490" s="2"/>
      <c r="U490" s="2">
        <v>0.23499999999999999</v>
      </c>
      <c r="V490" s="2">
        <v>0.625</v>
      </c>
      <c r="W490" s="2">
        <v>1</v>
      </c>
      <c r="X490" s="2">
        <v>5.7000000000000002E-2</v>
      </c>
      <c r="Y490" s="2">
        <v>2</v>
      </c>
      <c r="Z490" s="2">
        <v>0.29399999999999998</v>
      </c>
      <c r="AA490" s="2">
        <v>0</v>
      </c>
      <c r="AB490" s="2">
        <v>0</v>
      </c>
      <c r="AC490" s="2">
        <v>0</v>
      </c>
    </row>
    <row r="491" spans="1:29" x14ac:dyDescent="0.2">
      <c r="A491" t="s">
        <v>498</v>
      </c>
      <c r="B491" s="2">
        <v>27</v>
      </c>
      <c r="C491" t="s">
        <v>46</v>
      </c>
      <c r="D491" s="2" t="s">
        <v>27</v>
      </c>
      <c r="E491" s="2">
        <v>4</v>
      </c>
      <c r="F491" s="2">
        <v>0</v>
      </c>
      <c r="G491" s="2">
        <v>34</v>
      </c>
      <c r="H491" s="2">
        <v>0.57099999999999995</v>
      </c>
      <c r="I491" s="2">
        <v>8.8000000000000007</v>
      </c>
      <c r="J491" s="2">
        <v>0.71399999999999997</v>
      </c>
      <c r="K491" s="2">
        <v>0.57099999999999995</v>
      </c>
      <c r="L491" s="2">
        <v>0.14299999999999999</v>
      </c>
      <c r="M491" s="2">
        <v>0</v>
      </c>
      <c r="N491" s="2">
        <v>0</v>
      </c>
      <c r="O491" s="2">
        <v>0.28599999999999998</v>
      </c>
      <c r="P491" s="2">
        <v>0.6</v>
      </c>
      <c r="Q491" s="2">
        <v>0.5</v>
      </c>
      <c r="R491" s="2">
        <v>1</v>
      </c>
      <c r="S491" s="2"/>
      <c r="T491" s="2"/>
      <c r="U491" s="2">
        <v>0.5</v>
      </c>
      <c r="V491" s="2">
        <v>1</v>
      </c>
      <c r="W491" s="2">
        <v>1</v>
      </c>
      <c r="X491" s="2">
        <v>0.28599999999999998</v>
      </c>
      <c r="Y491" s="2">
        <v>2</v>
      </c>
      <c r="Z491" s="2">
        <v>0.5</v>
      </c>
      <c r="AA491" s="2">
        <v>1</v>
      </c>
      <c r="AB491" s="2">
        <v>0</v>
      </c>
      <c r="AC491" s="2">
        <v>0</v>
      </c>
    </row>
    <row r="492" spans="1:29" x14ac:dyDescent="0.2">
      <c r="A492" t="s">
        <v>245</v>
      </c>
      <c r="B492" s="2">
        <v>23</v>
      </c>
      <c r="C492" t="s">
        <v>120</v>
      </c>
      <c r="D492" s="2" t="s">
        <v>42</v>
      </c>
      <c r="E492" s="2">
        <v>17</v>
      </c>
      <c r="F492" s="2">
        <v>17</v>
      </c>
      <c r="G492" s="2">
        <v>495</v>
      </c>
      <c r="H492" s="2">
        <v>0.73099999999999998</v>
      </c>
      <c r="I492" s="2">
        <v>2.4</v>
      </c>
      <c r="J492" s="2">
        <v>1</v>
      </c>
      <c r="K492" s="2">
        <v>0.70399999999999996</v>
      </c>
      <c r="L492" s="2">
        <v>0.27800000000000002</v>
      </c>
      <c r="M492" s="2">
        <v>8.9999999999999993E-3</v>
      </c>
      <c r="N492" s="2">
        <v>8.9999999999999993E-3</v>
      </c>
      <c r="O492" s="2">
        <v>0</v>
      </c>
      <c r="P492" s="2">
        <v>0.73099999999999998</v>
      </c>
      <c r="Q492" s="2">
        <v>0.85499999999999998</v>
      </c>
      <c r="R492" s="2">
        <v>0.46700000000000003</v>
      </c>
      <c r="S492" s="2">
        <v>0</v>
      </c>
      <c r="T492" s="2">
        <v>0</v>
      </c>
      <c r="U492" s="2"/>
      <c r="V492" s="2">
        <v>0.64600000000000002</v>
      </c>
      <c r="W492" s="2"/>
      <c r="X492" s="2">
        <v>0.38900000000000001</v>
      </c>
      <c r="Y492" s="2">
        <v>42</v>
      </c>
      <c r="Z492" s="2"/>
      <c r="AA492" s="2"/>
      <c r="AB492" s="2">
        <v>0</v>
      </c>
      <c r="AC492" s="2">
        <v>0</v>
      </c>
    </row>
    <row r="493" spans="1:29" x14ac:dyDescent="0.2">
      <c r="A493" t="s">
        <v>329</v>
      </c>
      <c r="B493" s="2">
        <v>25</v>
      </c>
      <c r="C493" t="s">
        <v>48</v>
      </c>
      <c r="D493" s="2" t="s">
        <v>42</v>
      </c>
      <c r="E493" s="2">
        <v>14</v>
      </c>
      <c r="F493" s="2">
        <v>14</v>
      </c>
      <c r="G493" s="2">
        <v>362</v>
      </c>
      <c r="H493" s="2">
        <v>0.5</v>
      </c>
      <c r="I493" s="2">
        <v>12.8</v>
      </c>
      <c r="J493" s="2">
        <v>0.59699999999999998</v>
      </c>
      <c r="K493" s="2">
        <v>0.38900000000000001</v>
      </c>
      <c r="L493" s="2">
        <v>9.7000000000000003E-2</v>
      </c>
      <c r="M493" s="2">
        <v>6.9000000000000006E-2</v>
      </c>
      <c r="N493" s="2">
        <v>4.2000000000000003E-2</v>
      </c>
      <c r="O493" s="2">
        <v>0.40300000000000002</v>
      </c>
      <c r="P493" s="2">
        <v>0.72099999999999997</v>
      </c>
      <c r="Q493" s="2">
        <v>0.78600000000000003</v>
      </c>
      <c r="R493" s="2">
        <v>0.85699999999999998</v>
      </c>
      <c r="S493" s="2">
        <v>0.4</v>
      </c>
      <c r="T493" s="2">
        <v>0.33300000000000002</v>
      </c>
      <c r="U493" s="2">
        <v>0.17199999999999999</v>
      </c>
      <c r="V493" s="2">
        <v>0.74199999999999999</v>
      </c>
      <c r="W493" s="2">
        <v>1</v>
      </c>
      <c r="X493" s="2">
        <v>0.26400000000000001</v>
      </c>
      <c r="Y493" s="2">
        <v>18</v>
      </c>
      <c r="Z493" s="2">
        <v>0.379</v>
      </c>
      <c r="AA493" s="2">
        <v>0.27300000000000002</v>
      </c>
      <c r="AB493" s="2">
        <v>0</v>
      </c>
      <c r="AC493" s="2">
        <v>0</v>
      </c>
    </row>
    <row r="494" spans="1:29" x14ac:dyDescent="0.2">
      <c r="A494" t="s">
        <v>402</v>
      </c>
      <c r="B494" s="2">
        <v>23</v>
      </c>
      <c r="C494" t="s">
        <v>75</v>
      </c>
      <c r="D494" s="2" t="s">
        <v>52</v>
      </c>
      <c r="E494" s="2">
        <v>12</v>
      </c>
      <c r="F494" s="2">
        <v>0</v>
      </c>
      <c r="G494" s="2">
        <v>171</v>
      </c>
      <c r="H494" s="2">
        <v>0.52800000000000002</v>
      </c>
      <c r="I494" s="2">
        <v>9.4</v>
      </c>
      <c r="J494" s="2">
        <v>0.75</v>
      </c>
      <c r="K494" s="2">
        <v>0.44400000000000001</v>
      </c>
      <c r="L494" s="2">
        <v>0.222</v>
      </c>
      <c r="M494" s="2">
        <v>2.8000000000000001E-2</v>
      </c>
      <c r="N494" s="2">
        <v>5.6000000000000001E-2</v>
      </c>
      <c r="O494" s="2">
        <v>0.25</v>
      </c>
      <c r="P494" s="2">
        <v>0.59299999999999997</v>
      </c>
      <c r="Q494" s="2">
        <v>0.625</v>
      </c>
      <c r="R494" s="2">
        <v>0.5</v>
      </c>
      <c r="S494" s="2">
        <v>1</v>
      </c>
      <c r="T494" s="2">
        <v>0.5</v>
      </c>
      <c r="U494" s="2">
        <v>0.33300000000000002</v>
      </c>
      <c r="V494" s="2">
        <v>0.75</v>
      </c>
      <c r="W494" s="2">
        <v>0.66700000000000004</v>
      </c>
      <c r="X494" s="2">
        <v>2.8000000000000001E-2</v>
      </c>
      <c r="Y494" s="2">
        <v>1</v>
      </c>
      <c r="Z494" s="2">
        <v>0.55600000000000005</v>
      </c>
      <c r="AA494" s="2">
        <v>0.4</v>
      </c>
      <c r="AB494" s="2">
        <v>0</v>
      </c>
      <c r="AC494" s="2">
        <v>0</v>
      </c>
    </row>
    <row r="495" spans="1:29" x14ac:dyDescent="0.2">
      <c r="A495" t="s">
        <v>477</v>
      </c>
      <c r="B495" s="2">
        <v>26</v>
      </c>
      <c r="C495" t="s">
        <v>39</v>
      </c>
      <c r="D495" s="2" t="s">
        <v>42</v>
      </c>
      <c r="E495" s="2">
        <v>16</v>
      </c>
      <c r="F495" s="2">
        <v>1</v>
      </c>
      <c r="G495" s="2">
        <v>144</v>
      </c>
      <c r="H495" s="2">
        <v>0.25</v>
      </c>
      <c r="I495" s="2">
        <v>16.2</v>
      </c>
      <c r="J495" s="2">
        <v>0.42899999999999999</v>
      </c>
      <c r="K495" s="2">
        <v>0.107</v>
      </c>
      <c r="L495" s="2">
        <v>0.28599999999999998</v>
      </c>
      <c r="M495" s="2">
        <v>3.5999999999999997E-2</v>
      </c>
      <c r="N495" s="2">
        <v>0</v>
      </c>
      <c r="O495" s="2">
        <v>0.57099999999999995</v>
      </c>
      <c r="P495" s="2">
        <v>0.33300000000000002</v>
      </c>
      <c r="Q495" s="2">
        <v>1</v>
      </c>
      <c r="R495" s="2">
        <v>0.125</v>
      </c>
      <c r="S495" s="2">
        <v>0</v>
      </c>
      <c r="T495" s="2"/>
      <c r="U495" s="2">
        <v>0.188</v>
      </c>
      <c r="V495" s="2">
        <v>0.5</v>
      </c>
      <c r="W495" s="2">
        <v>1</v>
      </c>
      <c r="X495" s="2">
        <v>0</v>
      </c>
      <c r="Y495" s="2">
        <v>0</v>
      </c>
      <c r="Z495" s="2">
        <v>0.438</v>
      </c>
      <c r="AA495" s="2">
        <v>0.14299999999999999</v>
      </c>
      <c r="AB495" s="2">
        <v>0</v>
      </c>
      <c r="AC495" s="2">
        <v>0</v>
      </c>
    </row>
    <row r="496" spans="1:29" x14ac:dyDescent="0.2">
      <c r="A496" t="s">
        <v>490</v>
      </c>
      <c r="B496" s="2">
        <v>23</v>
      </c>
      <c r="C496" t="s">
        <v>80</v>
      </c>
      <c r="D496" s="2" t="s">
        <v>33</v>
      </c>
      <c r="E496" s="2">
        <v>13</v>
      </c>
      <c r="F496" s="2">
        <v>0</v>
      </c>
      <c r="G496" s="2">
        <v>40</v>
      </c>
      <c r="H496" s="2">
        <v>0.26700000000000002</v>
      </c>
      <c r="I496" s="2">
        <v>22.6</v>
      </c>
      <c r="J496" s="2">
        <v>0.26700000000000002</v>
      </c>
      <c r="K496" s="2">
        <v>6.7000000000000004E-2</v>
      </c>
      <c r="L496" s="2">
        <v>0</v>
      </c>
      <c r="M496" s="2">
        <v>0.13300000000000001</v>
      </c>
      <c r="N496" s="2">
        <v>6.7000000000000004E-2</v>
      </c>
      <c r="O496" s="2">
        <v>0.73299999999999998</v>
      </c>
      <c r="P496" s="2">
        <v>0.5</v>
      </c>
      <c r="Q496" s="2">
        <v>0</v>
      </c>
      <c r="R496" s="2"/>
      <c r="S496" s="2">
        <v>0.5</v>
      </c>
      <c r="T496" s="2">
        <v>1</v>
      </c>
      <c r="U496" s="2">
        <v>0.182</v>
      </c>
      <c r="V496" s="2">
        <v>0</v>
      </c>
      <c r="W496" s="2">
        <v>0</v>
      </c>
      <c r="X496" s="2">
        <v>0</v>
      </c>
      <c r="Y496" s="2">
        <v>0</v>
      </c>
      <c r="Z496" s="2">
        <v>9.0999999999999998E-2</v>
      </c>
      <c r="AA496" s="2">
        <v>0</v>
      </c>
      <c r="AB496" s="2">
        <v>0</v>
      </c>
      <c r="AC496" s="2">
        <v>0</v>
      </c>
    </row>
    <row r="497" spans="1:29" x14ac:dyDescent="0.2">
      <c r="A497" t="s">
        <v>206</v>
      </c>
      <c r="B497" s="2">
        <v>20</v>
      </c>
      <c r="C497" t="s">
        <v>117</v>
      </c>
      <c r="D497" s="2" t="s">
        <v>42</v>
      </c>
      <c r="E497" s="2">
        <v>25</v>
      </c>
      <c r="F497" s="2">
        <v>19</v>
      </c>
      <c r="G497" s="2">
        <v>634</v>
      </c>
      <c r="H497" s="2">
        <v>0.54800000000000004</v>
      </c>
      <c r="I497" s="2">
        <v>2</v>
      </c>
      <c r="J497" s="2">
        <v>1</v>
      </c>
      <c r="K497" s="2">
        <v>0.79500000000000004</v>
      </c>
      <c r="L497" s="2">
        <v>0.20499999999999999</v>
      </c>
      <c r="M497" s="2">
        <v>0</v>
      </c>
      <c r="N497" s="2">
        <v>0</v>
      </c>
      <c r="O497" s="2">
        <v>0</v>
      </c>
      <c r="P497" s="2">
        <v>0.54800000000000004</v>
      </c>
      <c r="Q497" s="2">
        <v>0.629</v>
      </c>
      <c r="R497" s="2">
        <v>0.23499999999999999</v>
      </c>
      <c r="S497" s="2"/>
      <c r="T497" s="2"/>
      <c r="U497" s="2"/>
      <c r="V497" s="2">
        <v>0.63700000000000001</v>
      </c>
      <c r="W497" s="2"/>
      <c r="X497" s="2">
        <v>0.27700000000000002</v>
      </c>
      <c r="Y497" s="2">
        <v>38</v>
      </c>
      <c r="Z497" s="2"/>
      <c r="AA497" s="2"/>
      <c r="AB497" s="2">
        <v>0</v>
      </c>
      <c r="AC497" s="2">
        <v>0</v>
      </c>
    </row>
    <row r="498" spans="1:29" x14ac:dyDescent="0.2">
      <c r="A498" t="s">
        <v>165</v>
      </c>
      <c r="B498" s="2">
        <v>19</v>
      </c>
      <c r="C498" t="s">
        <v>72</v>
      </c>
      <c r="D498" s="2" t="s">
        <v>49</v>
      </c>
      <c r="E498" s="2">
        <v>26</v>
      </c>
      <c r="F498" s="2">
        <v>24</v>
      </c>
      <c r="G498" s="2">
        <v>623</v>
      </c>
      <c r="H498" s="2">
        <v>0.39900000000000002</v>
      </c>
      <c r="I498" s="2">
        <v>13.1</v>
      </c>
      <c r="J498" s="2">
        <v>0.56699999999999995</v>
      </c>
      <c r="K498" s="2">
        <v>0.313</v>
      </c>
      <c r="L498" s="2">
        <v>0.187</v>
      </c>
      <c r="M498" s="2">
        <v>0.06</v>
      </c>
      <c r="N498" s="2">
        <v>7.0000000000000001E-3</v>
      </c>
      <c r="O498" s="2">
        <v>0.433</v>
      </c>
      <c r="P498" s="2">
        <v>0.49299999999999999</v>
      </c>
      <c r="Q498" s="2">
        <v>0.59499999999999997</v>
      </c>
      <c r="R498" s="2">
        <v>0.4</v>
      </c>
      <c r="S498" s="2">
        <v>0.313</v>
      </c>
      <c r="T498" s="2">
        <v>0</v>
      </c>
      <c r="U498" s="2">
        <v>0.27600000000000002</v>
      </c>
      <c r="V498" s="2">
        <v>0.72</v>
      </c>
      <c r="W498" s="2">
        <v>0.96899999999999997</v>
      </c>
      <c r="X498" s="2">
        <v>0.10100000000000001</v>
      </c>
      <c r="Y498" s="2">
        <v>23</v>
      </c>
      <c r="Z498" s="2">
        <v>0.36199999999999999</v>
      </c>
      <c r="AA498" s="2">
        <v>0.40500000000000003</v>
      </c>
      <c r="AB498" s="2">
        <v>0</v>
      </c>
      <c r="AC498" s="2">
        <v>0</v>
      </c>
    </row>
    <row r="499" spans="1:29" x14ac:dyDescent="0.2">
      <c r="A499" t="s">
        <v>296</v>
      </c>
      <c r="B499" s="2">
        <v>27</v>
      </c>
      <c r="C499" t="s">
        <v>93</v>
      </c>
      <c r="D499" s="2" t="s">
        <v>42</v>
      </c>
      <c r="E499" s="2">
        <v>24</v>
      </c>
      <c r="F499" s="2">
        <v>4</v>
      </c>
      <c r="G499" s="2">
        <v>341</v>
      </c>
      <c r="H499" s="2">
        <v>0.47599999999999998</v>
      </c>
      <c r="I499" s="2">
        <v>11.3</v>
      </c>
      <c r="J499" s="2">
        <v>0.65700000000000003</v>
      </c>
      <c r="K499" s="2">
        <v>0.38100000000000001</v>
      </c>
      <c r="L499" s="2">
        <v>0.23799999999999999</v>
      </c>
      <c r="M499" s="2">
        <v>2.9000000000000001E-2</v>
      </c>
      <c r="N499" s="2">
        <v>0.01</v>
      </c>
      <c r="O499" s="2">
        <v>0.34300000000000003</v>
      </c>
      <c r="P499" s="2">
        <v>0.55100000000000005</v>
      </c>
      <c r="Q499" s="2">
        <v>0.67500000000000004</v>
      </c>
      <c r="R499" s="2">
        <v>0.4</v>
      </c>
      <c r="S499" s="2">
        <v>0</v>
      </c>
      <c r="T499" s="2">
        <v>1</v>
      </c>
      <c r="U499" s="2">
        <v>0.33300000000000002</v>
      </c>
      <c r="V499" s="2">
        <v>0.84199999999999997</v>
      </c>
      <c r="W499" s="2">
        <v>1</v>
      </c>
      <c r="X499" s="2">
        <v>7.5999999999999998E-2</v>
      </c>
      <c r="Y499" s="2">
        <v>6</v>
      </c>
      <c r="Z499" s="2">
        <v>0.30599999999999999</v>
      </c>
      <c r="AA499" s="2">
        <v>0.27300000000000002</v>
      </c>
      <c r="AB499" s="2">
        <v>1</v>
      </c>
      <c r="AC499" s="2">
        <v>0</v>
      </c>
    </row>
    <row r="500" spans="1:29" x14ac:dyDescent="0.2">
      <c r="A500" t="s">
        <v>274</v>
      </c>
      <c r="B500" s="2">
        <v>22</v>
      </c>
      <c r="C500" t="s">
        <v>80</v>
      </c>
      <c r="D500" s="2" t="s">
        <v>42</v>
      </c>
      <c r="E500" s="2">
        <v>14</v>
      </c>
      <c r="F500" s="2">
        <v>9</v>
      </c>
      <c r="G500" s="2">
        <v>281</v>
      </c>
      <c r="H500" s="2">
        <v>0.61</v>
      </c>
      <c r="I500" s="2">
        <v>5.7</v>
      </c>
      <c r="J500" s="2">
        <v>0.90500000000000003</v>
      </c>
      <c r="K500" s="2">
        <v>0.505</v>
      </c>
      <c r="L500" s="2">
        <v>0.36199999999999999</v>
      </c>
      <c r="M500" s="2">
        <v>2.9000000000000001E-2</v>
      </c>
      <c r="N500" s="2">
        <v>0.01</v>
      </c>
      <c r="O500" s="2">
        <v>9.5000000000000001E-2</v>
      </c>
      <c r="P500" s="2">
        <v>0.61099999999999999</v>
      </c>
      <c r="Q500" s="2">
        <v>0.81100000000000005</v>
      </c>
      <c r="R500" s="2">
        <v>0.316</v>
      </c>
      <c r="S500" s="2">
        <v>0.66700000000000004</v>
      </c>
      <c r="T500" s="2">
        <v>1</v>
      </c>
      <c r="U500" s="2">
        <v>0.6</v>
      </c>
      <c r="V500" s="2">
        <v>0.69</v>
      </c>
      <c r="W500" s="2">
        <v>1</v>
      </c>
      <c r="X500" s="2">
        <v>0.27600000000000002</v>
      </c>
      <c r="Y500" s="2">
        <v>28</v>
      </c>
      <c r="Z500" s="2">
        <v>0.2</v>
      </c>
      <c r="AA500" s="2">
        <v>0.5</v>
      </c>
      <c r="AB500" s="2">
        <v>0</v>
      </c>
      <c r="AC500" s="2">
        <v>0</v>
      </c>
    </row>
    <row r="501" spans="1:29" x14ac:dyDescent="0.2">
      <c r="A501" t="s">
        <v>85</v>
      </c>
      <c r="B501" s="2">
        <v>29</v>
      </c>
      <c r="C501" t="s">
        <v>70</v>
      </c>
      <c r="D501" s="2" t="s">
        <v>49</v>
      </c>
      <c r="E501" s="2">
        <v>22</v>
      </c>
      <c r="F501" s="2">
        <v>22</v>
      </c>
      <c r="G501" s="2">
        <v>733</v>
      </c>
      <c r="H501" s="2">
        <v>0.50600000000000001</v>
      </c>
      <c r="I501" s="2">
        <v>16.600000000000001</v>
      </c>
      <c r="J501" s="2">
        <v>0.51700000000000002</v>
      </c>
      <c r="K501" s="2">
        <v>0.26900000000000002</v>
      </c>
      <c r="L501" s="2">
        <v>5.3999999999999999E-2</v>
      </c>
      <c r="M501" s="2">
        <v>0.08</v>
      </c>
      <c r="N501" s="2">
        <v>0.114</v>
      </c>
      <c r="O501" s="2">
        <v>0.48299999999999998</v>
      </c>
      <c r="P501" s="2">
        <v>0.57499999999999996</v>
      </c>
      <c r="Q501" s="2">
        <v>0.70199999999999996</v>
      </c>
      <c r="R501" s="2">
        <v>0.316</v>
      </c>
      <c r="S501" s="2">
        <v>0.39300000000000002</v>
      </c>
      <c r="T501" s="2">
        <v>0.52500000000000002</v>
      </c>
      <c r="U501" s="2">
        <v>0.432</v>
      </c>
      <c r="V501" s="2">
        <v>0.42299999999999999</v>
      </c>
      <c r="W501" s="2">
        <v>0.56200000000000006</v>
      </c>
      <c r="X501" s="2">
        <v>5.7000000000000002E-2</v>
      </c>
      <c r="Y501" s="2">
        <v>19</v>
      </c>
      <c r="Z501" s="2">
        <v>0.189</v>
      </c>
      <c r="AA501" s="2">
        <v>0.438</v>
      </c>
      <c r="AB501" s="2">
        <v>0</v>
      </c>
      <c r="AC501" s="2">
        <v>0</v>
      </c>
    </row>
    <row r="502" spans="1:29" x14ac:dyDescent="0.2">
      <c r="A502" t="s">
        <v>471</v>
      </c>
      <c r="B502" s="2">
        <v>24</v>
      </c>
      <c r="C502" t="s">
        <v>46</v>
      </c>
      <c r="D502" s="2" t="s">
        <v>27</v>
      </c>
      <c r="E502" s="2">
        <v>15</v>
      </c>
      <c r="F502" s="2">
        <v>0</v>
      </c>
      <c r="G502" s="2">
        <v>75</v>
      </c>
      <c r="H502" s="2">
        <v>0.40899999999999997</v>
      </c>
      <c r="I502" s="2">
        <v>11.6</v>
      </c>
      <c r="J502" s="2">
        <v>0.63600000000000001</v>
      </c>
      <c r="K502" s="2">
        <v>0.318</v>
      </c>
      <c r="L502" s="2">
        <v>0.27300000000000002</v>
      </c>
      <c r="M502" s="2">
        <v>0</v>
      </c>
      <c r="N502" s="2">
        <v>4.4999999999999998E-2</v>
      </c>
      <c r="O502" s="2">
        <v>0.36399999999999999</v>
      </c>
      <c r="P502" s="2">
        <v>0.64300000000000002</v>
      </c>
      <c r="Q502" s="2">
        <v>0.85699999999999998</v>
      </c>
      <c r="R502" s="2">
        <v>0.33300000000000002</v>
      </c>
      <c r="S502" s="2"/>
      <c r="T502" s="2">
        <v>1</v>
      </c>
      <c r="U502" s="2">
        <v>0</v>
      </c>
      <c r="V502" s="2">
        <v>0.77800000000000002</v>
      </c>
      <c r="W502" s="2"/>
      <c r="X502" s="2">
        <v>0.27300000000000002</v>
      </c>
      <c r="Y502" s="2">
        <v>4</v>
      </c>
      <c r="Z502" s="2">
        <v>0.375</v>
      </c>
      <c r="AA502" s="2">
        <v>0</v>
      </c>
      <c r="AB502" s="2">
        <v>0</v>
      </c>
      <c r="AC502" s="2">
        <v>0</v>
      </c>
    </row>
    <row r="503" spans="1:29" x14ac:dyDescent="0.2">
      <c r="A503" t="s">
        <v>248</v>
      </c>
      <c r="B503" s="2">
        <v>23</v>
      </c>
      <c r="C503" t="s">
        <v>103</v>
      </c>
      <c r="D503" s="2" t="s">
        <v>49</v>
      </c>
      <c r="E503" s="2">
        <v>21</v>
      </c>
      <c r="F503" s="2">
        <v>7</v>
      </c>
      <c r="G503" s="2">
        <v>459</v>
      </c>
      <c r="H503" s="2">
        <v>0.40300000000000002</v>
      </c>
      <c r="I503" s="2">
        <v>12.6</v>
      </c>
      <c r="J503" s="2">
        <v>0.58499999999999996</v>
      </c>
      <c r="K503" s="2">
        <v>0.39</v>
      </c>
      <c r="L503" s="2">
        <v>0.151</v>
      </c>
      <c r="M503" s="2">
        <v>2.5000000000000001E-2</v>
      </c>
      <c r="N503" s="2">
        <v>1.9E-2</v>
      </c>
      <c r="O503" s="2">
        <v>0.41499999999999998</v>
      </c>
      <c r="P503" s="2">
        <v>0.495</v>
      </c>
      <c r="Q503" s="2">
        <v>0.629</v>
      </c>
      <c r="R503" s="2">
        <v>0.20799999999999999</v>
      </c>
      <c r="S503" s="2">
        <v>0.5</v>
      </c>
      <c r="T503" s="2">
        <v>0</v>
      </c>
      <c r="U503" s="2">
        <v>0.27300000000000002</v>
      </c>
      <c r="V503" s="2">
        <v>0.65200000000000002</v>
      </c>
      <c r="W503" s="2">
        <v>1</v>
      </c>
      <c r="X503" s="2">
        <v>0.11899999999999999</v>
      </c>
      <c r="Y503" s="2">
        <v>14</v>
      </c>
      <c r="Z503" s="2">
        <v>0.47</v>
      </c>
      <c r="AA503" s="2">
        <v>0.28999999999999998</v>
      </c>
      <c r="AB503" s="2">
        <v>2</v>
      </c>
      <c r="AC503" s="2">
        <v>0</v>
      </c>
    </row>
    <row r="504" spans="1:29" x14ac:dyDescent="0.2">
      <c r="A504" t="s">
        <v>300</v>
      </c>
      <c r="B504" s="2">
        <v>24</v>
      </c>
      <c r="C504" t="s">
        <v>117</v>
      </c>
      <c r="D504" s="2" t="s">
        <v>27</v>
      </c>
      <c r="E504" s="2">
        <v>6</v>
      </c>
      <c r="F504" s="2">
        <v>6</v>
      </c>
      <c r="G504" s="2">
        <v>186</v>
      </c>
      <c r="H504" s="2">
        <v>0.45200000000000001</v>
      </c>
      <c r="I504" s="2">
        <v>5.7</v>
      </c>
      <c r="J504" s="2">
        <v>0.94199999999999995</v>
      </c>
      <c r="K504" s="2">
        <v>0.39400000000000002</v>
      </c>
      <c r="L504" s="2">
        <v>0.5</v>
      </c>
      <c r="M504" s="2">
        <v>3.7999999999999999E-2</v>
      </c>
      <c r="N504" s="2">
        <v>0.01</v>
      </c>
      <c r="O504" s="2">
        <v>5.8000000000000003E-2</v>
      </c>
      <c r="P504" s="2">
        <v>0.45900000000000002</v>
      </c>
      <c r="Q504" s="2">
        <v>0.65900000000000003</v>
      </c>
      <c r="R504" s="2">
        <v>0.34599999999999997</v>
      </c>
      <c r="S504" s="2">
        <v>0</v>
      </c>
      <c r="T504" s="2">
        <v>0</v>
      </c>
      <c r="U504" s="2">
        <v>0.33300000000000002</v>
      </c>
      <c r="V504" s="2">
        <v>0.55600000000000005</v>
      </c>
      <c r="W504" s="2">
        <v>0.5</v>
      </c>
      <c r="X504" s="2">
        <v>7.6999999999999999E-2</v>
      </c>
      <c r="Y504" s="2">
        <v>7</v>
      </c>
      <c r="Z504" s="2">
        <v>0</v>
      </c>
      <c r="AA504" s="2"/>
      <c r="AB504" s="2">
        <v>1</v>
      </c>
      <c r="AC504" s="2">
        <v>0</v>
      </c>
    </row>
  </sheetData>
  <sortState xmlns:xlrd2="http://schemas.microsoft.com/office/spreadsheetml/2017/richdata2" ref="A3:AC504">
    <sortCondition ref="A2:A504"/>
  </sortState>
  <mergeCells count="6">
    <mergeCell ref="J1:O1"/>
    <mergeCell ref="AB1:AC1"/>
    <mergeCell ref="Z1:AA1"/>
    <mergeCell ref="X1:Y1"/>
    <mergeCell ref="V1:W1"/>
    <mergeCell ref="P1:U1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3FFC1E-C673-214B-8BD0-5A3715A90724}">
  <dimension ref="A1:Y504"/>
  <sheetViews>
    <sheetView topLeftCell="A6" zoomScale="94" workbookViewId="0">
      <selection sqref="A1:A1048576"/>
    </sheetView>
  </sheetViews>
  <sheetFormatPr baseColWidth="10" defaultRowHeight="16" x14ac:dyDescent="0.2"/>
  <sheetData>
    <row r="1" spans="1:25" x14ac:dyDescent="0.2">
      <c r="A1" s="1"/>
      <c r="B1" s="1"/>
      <c r="C1" s="1"/>
      <c r="D1" s="1"/>
      <c r="H1" s="20" t="s">
        <v>623</v>
      </c>
      <c r="I1" s="20"/>
      <c r="J1" s="20"/>
      <c r="K1" s="20"/>
      <c r="L1" s="20"/>
      <c r="M1" s="20"/>
      <c r="N1" s="20"/>
      <c r="O1" s="20"/>
      <c r="P1" s="20" t="s">
        <v>624</v>
      </c>
      <c r="Q1" s="20"/>
      <c r="R1" s="20"/>
      <c r="S1" s="20"/>
      <c r="T1" s="20"/>
      <c r="U1" s="20"/>
      <c r="V1" s="20"/>
      <c r="W1" s="20"/>
      <c r="X1" s="20" t="s">
        <v>625</v>
      </c>
      <c r="Y1" s="20"/>
    </row>
    <row r="2" spans="1:25" x14ac:dyDescent="0.2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9</v>
      </c>
      <c r="I2" s="1" t="s">
        <v>15</v>
      </c>
      <c r="J2" s="1" t="s">
        <v>12</v>
      </c>
      <c r="K2" s="1" t="s">
        <v>16</v>
      </c>
      <c r="L2" s="1" t="s">
        <v>19</v>
      </c>
      <c r="M2" s="1" t="s">
        <v>570</v>
      </c>
      <c r="N2" s="1" t="s">
        <v>572</v>
      </c>
      <c r="O2" s="1" t="s">
        <v>571</v>
      </c>
      <c r="P2" s="1" t="s">
        <v>626</v>
      </c>
      <c r="Q2" s="1" t="s">
        <v>627</v>
      </c>
      <c r="R2" s="1" t="s">
        <v>628</v>
      </c>
      <c r="S2" s="1" t="s">
        <v>629</v>
      </c>
      <c r="T2" s="1" t="s">
        <v>630</v>
      </c>
      <c r="U2" s="1" t="s">
        <v>631</v>
      </c>
      <c r="V2" s="1" t="s">
        <v>632</v>
      </c>
      <c r="W2" s="1" t="s">
        <v>633</v>
      </c>
      <c r="X2" s="1" t="s">
        <v>634</v>
      </c>
      <c r="Y2" s="1" t="s">
        <v>635</v>
      </c>
    </row>
    <row r="3" spans="1:25" x14ac:dyDescent="0.2">
      <c r="A3" t="s">
        <v>244</v>
      </c>
      <c r="B3" s="2">
        <v>25</v>
      </c>
      <c r="C3" t="s">
        <v>35</v>
      </c>
      <c r="D3" s="2" t="s">
        <v>52</v>
      </c>
      <c r="E3" s="2">
        <v>23</v>
      </c>
      <c r="F3" s="2">
        <v>3</v>
      </c>
      <c r="G3" s="2">
        <v>488</v>
      </c>
      <c r="H3" s="2">
        <v>0.47699999999999998</v>
      </c>
      <c r="I3" s="2">
        <v>0.5</v>
      </c>
      <c r="J3" s="2">
        <v>0.47499999999999998</v>
      </c>
      <c r="K3" s="2">
        <v>0.69199999999999995</v>
      </c>
      <c r="L3" s="2">
        <v>0.83299999999999996</v>
      </c>
      <c r="M3" s="2">
        <v>0.69699999999999995</v>
      </c>
      <c r="N3" s="2">
        <v>4.5999999999999999E-2</v>
      </c>
      <c r="O3" s="2">
        <v>0.90800000000000003</v>
      </c>
      <c r="P3" s="2">
        <v>103</v>
      </c>
      <c r="Q3" s="2">
        <v>92</v>
      </c>
      <c r="R3" s="2">
        <v>132</v>
      </c>
      <c r="S3" s="2">
        <v>128</v>
      </c>
      <c r="T3" s="2">
        <v>107</v>
      </c>
      <c r="U3" s="2">
        <v>121</v>
      </c>
      <c r="V3" s="2">
        <v>19</v>
      </c>
      <c r="W3" s="2">
        <v>215</v>
      </c>
      <c r="X3" s="2">
        <v>39.5</v>
      </c>
      <c r="Y3" s="2">
        <v>32.6</v>
      </c>
    </row>
    <row r="4" spans="1:25" x14ac:dyDescent="0.2">
      <c r="A4" t="s">
        <v>273</v>
      </c>
      <c r="B4" s="2">
        <v>29</v>
      </c>
      <c r="C4" t="s">
        <v>46</v>
      </c>
      <c r="D4" s="2" t="s">
        <v>27</v>
      </c>
      <c r="E4" s="2">
        <v>11</v>
      </c>
      <c r="F4" s="2">
        <v>10</v>
      </c>
      <c r="G4" s="2">
        <v>326</v>
      </c>
      <c r="H4" s="2">
        <v>0.52900000000000003</v>
      </c>
      <c r="I4" s="2">
        <v>0.55900000000000005</v>
      </c>
      <c r="J4" s="2">
        <v>0.47099999999999997</v>
      </c>
      <c r="K4" s="2">
        <v>0.60799999999999998</v>
      </c>
      <c r="L4" s="2">
        <v>0.78600000000000003</v>
      </c>
      <c r="M4" s="2">
        <v>0.65200000000000002</v>
      </c>
      <c r="N4" s="2">
        <v>0.41199999999999998</v>
      </c>
      <c r="O4" s="2">
        <v>0.33300000000000002</v>
      </c>
      <c r="P4" s="2">
        <v>114</v>
      </c>
      <c r="Q4" s="2">
        <v>103</v>
      </c>
      <c r="R4" s="2">
        <v>131</v>
      </c>
      <c r="S4" s="2">
        <v>112</v>
      </c>
      <c r="T4" s="2">
        <v>101</v>
      </c>
      <c r="U4" s="2">
        <v>113</v>
      </c>
      <c r="V4" s="2">
        <v>165</v>
      </c>
      <c r="W4" s="2">
        <v>79</v>
      </c>
      <c r="X4" s="2">
        <v>13.7</v>
      </c>
      <c r="Y4" s="2">
        <v>18.600000000000001</v>
      </c>
    </row>
    <row r="5" spans="1:25" x14ac:dyDescent="0.2">
      <c r="A5" t="s">
        <v>384</v>
      </c>
      <c r="B5" s="2">
        <v>28</v>
      </c>
      <c r="C5" t="s">
        <v>87</v>
      </c>
      <c r="D5" s="2" t="s">
        <v>33</v>
      </c>
      <c r="E5" s="2">
        <v>15</v>
      </c>
      <c r="F5" s="2">
        <v>0</v>
      </c>
      <c r="G5" s="2">
        <v>145</v>
      </c>
      <c r="H5" s="2">
        <v>0.46700000000000003</v>
      </c>
      <c r="I5" s="2">
        <v>0.54500000000000004</v>
      </c>
      <c r="J5" s="2">
        <v>0.441</v>
      </c>
      <c r="K5" s="2">
        <v>0.63300000000000001</v>
      </c>
      <c r="L5" s="2">
        <v>0.77800000000000002</v>
      </c>
      <c r="M5" s="2">
        <v>0.65400000000000003</v>
      </c>
      <c r="N5" s="2">
        <v>0.2</v>
      </c>
      <c r="O5" s="2">
        <v>0.75600000000000001</v>
      </c>
      <c r="P5" s="2">
        <v>100</v>
      </c>
      <c r="Q5" s="2">
        <v>101</v>
      </c>
      <c r="R5" s="2">
        <v>123</v>
      </c>
      <c r="S5" s="2">
        <v>117</v>
      </c>
      <c r="T5" s="2">
        <v>100</v>
      </c>
      <c r="U5" s="2">
        <v>114</v>
      </c>
      <c r="V5" s="2">
        <v>80</v>
      </c>
      <c r="W5" s="2">
        <v>179</v>
      </c>
      <c r="X5" s="2">
        <v>8.4</v>
      </c>
      <c r="Y5" s="2">
        <v>7.7</v>
      </c>
    </row>
    <row r="6" spans="1:25" x14ac:dyDescent="0.2">
      <c r="A6" t="s">
        <v>398</v>
      </c>
      <c r="B6" s="2">
        <v>25</v>
      </c>
      <c r="C6" t="s">
        <v>82</v>
      </c>
      <c r="D6" s="2" t="s">
        <v>49</v>
      </c>
      <c r="E6" s="2">
        <v>6</v>
      </c>
      <c r="F6" s="2">
        <v>6</v>
      </c>
      <c r="G6" s="2">
        <v>136</v>
      </c>
      <c r="H6" s="2">
        <v>0.52800000000000002</v>
      </c>
      <c r="I6" s="2">
        <v>0.52</v>
      </c>
      <c r="J6" s="2">
        <v>0.54500000000000004</v>
      </c>
      <c r="K6" s="2">
        <v>0.61099999999999999</v>
      </c>
      <c r="L6" s="2">
        <v>0.84599999999999997</v>
      </c>
      <c r="M6" s="2">
        <v>0.65900000000000003</v>
      </c>
      <c r="N6" s="2">
        <v>0.36099999999999999</v>
      </c>
      <c r="O6" s="2">
        <v>0.30599999999999999</v>
      </c>
      <c r="P6" s="2">
        <v>114</v>
      </c>
      <c r="Q6" s="2">
        <v>96</v>
      </c>
      <c r="R6" s="2">
        <v>152</v>
      </c>
      <c r="S6" s="2">
        <v>113</v>
      </c>
      <c r="T6" s="2">
        <v>109</v>
      </c>
      <c r="U6" s="2">
        <v>115</v>
      </c>
      <c r="V6" s="2">
        <v>145</v>
      </c>
      <c r="W6" s="2">
        <v>72</v>
      </c>
      <c r="X6" s="2">
        <v>5.0999999999999996</v>
      </c>
      <c r="Y6" s="2">
        <v>7.1</v>
      </c>
    </row>
    <row r="7" spans="1:25" x14ac:dyDescent="0.2">
      <c r="A7" t="s">
        <v>215</v>
      </c>
      <c r="B7" s="2">
        <v>26</v>
      </c>
      <c r="C7" t="s">
        <v>32</v>
      </c>
      <c r="D7" s="2" t="s">
        <v>52</v>
      </c>
      <c r="E7" s="2">
        <v>24</v>
      </c>
      <c r="F7" s="2">
        <v>8</v>
      </c>
      <c r="G7" s="2">
        <v>489</v>
      </c>
      <c r="H7" s="2">
        <v>0.45100000000000001</v>
      </c>
      <c r="I7" s="2">
        <v>0.5</v>
      </c>
      <c r="J7" s="2">
        <v>0.39300000000000002</v>
      </c>
      <c r="K7" s="2">
        <v>0.54100000000000004</v>
      </c>
      <c r="L7" s="2">
        <v>0.8</v>
      </c>
      <c r="M7" s="2">
        <v>0.55400000000000005</v>
      </c>
      <c r="N7" s="2">
        <v>7.8E-2</v>
      </c>
      <c r="O7" s="2">
        <v>0.46100000000000002</v>
      </c>
      <c r="P7" s="2">
        <v>97</v>
      </c>
      <c r="Q7" s="2">
        <v>92</v>
      </c>
      <c r="R7" s="2">
        <v>110</v>
      </c>
      <c r="S7" s="2">
        <v>100</v>
      </c>
      <c r="T7" s="2">
        <v>103</v>
      </c>
      <c r="U7" s="2">
        <v>96</v>
      </c>
      <c r="V7" s="2">
        <v>31</v>
      </c>
      <c r="W7" s="2">
        <v>109</v>
      </c>
      <c r="X7" s="2">
        <v>0.4</v>
      </c>
      <c r="Y7" s="2">
        <v>-8.3000000000000007</v>
      </c>
    </row>
    <row r="8" spans="1:25" x14ac:dyDescent="0.2">
      <c r="A8" t="s">
        <v>484</v>
      </c>
      <c r="B8" s="2">
        <v>25</v>
      </c>
      <c r="C8" t="s">
        <v>32</v>
      </c>
      <c r="D8" s="2" t="s">
        <v>52</v>
      </c>
      <c r="E8" s="2">
        <v>11</v>
      </c>
      <c r="F8" s="2">
        <v>0</v>
      </c>
      <c r="G8" s="2">
        <v>40</v>
      </c>
      <c r="H8" s="2">
        <v>0.25</v>
      </c>
      <c r="I8" s="2">
        <v>0</v>
      </c>
      <c r="J8" s="2">
        <v>0.26300000000000001</v>
      </c>
      <c r="K8" s="2">
        <v>0.375</v>
      </c>
      <c r="L8" s="2"/>
      <c r="M8" s="2">
        <v>0.375</v>
      </c>
      <c r="N8" s="2">
        <v>0</v>
      </c>
      <c r="O8" s="2">
        <v>0.95</v>
      </c>
      <c r="P8" s="2">
        <v>54</v>
      </c>
      <c r="Q8" s="2">
        <v>0</v>
      </c>
      <c r="R8" s="2">
        <v>73</v>
      </c>
      <c r="S8" s="2">
        <v>69</v>
      </c>
      <c r="T8" s="2"/>
      <c r="U8" s="2">
        <v>65</v>
      </c>
      <c r="V8" s="2">
        <v>0</v>
      </c>
      <c r="W8" s="2">
        <v>225</v>
      </c>
      <c r="X8" s="2">
        <v>-6.6</v>
      </c>
      <c r="Y8" s="2">
        <v>-8</v>
      </c>
    </row>
    <row r="9" spans="1:25" x14ac:dyDescent="0.2">
      <c r="A9" t="s">
        <v>511</v>
      </c>
      <c r="B9" s="2">
        <v>22</v>
      </c>
      <c r="C9" t="s">
        <v>70</v>
      </c>
      <c r="D9" s="2" t="s">
        <v>42</v>
      </c>
      <c r="E9" s="2">
        <v>3</v>
      </c>
      <c r="F9" s="2">
        <v>0</v>
      </c>
      <c r="G9" s="2">
        <v>14</v>
      </c>
      <c r="H9" s="2">
        <v>0.6</v>
      </c>
      <c r="I9" s="2">
        <v>0.6</v>
      </c>
      <c r="J9" s="2"/>
      <c r="K9" s="2">
        <v>0.6</v>
      </c>
      <c r="L9" s="2"/>
      <c r="M9" s="2">
        <v>0.6</v>
      </c>
      <c r="N9" s="2">
        <v>0</v>
      </c>
      <c r="O9" s="2">
        <v>0</v>
      </c>
      <c r="P9" s="2">
        <v>129</v>
      </c>
      <c r="Q9" s="2">
        <v>111</v>
      </c>
      <c r="R9" s="2"/>
      <c r="S9" s="2">
        <v>111</v>
      </c>
      <c r="T9" s="2"/>
      <c r="U9" s="2">
        <v>104</v>
      </c>
      <c r="V9" s="2">
        <v>0</v>
      </c>
      <c r="W9" s="2">
        <v>0</v>
      </c>
      <c r="X9" s="2">
        <v>0.6</v>
      </c>
      <c r="Y9" s="2">
        <v>0.3</v>
      </c>
    </row>
    <row r="10" spans="1:25" x14ac:dyDescent="0.2">
      <c r="A10" t="s">
        <v>461</v>
      </c>
      <c r="B10" s="2">
        <v>21</v>
      </c>
      <c r="C10" t="s">
        <v>122</v>
      </c>
      <c r="D10" s="2" t="s">
        <v>42</v>
      </c>
      <c r="E10" s="2">
        <v>14</v>
      </c>
      <c r="F10" s="2">
        <v>0</v>
      </c>
      <c r="G10" s="2">
        <v>90</v>
      </c>
      <c r="H10" s="2">
        <v>0.61499999999999999</v>
      </c>
      <c r="I10" s="2">
        <v>0.61499999999999999</v>
      </c>
      <c r="J10" s="2"/>
      <c r="K10" s="2">
        <v>0.61499999999999999</v>
      </c>
      <c r="L10" s="2">
        <v>0.83299999999999996</v>
      </c>
      <c r="M10" s="2">
        <v>0.67100000000000004</v>
      </c>
      <c r="N10" s="2">
        <v>0.46200000000000002</v>
      </c>
      <c r="O10" s="2">
        <v>0</v>
      </c>
      <c r="P10" s="2">
        <v>132</v>
      </c>
      <c r="Q10" s="2">
        <v>114</v>
      </c>
      <c r="R10" s="2"/>
      <c r="S10" s="2">
        <v>114</v>
      </c>
      <c r="T10" s="2">
        <v>107</v>
      </c>
      <c r="U10" s="2">
        <v>117</v>
      </c>
      <c r="V10" s="2">
        <v>185</v>
      </c>
      <c r="W10" s="2">
        <v>0</v>
      </c>
      <c r="X10" s="2">
        <v>1.9</v>
      </c>
      <c r="Y10" s="2">
        <v>3</v>
      </c>
    </row>
    <row r="11" spans="1:25" x14ac:dyDescent="0.2">
      <c r="A11" t="s">
        <v>507</v>
      </c>
      <c r="B11" s="2">
        <v>20</v>
      </c>
      <c r="C11" t="s">
        <v>35</v>
      </c>
      <c r="D11" s="2" t="s">
        <v>52</v>
      </c>
      <c r="E11" s="2">
        <v>5</v>
      </c>
      <c r="F11" s="2">
        <v>0</v>
      </c>
      <c r="G11" s="2">
        <v>11</v>
      </c>
      <c r="H11" s="2">
        <v>0.5</v>
      </c>
      <c r="I11" s="2">
        <v>0.4</v>
      </c>
      <c r="J11" s="2">
        <v>1</v>
      </c>
      <c r="K11" s="2">
        <v>0.58299999999999996</v>
      </c>
      <c r="L11" s="2"/>
      <c r="M11" s="2">
        <v>0.58299999999999996</v>
      </c>
      <c r="N11" s="2">
        <v>0</v>
      </c>
      <c r="O11" s="2">
        <v>0.16700000000000001</v>
      </c>
      <c r="P11" s="2">
        <v>108</v>
      </c>
      <c r="Q11" s="2">
        <v>74</v>
      </c>
      <c r="R11" s="2">
        <v>278</v>
      </c>
      <c r="S11" s="2">
        <v>108</v>
      </c>
      <c r="T11" s="2"/>
      <c r="U11" s="2">
        <v>102</v>
      </c>
      <c r="V11" s="2">
        <v>0</v>
      </c>
      <c r="W11" s="2">
        <v>39</v>
      </c>
      <c r="X11" s="2">
        <v>0.5</v>
      </c>
      <c r="Y11" s="2">
        <v>0.1</v>
      </c>
    </row>
    <row r="12" spans="1:25" x14ac:dyDescent="0.2">
      <c r="A12" t="s">
        <v>301</v>
      </c>
      <c r="B12" s="2">
        <v>22</v>
      </c>
      <c r="C12" t="s">
        <v>32</v>
      </c>
      <c r="D12" s="2" t="s">
        <v>52</v>
      </c>
      <c r="E12" s="2">
        <v>24</v>
      </c>
      <c r="F12" s="2">
        <v>0</v>
      </c>
      <c r="G12" s="2">
        <v>383</v>
      </c>
      <c r="H12" s="2">
        <v>0.47799999999999998</v>
      </c>
      <c r="I12" s="2">
        <v>0.5</v>
      </c>
      <c r="J12" s="2">
        <v>0.41899999999999998</v>
      </c>
      <c r="K12" s="2">
        <v>0.53500000000000003</v>
      </c>
      <c r="L12" s="2">
        <v>0.8</v>
      </c>
      <c r="M12" s="2">
        <v>0.55500000000000005</v>
      </c>
      <c r="N12" s="2">
        <v>0.13</v>
      </c>
      <c r="O12" s="2">
        <v>0.27</v>
      </c>
      <c r="P12" s="2">
        <v>103</v>
      </c>
      <c r="Q12" s="2">
        <v>92</v>
      </c>
      <c r="R12" s="2">
        <v>117</v>
      </c>
      <c r="S12" s="2">
        <v>99</v>
      </c>
      <c r="T12" s="2">
        <v>103</v>
      </c>
      <c r="U12" s="2">
        <v>97</v>
      </c>
      <c r="V12" s="2">
        <v>52</v>
      </c>
      <c r="W12" s="2">
        <v>64</v>
      </c>
      <c r="X12" s="2">
        <v>-1.3</v>
      </c>
      <c r="Y12" s="2">
        <v>-4.7</v>
      </c>
    </row>
    <row r="13" spans="1:25" x14ac:dyDescent="0.2">
      <c r="A13" t="s">
        <v>255</v>
      </c>
      <c r="B13" s="2">
        <v>38</v>
      </c>
      <c r="C13" t="s">
        <v>39</v>
      </c>
      <c r="D13" s="2" t="s">
        <v>42</v>
      </c>
      <c r="E13" s="2">
        <v>19</v>
      </c>
      <c r="F13" s="2">
        <v>18</v>
      </c>
      <c r="G13" s="2">
        <v>532</v>
      </c>
      <c r="H13" s="2">
        <v>0.46700000000000003</v>
      </c>
      <c r="I13" s="2">
        <v>0.63900000000000001</v>
      </c>
      <c r="J13" s="2">
        <v>0.40600000000000003</v>
      </c>
      <c r="K13" s="2">
        <v>0.61699999999999999</v>
      </c>
      <c r="L13" s="2">
        <v>1</v>
      </c>
      <c r="M13" s="2">
        <v>0.627</v>
      </c>
      <c r="N13" s="2">
        <v>4.3999999999999997E-2</v>
      </c>
      <c r="O13" s="2">
        <v>0.73699999999999999</v>
      </c>
      <c r="P13" s="2">
        <v>101</v>
      </c>
      <c r="Q13" s="2">
        <v>118</v>
      </c>
      <c r="R13" s="2">
        <v>113</v>
      </c>
      <c r="S13" s="2">
        <v>114</v>
      </c>
      <c r="T13" s="2">
        <v>129</v>
      </c>
      <c r="U13" s="2">
        <v>109</v>
      </c>
      <c r="V13" s="2">
        <v>18</v>
      </c>
      <c r="W13" s="2">
        <v>174</v>
      </c>
      <c r="X13" s="2">
        <v>20.9</v>
      </c>
      <c r="Y13" s="2">
        <v>14.6</v>
      </c>
    </row>
    <row r="14" spans="1:25" x14ac:dyDescent="0.2">
      <c r="A14" t="s">
        <v>388</v>
      </c>
      <c r="B14" s="2">
        <v>33</v>
      </c>
      <c r="C14" t="s">
        <v>61</v>
      </c>
      <c r="D14" s="2" t="s">
        <v>52</v>
      </c>
      <c r="E14" s="2">
        <v>12</v>
      </c>
      <c r="F14" s="2">
        <v>0</v>
      </c>
      <c r="G14" s="2">
        <v>181</v>
      </c>
      <c r="H14" s="2">
        <v>0.45700000000000002</v>
      </c>
      <c r="I14" s="2">
        <v>0.42899999999999999</v>
      </c>
      <c r="J14" s="2">
        <v>0.46899999999999997</v>
      </c>
      <c r="K14" s="2">
        <v>0.62</v>
      </c>
      <c r="L14" s="2">
        <v>0.75</v>
      </c>
      <c r="M14" s="2">
        <v>0.63600000000000001</v>
      </c>
      <c r="N14" s="2">
        <v>0.17399999999999999</v>
      </c>
      <c r="O14" s="2">
        <v>0.69599999999999995</v>
      </c>
      <c r="P14" s="2">
        <v>98</v>
      </c>
      <c r="Q14" s="2">
        <v>79</v>
      </c>
      <c r="R14" s="2">
        <v>131</v>
      </c>
      <c r="S14" s="2">
        <v>115</v>
      </c>
      <c r="T14" s="2">
        <v>96</v>
      </c>
      <c r="U14" s="2">
        <v>111</v>
      </c>
      <c r="V14" s="2">
        <v>70</v>
      </c>
      <c r="W14" s="2">
        <v>165</v>
      </c>
      <c r="X14" s="2">
        <v>7.3</v>
      </c>
      <c r="Y14" s="2">
        <v>6.1</v>
      </c>
    </row>
    <row r="15" spans="1:25" x14ac:dyDescent="0.2">
      <c r="A15" t="s">
        <v>349</v>
      </c>
      <c r="B15" s="2">
        <v>30</v>
      </c>
      <c r="C15" t="s">
        <v>32</v>
      </c>
      <c r="D15" s="2" t="s">
        <v>52</v>
      </c>
      <c r="E15" s="2">
        <v>16</v>
      </c>
      <c r="F15" s="2">
        <v>0</v>
      </c>
      <c r="G15" s="2">
        <v>320</v>
      </c>
      <c r="H15" s="2">
        <v>0.39400000000000002</v>
      </c>
      <c r="I15" s="2">
        <v>0.53500000000000003</v>
      </c>
      <c r="J15" s="2">
        <v>0.27500000000000002</v>
      </c>
      <c r="K15" s="2">
        <v>0.46800000000000003</v>
      </c>
      <c r="L15" s="2">
        <v>0.71399999999999997</v>
      </c>
      <c r="M15" s="2">
        <v>0.47899999999999998</v>
      </c>
      <c r="N15" s="2">
        <v>7.3999999999999996E-2</v>
      </c>
      <c r="O15" s="2">
        <v>0.54300000000000004</v>
      </c>
      <c r="P15" s="2">
        <v>85</v>
      </c>
      <c r="Q15" s="2">
        <v>99</v>
      </c>
      <c r="R15" s="2">
        <v>76</v>
      </c>
      <c r="S15" s="2">
        <v>87</v>
      </c>
      <c r="T15" s="2">
        <v>92</v>
      </c>
      <c r="U15" s="2">
        <v>83</v>
      </c>
      <c r="V15" s="2">
        <v>30</v>
      </c>
      <c r="W15" s="2">
        <v>128</v>
      </c>
      <c r="X15" s="2">
        <v>-13.6</v>
      </c>
      <c r="Y15" s="2">
        <v>-18.5</v>
      </c>
    </row>
    <row r="16" spans="1:25" x14ac:dyDescent="0.2">
      <c r="A16" t="s">
        <v>556</v>
      </c>
      <c r="B16" s="2">
        <v>24</v>
      </c>
      <c r="C16" t="s">
        <v>32</v>
      </c>
      <c r="D16" s="2" t="s">
        <v>52</v>
      </c>
      <c r="E16" s="2">
        <v>4</v>
      </c>
      <c r="F16" s="2">
        <v>0</v>
      </c>
      <c r="G16" s="2">
        <v>7</v>
      </c>
      <c r="H16" s="2">
        <v>0</v>
      </c>
      <c r="I16" s="2">
        <v>0</v>
      </c>
      <c r="J16" s="2">
        <v>0</v>
      </c>
      <c r="K16" s="2">
        <v>0</v>
      </c>
      <c r="L16" s="2"/>
      <c r="M16" s="2">
        <v>0</v>
      </c>
      <c r="N16" s="2">
        <v>0</v>
      </c>
      <c r="O16" s="2">
        <v>0.66700000000000004</v>
      </c>
      <c r="P16" s="2">
        <v>0</v>
      </c>
      <c r="Q16" s="2">
        <v>0</v>
      </c>
      <c r="R16" s="2">
        <v>0</v>
      </c>
      <c r="S16" s="2">
        <v>0</v>
      </c>
      <c r="T16" s="2"/>
      <c r="U16" s="2">
        <v>0</v>
      </c>
      <c r="V16" s="2">
        <v>0</v>
      </c>
      <c r="W16" s="2">
        <v>158</v>
      </c>
      <c r="X16" s="2">
        <v>-3.2</v>
      </c>
      <c r="Y16" s="2">
        <v>-3.4</v>
      </c>
    </row>
    <row r="17" spans="1:25" x14ac:dyDescent="0.2">
      <c r="A17" t="s">
        <v>450</v>
      </c>
      <c r="B17" s="2">
        <v>31</v>
      </c>
      <c r="C17" t="s">
        <v>37</v>
      </c>
      <c r="D17" s="2" t="s">
        <v>42</v>
      </c>
      <c r="E17" s="2">
        <v>19</v>
      </c>
      <c r="F17" s="2">
        <v>2</v>
      </c>
      <c r="G17" s="2">
        <v>135</v>
      </c>
      <c r="H17" s="2">
        <v>0.54500000000000004</v>
      </c>
      <c r="I17" s="2">
        <v>0.66700000000000004</v>
      </c>
      <c r="J17" s="2">
        <v>0</v>
      </c>
      <c r="K17" s="2">
        <v>0.54500000000000004</v>
      </c>
      <c r="L17" s="2">
        <v>0.5</v>
      </c>
      <c r="M17" s="2">
        <v>0.54700000000000004</v>
      </c>
      <c r="N17" s="2">
        <v>0.182</v>
      </c>
      <c r="O17" s="2">
        <v>0.182</v>
      </c>
      <c r="P17" s="2">
        <v>117</v>
      </c>
      <c r="Q17" s="2">
        <v>123</v>
      </c>
      <c r="R17" s="2">
        <v>0</v>
      </c>
      <c r="S17" s="2">
        <v>101</v>
      </c>
      <c r="T17" s="2">
        <v>64</v>
      </c>
      <c r="U17" s="2">
        <v>95</v>
      </c>
      <c r="V17" s="2">
        <v>73</v>
      </c>
      <c r="W17" s="2">
        <v>43</v>
      </c>
      <c r="X17" s="2">
        <v>0.2</v>
      </c>
      <c r="Y17" s="2">
        <v>-1.3</v>
      </c>
    </row>
    <row r="18" spans="1:25" x14ac:dyDescent="0.2">
      <c r="A18" t="s">
        <v>550</v>
      </c>
      <c r="B18" s="2">
        <v>25</v>
      </c>
      <c r="C18" t="s">
        <v>32</v>
      </c>
      <c r="D18" s="2" t="s">
        <v>27</v>
      </c>
      <c r="E18" s="2">
        <v>1</v>
      </c>
      <c r="F18" s="2">
        <v>0</v>
      </c>
      <c r="G18" s="2">
        <v>2</v>
      </c>
      <c r="H18" s="2">
        <v>1</v>
      </c>
      <c r="I18" s="2">
        <v>1</v>
      </c>
      <c r="J18" s="2"/>
      <c r="K18" s="2">
        <v>1</v>
      </c>
      <c r="L18" s="2"/>
      <c r="M18" s="2">
        <v>1</v>
      </c>
      <c r="N18" s="2">
        <v>0</v>
      </c>
      <c r="O18" s="2">
        <v>0</v>
      </c>
      <c r="P18" s="2">
        <v>215</v>
      </c>
      <c r="Q18" s="2">
        <v>185</v>
      </c>
      <c r="R18" s="2"/>
      <c r="S18" s="2">
        <v>185</v>
      </c>
      <c r="T18" s="2"/>
      <c r="U18" s="2">
        <v>174</v>
      </c>
      <c r="V18" s="2">
        <v>0</v>
      </c>
      <c r="W18" s="2">
        <v>0</v>
      </c>
      <c r="X18" s="2">
        <v>0.9</v>
      </c>
      <c r="Y18" s="2">
        <v>0.9</v>
      </c>
    </row>
    <row r="19" spans="1:25" x14ac:dyDescent="0.2">
      <c r="A19" t="s">
        <v>222</v>
      </c>
      <c r="B19" s="2">
        <v>19</v>
      </c>
      <c r="C19" t="s">
        <v>114</v>
      </c>
      <c r="D19" s="2" t="s">
        <v>42</v>
      </c>
      <c r="E19" s="2">
        <v>20</v>
      </c>
      <c r="F19" s="2">
        <v>20</v>
      </c>
      <c r="G19" s="2">
        <v>536</v>
      </c>
      <c r="H19" s="2">
        <v>0.38300000000000001</v>
      </c>
      <c r="I19" s="2">
        <v>0.47899999999999998</v>
      </c>
      <c r="J19" s="2">
        <v>0.25</v>
      </c>
      <c r="K19" s="2">
        <v>0.435</v>
      </c>
      <c r="L19" s="2">
        <v>0.65900000000000003</v>
      </c>
      <c r="M19" s="2">
        <v>0.46200000000000002</v>
      </c>
      <c r="N19" s="2">
        <v>0.21099999999999999</v>
      </c>
      <c r="O19" s="2">
        <v>0.42099999999999999</v>
      </c>
      <c r="P19" s="2">
        <v>82</v>
      </c>
      <c r="Q19" s="2">
        <v>88</v>
      </c>
      <c r="R19" s="2">
        <v>70</v>
      </c>
      <c r="S19" s="2">
        <v>81</v>
      </c>
      <c r="T19" s="2">
        <v>85</v>
      </c>
      <c r="U19" s="2">
        <v>80</v>
      </c>
      <c r="V19" s="2">
        <v>84</v>
      </c>
      <c r="W19" s="2">
        <v>100</v>
      </c>
      <c r="X19" s="2">
        <v>-43.9</v>
      </c>
      <c r="Y19" s="2">
        <v>-51.4</v>
      </c>
    </row>
    <row r="20" spans="1:25" x14ac:dyDescent="0.2">
      <c r="A20" t="s">
        <v>522</v>
      </c>
      <c r="B20" s="2">
        <v>25</v>
      </c>
      <c r="C20" t="s">
        <v>75</v>
      </c>
      <c r="D20" s="2" t="s">
        <v>52</v>
      </c>
      <c r="E20" s="2">
        <v>1</v>
      </c>
      <c r="F20" s="2">
        <v>0</v>
      </c>
      <c r="G20" s="2">
        <v>4</v>
      </c>
      <c r="H20" s="2">
        <v>1</v>
      </c>
      <c r="I20" s="2">
        <v>1</v>
      </c>
      <c r="J20" s="2">
        <v>1</v>
      </c>
      <c r="K20" s="2">
        <v>1.25</v>
      </c>
      <c r="L20" s="2"/>
      <c r="M20" s="2">
        <v>1.25</v>
      </c>
      <c r="N20" s="2">
        <v>0</v>
      </c>
      <c r="O20" s="2">
        <v>0.5</v>
      </c>
      <c r="P20" s="2">
        <v>215</v>
      </c>
      <c r="Q20" s="2">
        <v>185</v>
      </c>
      <c r="R20" s="2">
        <v>278</v>
      </c>
      <c r="S20" s="2">
        <v>231</v>
      </c>
      <c r="T20" s="2"/>
      <c r="U20" s="2">
        <v>218</v>
      </c>
      <c r="V20" s="2">
        <v>0</v>
      </c>
      <c r="W20" s="2">
        <v>118</v>
      </c>
      <c r="X20" s="2">
        <v>2.8</v>
      </c>
      <c r="Y20" s="2">
        <v>2.7</v>
      </c>
    </row>
    <row r="21" spans="1:25" x14ac:dyDescent="0.2">
      <c r="A21" t="s">
        <v>90</v>
      </c>
      <c r="B21" s="2">
        <v>22</v>
      </c>
      <c r="C21" t="s">
        <v>87</v>
      </c>
      <c r="D21" s="2" t="s">
        <v>42</v>
      </c>
      <c r="E21" s="2">
        <v>25</v>
      </c>
      <c r="F21" s="2">
        <v>25</v>
      </c>
      <c r="G21" s="2">
        <v>776</v>
      </c>
      <c r="H21" s="2">
        <v>0.47599999999999998</v>
      </c>
      <c r="I21" s="2">
        <v>0.501</v>
      </c>
      <c r="J21" s="2">
        <v>0.24299999999999999</v>
      </c>
      <c r="K21" s="2">
        <v>0.48799999999999999</v>
      </c>
      <c r="L21" s="2">
        <v>0.77200000000000002</v>
      </c>
      <c r="M21" s="2">
        <v>0.53800000000000003</v>
      </c>
      <c r="N21" s="2">
        <v>0.33200000000000002</v>
      </c>
      <c r="O21" s="2">
        <v>9.7000000000000003E-2</v>
      </c>
      <c r="P21" s="2">
        <v>103</v>
      </c>
      <c r="Q21" s="2">
        <v>93</v>
      </c>
      <c r="R21" s="2">
        <v>68</v>
      </c>
      <c r="S21" s="2">
        <v>90</v>
      </c>
      <c r="T21" s="2">
        <v>99</v>
      </c>
      <c r="U21" s="2">
        <v>94</v>
      </c>
      <c r="V21" s="2">
        <v>133</v>
      </c>
      <c r="W21" s="2">
        <v>23</v>
      </c>
      <c r="X21" s="2">
        <v>-40</v>
      </c>
      <c r="Y21" s="2">
        <v>-32.1</v>
      </c>
    </row>
    <row r="22" spans="1:25" x14ac:dyDescent="0.2">
      <c r="A22" t="s">
        <v>158</v>
      </c>
      <c r="B22" s="2">
        <v>22</v>
      </c>
      <c r="C22" t="s">
        <v>87</v>
      </c>
      <c r="D22" s="2" t="s">
        <v>49</v>
      </c>
      <c r="E22" s="2">
        <v>25</v>
      </c>
      <c r="F22" s="2">
        <v>2</v>
      </c>
      <c r="G22" s="2">
        <v>675</v>
      </c>
      <c r="H22" s="2">
        <v>0.55200000000000005</v>
      </c>
      <c r="I22" s="2">
        <v>0.59599999999999997</v>
      </c>
      <c r="J22" s="2">
        <v>0.3</v>
      </c>
      <c r="K22" s="2">
        <v>0.57499999999999996</v>
      </c>
      <c r="L22" s="2">
        <v>0.69899999999999995</v>
      </c>
      <c r="M22" s="2">
        <v>0.61199999999999999</v>
      </c>
      <c r="N22" s="2">
        <v>0.46300000000000002</v>
      </c>
      <c r="O22" s="2">
        <v>0.14899999999999999</v>
      </c>
      <c r="P22" s="2">
        <v>119</v>
      </c>
      <c r="Q22" s="2">
        <v>110</v>
      </c>
      <c r="R22" s="2">
        <v>84</v>
      </c>
      <c r="S22" s="2">
        <v>106</v>
      </c>
      <c r="T22" s="2">
        <v>90</v>
      </c>
      <c r="U22" s="2">
        <v>106</v>
      </c>
      <c r="V22" s="2">
        <v>186</v>
      </c>
      <c r="W22" s="2">
        <v>35</v>
      </c>
      <c r="X22" s="2">
        <v>13.7</v>
      </c>
      <c r="Y22" s="2">
        <v>18</v>
      </c>
    </row>
    <row r="23" spans="1:25" x14ac:dyDescent="0.2">
      <c r="A23" t="s">
        <v>195</v>
      </c>
      <c r="B23" s="2">
        <v>27</v>
      </c>
      <c r="C23" t="s">
        <v>77</v>
      </c>
      <c r="D23" s="2" t="s">
        <v>52</v>
      </c>
      <c r="E23" s="2">
        <v>24</v>
      </c>
      <c r="F23" s="2">
        <v>7</v>
      </c>
      <c r="G23" s="2">
        <v>576</v>
      </c>
      <c r="H23" s="2">
        <v>0.48599999999999999</v>
      </c>
      <c r="I23" s="2">
        <v>0.54800000000000004</v>
      </c>
      <c r="J23" s="2">
        <v>0.43</v>
      </c>
      <c r="K23" s="2">
        <v>0.59899999999999998</v>
      </c>
      <c r="L23" s="2">
        <v>0.84599999999999997</v>
      </c>
      <c r="M23" s="2">
        <v>0.63100000000000001</v>
      </c>
      <c r="N23" s="2">
        <v>0.22</v>
      </c>
      <c r="O23" s="2">
        <v>0.52500000000000002</v>
      </c>
      <c r="P23" s="2">
        <v>105</v>
      </c>
      <c r="Q23" s="2">
        <v>101</v>
      </c>
      <c r="R23" s="2">
        <v>120</v>
      </c>
      <c r="S23" s="2">
        <v>111</v>
      </c>
      <c r="T23" s="2">
        <v>109</v>
      </c>
      <c r="U23" s="2">
        <v>110</v>
      </c>
      <c r="V23" s="2">
        <v>88</v>
      </c>
      <c r="W23" s="2">
        <v>124</v>
      </c>
      <c r="X23" s="2">
        <v>20.7</v>
      </c>
      <c r="Y23" s="2">
        <v>21.9</v>
      </c>
    </row>
    <row r="24" spans="1:25" x14ac:dyDescent="0.2">
      <c r="A24" t="s">
        <v>284</v>
      </c>
      <c r="B24" s="2">
        <v>31</v>
      </c>
      <c r="C24" t="s">
        <v>122</v>
      </c>
      <c r="D24" s="2" t="s">
        <v>42</v>
      </c>
      <c r="E24" s="2">
        <v>19</v>
      </c>
      <c r="F24" s="2">
        <v>12</v>
      </c>
      <c r="G24" s="2">
        <v>380</v>
      </c>
      <c r="H24" s="2">
        <v>0.51800000000000002</v>
      </c>
      <c r="I24" s="2">
        <v>0.53700000000000003</v>
      </c>
      <c r="J24" s="2">
        <v>0.16700000000000001</v>
      </c>
      <c r="K24" s="2">
        <v>0.52200000000000002</v>
      </c>
      <c r="L24" s="2">
        <v>0.56899999999999995</v>
      </c>
      <c r="M24" s="2">
        <v>0.54200000000000004</v>
      </c>
      <c r="N24" s="2">
        <v>0.44700000000000001</v>
      </c>
      <c r="O24" s="2">
        <v>5.2999999999999999E-2</v>
      </c>
      <c r="P24" s="2">
        <v>111</v>
      </c>
      <c r="Q24" s="2">
        <v>99</v>
      </c>
      <c r="R24" s="2">
        <v>46</v>
      </c>
      <c r="S24" s="2">
        <v>97</v>
      </c>
      <c r="T24" s="2">
        <v>73</v>
      </c>
      <c r="U24" s="2">
        <v>94</v>
      </c>
      <c r="V24" s="2">
        <v>179</v>
      </c>
      <c r="W24" s="2">
        <v>12</v>
      </c>
      <c r="X24" s="2">
        <v>-4.2</v>
      </c>
      <c r="Y24" s="2">
        <v>-8.8000000000000007</v>
      </c>
    </row>
    <row r="25" spans="1:25" x14ac:dyDescent="0.2">
      <c r="A25" t="s">
        <v>361</v>
      </c>
      <c r="B25" s="2">
        <v>23</v>
      </c>
      <c r="C25" t="s">
        <v>35</v>
      </c>
      <c r="D25" s="2" t="s">
        <v>52</v>
      </c>
      <c r="E25" s="2">
        <v>23</v>
      </c>
      <c r="F25" s="2">
        <v>15</v>
      </c>
      <c r="G25" s="2">
        <v>407</v>
      </c>
      <c r="H25" s="2">
        <v>0.40500000000000003</v>
      </c>
      <c r="I25" s="2">
        <v>0.44700000000000001</v>
      </c>
      <c r="J25" s="2">
        <v>0.36599999999999999</v>
      </c>
      <c r="K25" s="2">
        <v>0.5</v>
      </c>
      <c r="L25" s="2">
        <v>0.5</v>
      </c>
      <c r="M25" s="2">
        <v>0.503</v>
      </c>
      <c r="N25" s="2">
        <v>0.10100000000000001</v>
      </c>
      <c r="O25" s="2">
        <v>0.51900000000000002</v>
      </c>
      <c r="P25" s="2">
        <v>87</v>
      </c>
      <c r="Q25" s="2">
        <v>83</v>
      </c>
      <c r="R25" s="2">
        <v>102</v>
      </c>
      <c r="S25" s="2">
        <v>93</v>
      </c>
      <c r="T25" s="2">
        <v>64</v>
      </c>
      <c r="U25" s="2">
        <v>88</v>
      </c>
      <c r="V25" s="2">
        <v>41</v>
      </c>
      <c r="W25" s="2">
        <v>123</v>
      </c>
      <c r="X25" s="2">
        <v>-6.4</v>
      </c>
      <c r="Y25" s="2">
        <v>-11.8</v>
      </c>
    </row>
    <row r="26" spans="1:25" x14ac:dyDescent="0.2">
      <c r="A26" t="s">
        <v>356</v>
      </c>
      <c r="B26" s="2">
        <v>25</v>
      </c>
      <c r="C26" t="s">
        <v>82</v>
      </c>
      <c r="D26" s="2" t="s">
        <v>52</v>
      </c>
      <c r="E26" s="2">
        <v>11</v>
      </c>
      <c r="F26" s="2">
        <v>11</v>
      </c>
      <c r="G26" s="2">
        <v>272</v>
      </c>
      <c r="H26" s="2">
        <v>0.436</v>
      </c>
      <c r="I26" s="2">
        <v>0.49099999999999999</v>
      </c>
      <c r="J26" s="2">
        <v>0.30399999999999999</v>
      </c>
      <c r="K26" s="2">
        <v>0.48099999999999998</v>
      </c>
      <c r="L26" s="2">
        <v>0.875</v>
      </c>
      <c r="M26" s="2">
        <v>0.52300000000000002</v>
      </c>
      <c r="N26" s="2">
        <v>0.20499999999999999</v>
      </c>
      <c r="O26" s="2">
        <v>0.29499999999999998</v>
      </c>
      <c r="P26" s="2">
        <v>94</v>
      </c>
      <c r="Q26" s="2">
        <v>91</v>
      </c>
      <c r="R26" s="2">
        <v>85</v>
      </c>
      <c r="S26" s="2">
        <v>89</v>
      </c>
      <c r="T26" s="2">
        <v>112</v>
      </c>
      <c r="U26" s="2">
        <v>91</v>
      </c>
      <c r="V26" s="2">
        <v>82</v>
      </c>
      <c r="W26" s="2">
        <v>70</v>
      </c>
      <c r="X26" s="2">
        <v>-9.3000000000000007</v>
      </c>
      <c r="Y26" s="2">
        <v>-8.6999999999999993</v>
      </c>
    </row>
    <row r="27" spans="1:25" x14ac:dyDescent="0.2">
      <c r="A27" t="s">
        <v>137</v>
      </c>
      <c r="B27" s="2">
        <v>29</v>
      </c>
      <c r="C27" t="s">
        <v>100</v>
      </c>
      <c r="D27" s="2" t="s">
        <v>49</v>
      </c>
      <c r="E27" s="2">
        <v>20</v>
      </c>
      <c r="F27" s="2">
        <v>20</v>
      </c>
      <c r="G27" s="2">
        <v>572</v>
      </c>
      <c r="H27" s="2">
        <v>0.46</v>
      </c>
      <c r="I27" s="2">
        <v>0.48299999999999998</v>
      </c>
      <c r="J27" s="2">
        <v>0.42699999999999999</v>
      </c>
      <c r="K27" s="2">
        <v>0.54800000000000004</v>
      </c>
      <c r="L27" s="2">
        <v>0.77</v>
      </c>
      <c r="M27" s="2">
        <v>0.59099999999999997</v>
      </c>
      <c r="N27" s="2">
        <v>0.34499999999999997</v>
      </c>
      <c r="O27" s="2">
        <v>0.40899999999999997</v>
      </c>
      <c r="P27" s="2">
        <v>99</v>
      </c>
      <c r="Q27" s="2">
        <v>89</v>
      </c>
      <c r="R27" s="2">
        <v>119</v>
      </c>
      <c r="S27" s="2">
        <v>101</v>
      </c>
      <c r="T27" s="2">
        <v>99</v>
      </c>
      <c r="U27" s="2">
        <v>103</v>
      </c>
      <c r="V27" s="2">
        <v>138</v>
      </c>
      <c r="W27" s="2">
        <v>97</v>
      </c>
      <c r="X27" s="2">
        <v>3.6</v>
      </c>
      <c r="Y27" s="2">
        <v>9.5</v>
      </c>
    </row>
    <row r="28" spans="1:25" x14ac:dyDescent="0.2">
      <c r="A28" t="s">
        <v>134</v>
      </c>
      <c r="B28" s="2">
        <v>25</v>
      </c>
      <c r="C28" t="s">
        <v>135</v>
      </c>
      <c r="D28" s="2" t="s">
        <v>52</v>
      </c>
      <c r="E28" s="2">
        <v>21</v>
      </c>
      <c r="F28" s="2">
        <v>21</v>
      </c>
      <c r="G28" s="2">
        <v>636</v>
      </c>
      <c r="H28" s="2">
        <v>0.40100000000000002</v>
      </c>
      <c r="I28" s="2">
        <v>0.48299999999999998</v>
      </c>
      <c r="J28" s="2">
        <v>0.32300000000000001</v>
      </c>
      <c r="K28" s="2">
        <v>0.48399999999999999</v>
      </c>
      <c r="L28" s="2">
        <v>0.89700000000000002</v>
      </c>
      <c r="M28" s="2">
        <v>0.52500000000000002</v>
      </c>
      <c r="N28" s="2">
        <v>0.191</v>
      </c>
      <c r="O28" s="2">
        <v>0.51</v>
      </c>
      <c r="P28" s="2">
        <v>86</v>
      </c>
      <c r="Q28" s="2">
        <v>89</v>
      </c>
      <c r="R28" s="2">
        <v>90</v>
      </c>
      <c r="S28" s="2">
        <v>89</v>
      </c>
      <c r="T28" s="2">
        <v>115</v>
      </c>
      <c r="U28" s="2">
        <v>91</v>
      </c>
      <c r="V28" s="2">
        <v>77</v>
      </c>
      <c r="W28" s="2">
        <v>121</v>
      </c>
      <c r="X28" s="2">
        <v>-34.6</v>
      </c>
      <c r="Y28" s="2">
        <v>-32.6</v>
      </c>
    </row>
    <row r="29" spans="1:25" x14ac:dyDescent="0.2">
      <c r="A29" t="s">
        <v>212</v>
      </c>
      <c r="B29" s="2">
        <v>21</v>
      </c>
      <c r="C29" t="s">
        <v>48</v>
      </c>
      <c r="D29" s="2" t="s">
        <v>33</v>
      </c>
      <c r="E29" s="4">
        <v>27</v>
      </c>
      <c r="F29" s="2">
        <v>1</v>
      </c>
      <c r="G29" s="2">
        <v>655</v>
      </c>
      <c r="H29" s="2">
        <v>0.42099999999999999</v>
      </c>
      <c r="I29" s="2">
        <v>0.51200000000000001</v>
      </c>
      <c r="J29" s="2">
        <v>0.246</v>
      </c>
      <c r="K29" s="2">
        <v>0.46300000000000002</v>
      </c>
      <c r="L29" s="2">
        <v>0.70599999999999996</v>
      </c>
      <c r="M29" s="2">
        <v>0.50900000000000001</v>
      </c>
      <c r="N29" s="2">
        <v>0.35799999999999998</v>
      </c>
      <c r="O29" s="2">
        <v>0.34200000000000003</v>
      </c>
      <c r="P29" s="2">
        <v>91</v>
      </c>
      <c r="Q29" s="2">
        <v>94</v>
      </c>
      <c r="R29" s="2">
        <v>69</v>
      </c>
      <c r="S29" s="2">
        <v>86</v>
      </c>
      <c r="T29" s="2">
        <v>91</v>
      </c>
      <c r="U29" s="2">
        <v>89</v>
      </c>
      <c r="V29" s="2">
        <v>144</v>
      </c>
      <c r="W29" s="2">
        <v>81</v>
      </c>
      <c r="X29" s="2">
        <v>-29.4</v>
      </c>
      <c r="Y29" s="2">
        <v>-28.7</v>
      </c>
    </row>
    <row r="30" spans="1:25" x14ac:dyDescent="0.2">
      <c r="A30" t="s">
        <v>40</v>
      </c>
      <c r="B30" s="2">
        <v>31</v>
      </c>
      <c r="C30" t="s">
        <v>41</v>
      </c>
      <c r="D30" s="2" t="s">
        <v>42</v>
      </c>
      <c r="E30" s="2">
        <v>23</v>
      </c>
      <c r="F30" s="2">
        <v>23</v>
      </c>
      <c r="G30" s="2">
        <v>813</v>
      </c>
      <c r="H30" s="2">
        <v>0.52900000000000003</v>
      </c>
      <c r="I30" s="2">
        <v>0.55700000000000005</v>
      </c>
      <c r="J30" s="2">
        <v>0.32</v>
      </c>
      <c r="K30" s="2">
        <v>0.54800000000000004</v>
      </c>
      <c r="L30" s="2">
        <v>0.79800000000000004</v>
      </c>
      <c r="M30" s="2">
        <v>0.61</v>
      </c>
      <c r="N30" s="2">
        <v>0.47299999999999998</v>
      </c>
      <c r="O30" s="2">
        <v>0.11700000000000001</v>
      </c>
      <c r="P30" s="2">
        <v>114</v>
      </c>
      <c r="Q30" s="2">
        <v>103</v>
      </c>
      <c r="R30" s="2">
        <v>89</v>
      </c>
      <c r="S30" s="2">
        <v>101</v>
      </c>
      <c r="T30" s="2">
        <v>103</v>
      </c>
      <c r="U30" s="2">
        <v>106</v>
      </c>
      <c r="V30" s="2">
        <v>190</v>
      </c>
      <c r="W30" s="2">
        <v>28</v>
      </c>
      <c r="X30" s="2">
        <v>6.2</v>
      </c>
      <c r="Y30" s="2">
        <v>36.5</v>
      </c>
    </row>
    <row r="31" spans="1:25" x14ac:dyDescent="0.2">
      <c r="A31" t="s">
        <v>50</v>
      </c>
      <c r="B31" s="2">
        <v>23</v>
      </c>
      <c r="C31" t="s">
        <v>51</v>
      </c>
      <c r="D31" s="2" t="s">
        <v>52</v>
      </c>
      <c r="E31" s="2">
        <v>23</v>
      </c>
      <c r="F31" s="2">
        <v>23</v>
      </c>
      <c r="G31" s="2">
        <v>836</v>
      </c>
      <c r="H31" s="2">
        <v>0.45300000000000001</v>
      </c>
      <c r="I31" s="2">
        <v>0.48</v>
      </c>
      <c r="J31" s="2">
        <v>0.42699999999999999</v>
      </c>
      <c r="K31" s="2">
        <v>0.56299999999999994</v>
      </c>
      <c r="L31" s="2">
        <v>0.81200000000000006</v>
      </c>
      <c r="M31" s="2">
        <v>0.59499999999999997</v>
      </c>
      <c r="N31" s="2">
        <v>0.217</v>
      </c>
      <c r="O31" s="2">
        <v>0.51700000000000002</v>
      </c>
      <c r="P31" s="2">
        <v>97</v>
      </c>
      <c r="Q31" s="2">
        <v>89</v>
      </c>
      <c r="R31" s="2">
        <v>119</v>
      </c>
      <c r="S31" s="2">
        <v>104</v>
      </c>
      <c r="T31" s="2">
        <v>104</v>
      </c>
      <c r="U31" s="2">
        <v>104</v>
      </c>
      <c r="V31" s="2">
        <v>87</v>
      </c>
      <c r="W31" s="2">
        <v>122</v>
      </c>
      <c r="X31" s="2">
        <v>21.2</v>
      </c>
      <c r="Y31" s="2">
        <v>20.5</v>
      </c>
    </row>
    <row r="32" spans="1:25" x14ac:dyDescent="0.2">
      <c r="A32" t="s">
        <v>414</v>
      </c>
      <c r="B32" s="2">
        <v>32</v>
      </c>
      <c r="C32" t="s">
        <v>114</v>
      </c>
      <c r="D32" s="2" t="s">
        <v>27</v>
      </c>
      <c r="E32" s="2">
        <v>17</v>
      </c>
      <c r="F32" s="2">
        <v>0</v>
      </c>
      <c r="G32" s="2">
        <v>131</v>
      </c>
      <c r="H32" s="2">
        <v>0.53600000000000003</v>
      </c>
      <c r="I32" s="2">
        <v>0.57899999999999996</v>
      </c>
      <c r="J32" s="2">
        <v>0.44400000000000001</v>
      </c>
      <c r="K32" s="2">
        <v>0.60699999999999998</v>
      </c>
      <c r="L32" s="2">
        <v>0.55600000000000005</v>
      </c>
      <c r="M32" s="2">
        <v>0.61199999999999999</v>
      </c>
      <c r="N32" s="2">
        <v>0.64300000000000002</v>
      </c>
      <c r="O32" s="2">
        <v>0.32100000000000001</v>
      </c>
      <c r="P32" s="2">
        <v>115</v>
      </c>
      <c r="Q32" s="2">
        <v>107</v>
      </c>
      <c r="R32" s="2">
        <v>124</v>
      </c>
      <c r="S32" s="2">
        <v>112</v>
      </c>
      <c r="T32" s="2">
        <v>71</v>
      </c>
      <c r="U32" s="2">
        <v>107</v>
      </c>
      <c r="V32" s="2">
        <v>258</v>
      </c>
      <c r="W32" s="2">
        <v>76</v>
      </c>
      <c r="X32" s="2">
        <v>3.7</v>
      </c>
      <c r="Y32" s="2">
        <v>2.7</v>
      </c>
    </row>
    <row r="33" spans="1:25" x14ac:dyDescent="0.2">
      <c r="A33" t="s">
        <v>386</v>
      </c>
      <c r="B33" s="2">
        <v>24</v>
      </c>
      <c r="C33" t="s">
        <v>117</v>
      </c>
      <c r="D33" s="2" t="s">
        <v>52</v>
      </c>
      <c r="E33" s="2">
        <v>14</v>
      </c>
      <c r="F33" s="2">
        <v>0</v>
      </c>
      <c r="G33" s="2">
        <v>138</v>
      </c>
      <c r="H33" s="2">
        <v>0.39700000000000002</v>
      </c>
      <c r="I33" s="2">
        <v>0.53100000000000003</v>
      </c>
      <c r="J33" s="2">
        <v>0.25800000000000001</v>
      </c>
      <c r="K33" s="2">
        <v>0.46</v>
      </c>
      <c r="L33" s="2">
        <v>0.85699999999999998</v>
      </c>
      <c r="M33" s="2">
        <v>0.48399999999999999</v>
      </c>
      <c r="N33" s="2">
        <v>0.111</v>
      </c>
      <c r="O33" s="2">
        <v>0.49199999999999999</v>
      </c>
      <c r="P33" s="2">
        <v>85</v>
      </c>
      <c r="Q33" s="2">
        <v>98</v>
      </c>
      <c r="R33" s="2">
        <v>72</v>
      </c>
      <c r="S33" s="2">
        <v>85</v>
      </c>
      <c r="T33" s="2">
        <v>110</v>
      </c>
      <c r="U33" s="2">
        <v>84</v>
      </c>
      <c r="V33" s="2">
        <v>45</v>
      </c>
      <c r="W33" s="2">
        <v>116</v>
      </c>
      <c r="X33" s="2">
        <v>-10.1</v>
      </c>
      <c r="Y33" s="2">
        <v>-11.9</v>
      </c>
    </row>
    <row r="34" spans="1:25" x14ac:dyDescent="0.2">
      <c r="A34" t="s">
        <v>463</v>
      </c>
      <c r="B34" s="2">
        <v>22</v>
      </c>
      <c r="C34" t="s">
        <v>44</v>
      </c>
      <c r="D34" s="2" t="s">
        <v>42</v>
      </c>
      <c r="E34" s="2">
        <v>11</v>
      </c>
      <c r="F34" s="2">
        <v>0</v>
      </c>
      <c r="G34" s="2">
        <v>97</v>
      </c>
      <c r="H34" s="2">
        <v>0.64300000000000002</v>
      </c>
      <c r="I34" s="2">
        <v>0.64300000000000002</v>
      </c>
      <c r="J34" s="2"/>
      <c r="K34" s="2">
        <v>0.64300000000000002</v>
      </c>
      <c r="L34" s="2">
        <v>0.5</v>
      </c>
      <c r="M34" s="2">
        <v>0.63100000000000001</v>
      </c>
      <c r="N34" s="2">
        <v>0.42899999999999999</v>
      </c>
      <c r="O34" s="2">
        <v>0</v>
      </c>
      <c r="P34" s="2">
        <v>138</v>
      </c>
      <c r="Q34" s="2">
        <v>119</v>
      </c>
      <c r="R34" s="2"/>
      <c r="S34" s="2">
        <v>119</v>
      </c>
      <c r="T34" s="2">
        <v>64</v>
      </c>
      <c r="U34" s="2">
        <v>110</v>
      </c>
      <c r="V34" s="2">
        <v>172</v>
      </c>
      <c r="W34" s="2">
        <v>0</v>
      </c>
      <c r="X34" s="2">
        <v>2.9</v>
      </c>
      <c r="Y34" s="2">
        <v>1.9</v>
      </c>
    </row>
    <row r="35" spans="1:25" x14ac:dyDescent="0.2">
      <c r="A35" t="s">
        <v>494</v>
      </c>
      <c r="B35" s="2">
        <v>22</v>
      </c>
      <c r="C35" t="s">
        <v>41</v>
      </c>
      <c r="D35" s="2" t="s">
        <v>49</v>
      </c>
      <c r="E35" s="2">
        <v>8</v>
      </c>
      <c r="F35" s="2">
        <v>0</v>
      </c>
      <c r="G35" s="2">
        <v>61</v>
      </c>
      <c r="H35" s="2">
        <v>0.27800000000000002</v>
      </c>
      <c r="I35" s="2">
        <v>0.45500000000000002</v>
      </c>
      <c r="J35" s="2">
        <v>0</v>
      </c>
      <c r="K35" s="2">
        <v>0.27800000000000002</v>
      </c>
      <c r="L35" s="2">
        <v>0.28599999999999998</v>
      </c>
      <c r="M35" s="2">
        <v>0.28499999999999998</v>
      </c>
      <c r="N35" s="2">
        <v>0.38900000000000001</v>
      </c>
      <c r="O35" s="2">
        <v>0.38900000000000001</v>
      </c>
      <c r="P35" s="2">
        <v>60</v>
      </c>
      <c r="Q35" s="2">
        <v>84</v>
      </c>
      <c r="R35" s="2">
        <v>0</v>
      </c>
      <c r="S35" s="2">
        <v>51</v>
      </c>
      <c r="T35" s="2">
        <v>37</v>
      </c>
      <c r="U35" s="2">
        <v>50</v>
      </c>
      <c r="V35" s="2">
        <v>156</v>
      </c>
      <c r="W35" s="2">
        <v>92</v>
      </c>
      <c r="X35" s="2">
        <v>-9.5</v>
      </c>
      <c r="Y35" s="2">
        <v>-12.2</v>
      </c>
    </row>
    <row r="36" spans="1:25" x14ac:dyDescent="0.2">
      <c r="A36" t="s">
        <v>430</v>
      </c>
      <c r="B36" s="2">
        <v>22</v>
      </c>
      <c r="C36" t="s">
        <v>75</v>
      </c>
      <c r="D36" s="2" t="s">
        <v>49</v>
      </c>
      <c r="E36" s="2">
        <v>6</v>
      </c>
      <c r="F36" s="2">
        <v>1</v>
      </c>
      <c r="G36" s="2">
        <v>90</v>
      </c>
      <c r="H36" s="2">
        <v>0.4</v>
      </c>
      <c r="I36" s="2">
        <v>0.44</v>
      </c>
      <c r="J36" s="2">
        <v>0.3</v>
      </c>
      <c r="K36" s="2">
        <v>0.443</v>
      </c>
      <c r="L36" s="2">
        <v>0.42899999999999999</v>
      </c>
      <c r="M36" s="2">
        <v>0.44600000000000001</v>
      </c>
      <c r="N36" s="2">
        <v>0.2</v>
      </c>
      <c r="O36" s="2">
        <v>0.28599999999999998</v>
      </c>
      <c r="P36" s="2">
        <v>86</v>
      </c>
      <c r="Q36" s="2">
        <v>81</v>
      </c>
      <c r="R36" s="2">
        <v>84</v>
      </c>
      <c r="S36" s="2">
        <v>82</v>
      </c>
      <c r="T36" s="2">
        <v>55</v>
      </c>
      <c r="U36" s="2">
        <v>78</v>
      </c>
      <c r="V36" s="2">
        <v>80</v>
      </c>
      <c r="W36" s="2">
        <v>68</v>
      </c>
      <c r="X36" s="2">
        <v>-6.8</v>
      </c>
      <c r="Y36" s="2">
        <v>-9.8000000000000007</v>
      </c>
    </row>
    <row r="37" spans="1:25" x14ac:dyDescent="0.2">
      <c r="A37" t="s">
        <v>148</v>
      </c>
      <c r="B37" s="2">
        <v>26</v>
      </c>
      <c r="C37" t="s">
        <v>41</v>
      </c>
      <c r="D37" s="2" t="s">
        <v>52</v>
      </c>
      <c r="E37" s="2">
        <v>19</v>
      </c>
      <c r="F37" s="2">
        <v>19</v>
      </c>
      <c r="G37" s="2">
        <v>641</v>
      </c>
      <c r="H37" s="2">
        <v>0.44</v>
      </c>
      <c r="I37" s="2">
        <v>0.55000000000000004</v>
      </c>
      <c r="J37" s="2">
        <v>0.35499999999999998</v>
      </c>
      <c r="K37" s="2">
        <v>0.54</v>
      </c>
      <c r="L37" s="2">
        <v>0.77400000000000002</v>
      </c>
      <c r="M37" s="2">
        <v>0.57299999999999995</v>
      </c>
      <c r="N37" s="2">
        <v>0.248</v>
      </c>
      <c r="O37" s="2">
        <v>0.56399999999999995</v>
      </c>
      <c r="P37" s="2">
        <v>95</v>
      </c>
      <c r="Q37" s="2">
        <v>102</v>
      </c>
      <c r="R37" s="2">
        <v>99</v>
      </c>
      <c r="S37" s="2">
        <v>100</v>
      </c>
      <c r="T37" s="2">
        <v>100</v>
      </c>
      <c r="U37" s="2">
        <v>100</v>
      </c>
      <c r="V37" s="2">
        <v>99</v>
      </c>
      <c r="W37" s="2">
        <v>133</v>
      </c>
      <c r="X37" s="2">
        <v>-0.3</v>
      </c>
      <c r="Y37" s="2">
        <v>-0.6</v>
      </c>
    </row>
    <row r="38" spans="1:25" x14ac:dyDescent="0.2">
      <c r="A38" t="s">
        <v>149</v>
      </c>
      <c r="B38" s="2">
        <v>25</v>
      </c>
      <c r="C38" t="s">
        <v>70</v>
      </c>
      <c r="D38" s="2" t="s">
        <v>52</v>
      </c>
      <c r="E38" s="2">
        <v>25</v>
      </c>
      <c r="F38" s="2">
        <v>12</v>
      </c>
      <c r="G38" s="2">
        <v>748</v>
      </c>
      <c r="H38" s="2">
        <v>0.502</v>
      </c>
      <c r="I38" s="2">
        <v>0.625</v>
      </c>
      <c r="J38" s="2">
        <v>0.32300000000000001</v>
      </c>
      <c r="K38" s="2">
        <v>0.56799999999999995</v>
      </c>
      <c r="L38" s="2">
        <v>0.82</v>
      </c>
      <c r="M38" s="2">
        <v>0.59799999999999998</v>
      </c>
      <c r="N38" s="2">
        <v>0.20599999999999999</v>
      </c>
      <c r="O38" s="2">
        <v>0.40699999999999997</v>
      </c>
      <c r="P38" s="2">
        <v>108</v>
      </c>
      <c r="Q38" s="2">
        <v>115</v>
      </c>
      <c r="R38" s="2">
        <v>90</v>
      </c>
      <c r="S38" s="2">
        <v>105</v>
      </c>
      <c r="T38" s="2">
        <v>105</v>
      </c>
      <c r="U38" s="2">
        <v>104</v>
      </c>
      <c r="V38" s="2">
        <v>83</v>
      </c>
      <c r="W38" s="2">
        <v>96</v>
      </c>
      <c r="X38" s="2">
        <v>13.3</v>
      </c>
      <c r="Y38" s="2">
        <v>12.5</v>
      </c>
    </row>
    <row r="39" spans="1:25" x14ac:dyDescent="0.2">
      <c r="A39" t="s">
        <v>125</v>
      </c>
      <c r="B39" s="2">
        <v>27</v>
      </c>
      <c r="C39" t="s">
        <v>61</v>
      </c>
      <c r="D39" s="2" t="s">
        <v>42</v>
      </c>
      <c r="E39" s="2">
        <v>23</v>
      </c>
      <c r="F39" s="2">
        <v>23</v>
      </c>
      <c r="G39" s="2">
        <v>799</v>
      </c>
      <c r="H39" s="2">
        <v>0.441</v>
      </c>
      <c r="I39" s="2">
        <v>0.46899999999999997</v>
      </c>
      <c r="J39" s="2">
        <v>0.33300000000000002</v>
      </c>
      <c r="K39" s="2">
        <v>0.47499999999999998</v>
      </c>
      <c r="L39" s="2">
        <v>0.72</v>
      </c>
      <c r="M39" s="2">
        <v>0.51400000000000001</v>
      </c>
      <c r="N39" s="2">
        <v>0.28899999999999998</v>
      </c>
      <c r="O39" s="2">
        <v>0.20499999999999999</v>
      </c>
      <c r="P39" s="2">
        <v>95</v>
      </c>
      <c r="Q39" s="2">
        <v>87</v>
      </c>
      <c r="R39" s="2">
        <v>93</v>
      </c>
      <c r="S39" s="2">
        <v>88</v>
      </c>
      <c r="T39" s="2">
        <v>93</v>
      </c>
      <c r="U39" s="2">
        <v>89</v>
      </c>
      <c r="V39" s="2">
        <v>116</v>
      </c>
      <c r="W39" s="2">
        <v>48</v>
      </c>
      <c r="X39" s="2">
        <v>-42.1</v>
      </c>
      <c r="Y39" s="2">
        <v>-44</v>
      </c>
    </row>
    <row r="40" spans="1:25" x14ac:dyDescent="0.2">
      <c r="A40" t="s">
        <v>532</v>
      </c>
      <c r="B40" s="2">
        <v>24</v>
      </c>
      <c r="C40" t="s">
        <v>39</v>
      </c>
      <c r="D40" s="2" t="s">
        <v>52</v>
      </c>
      <c r="E40" s="2">
        <v>5</v>
      </c>
      <c r="F40" s="2">
        <v>0</v>
      </c>
      <c r="G40" s="2">
        <v>34</v>
      </c>
      <c r="H40" s="2">
        <v>0.1</v>
      </c>
      <c r="I40" s="2">
        <v>0.25</v>
      </c>
      <c r="J40" s="2">
        <v>0</v>
      </c>
      <c r="K40" s="2">
        <v>0.1</v>
      </c>
      <c r="L40" s="2">
        <v>1</v>
      </c>
      <c r="M40" s="2">
        <v>0.184</v>
      </c>
      <c r="N40" s="2">
        <v>0.2</v>
      </c>
      <c r="O40" s="2">
        <v>0.6</v>
      </c>
      <c r="P40" s="2">
        <v>22</v>
      </c>
      <c r="Q40" s="2">
        <v>46</v>
      </c>
      <c r="R40" s="2">
        <v>0</v>
      </c>
      <c r="S40" s="2">
        <v>19</v>
      </c>
      <c r="T40" s="2">
        <v>129</v>
      </c>
      <c r="U40" s="2">
        <v>32</v>
      </c>
      <c r="V40" s="2">
        <v>80</v>
      </c>
      <c r="W40" s="2">
        <v>142</v>
      </c>
      <c r="X40" s="2">
        <v>-8.8000000000000007</v>
      </c>
      <c r="Y40" s="2">
        <v>-8.5</v>
      </c>
    </row>
    <row r="41" spans="1:25" x14ac:dyDescent="0.2">
      <c r="A41" t="s">
        <v>371</v>
      </c>
      <c r="B41" s="2">
        <v>23</v>
      </c>
      <c r="C41" t="s">
        <v>82</v>
      </c>
      <c r="D41" s="2" t="s">
        <v>52</v>
      </c>
      <c r="E41" s="2">
        <v>13</v>
      </c>
      <c r="F41" s="2">
        <v>5</v>
      </c>
      <c r="G41" s="2">
        <v>272</v>
      </c>
      <c r="H41" s="2">
        <v>0.42399999999999999</v>
      </c>
      <c r="I41" s="2">
        <v>0.47399999999999998</v>
      </c>
      <c r="J41" s="2">
        <v>0.40400000000000003</v>
      </c>
      <c r="K41" s="2">
        <v>0.56799999999999995</v>
      </c>
      <c r="L41" s="2"/>
      <c r="M41" s="2">
        <v>0.56799999999999995</v>
      </c>
      <c r="N41" s="2">
        <v>0</v>
      </c>
      <c r="O41" s="2">
        <v>0.71199999999999997</v>
      </c>
      <c r="P41" s="2">
        <v>91</v>
      </c>
      <c r="Q41" s="2">
        <v>87</v>
      </c>
      <c r="R41" s="2">
        <v>113</v>
      </c>
      <c r="S41" s="2">
        <v>105</v>
      </c>
      <c r="T41" s="2"/>
      <c r="U41" s="2">
        <v>99</v>
      </c>
      <c r="V41" s="2">
        <v>0</v>
      </c>
      <c r="W41" s="2">
        <v>168</v>
      </c>
      <c r="X41" s="2">
        <v>3.7</v>
      </c>
      <c r="Y41" s="2">
        <v>-0.8</v>
      </c>
    </row>
    <row r="42" spans="1:25" x14ac:dyDescent="0.2">
      <c r="A42" t="s">
        <v>347</v>
      </c>
      <c r="B42" s="2">
        <v>28</v>
      </c>
      <c r="C42" t="s">
        <v>103</v>
      </c>
      <c r="D42" s="2" t="s">
        <v>33</v>
      </c>
      <c r="E42" s="2">
        <v>18</v>
      </c>
      <c r="F42" s="2">
        <v>13</v>
      </c>
      <c r="G42" s="2">
        <v>425</v>
      </c>
      <c r="H42" s="2">
        <v>0.60799999999999998</v>
      </c>
      <c r="I42" s="2">
        <v>0.60799999999999998</v>
      </c>
      <c r="J42" s="2"/>
      <c r="K42" s="2">
        <v>0.60799999999999998</v>
      </c>
      <c r="L42" s="2">
        <v>0.5</v>
      </c>
      <c r="M42" s="2">
        <v>0.60599999999999998</v>
      </c>
      <c r="N42" s="2">
        <v>0.108</v>
      </c>
      <c r="O42" s="2">
        <v>0</v>
      </c>
      <c r="P42" s="2">
        <v>131</v>
      </c>
      <c r="Q42" s="2">
        <v>112</v>
      </c>
      <c r="R42" s="2"/>
      <c r="S42" s="2">
        <v>113</v>
      </c>
      <c r="T42" s="2">
        <v>64</v>
      </c>
      <c r="U42" s="2">
        <v>106</v>
      </c>
      <c r="V42" s="2">
        <v>43</v>
      </c>
      <c r="W42" s="2">
        <v>0</v>
      </c>
      <c r="X42" s="2">
        <v>10</v>
      </c>
      <c r="Y42" s="2">
        <v>4.9000000000000004</v>
      </c>
    </row>
    <row r="43" spans="1:25" x14ac:dyDescent="0.2">
      <c r="A43" t="s">
        <v>94</v>
      </c>
      <c r="B43" s="2">
        <v>22</v>
      </c>
      <c r="C43" t="s">
        <v>82</v>
      </c>
      <c r="D43" s="2" t="s">
        <v>52</v>
      </c>
      <c r="E43" s="2">
        <v>25</v>
      </c>
      <c r="F43" s="2">
        <v>20</v>
      </c>
      <c r="G43" s="2">
        <v>818</v>
      </c>
      <c r="H43" s="2">
        <v>0.47099999999999997</v>
      </c>
      <c r="I43" s="2">
        <v>0.50900000000000001</v>
      </c>
      <c r="J43" s="2">
        <v>0.39</v>
      </c>
      <c r="K43" s="2">
        <v>0.53400000000000003</v>
      </c>
      <c r="L43" s="2">
        <v>0.84699999999999998</v>
      </c>
      <c r="M43" s="2">
        <v>0.60099999999999998</v>
      </c>
      <c r="N43" s="2">
        <v>0.42</v>
      </c>
      <c r="O43" s="2">
        <v>0.32100000000000001</v>
      </c>
      <c r="P43" s="2">
        <v>101</v>
      </c>
      <c r="Q43" s="2">
        <v>94</v>
      </c>
      <c r="R43" s="2">
        <v>109</v>
      </c>
      <c r="S43" s="2">
        <v>99</v>
      </c>
      <c r="T43" s="2">
        <v>109</v>
      </c>
      <c r="U43" s="2">
        <v>105</v>
      </c>
      <c r="V43" s="2">
        <v>168</v>
      </c>
      <c r="W43" s="2">
        <v>76</v>
      </c>
      <c r="X43" s="2">
        <v>-4.3</v>
      </c>
      <c r="Y43" s="2">
        <v>19.3</v>
      </c>
    </row>
    <row r="44" spans="1:25" x14ac:dyDescent="0.2">
      <c r="A44" t="s">
        <v>192</v>
      </c>
      <c r="B44" s="2">
        <v>20</v>
      </c>
      <c r="C44" t="s">
        <v>114</v>
      </c>
      <c r="D44" s="2" t="s">
        <v>49</v>
      </c>
      <c r="E44" s="2">
        <v>21</v>
      </c>
      <c r="F44" s="2">
        <v>21</v>
      </c>
      <c r="G44" s="2">
        <v>726</v>
      </c>
      <c r="H44" s="2">
        <v>0.433</v>
      </c>
      <c r="I44" s="2">
        <v>0.51900000000000002</v>
      </c>
      <c r="J44" s="2">
        <v>0.26500000000000001</v>
      </c>
      <c r="K44" s="2">
        <v>0.47799999999999998</v>
      </c>
      <c r="L44" s="2">
        <v>0.78300000000000003</v>
      </c>
      <c r="M44" s="2">
        <v>0.53100000000000003</v>
      </c>
      <c r="N44" s="2">
        <v>0.34</v>
      </c>
      <c r="O44" s="2">
        <v>0.33500000000000002</v>
      </c>
      <c r="P44" s="2">
        <v>93</v>
      </c>
      <c r="Q44" s="2">
        <v>96</v>
      </c>
      <c r="R44" s="2">
        <v>74</v>
      </c>
      <c r="S44" s="2">
        <v>88</v>
      </c>
      <c r="T44" s="2">
        <v>101</v>
      </c>
      <c r="U44" s="2">
        <v>92</v>
      </c>
      <c r="V44" s="2">
        <v>136</v>
      </c>
      <c r="W44" s="2">
        <v>79</v>
      </c>
      <c r="X44" s="2">
        <v>-25.4</v>
      </c>
      <c r="Y44" s="2">
        <v>-20.100000000000001</v>
      </c>
    </row>
    <row r="45" spans="1:25" x14ac:dyDescent="0.2">
      <c r="A45" t="s">
        <v>372</v>
      </c>
      <c r="B45" s="2">
        <v>21</v>
      </c>
      <c r="C45" t="s">
        <v>93</v>
      </c>
      <c r="D45" s="2" t="s">
        <v>52</v>
      </c>
      <c r="E45" s="2">
        <v>19</v>
      </c>
      <c r="F45" s="2">
        <v>0</v>
      </c>
      <c r="G45" s="2">
        <v>212</v>
      </c>
      <c r="H45" s="2">
        <v>0.439</v>
      </c>
      <c r="I45" s="2">
        <v>0.54300000000000004</v>
      </c>
      <c r="J45" s="2">
        <v>0.2</v>
      </c>
      <c r="K45" s="2">
        <v>0.47</v>
      </c>
      <c r="L45" s="2">
        <v>0.68400000000000005</v>
      </c>
      <c r="M45" s="2">
        <v>0.504</v>
      </c>
      <c r="N45" s="2">
        <v>0.28799999999999998</v>
      </c>
      <c r="O45" s="2">
        <v>0.30299999999999999</v>
      </c>
      <c r="P45" s="2">
        <v>95</v>
      </c>
      <c r="Q45" s="2">
        <v>100</v>
      </c>
      <c r="R45" s="2">
        <v>56</v>
      </c>
      <c r="S45" s="2">
        <v>87</v>
      </c>
      <c r="T45" s="2">
        <v>88</v>
      </c>
      <c r="U45" s="2">
        <v>88</v>
      </c>
      <c r="V45" s="2">
        <v>115</v>
      </c>
      <c r="W45" s="2">
        <v>72</v>
      </c>
      <c r="X45" s="2">
        <v>-9.3000000000000007</v>
      </c>
      <c r="Y45" s="2">
        <v>-10.4</v>
      </c>
    </row>
    <row r="46" spans="1:25" x14ac:dyDescent="0.2">
      <c r="A46" t="s">
        <v>152</v>
      </c>
      <c r="B46" s="2">
        <v>29</v>
      </c>
      <c r="C46" t="s">
        <v>35</v>
      </c>
      <c r="D46" s="2" t="s">
        <v>27</v>
      </c>
      <c r="E46" s="2">
        <v>23</v>
      </c>
      <c r="F46" s="2">
        <v>1</v>
      </c>
      <c r="G46" s="2">
        <v>555</v>
      </c>
      <c r="H46" s="2">
        <v>0.47699999999999998</v>
      </c>
      <c r="I46" s="2">
        <v>0.51600000000000001</v>
      </c>
      <c r="J46" s="2">
        <v>0.38200000000000001</v>
      </c>
      <c r="K46" s="2">
        <v>0.53200000000000003</v>
      </c>
      <c r="L46" s="2">
        <v>0.72399999999999998</v>
      </c>
      <c r="M46" s="2">
        <v>0.54500000000000004</v>
      </c>
      <c r="N46" s="2">
        <v>0.109</v>
      </c>
      <c r="O46" s="2">
        <v>0.28599999999999998</v>
      </c>
      <c r="P46" s="2">
        <v>103</v>
      </c>
      <c r="Q46" s="2">
        <v>95</v>
      </c>
      <c r="R46" s="2">
        <v>106</v>
      </c>
      <c r="S46" s="2">
        <v>98</v>
      </c>
      <c r="T46" s="2">
        <v>93</v>
      </c>
      <c r="U46" s="2">
        <v>95</v>
      </c>
      <c r="V46" s="2">
        <v>44</v>
      </c>
      <c r="W46" s="2">
        <v>68</v>
      </c>
      <c r="X46" s="2">
        <v>-4.5999999999999996</v>
      </c>
      <c r="Y46" s="2">
        <v>-16.3</v>
      </c>
    </row>
    <row r="47" spans="1:25" x14ac:dyDescent="0.2">
      <c r="A47" t="s">
        <v>303</v>
      </c>
      <c r="B47" s="2">
        <v>32</v>
      </c>
      <c r="C47" t="s">
        <v>72</v>
      </c>
      <c r="D47" s="2" t="s">
        <v>52</v>
      </c>
      <c r="E47" s="2">
        <v>11</v>
      </c>
      <c r="F47" s="2">
        <v>0</v>
      </c>
      <c r="G47" s="2">
        <v>277</v>
      </c>
      <c r="H47" s="2">
        <v>0.40200000000000002</v>
      </c>
      <c r="I47" s="2">
        <v>0.54100000000000004</v>
      </c>
      <c r="J47" s="2">
        <v>0.33300000000000002</v>
      </c>
      <c r="K47" s="2">
        <v>0.51300000000000001</v>
      </c>
      <c r="L47" s="2">
        <v>0.94099999999999995</v>
      </c>
      <c r="M47" s="2">
        <v>0.54800000000000004</v>
      </c>
      <c r="N47" s="2">
        <v>0.152</v>
      </c>
      <c r="O47" s="2">
        <v>0.67</v>
      </c>
      <c r="P47" s="2">
        <v>86</v>
      </c>
      <c r="Q47" s="2">
        <v>100</v>
      </c>
      <c r="R47" s="2">
        <v>93</v>
      </c>
      <c r="S47" s="2">
        <v>95</v>
      </c>
      <c r="T47" s="2">
        <v>121</v>
      </c>
      <c r="U47" s="2">
        <v>95</v>
      </c>
      <c r="V47" s="2">
        <v>61</v>
      </c>
      <c r="W47" s="2">
        <v>158</v>
      </c>
      <c r="X47" s="2">
        <v>-6.1</v>
      </c>
      <c r="Y47" s="2">
        <v>-6.3</v>
      </c>
    </row>
    <row r="48" spans="1:25" x14ac:dyDescent="0.2">
      <c r="A48" t="s">
        <v>456</v>
      </c>
      <c r="B48" s="2">
        <v>25</v>
      </c>
      <c r="C48" t="s">
        <v>54</v>
      </c>
      <c r="D48" s="2" t="s">
        <v>27</v>
      </c>
      <c r="E48" s="2">
        <v>7</v>
      </c>
      <c r="F48" s="2">
        <v>0</v>
      </c>
      <c r="G48" s="2">
        <v>37</v>
      </c>
      <c r="H48" s="2">
        <v>0.6</v>
      </c>
      <c r="I48" s="2">
        <v>0.8</v>
      </c>
      <c r="J48" s="2">
        <v>0.2</v>
      </c>
      <c r="K48" s="2">
        <v>0.63300000000000001</v>
      </c>
      <c r="L48" s="2">
        <v>0.66700000000000004</v>
      </c>
      <c r="M48" s="2">
        <v>0.65200000000000002</v>
      </c>
      <c r="N48" s="2">
        <v>0.4</v>
      </c>
      <c r="O48" s="2">
        <v>0.33300000000000002</v>
      </c>
      <c r="P48" s="2">
        <v>129</v>
      </c>
      <c r="Q48" s="2">
        <v>148</v>
      </c>
      <c r="R48" s="2">
        <v>56</v>
      </c>
      <c r="S48" s="2">
        <v>117</v>
      </c>
      <c r="T48" s="2">
        <v>86</v>
      </c>
      <c r="U48" s="2">
        <v>113</v>
      </c>
      <c r="V48" s="2">
        <v>160</v>
      </c>
      <c r="W48" s="2">
        <v>79</v>
      </c>
      <c r="X48" s="2">
        <v>2.8</v>
      </c>
      <c r="Y48" s="2">
        <v>2.7</v>
      </c>
    </row>
    <row r="49" spans="1:25" x14ac:dyDescent="0.2">
      <c r="A49" t="s">
        <v>368</v>
      </c>
      <c r="B49" s="2">
        <v>24</v>
      </c>
      <c r="C49" t="s">
        <v>77</v>
      </c>
      <c r="D49" s="2" t="s">
        <v>33</v>
      </c>
      <c r="E49" s="2">
        <v>10</v>
      </c>
      <c r="F49" s="2">
        <v>0</v>
      </c>
      <c r="G49" s="2">
        <v>104</v>
      </c>
      <c r="H49" s="2">
        <v>0.39</v>
      </c>
      <c r="I49" s="2">
        <v>0.27800000000000002</v>
      </c>
      <c r="J49" s="2">
        <v>0.439</v>
      </c>
      <c r="K49" s="2">
        <v>0.54200000000000004</v>
      </c>
      <c r="L49" s="2">
        <v>0.86699999999999999</v>
      </c>
      <c r="M49" s="2">
        <v>0.58699999999999997</v>
      </c>
      <c r="N49" s="2">
        <v>0.254</v>
      </c>
      <c r="O49" s="2">
        <v>0.69499999999999995</v>
      </c>
      <c r="P49" s="2">
        <v>84</v>
      </c>
      <c r="Q49" s="2">
        <v>51</v>
      </c>
      <c r="R49" s="2">
        <v>122</v>
      </c>
      <c r="S49" s="2">
        <v>100</v>
      </c>
      <c r="T49" s="2">
        <v>111</v>
      </c>
      <c r="U49" s="2">
        <v>102</v>
      </c>
      <c r="V49" s="2">
        <v>102</v>
      </c>
      <c r="W49" s="2">
        <v>164</v>
      </c>
      <c r="X49" s="2">
        <v>0.2</v>
      </c>
      <c r="Y49" s="2">
        <v>1.6</v>
      </c>
    </row>
    <row r="50" spans="1:25" x14ac:dyDescent="0.2">
      <c r="A50" t="s">
        <v>182</v>
      </c>
      <c r="B50" s="2">
        <v>31</v>
      </c>
      <c r="C50" t="s">
        <v>54</v>
      </c>
      <c r="D50" s="2" t="s">
        <v>52</v>
      </c>
      <c r="E50" s="2">
        <v>15</v>
      </c>
      <c r="F50" s="2">
        <v>15</v>
      </c>
      <c r="G50" s="2">
        <v>502</v>
      </c>
      <c r="H50" s="2">
        <v>0.49299999999999999</v>
      </c>
      <c r="I50" s="2">
        <v>0.58699999999999997</v>
      </c>
      <c r="J50" s="2">
        <v>0.36</v>
      </c>
      <c r="K50" s="2">
        <v>0.56799999999999995</v>
      </c>
      <c r="L50" s="2">
        <v>0.8</v>
      </c>
      <c r="M50" s="2">
        <v>0.59399999999999997</v>
      </c>
      <c r="N50" s="2">
        <v>0.193</v>
      </c>
      <c r="O50" s="2">
        <v>0.41499999999999998</v>
      </c>
      <c r="P50" s="2">
        <v>106</v>
      </c>
      <c r="Q50" s="2">
        <v>108</v>
      </c>
      <c r="R50" s="2">
        <v>100</v>
      </c>
      <c r="S50" s="2">
        <v>105</v>
      </c>
      <c r="T50" s="2">
        <v>103</v>
      </c>
      <c r="U50" s="2">
        <v>103</v>
      </c>
      <c r="V50" s="2">
        <v>77</v>
      </c>
      <c r="W50" s="2">
        <v>98</v>
      </c>
      <c r="X50" s="2">
        <v>11.2</v>
      </c>
      <c r="Y50" s="2">
        <v>8.9</v>
      </c>
    </row>
    <row r="51" spans="1:25" x14ac:dyDescent="0.2">
      <c r="A51" t="s">
        <v>523</v>
      </c>
      <c r="B51" s="2">
        <v>25</v>
      </c>
      <c r="C51" t="s">
        <v>32</v>
      </c>
      <c r="D51" s="2" t="s">
        <v>42</v>
      </c>
      <c r="E51" s="2">
        <v>5</v>
      </c>
      <c r="F51" s="2">
        <v>0</v>
      </c>
      <c r="G51" s="2">
        <v>18</v>
      </c>
      <c r="H51" s="2">
        <v>0.14299999999999999</v>
      </c>
      <c r="I51" s="2">
        <v>0.5</v>
      </c>
      <c r="J51" s="2">
        <v>0</v>
      </c>
      <c r="K51" s="2">
        <v>0.14299999999999999</v>
      </c>
      <c r="L51" s="2">
        <v>1</v>
      </c>
      <c r="M51" s="2">
        <v>0.254</v>
      </c>
      <c r="N51" s="2">
        <v>0.28599999999999998</v>
      </c>
      <c r="O51" s="2">
        <v>0.71399999999999997</v>
      </c>
      <c r="P51" s="2">
        <v>31</v>
      </c>
      <c r="Q51" s="2">
        <v>92</v>
      </c>
      <c r="R51" s="2">
        <v>0</v>
      </c>
      <c r="S51" s="2">
        <v>26</v>
      </c>
      <c r="T51" s="2">
        <v>129</v>
      </c>
      <c r="U51" s="2">
        <v>44</v>
      </c>
      <c r="V51" s="2">
        <v>115</v>
      </c>
      <c r="W51" s="2">
        <v>169</v>
      </c>
      <c r="X51" s="2">
        <v>-5.6</v>
      </c>
      <c r="Y51" s="2">
        <v>-5.0999999999999996</v>
      </c>
    </row>
    <row r="52" spans="1:25" x14ac:dyDescent="0.2">
      <c r="A52" t="s">
        <v>247</v>
      </c>
      <c r="B52" s="2">
        <v>21</v>
      </c>
      <c r="C52" t="s">
        <v>100</v>
      </c>
      <c r="D52" s="2" t="s">
        <v>52</v>
      </c>
      <c r="E52" s="2">
        <v>23</v>
      </c>
      <c r="F52" s="2">
        <v>8</v>
      </c>
      <c r="G52" s="2">
        <v>572</v>
      </c>
      <c r="H52" s="2">
        <v>0.38</v>
      </c>
      <c r="I52" s="2">
        <v>0.495</v>
      </c>
      <c r="J52" s="2">
        <v>0.247</v>
      </c>
      <c r="K52" s="2">
        <v>0.438</v>
      </c>
      <c r="L52" s="2">
        <v>0.75</v>
      </c>
      <c r="M52" s="2">
        <v>0.46400000000000002</v>
      </c>
      <c r="N52" s="2">
        <v>0.152</v>
      </c>
      <c r="O52" s="2">
        <v>0.46200000000000002</v>
      </c>
      <c r="P52" s="2">
        <v>82</v>
      </c>
      <c r="Q52" s="2">
        <v>91</v>
      </c>
      <c r="R52" s="2">
        <v>69</v>
      </c>
      <c r="S52" s="2">
        <v>81</v>
      </c>
      <c r="T52" s="2">
        <v>96</v>
      </c>
      <c r="U52" s="2">
        <v>81</v>
      </c>
      <c r="V52" s="2">
        <v>61</v>
      </c>
      <c r="W52" s="2">
        <v>109</v>
      </c>
      <c r="X52" s="2">
        <v>-37.9</v>
      </c>
      <c r="Y52" s="2">
        <v>-43.6</v>
      </c>
    </row>
    <row r="53" spans="1:25" x14ac:dyDescent="0.2">
      <c r="A53" t="s">
        <v>177</v>
      </c>
      <c r="B53" s="2">
        <v>23</v>
      </c>
      <c r="C53" t="s">
        <v>117</v>
      </c>
      <c r="D53" s="2" t="s">
        <v>52</v>
      </c>
      <c r="E53" s="2">
        <v>23</v>
      </c>
      <c r="F53" s="2">
        <v>10</v>
      </c>
      <c r="G53" s="2">
        <v>633</v>
      </c>
      <c r="H53" s="2">
        <v>0.436</v>
      </c>
      <c r="I53" s="2">
        <v>0.51</v>
      </c>
      <c r="J53" s="2">
        <v>0.32300000000000001</v>
      </c>
      <c r="K53" s="2">
        <v>0.5</v>
      </c>
      <c r="L53" s="2">
        <v>0.85099999999999998</v>
      </c>
      <c r="M53" s="2">
        <v>0.53800000000000003</v>
      </c>
      <c r="N53" s="2">
        <v>0.19900000000000001</v>
      </c>
      <c r="O53" s="2">
        <v>0.39400000000000002</v>
      </c>
      <c r="P53" s="2">
        <v>94</v>
      </c>
      <c r="Q53" s="2">
        <v>94</v>
      </c>
      <c r="R53" s="2">
        <v>90</v>
      </c>
      <c r="S53" s="2">
        <v>93</v>
      </c>
      <c r="T53" s="2">
        <v>109</v>
      </c>
      <c r="U53" s="2">
        <v>94</v>
      </c>
      <c r="V53" s="2">
        <v>80</v>
      </c>
      <c r="W53" s="2">
        <v>93</v>
      </c>
      <c r="X53" s="2">
        <v>-19.100000000000001</v>
      </c>
      <c r="Y53" s="2">
        <v>-18.899999999999999</v>
      </c>
    </row>
    <row r="54" spans="1:25" x14ac:dyDescent="0.2">
      <c r="A54" t="s">
        <v>251</v>
      </c>
      <c r="B54" s="2">
        <v>28</v>
      </c>
      <c r="C54" t="s">
        <v>80</v>
      </c>
      <c r="D54" s="2" t="s">
        <v>27</v>
      </c>
      <c r="E54" s="2">
        <v>24</v>
      </c>
      <c r="F54" s="2">
        <v>15</v>
      </c>
      <c r="G54" s="2">
        <v>444</v>
      </c>
      <c r="H54" s="2">
        <v>0.61199999999999999</v>
      </c>
      <c r="I54" s="2">
        <v>0.68600000000000005</v>
      </c>
      <c r="J54" s="2">
        <v>6.3E-2</v>
      </c>
      <c r="K54" s="2">
        <v>0.61599999999999999</v>
      </c>
      <c r="L54" s="2">
        <v>0.63200000000000001</v>
      </c>
      <c r="M54" s="2">
        <v>0.622</v>
      </c>
      <c r="N54" s="2">
        <v>0.14199999999999999</v>
      </c>
      <c r="O54" s="2">
        <v>0.11899999999999999</v>
      </c>
      <c r="P54" s="2">
        <v>132</v>
      </c>
      <c r="Q54" s="2">
        <v>127</v>
      </c>
      <c r="R54" s="2">
        <v>17</v>
      </c>
      <c r="S54" s="2">
        <v>114</v>
      </c>
      <c r="T54" s="2">
        <v>81</v>
      </c>
      <c r="U54" s="2">
        <v>108</v>
      </c>
      <c r="V54" s="2">
        <v>57</v>
      </c>
      <c r="W54" s="2">
        <v>28</v>
      </c>
      <c r="X54" s="2">
        <v>20.100000000000001</v>
      </c>
      <c r="Y54" s="2">
        <v>13.4</v>
      </c>
    </row>
    <row r="55" spans="1:25" x14ac:dyDescent="0.2">
      <c r="A55" t="s">
        <v>116</v>
      </c>
      <c r="B55" s="2">
        <v>27</v>
      </c>
      <c r="C55" t="s">
        <v>117</v>
      </c>
      <c r="D55" s="2" t="s">
        <v>49</v>
      </c>
      <c r="E55" s="2">
        <v>18</v>
      </c>
      <c r="F55" s="2">
        <v>18</v>
      </c>
      <c r="G55" s="2">
        <v>595</v>
      </c>
      <c r="H55" s="2">
        <v>0.46500000000000002</v>
      </c>
      <c r="I55" s="2">
        <v>0.51400000000000001</v>
      </c>
      <c r="J55" s="2">
        <v>0.374</v>
      </c>
      <c r="K55" s="2">
        <v>0.53</v>
      </c>
      <c r="L55" s="2">
        <v>0.85499999999999998</v>
      </c>
      <c r="M55" s="2">
        <v>0.56000000000000005</v>
      </c>
      <c r="N55" s="2">
        <v>0.16500000000000001</v>
      </c>
      <c r="O55" s="2">
        <v>0.34499999999999997</v>
      </c>
      <c r="P55" s="2">
        <v>100</v>
      </c>
      <c r="Q55" s="2">
        <v>95</v>
      </c>
      <c r="R55" s="2">
        <v>104</v>
      </c>
      <c r="S55" s="2">
        <v>98</v>
      </c>
      <c r="T55" s="2">
        <v>110</v>
      </c>
      <c r="U55" s="2">
        <v>97</v>
      </c>
      <c r="V55" s="2">
        <v>66</v>
      </c>
      <c r="W55" s="2">
        <v>82</v>
      </c>
      <c r="X55" s="2">
        <v>-7</v>
      </c>
      <c r="Y55" s="2">
        <v>-10.4</v>
      </c>
    </row>
    <row r="56" spans="1:25" x14ac:dyDescent="0.2">
      <c r="A56" t="s">
        <v>95</v>
      </c>
      <c r="B56" s="2">
        <v>22</v>
      </c>
      <c r="C56" t="s">
        <v>59</v>
      </c>
      <c r="D56" s="2" t="s">
        <v>49</v>
      </c>
      <c r="E56" s="2">
        <v>20</v>
      </c>
      <c r="F56" s="2">
        <v>20</v>
      </c>
      <c r="G56" s="2">
        <v>688</v>
      </c>
      <c r="H56" s="2">
        <v>0.40699999999999997</v>
      </c>
      <c r="I56" s="2">
        <v>0.46500000000000002</v>
      </c>
      <c r="J56" s="2">
        <v>0.36499999999999999</v>
      </c>
      <c r="K56" s="2">
        <v>0.51300000000000001</v>
      </c>
      <c r="L56" s="2">
        <v>0.90200000000000002</v>
      </c>
      <c r="M56" s="2">
        <v>0.54700000000000004</v>
      </c>
      <c r="N56" s="2">
        <v>0.16200000000000001</v>
      </c>
      <c r="O56" s="2">
        <v>0.58199999999999996</v>
      </c>
      <c r="P56" s="2">
        <v>88</v>
      </c>
      <c r="Q56" s="2">
        <v>86</v>
      </c>
      <c r="R56" s="2">
        <v>102</v>
      </c>
      <c r="S56" s="2">
        <v>95</v>
      </c>
      <c r="T56" s="2">
        <v>116</v>
      </c>
      <c r="U56" s="2">
        <v>95</v>
      </c>
      <c r="V56" s="2">
        <v>65</v>
      </c>
      <c r="W56" s="2">
        <v>138</v>
      </c>
      <c r="X56" s="2">
        <v>-20.5</v>
      </c>
      <c r="Y56" s="2">
        <v>-21.8</v>
      </c>
    </row>
    <row r="57" spans="1:25" x14ac:dyDescent="0.2">
      <c r="A57" t="s">
        <v>514</v>
      </c>
      <c r="B57" s="2">
        <v>25</v>
      </c>
      <c r="C57" t="s">
        <v>63</v>
      </c>
      <c r="D57" s="2" t="s">
        <v>33</v>
      </c>
      <c r="E57" s="2">
        <v>5</v>
      </c>
      <c r="F57" s="2">
        <v>0</v>
      </c>
      <c r="G57" s="2">
        <v>21</v>
      </c>
      <c r="H57" s="2">
        <v>0.222</v>
      </c>
      <c r="I57" s="2">
        <v>0.28599999999999998</v>
      </c>
      <c r="J57" s="2">
        <v>0</v>
      </c>
      <c r="K57" s="2">
        <v>0.222</v>
      </c>
      <c r="L57" s="2">
        <v>0.66700000000000004</v>
      </c>
      <c r="M57" s="2">
        <v>0.29099999999999998</v>
      </c>
      <c r="N57" s="2">
        <v>0.33300000000000002</v>
      </c>
      <c r="O57" s="2">
        <v>0.222</v>
      </c>
      <c r="P57" s="2">
        <v>48</v>
      </c>
      <c r="Q57" s="2">
        <v>53</v>
      </c>
      <c r="R57" s="2">
        <v>0</v>
      </c>
      <c r="S57" s="2">
        <v>41</v>
      </c>
      <c r="T57" s="2">
        <v>86</v>
      </c>
      <c r="U57" s="2">
        <v>51</v>
      </c>
      <c r="V57" s="2">
        <v>134</v>
      </c>
      <c r="W57" s="2">
        <v>53</v>
      </c>
      <c r="X57" s="2">
        <v>-5.7</v>
      </c>
      <c r="Y57" s="2">
        <v>-5.9</v>
      </c>
    </row>
    <row r="58" spans="1:25" x14ac:dyDescent="0.2">
      <c r="A58" t="s">
        <v>297</v>
      </c>
      <c r="B58" s="2">
        <v>21</v>
      </c>
      <c r="C58" t="s">
        <v>120</v>
      </c>
      <c r="D58" s="2" t="s">
        <v>49</v>
      </c>
      <c r="E58" s="2">
        <v>17</v>
      </c>
      <c r="F58" s="2">
        <v>0</v>
      </c>
      <c r="G58" s="2">
        <v>283</v>
      </c>
      <c r="H58" s="2">
        <v>0.46200000000000002</v>
      </c>
      <c r="I58" s="2">
        <v>0.53800000000000003</v>
      </c>
      <c r="J58" s="2">
        <v>0.41799999999999998</v>
      </c>
      <c r="K58" s="2">
        <v>0.59399999999999997</v>
      </c>
      <c r="L58" s="2">
        <v>0.92300000000000004</v>
      </c>
      <c r="M58" s="2">
        <v>0.61799999999999999</v>
      </c>
      <c r="N58" s="2">
        <v>0.123</v>
      </c>
      <c r="O58" s="2">
        <v>0.63200000000000001</v>
      </c>
      <c r="P58" s="2">
        <v>99</v>
      </c>
      <c r="Q58" s="2">
        <v>99</v>
      </c>
      <c r="R58" s="2">
        <v>116</v>
      </c>
      <c r="S58" s="2">
        <v>110</v>
      </c>
      <c r="T58" s="2">
        <v>119</v>
      </c>
      <c r="U58" s="2">
        <v>108</v>
      </c>
      <c r="V58" s="2">
        <v>49</v>
      </c>
      <c r="W58" s="2">
        <v>150</v>
      </c>
      <c r="X58" s="2">
        <v>11.4</v>
      </c>
      <c r="Y58" s="2">
        <v>9.6</v>
      </c>
    </row>
    <row r="59" spans="1:25" x14ac:dyDescent="0.2">
      <c r="A59" t="s">
        <v>527</v>
      </c>
      <c r="B59" s="2">
        <v>20</v>
      </c>
      <c r="C59" t="s">
        <v>41</v>
      </c>
      <c r="D59" s="2" t="s">
        <v>52</v>
      </c>
      <c r="E59" s="2">
        <v>7</v>
      </c>
      <c r="F59" s="2">
        <v>0</v>
      </c>
      <c r="G59" s="2">
        <v>18</v>
      </c>
      <c r="H59" s="2">
        <v>0.125</v>
      </c>
      <c r="I59" s="2">
        <v>0.25</v>
      </c>
      <c r="J59" s="2">
        <v>0</v>
      </c>
      <c r="K59" s="2">
        <v>0.125</v>
      </c>
      <c r="L59" s="2">
        <v>1</v>
      </c>
      <c r="M59" s="2">
        <v>0.22500000000000001</v>
      </c>
      <c r="N59" s="2">
        <v>0.25</v>
      </c>
      <c r="O59" s="2">
        <v>0.5</v>
      </c>
      <c r="P59" s="2">
        <v>27</v>
      </c>
      <c r="Q59" s="2">
        <v>46</v>
      </c>
      <c r="R59" s="2">
        <v>0</v>
      </c>
      <c r="S59" s="2">
        <v>23</v>
      </c>
      <c r="T59" s="2">
        <v>129</v>
      </c>
      <c r="U59" s="2">
        <v>39</v>
      </c>
      <c r="V59" s="2">
        <v>100</v>
      </c>
      <c r="W59" s="2">
        <v>118</v>
      </c>
      <c r="X59" s="2">
        <v>-6.6</v>
      </c>
      <c r="Y59" s="2">
        <v>-6.2</v>
      </c>
    </row>
    <row r="60" spans="1:25" x14ac:dyDescent="0.2">
      <c r="A60" t="s">
        <v>185</v>
      </c>
      <c r="B60" s="2">
        <v>36</v>
      </c>
      <c r="C60" t="s">
        <v>35</v>
      </c>
      <c r="D60" s="2" t="s">
        <v>42</v>
      </c>
      <c r="E60" s="2">
        <v>24</v>
      </c>
      <c r="F60" s="2">
        <v>24</v>
      </c>
      <c r="G60" s="2">
        <v>784</v>
      </c>
      <c r="H60" s="2">
        <v>0.46500000000000002</v>
      </c>
      <c r="I60" s="2">
        <v>0.60899999999999999</v>
      </c>
      <c r="J60" s="2">
        <v>0.35499999999999998</v>
      </c>
      <c r="K60" s="2">
        <v>0.56599999999999995</v>
      </c>
      <c r="L60" s="2">
        <v>0.70599999999999996</v>
      </c>
      <c r="M60" s="2">
        <v>0.58099999999999996</v>
      </c>
      <c r="N60" s="2">
        <v>0.16</v>
      </c>
      <c r="O60" s="2">
        <v>0.56799999999999995</v>
      </c>
      <c r="P60" s="2">
        <v>100</v>
      </c>
      <c r="Q60" s="2">
        <v>112</v>
      </c>
      <c r="R60" s="2">
        <v>99</v>
      </c>
      <c r="S60" s="2">
        <v>105</v>
      </c>
      <c r="T60" s="2">
        <v>91</v>
      </c>
      <c r="U60" s="2">
        <v>101</v>
      </c>
      <c r="V60" s="2">
        <v>64</v>
      </c>
      <c r="W60" s="2">
        <v>134</v>
      </c>
      <c r="X60" s="2">
        <v>10.7</v>
      </c>
      <c r="Y60" s="2">
        <v>3.1</v>
      </c>
    </row>
    <row r="61" spans="1:25" x14ac:dyDescent="0.2">
      <c r="A61" t="s">
        <v>391</v>
      </c>
      <c r="B61" s="2">
        <v>26</v>
      </c>
      <c r="C61" t="s">
        <v>66</v>
      </c>
      <c r="D61" s="2" t="s">
        <v>42</v>
      </c>
      <c r="E61" s="2">
        <v>16</v>
      </c>
      <c r="F61" s="2">
        <v>2</v>
      </c>
      <c r="G61" s="2">
        <v>143</v>
      </c>
      <c r="H61" s="2">
        <v>0.54200000000000004</v>
      </c>
      <c r="I61" s="2">
        <v>0.54200000000000004</v>
      </c>
      <c r="J61" s="2"/>
      <c r="K61" s="2">
        <v>0.54200000000000004</v>
      </c>
      <c r="L61" s="2">
        <v>0.75</v>
      </c>
      <c r="M61" s="2">
        <v>0.56299999999999994</v>
      </c>
      <c r="N61" s="2">
        <v>0.16700000000000001</v>
      </c>
      <c r="O61" s="2">
        <v>0</v>
      </c>
      <c r="P61" s="2">
        <v>117</v>
      </c>
      <c r="Q61" s="2">
        <v>100</v>
      </c>
      <c r="R61" s="2"/>
      <c r="S61" s="2">
        <v>100</v>
      </c>
      <c r="T61" s="2">
        <v>96</v>
      </c>
      <c r="U61" s="2">
        <v>98</v>
      </c>
      <c r="V61" s="2">
        <v>67</v>
      </c>
      <c r="W61" s="2">
        <v>0</v>
      </c>
      <c r="X61" s="2">
        <v>0.1</v>
      </c>
      <c r="Y61" s="2">
        <v>-1.2</v>
      </c>
    </row>
    <row r="62" spans="1:25" x14ac:dyDescent="0.2">
      <c r="A62" t="s">
        <v>549</v>
      </c>
      <c r="B62" s="2">
        <v>22</v>
      </c>
      <c r="C62" t="s">
        <v>135</v>
      </c>
      <c r="D62" s="2" t="s">
        <v>52</v>
      </c>
      <c r="E62" s="2">
        <v>1</v>
      </c>
      <c r="F62" s="2">
        <v>0</v>
      </c>
      <c r="G62" s="2">
        <v>3</v>
      </c>
      <c r="H62" s="2">
        <v>0.5</v>
      </c>
      <c r="I62" s="2">
        <v>1</v>
      </c>
      <c r="J62" s="2">
        <v>0</v>
      </c>
      <c r="K62" s="2">
        <v>0.5</v>
      </c>
      <c r="L62" s="2"/>
      <c r="M62" s="2">
        <v>0.5</v>
      </c>
      <c r="N62" s="2">
        <v>0</v>
      </c>
      <c r="O62" s="2">
        <v>0.5</v>
      </c>
      <c r="P62" s="2">
        <v>108</v>
      </c>
      <c r="Q62" s="2">
        <v>185</v>
      </c>
      <c r="R62" s="2">
        <v>0</v>
      </c>
      <c r="S62" s="2">
        <v>93</v>
      </c>
      <c r="T62" s="2"/>
      <c r="U62" s="2">
        <v>87</v>
      </c>
      <c r="V62" s="2">
        <v>0</v>
      </c>
      <c r="W62" s="2">
        <v>118</v>
      </c>
      <c r="X62" s="2">
        <v>-0.2</v>
      </c>
      <c r="Y62" s="2">
        <v>-0.3</v>
      </c>
    </row>
    <row r="63" spans="1:25" x14ac:dyDescent="0.2">
      <c r="A63" t="s">
        <v>131</v>
      </c>
      <c r="B63" s="2">
        <v>32</v>
      </c>
      <c r="C63" t="s">
        <v>100</v>
      </c>
      <c r="D63" s="2" t="s">
        <v>52</v>
      </c>
      <c r="E63" s="2">
        <v>24</v>
      </c>
      <c r="F63" s="2">
        <v>4</v>
      </c>
      <c r="G63" s="2">
        <v>574</v>
      </c>
      <c r="H63" s="2">
        <v>0.45600000000000002</v>
      </c>
      <c r="I63" s="2">
        <v>0.51700000000000002</v>
      </c>
      <c r="J63" s="2">
        <v>0.42599999999999999</v>
      </c>
      <c r="K63" s="2">
        <v>0.6</v>
      </c>
      <c r="L63" s="2">
        <v>0.92300000000000004</v>
      </c>
      <c r="M63" s="2">
        <v>0.61799999999999999</v>
      </c>
      <c r="N63" s="2">
        <v>9.6000000000000002E-2</v>
      </c>
      <c r="O63" s="2">
        <v>0.67800000000000005</v>
      </c>
      <c r="P63" s="2">
        <v>98</v>
      </c>
      <c r="Q63" s="2">
        <v>95</v>
      </c>
      <c r="R63" s="2">
        <v>119</v>
      </c>
      <c r="S63" s="2">
        <v>111</v>
      </c>
      <c r="T63" s="2">
        <v>119</v>
      </c>
      <c r="U63" s="2">
        <v>108</v>
      </c>
      <c r="V63" s="2">
        <v>39</v>
      </c>
      <c r="W63" s="2">
        <v>160</v>
      </c>
      <c r="X63" s="2">
        <v>32.1</v>
      </c>
      <c r="Y63" s="2">
        <v>24.6</v>
      </c>
    </row>
    <row r="64" spans="1:25" x14ac:dyDescent="0.2">
      <c r="A64" t="s">
        <v>74</v>
      </c>
      <c r="B64" s="2">
        <v>23</v>
      </c>
      <c r="C64" t="s">
        <v>75</v>
      </c>
      <c r="D64" s="2" t="s">
        <v>33</v>
      </c>
      <c r="E64" s="2">
        <v>22</v>
      </c>
      <c r="F64" s="2">
        <v>22</v>
      </c>
      <c r="G64" s="2">
        <v>789</v>
      </c>
      <c r="H64" s="2">
        <v>0.45300000000000001</v>
      </c>
      <c r="I64" s="2">
        <v>0.48599999999999999</v>
      </c>
      <c r="J64" s="2">
        <v>0.38100000000000001</v>
      </c>
      <c r="K64" s="2">
        <v>0.51400000000000001</v>
      </c>
      <c r="L64" s="2">
        <v>0.78500000000000003</v>
      </c>
      <c r="M64" s="2">
        <v>0.54600000000000004</v>
      </c>
      <c r="N64" s="2">
        <v>0.214</v>
      </c>
      <c r="O64" s="2">
        <v>0.32</v>
      </c>
      <c r="P64" s="2">
        <v>97</v>
      </c>
      <c r="Q64" s="2">
        <v>90</v>
      </c>
      <c r="R64" s="2">
        <v>106</v>
      </c>
      <c r="S64" s="2">
        <v>95</v>
      </c>
      <c r="T64" s="2">
        <v>101</v>
      </c>
      <c r="U64" s="2">
        <v>95</v>
      </c>
      <c r="V64" s="2">
        <v>86</v>
      </c>
      <c r="W64" s="2">
        <v>76</v>
      </c>
      <c r="X64" s="2">
        <v>-23.2</v>
      </c>
      <c r="Y64" s="2">
        <v>-26.8</v>
      </c>
    </row>
    <row r="65" spans="1:25" x14ac:dyDescent="0.2">
      <c r="A65" t="s">
        <v>462</v>
      </c>
      <c r="B65" s="2">
        <v>22</v>
      </c>
      <c r="C65" t="s">
        <v>48</v>
      </c>
      <c r="D65" s="2" t="s">
        <v>49</v>
      </c>
      <c r="E65" s="2">
        <v>17</v>
      </c>
      <c r="F65" s="2">
        <v>0</v>
      </c>
      <c r="G65" s="2">
        <v>93</v>
      </c>
      <c r="H65" s="2">
        <v>0.29199999999999998</v>
      </c>
      <c r="I65" s="2">
        <v>0.5</v>
      </c>
      <c r="J65" s="2">
        <v>0.25</v>
      </c>
      <c r="K65" s="2">
        <v>0.39600000000000002</v>
      </c>
      <c r="L65" s="2">
        <v>1</v>
      </c>
      <c r="M65" s="2">
        <v>0.42199999999999999</v>
      </c>
      <c r="N65" s="2">
        <v>8.3000000000000004E-2</v>
      </c>
      <c r="O65" s="2">
        <v>0.83299999999999996</v>
      </c>
      <c r="P65" s="2">
        <v>63</v>
      </c>
      <c r="Q65" s="2">
        <v>92</v>
      </c>
      <c r="R65" s="2">
        <v>70</v>
      </c>
      <c r="S65" s="2">
        <v>73</v>
      </c>
      <c r="T65" s="2">
        <v>129</v>
      </c>
      <c r="U65" s="2">
        <v>73</v>
      </c>
      <c r="V65" s="2">
        <v>33</v>
      </c>
      <c r="W65" s="2">
        <v>197</v>
      </c>
      <c r="X65" s="2">
        <v>-6.9</v>
      </c>
      <c r="Y65" s="2">
        <v>-7.6</v>
      </c>
    </row>
    <row r="66" spans="1:25" x14ac:dyDescent="0.2">
      <c r="A66" t="s">
        <v>257</v>
      </c>
      <c r="B66" s="2">
        <v>29</v>
      </c>
      <c r="C66" t="s">
        <v>122</v>
      </c>
      <c r="D66" s="2" t="s">
        <v>49</v>
      </c>
      <c r="E66" s="2">
        <v>20</v>
      </c>
      <c r="F66" s="2">
        <v>15</v>
      </c>
      <c r="G66" s="2">
        <v>582</v>
      </c>
      <c r="H66" s="2">
        <v>0.40500000000000003</v>
      </c>
      <c r="I66" s="2">
        <v>0.46400000000000002</v>
      </c>
      <c r="J66" s="2">
        <v>0.29399999999999998</v>
      </c>
      <c r="K66" s="2">
        <v>0.45600000000000002</v>
      </c>
      <c r="L66" s="2">
        <v>0.67200000000000004</v>
      </c>
      <c r="M66" s="2">
        <v>0.501</v>
      </c>
      <c r="N66" s="2">
        <v>0.39200000000000002</v>
      </c>
      <c r="O66" s="2">
        <v>0.34499999999999997</v>
      </c>
      <c r="P66" s="2">
        <v>87</v>
      </c>
      <c r="Q66" s="2">
        <v>86</v>
      </c>
      <c r="R66" s="2">
        <v>82</v>
      </c>
      <c r="S66" s="2">
        <v>84</v>
      </c>
      <c r="T66" s="2">
        <v>86</v>
      </c>
      <c r="U66" s="2">
        <v>87</v>
      </c>
      <c r="V66" s="2">
        <v>157</v>
      </c>
      <c r="W66" s="2">
        <v>82</v>
      </c>
      <c r="X66" s="2">
        <v>-25</v>
      </c>
      <c r="Y66" s="2">
        <v>-25.4</v>
      </c>
    </row>
    <row r="67" spans="1:25" x14ac:dyDescent="0.2">
      <c r="A67" t="s">
        <v>516</v>
      </c>
      <c r="B67" s="2">
        <v>19</v>
      </c>
      <c r="C67" t="s">
        <v>77</v>
      </c>
      <c r="D67" s="2" t="s">
        <v>52</v>
      </c>
      <c r="E67" s="2">
        <v>1</v>
      </c>
      <c r="F67" s="2">
        <v>0</v>
      </c>
      <c r="G67" s="2">
        <v>18</v>
      </c>
      <c r="H67" s="2">
        <v>0.28599999999999998</v>
      </c>
      <c r="I67" s="2">
        <v>0.33300000000000002</v>
      </c>
      <c r="J67" s="2">
        <v>0.25</v>
      </c>
      <c r="K67" s="2">
        <v>0.35699999999999998</v>
      </c>
      <c r="L67" s="2"/>
      <c r="M67" s="2">
        <v>0.35699999999999998</v>
      </c>
      <c r="N67" s="2">
        <v>0</v>
      </c>
      <c r="O67" s="2">
        <v>0.57099999999999995</v>
      </c>
      <c r="P67" s="2">
        <v>61</v>
      </c>
      <c r="Q67" s="2">
        <v>62</v>
      </c>
      <c r="R67" s="2">
        <v>70</v>
      </c>
      <c r="S67" s="2">
        <v>66</v>
      </c>
      <c r="T67" s="2"/>
      <c r="U67" s="2">
        <v>62</v>
      </c>
      <c r="V67" s="2">
        <v>0</v>
      </c>
      <c r="W67" s="2">
        <v>135</v>
      </c>
      <c r="X67" s="2">
        <v>-2.6</v>
      </c>
      <c r="Y67" s="2">
        <v>-3</v>
      </c>
    </row>
    <row r="68" spans="1:25" x14ac:dyDescent="0.2">
      <c r="A68" t="s">
        <v>390</v>
      </c>
      <c r="B68" s="2">
        <v>25</v>
      </c>
      <c r="C68" t="s">
        <v>41</v>
      </c>
      <c r="D68" s="2" t="s">
        <v>49</v>
      </c>
      <c r="E68" s="2">
        <v>17</v>
      </c>
      <c r="F68" s="2">
        <v>8</v>
      </c>
      <c r="G68" s="2">
        <v>339</v>
      </c>
      <c r="H68" s="2">
        <v>0.48799999999999999</v>
      </c>
      <c r="I68" s="2">
        <v>0.55600000000000005</v>
      </c>
      <c r="J68" s="2">
        <v>0.435</v>
      </c>
      <c r="K68" s="2">
        <v>0.61</v>
      </c>
      <c r="L68" s="2">
        <v>0.64300000000000002</v>
      </c>
      <c r="M68" s="2">
        <v>0.626</v>
      </c>
      <c r="N68" s="2">
        <v>0.34100000000000003</v>
      </c>
      <c r="O68" s="2">
        <v>0.56100000000000005</v>
      </c>
      <c r="P68" s="2">
        <v>105</v>
      </c>
      <c r="Q68" s="2">
        <v>103</v>
      </c>
      <c r="R68" s="2">
        <v>121</v>
      </c>
      <c r="S68" s="2">
        <v>113</v>
      </c>
      <c r="T68" s="2">
        <v>83</v>
      </c>
      <c r="U68" s="2">
        <v>109</v>
      </c>
      <c r="V68" s="2">
        <v>137</v>
      </c>
      <c r="W68" s="2">
        <v>133</v>
      </c>
      <c r="X68" s="2">
        <v>5.7</v>
      </c>
      <c r="Y68" s="2">
        <v>4.8</v>
      </c>
    </row>
    <row r="69" spans="1:25" x14ac:dyDescent="0.2">
      <c r="A69" t="s">
        <v>482</v>
      </c>
      <c r="B69" s="2">
        <v>24</v>
      </c>
      <c r="C69" t="s">
        <v>80</v>
      </c>
      <c r="D69" s="2" t="s">
        <v>52</v>
      </c>
      <c r="E69" s="2">
        <v>3</v>
      </c>
      <c r="F69" s="2">
        <v>0</v>
      </c>
      <c r="G69" s="2">
        <v>46</v>
      </c>
      <c r="H69" s="2">
        <v>0.5</v>
      </c>
      <c r="I69" s="2">
        <v>0.6</v>
      </c>
      <c r="J69" s="2">
        <v>0.4</v>
      </c>
      <c r="K69" s="2">
        <v>0.6</v>
      </c>
      <c r="L69" s="2">
        <v>1</v>
      </c>
      <c r="M69" s="2">
        <v>0.68</v>
      </c>
      <c r="N69" s="2">
        <v>0.4</v>
      </c>
      <c r="O69" s="2">
        <v>0.5</v>
      </c>
      <c r="P69" s="2">
        <v>108</v>
      </c>
      <c r="Q69" s="2">
        <v>111</v>
      </c>
      <c r="R69" s="2">
        <v>111</v>
      </c>
      <c r="S69" s="2">
        <v>111</v>
      </c>
      <c r="T69" s="2">
        <v>129</v>
      </c>
      <c r="U69" s="2">
        <v>118</v>
      </c>
      <c r="V69" s="2">
        <v>160</v>
      </c>
      <c r="W69" s="2">
        <v>118</v>
      </c>
      <c r="X69" s="2">
        <v>1.2</v>
      </c>
      <c r="Y69" s="2">
        <v>2.5</v>
      </c>
    </row>
    <row r="70" spans="1:25" x14ac:dyDescent="0.2">
      <c r="A70" t="s">
        <v>107</v>
      </c>
      <c r="B70" s="2">
        <v>23</v>
      </c>
      <c r="C70" t="s">
        <v>103</v>
      </c>
      <c r="D70" s="2" t="s">
        <v>52</v>
      </c>
      <c r="E70" s="2">
        <v>17</v>
      </c>
      <c r="F70" s="2">
        <v>17</v>
      </c>
      <c r="G70" s="2">
        <v>568</v>
      </c>
      <c r="H70" s="2">
        <v>0.46100000000000002</v>
      </c>
      <c r="I70" s="2">
        <v>0.51500000000000001</v>
      </c>
      <c r="J70" s="2">
        <v>0.38900000000000001</v>
      </c>
      <c r="K70" s="2">
        <v>0.54400000000000004</v>
      </c>
      <c r="L70" s="2">
        <v>0.86599999999999999</v>
      </c>
      <c r="M70" s="2">
        <v>0.60599999999999998</v>
      </c>
      <c r="N70" s="2">
        <v>0.377</v>
      </c>
      <c r="O70" s="2">
        <v>0.42399999999999999</v>
      </c>
      <c r="P70" s="2">
        <v>99</v>
      </c>
      <c r="Q70" s="2">
        <v>95</v>
      </c>
      <c r="R70" s="2">
        <v>108</v>
      </c>
      <c r="S70" s="2">
        <v>101</v>
      </c>
      <c r="T70" s="2">
        <v>111</v>
      </c>
      <c r="U70" s="2">
        <v>106</v>
      </c>
      <c r="V70" s="2">
        <v>151</v>
      </c>
      <c r="W70" s="2">
        <v>100</v>
      </c>
      <c r="X70" s="2">
        <v>1.9</v>
      </c>
      <c r="Y70" s="2">
        <v>22.1</v>
      </c>
    </row>
    <row r="71" spans="1:25" x14ac:dyDescent="0.2">
      <c r="A71" t="s">
        <v>409</v>
      </c>
      <c r="B71" s="2">
        <v>20</v>
      </c>
      <c r="C71" t="s">
        <v>87</v>
      </c>
      <c r="D71" s="2" t="s">
        <v>49</v>
      </c>
      <c r="E71" s="2">
        <v>8</v>
      </c>
      <c r="F71" s="2">
        <v>0</v>
      </c>
      <c r="G71" s="2">
        <v>79</v>
      </c>
      <c r="H71" s="2">
        <v>0.375</v>
      </c>
      <c r="I71" s="2">
        <v>0.63</v>
      </c>
      <c r="J71" s="2">
        <v>4.8000000000000001E-2</v>
      </c>
      <c r="K71" s="2">
        <v>0.38500000000000001</v>
      </c>
      <c r="L71" s="2">
        <v>0.625</v>
      </c>
      <c r="M71" s="2">
        <v>0.42699999999999999</v>
      </c>
      <c r="N71" s="2">
        <v>0.33300000000000002</v>
      </c>
      <c r="O71" s="2">
        <v>0.438</v>
      </c>
      <c r="P71" s="2">
        <v>81</v>
      </c>
      <c r="Q71" s="2">
        <v>116</v>
      </c>
      <c r="R71" s="2">
        <v>13</v>
      </c>
      <c r="S71" s="2">
        <v>71</v>
      </c>
      <c r="T71" s="2">
        <v>80</v>
      </c>
      <c r="U71" s="2">
        <v>74</v>
      </c>
      <c r="V71" s="2">
        <v>134</v>
      </c>
      <c r="W71" s="2">
        <v>103</v>
      </c>
      <c r="X71" s="2">
        <v>-14.9</v>
      </c>
      <c r="Y71" s="2">
        <v>-16.2</v>
      </c>
    </row>
    <row r="72" spans="1:25" x14ac:dyDescent="0.2">
      <c r="A72" t="s">
        <v>102</v>
      </c>
      <c r="B72" s="2">
        <v>28</v>
      </c>
      <c r="C72" t="s">
        <v>103</v>
      </c>
      <c r="D72" s="2" t="s">
        <v>27</v>
      </c>
      <c r="E72" s="2">
        <v>23</v>
      </c>
      <c r="F72" s="2">
        <v>23</v>
      </c>
      <c r="G72" s="2">
        <v>755</v>
      </c>
      <c r="H72" s="2">
        <v>0.48799999999999999</v>
      </c>
      <c r="I72" s="2">
        <v>0.56699999999999995</v>
      </c>
      <c r="J72" s="2">
        <v>0.434</v>
      </c>
      <c r="K72" s="2">
        <v>0.61699999999999999</v>
      </c>
      <c r="L72" s="2">
        <v>0.90700000000000003</v>
      </c>
      <c r="M72" s="2">
        <v>0.65900000000000003</v>
      </c>
      <c r="N72" s="2">
        <v>0.254</v>
      </c>
      <c r="O72" s="2">
        <v>0.59299999999999997</v>
      </c>
      <c r="P72" s="2">
        <v>105</v>
      </c>
      <c r="Q72" s="2">
        <v>105</v>
      </c>
      <c r="R72" s="2">
        <v>121</v>
      </c>
      <c r="S72" s="2">
        <v>114</v>
      </c>
      <c r="T72" s="2">
        <v>117</v>
      </c>
      <c r="U72" s="2">
        <v>115</v>
      </c>
      <c r="V72" s="2">
        <v>102</v>
      </c>
      <c r="W72" s="2">
        <v>140</v>
      </c>
      <c r="X72" s="2">
        <v>45.1</v>
      </c>
      <c r="Y72" s="2">
        <v>55.1</v>
      </c>
    </row>
    <row r="73" spans="1:25" x14ac:dyDescent="0.2">
      <c r="A73" t="s">
        <v>276</v>
      </c>
      <c r="B73" s="2">
        <v>30</v>
      </c>
      <c r="C73" t="s">
        <v>44</v>
      </c>
      <c r="D73" s="2" t="s">
        <v>33</v>
      </c>
      <c r="E73" s="2">
        <v>19</v>
      </c>
      <c r="F73" s="2">
        <v>0</v>
      </c>
      <c r="G73" s="2">
        <v>332</v>
      </c>
      <c r="H73" s="2">
        <v>0.438</v>
      </c>
      <c r="I73" s="2">
        <v>0.46200000000000002</v>
      </c>
      <c r="J73" s="2">
        <v>0.42099999999999999</v>
      </c>
      <c r="K73" s="2">
        <v>0.56299999999999994</v>
      </c>
      <c r="L73" s="2">
        <v>0.81799999999999995</v>
      </c>
      <c r="M73" s="2">
        <v>0.57599999999999996</v>
      </c>
      <c r="N73" s="2">
        <v>8.5999999999999993E-2</v>
      </c>
      <c r="O73" s="2">
        <v>0.59399999999999997</v>
      </c>
      <c r="P73" s="2">
        <v>94</v>
      </c>
      <c r="Q73" s="2">
        <v>85</v>
      </c>
      <c r="R73" s="2">
        <v>117</v>
      </c>
      <c r="S73" s="2">
        <v>104</v>
      </c>
      <c r="T73" s="2">
        <v>105</v>
      </c>
      <c r="U73" s="2">
        <v>100</v>
      </c>
      <c r="V73" s="2">
        <v>34</v>
      </c>
      <c r="W73" s="2">
        <v>140</v>
      </c>
      <c r="X73" s="2">
        <v>5.6</v>
      </c>
      <c r="Y73" s="2">
        <v>0.4</v>
      </c>
    </row>
    <row r="74" spans="1:25" x14ac:dyDescent="0.2">
      <c r="A74" t="s">
        <v>211</v>
      </c>
      <c r="B74" s="2">
        <v>30</v>
      </c>
      <c r="C74" t="s">
        <v>57</v>
      </c>
      <c r="D74" s="2" t="s">
        <v>49</v>
      </c>
      <c r="E74" s="2">
        <v>19</v>
      </c>
      <c r="F74" s="2">
        <v>0</v>
      </c>
      <c r="G74" s="2">
        <v>465</v>
      </c>
      <c r="H74" s="2">
        <v>0.53700000000000003</v>
      </c>
      <c r="I74" s="2">
        <v>0.57999999999999996</v>
      </c>
      <c r="J74" s="2">
        <v>0.48499999999999999</v>
      </c>
      <c r="K74" s="2">
        <v>0.64800000000000002</v>
      </c>
      <c r="L74" s="2">
        <v>0.69599999999999995</v>
      </c>
      <c r="M74" s="2">
        <v>0.66500000000000004</v>
      </c>
      <c r="N74" s="2">
        <v>0.309</v>
      </c>
      <c r="O74" s="2">
        <v>0.45600000000000002</v>
      </c>
      <c r="P74" s="2">
        <v>116</v>
      </c>
      <c r="Q74" s="2">
        <v>107</v>
      </c>
      <c r="R74" s="2">
        <v>135</v>
      </c>
      <c r="S74" s="2">
        <v>120</v>
      </c>
      <c r="T74" s="2">
        <v>89</v>
      </c>
      <c r="U74" s="2">
        <v>116</v>
      </c>
      <c r="V74" s="2">
        <v>124</v>
      </c>
      <c r="W74" s="2">
        <v>108</v>
      </c>
      <c r="X74" s="2">
        <v>31.9</v>
      </c>
      <c r="Y74" s="2">
        <v>30.6</v>
      </c>
    </row>
    <row r="75" spans="1:25" x14ac:dyDescent="0.2">
      <c r="A75" t="s">
        <v>229</v>
      </c>
      <c r="B75" s="2">
        <v>19</v>
      </c>
      <c r="C75" t="s">
        <v>114</v>
      </c>
      <c r="D75" s="2" t="s">
        <v>33</v>
      </c>
      <c r="E75" s="2">
        <v>22</v>
      </c>
      <c r="F75" s="2">
        <v>14</v>
      </c>
      <c r="G75" s="2">
        <v>630</v>
      </c>
      <c r="H75" s="2">
        <v>0.39100000000000001</v>
      </c>
      <c r="I75" s="2">
        <v>0.46200000000000002</v>
      </c>
      <c r="J75" s="2">
        <v>0.32700000000000001</v>
      </c>
      <c r="K75" s="2">
        <v>0.47699999999999998</v>
      </c>
      <c r="L75" s="2">
        <v>0.8</v>
      </c>
      <c r="M75" s="2">
        <v>0.5</v>
      </c>
      <c r="N75" s="2">
        <v>0.13</v>
      </c>
      <c r="O75" s="2">
        <v>0.52600000000000002</v>
      </c>
      <c r="P75" s="2">
        <v>84</v>
      </c>
      <c r="Q75" s="2">
        <v>85</v>
      </c>
      <c r="R75" s="2">
        <v>91</v>
      </c>
      <c r="S75" s="2">
        <v>88</v>
      </c>
      <c r="T75" s="2">
        <v>103</v>
      </c>
      <c r="U75" s="2">
        <v>87</v>
      </c>
      <c r="V75" s="2">
        <v>52</v>
      </c>
      <c r="W75" s="2">
        <v>124</v>
      </c>
      <c r="X75" s="2">
        <v>-24.6</v>
      </c>
      <c r="Y75" s="2">
        <v>-30.2</v>
      </c>
    </row>
    <row r="76" spans="1:25" x14ac:dyDescent="0.2">
      <c r="A76" t="s">
        <v>263</v>
      </c>
      <c r="B76" s="2">
        <v>21</v>
      </c>
      <c r="C76" t="s">
        <v>32</v>
      </c>
      <c r="D76" s="2" t="s">
        <v>52</v>
      </c>
      <c r="E76" s="2">
        <v>24</v>
      </c>
      <c r="F76" s="2">
        <v>13</v>
      </c>
      <c r="G76" s="2">
        <v>635</v>
      </c>
      <c r="H76" s="2">
        <v>0.42099999999999999</v>
      </c>
      <c r="I76" s="2">
        <v>0.53600000000000003</v>
      </c>
      <c r="J76" s="2">
        <v>0.3</v>
      </c>
      <c r="K76" s="2">
        <v>0.49399999999999999</v>
      </c>
      <c r="L76" s="2">
        <v>0.85699999999999998</v>
      </c>
      <c r="M76" s="2">
        <v>0.503</v>
      </c>
      <c r="N76" s="2">
        <v>4.2999999999999997E-2</v>
      </c>
      <c r="O76" s="2">
        <v>0.48799999999999999</v>
      </c>
      <c r="P76" s="2">
        <v>91</v>
      </c>
      <c r="Q76" s="2">
        <v>99</v>
      </c>
      <c r="R76" s="2">
        <v>84</v>
      </c>
      <c r="S76" s="2">
        <v>91</v>
      </c>
      <c r="T76" s="2">
        <v>110</v>
      </c>
      <c r="U76" s="2">
        <v>88</v>
      </c>
      <c r="V76" s="2">
        <v>17</v>
      </c>
      <c r="W76" s="2">
        <v>115</v>
      </c>
      <c r="X76" s="2">
        <v>-15.3</v>
      </c>
      <c r="Y76" s="2">
        <v>-24</v>
      </c>
    </row>
    <row r="77" spans="1:25" x14ac:dyDescent="0.2">
      <c r="A77" t="s">
        <v>387</v>
      </c>
      <c r="B77" s="2">
        <v>24</v>
      </c>
      <c r="C77" t="s">
        <v>93</v>
      </c>
      <c r="D77" s="2" t="s">
        <v>42</v>
      </c>
      <c r="E77" s="2">
        <v>15</v>
      </c>
      <c r="F77" s="2">
        <v>0</v>
      </c>
      <c r="G77" s="2">
        <v>158</v>
      </c>
      <c r="H77" s="2">
        <v>0.55300000000000005</v>
      </c>
      <c r="I77" s="2">
        <v>0.55300000000000005</v>
      </c>
      <c r="J77" s="2"/>
      <c r="K77" s="2">
        <v>0.55300000000000005</v>
      </c>
      <c r="L77" s="2">
        <v>0.52400000000000002</v>
      </c>
      <c r="M77" s="2">
        <v>0.56000000000000005</v>
      </c>
      <c r="N77" s="2">
        <v>0.44700000000000001</v>
      </c>
      <c r="O77" s="2">
        <v>0</v>
      </c>
      <c r="P77" s="2">
        <v>119</v>
      </c>
      <c r="Q77" s="2">
        <v>102</v>
      </c>
      <c r="R77" s="2"/>
      <c r="S77" s="2">
        <v>102</v>
      </c>
      <c r="T77" s="2">
        <v>67</v>
      </c>
      <c r="U77" s="2">
        <v>97</v>
      </c>
      <c r="V77" s="2">
        <v>179</v>
      </c>
      <c r="W77" s="2">
        <v>0</v>
      </c>
      <c r="X77" s="2">
        <v>1.2</v>
      </c>
      <c r="Y77" s="2">
        <v>-1.6</v>
      </c>
    </row>
    <row r="78" spans="1:25" x14ac:dyDescent="0.2">
      <c r="A78" t="s">
        <v>269</v>
      </c>
      <c r="B78" s="2">
        <v>22</v>
      </c>
      <c r="C78" t="s">
        <v>32</v>
      </c>
      <c r="D78" s="2" t="s">
        <v>42</v>
      </c>
      <c r="E78" s="2">
        <v>10</v>
      </c>
      <c r="F78" s="2">
        <v>10</v>
      </c>
      <c r="G78" s="2">
        <v>265</v>
      </c>
      <c r="H78" s="2">
        <v>0.505</v>
      </c>
      <c r="I78" s="2">
        <v>0.56799999999999995</v>
      </c>
      <c r="J78" s="2">
        <v>0.378</v>
      </c>
      <c r="K78" s="2">
        <v>0.56799999999999995</v>
      </c>
      <c r="L78" s="2">
        <v>0.77600000000000002</v>
      </c>
      <c r="M78" s="2">
        <v>0.61899999999999999</v>
      </c>
      <c r="N78" s="2">
        <v>0.441</v>
      </c>
      <c r="O78" s="2">
        <v>0.33300000000000002</v>
      </c>
      <c r="P78" s="2">
        <v>109</v>
      </c>
      <c r="Q78" s="2">
        <v>105</v>
      </c>
      <c r="R78" s="2">
        <v>105</v>
      </c>
      <c r="S78" s="2">
        <v>105</v>
      </c>
      <c r="T78" s="2">
        <v>100</v>
      </c>
      <c r="U78" s="2">
        <v>108</v>
      </c>
      <c r="V78" s="2">
        <v>177</v>
      </c>
      <c r="W78" s="2">
        <v>79</v>
      </c>
      <c r="X78" s="2">
        <v>6</v>
      </c>
      <c r="Y78" s="2">
        <v>11.7</v>
      </c>
    </row>
    <row r="79" spans="1:25" x14ac:dyDescent="0.2">
      <c r="A79" t="s">
        <v>207</v>
      </c>
      <c r="B79" s="2">
        <v>32</v>
      </c>
      <c r="C79" t="s">
        <v>66</v>
      </c>
      <c r="D79" s="2" t="s">
        <v>27</v>
      </c>
      <c r="E79" s="2">
        <v>23</v>
      </c>
      <c r="F79" s="2">
        <v>0</v>
      </c>
      <c r="G79" s="2">
        <v>413</v>
      </c>
      <c r="H79" s="2">
        <v>0.45400000000000001</v>
      </c>
      <c r="I79" s="2">
        <v>0.61499999999999999</v>
      </c>
      <c r="J79" s="2">
        <v>0.27600000000000002</v>
      </c>
      <c r="K79" s="2">
        <v>0.51900000000000002</v>
      </c>
      <c r="L79" s="2">
        <v>0.76500000000000001</v>
      </c>
      <c r="M79" s="2">
        <v>0.55700000000000005</v>
      </c>
      <c r="N79" s="2">
        <v>0.27900000000000003</v>
      </c>
      <c r="O79" s="2">
        <v>0.47499999999999998</v>
      </c>
      <c r="P79" s="2">
        <v>98</v>
      </c>
      <c r="Q79" s="2">
        <v>113</v>
      </c>
      <c r="R79" s="2">
        <v>77</v>
      </c>
      <c r="S79" s="2">
        <v>96</v>
      </c>
      <c r="T79" s="2">
        <v>98</v>
      </c>
      <c r="U79" s="2">
        <v>97</v>
      </c>
      <c r="V79" s="2">
        <v>112</v>
      </c>
      <c r="W79" s="2">
        <v>112</v>
      </c>
      <c r="X79" s="2">
        <v>-7.8</v>
      </c>
      <c r="Y79" s="2">
        <v>-7</v>
      </c>
    </row>
    <row r="80" spans="1:25" x14ac:dyDescent="0.2">
      <c r="A80" t="s">
        <v>445</v>
      </c>
      <c r="B80" s="2">
        <v>27</v>
      </c>
      <c r="C80" t="s">
        <v>70</v>
      </c>
      <c r="D80" s="2" t="s">
        <v>52</v>
      </c>
      <c r="E80" s="2">
        <v>12</v>
      </c>
      <c r="F80" s="2">
        <v>0</v>
      </c>
      <c r="G80" s="2">
        <v>50</v>
      </c>
      <c r="H80" s="2">
        <v>0.5</v>
      </c>
      <c r="I80" s="2">
        <v>0.66700000000000004</v>
      </c>
      <c r="J80" s="2">
        <v>0.41699999999999998</v>
      </c>
      <c r="K80" s="2">
        <v>0.63900000000000001</v>
      </c>
      <c r="L80" s="2">
        <v>0.75</v>
      </c>
      <c r="M80" s="2">
        <v>0.67400000000000004</v>
      </c>
      <c r="N80" s="2">
        <v>0.44400000000000001</v>
      </c>
      <c r="O80" s="2">
        <v>0.66700000000000004</v>
      </c>
      <c r="P80" s="2">
        <v>108</v>
      </c>
      <c r="Q80" s="2">
        <v>123</v>
      </c>
      <c r="R80" s="2">
        <v>116</v>
      </c>
      <c r="S80" s="2">
        <v>118</v>
      </c>
      <c r="T80" s="2">
        <v>96</v>
      </c>
      <c r="U80" s="2">
        <v>117</v>
      </c>
      <c r="V80" s="2">
        <v>178</v>
      </c>
      <c r="W80" s="2">
        <v>158</v>
      </c>
      <c r="X80" s="2">
        <v>3.5</v>
      </c>
      <c r="Y80" s="2">
        <v>4.3</v>
      </c>
    </row>
    <row r="81" spans="1:25" x14ac:dyDescent="0.2">
      <c r="A81" t="s">
        <v>548</v>
      </c>
      <c r="B81" s="2">
        <v>21</v>
      </c>
      <c r="C81" t="s">
        <v>35</v>
      </c>
      <c r="D81" s="2" t="s">
        <v>49</v>
      </c>
      <c r="E81" s="2">
        <v>3</v>
      </c>
      <c r="F81" s="2">
        <v>0</v>
      </c>
      <c r="G81" s="2">
        <v>6</v>
      </c>
      <c r="H81" s="2">
        <v>0.5</v>
      </c>
      <c r="I81" s="2">
        <v>0.5</v>
      </c>
      <c r="J81" s="2"/>
      <c r="K81" s="2">
        <v>0.5</v>
      </c>
      <c r="L81" s="2"/>
      <c r="M81" s="2">
        <v>0.5</v>
      </c>
      <c r="N81" s="2">
        <v>0</v>
      </c>
      <c r="O81" s="2">
        <v>0</v>
      </c>
      <c r="P81" s="2">
        <v>108</v>
      </c>
      <c r="Q81" s="2">
        <v>92</v>
      </c>
      <c r="R81" s="2"/>
      <c r="S81" s="2">
        <v>93</v>
      </c>
      <c r="T81" s="2"/>
      <c r="U81" s="2">
        <v>87</v>
      </c>
      <c r="V81" s="2">
        <v>0</v>
      </c>
      <c r="W81" s="2">
        <v>0</v>
      </c>
      <c r="X81" s="2">
        <v>-0.2</v>
      </c>
      <c r="Y81" s="2">
        <v>-0.3</v>
      </c>
    </row>
    <row r="82" spans="1:25" x14ac:dyDescent="0.2">
      <c r="A82" t="s">
        <v>196</v>
      </c>
      <c r="B82" s="2">
        <v>39</v>
      </c>
      <c r="C82" t="s">
        <v>93</v>
      </c>
      <c r="D82" s="2" t="s">
        <v>33</v>
      </c>
      <c r="E82" s="2">
        <v>24</v>
      </c>
      <c r="F82" s="2">
        <v>24</v>
      </c>
      <c r="G82" s="2">
        <v>693</v>
      </c>
      <c r="H82" s="2">
        <v>0.42799999999999999</v>
      </c>
      <c r="I82" s="2">
        <v>0.56499999999999995</v>
      </c>
      <c r="J82" s="2">
        <v>0.35199999999999998</v>
      </c>
      <c r="K82" s="2">
        <v>0.54100000000000004</v>
      </c>
      <c r="L82" s="2">
        <v>1</v>
      </c>
      <c r="M82" s="2">
        <v>0.58499999999999996</v>
      </c>
      <c r="N82" s="2">
        <v>0.18</v>
      </c>
      <c r="O82" s="2">
        <v>0.64400000000000002</v>
      </c>
      <c r="P82" s="2">
        <v>92</v>
      </c>
      <c r="Q82" s="2">
        <v>104</v>
      </c>
      <c r="R82" s="2">
        <v>98</v>
      </c>
      <c r="S82" s="2">
        <v>100</v>
      </c>
      <c r="T82" s="2">
        <v>129</v>
      </c>
      <c r="U82" s="2">
        <v>102</v>
      </c>
      <c r="V82" s="2">
        <v>72</v>
      </c>
      <c r="W82" s="2">
        <v>152</v>
      </c>
      <c r="X82" s="2">
        <v>0.3</v>
      </c>
      <c r="Y82" s="2">
        <v>4.4000000000000004</v>
      </c>
    </row>
    <row r="83" spans="1:25" x14ac:dyDescent="0.2">
      <c r="A83" t="s">
        <v>138</v>
      </c>
      <c r="B83" s="2">
        <v>23</v>
      </c>
      <c r="C83" t="s">
        <v>46</v>
      </c>
      <c r="D83" s="2" t="s">
        <v>52</v>
      </c>
      <c r="E83" s="2">
        <v>22</v>
      </c>
      <c r="F83" s="2">
        <v>22</v>
      </c>
      <c r="G83" s="2">
        <v>774</v>
      </c>
      <c r="H83" s="2">
        <v>0.56999999999999995</v>
      </c>
      <c r="I83" s="2">
        <v>0.61799999999999999</v>
      </c>
      <c r="J83" s="2">
        <v>0.43099999999999999</v>
      </c>
      <c r="K83" s="2">
        <v>0.626</v>
      </c>
      <c r="L83" s="2">
        <v>0.77600000000000002</v>
      </c>
      <c r="M83" s="2">
        <v>0.65900000000000003</v>
      </c>
      <c r="N83" s="2">
        <v>0.34100000000000003</v>
      </c>
      <c r="O83" s="2">
        <v>0.26</v>
      </c>
      <c r="P83" s="2">
        <v>123</v>
      </c>
      <c r="Q83" s="2">
        <v>114</v>
      </c>
      <c r="R83" s="2">
        <v>120</v>
      </c>
      <c r="S83" s="2">
        <v>116</v>
      </c>
      <c r="T83" s="2">
        <v>100</v>
      </c>
      <c r="U83" s="2">
        <v>115</v>
      </c>
      <c r="V83" s="2">
        <v>137</v>
      </c>
      <c r="W83" s="2">
        <v>62</v>
      </c>
      <c r="X83" s="2">
        <v>37.9</v>
      </c>
      <c r="Y83" s="2">
        <v>43.4</v>
      </c>
    </row>
    <row r="84" spans="1:25" x14ac:dyDescent="0.2">
      <c r="A84" t="s">
        <v>440</v>
      </c>
      <c r="B84" s="2">
        <v>24</v>
      </c>
      <c r="C84" t="s">
        <v>41</v>
      </c>
      <c r="D84" s="2" t="s">
        <v>42</v>
      </c>
      <c r="E84" s="2">
        <v>14</v>
      </c>
      <c r="F84" s="2">
        <v>0</v>
      </c>
      <c r="G84" s="2">
        <v>138</v>
      </c>
      <c r="H84" s="2">
        <v>0.63600000000000001</v>
      </c>
      <c r="I84" s="2">
        <v>0.7</v>
      </c>
      <c r="J84" s="2">
        <v>0</v>
      </c>
      <c r="K84" s="2">
        <v>0.63600000000000001</v>
      </c>
      <c r="L84" s="2">
        <v>1</v>
      </c>
      <c r="M84" s="2">
        <v>0.65600000000000003</v>
      </c>
      <c r="N84" s="2">
        <v>9.0999999999999998E-2</v>
      </c>
      <c r="O84" s="2">
        <v>9.0999999999999998E-2</v>
      </c>
      <c r="P84" s="2">
        <v>137</v>
      </c>
      <c r="Q84" s="2">
        <v>129</v>
      </c>
      <c r="R84" s="2">
        <v>0</v>
      </c>
      <c r="S84" s="2">
        <v>118</v>
      </c>
      <c r="T84" s="2">
        <v>129</v>
      </c>
      <c r="U84" s="2">
        <v>114</v>
      </c>
      <c r="V84" s="2">
        <v>36</v>
      </c>
      <c r="W84" s="2">
        <v>22</v>
      </c>
      <c r="X84" s="2">
        <v>4.2</v>
      </c>
      <c r="Y84" s="2">
        <v>3.7</v>
      </c>
    </row>
    <row r="85" spans="1:25" x14ac:dyDescent="0.2">
      <c r="A85" t="s">
        <v>172</v>
      </c>
      <c r="B85" s="2">
        <v>33</v>
      </c>
      <c r="C85" t="s">
        <v>117</v>
      </c>
      <c r="D85" s="2" t="s">
        <v>33</v>
      </c>
      <c r="E85" s="2">
        <v>13</v>
      </c>
      <c r="F85" s="2">
        <v>13</v>
      </c>
      <c r="G85" s="2">
        <v>439</v>
      </c>
      <c r="H85" s="2">
        <v>0.44900000000000001</v>
      </c>
      <c r="I85" s="2">
        <v>0.54500000000000004</v>
      </c>
      <c r="J85" s="2">
        <v>0.33600000000000002</v>
      </c>
      <c r="K85" s="2">
        <v>0.52700000000000002</v>
      </c>
      <c r="L85" s="2">
        <v>0.64700000000000002</v>
      </c>
      <c r="M85" s="2">
        <v>0.53900000000000003</v>
      </c>
      <c r="N85" s="2">
        <v>0.13900000000000001</v>
      </c>
      <c r="O85" s="2">
        <v>0.46100000000000002</v>
      </c>
      <c r="P85" s="2">
        <v>97</v>
      </c>
      <c r="Q85" s="2">
        <v>101</v>
      </c>
      <c r="R85" s="2">
        <v>94</v>
      </c>
      <c r="S85" s="2">
        <v>97</v>
      </c>
      <c r="T85" s="2">
        <v>83</v>
      </c>
      <c r="U85" s="2">
        <v>94</v>
      </c>
      <c r="V85" s="2">
        <v>56</v>
      </c>
      <c r="W85" s="2">
        <v>109</v>
      </c>
      <c r="X85" s="2">
        <v>-6.9</v>
      </c>
      <c r="Y85" s="2">
        <v>-18.7</v>
      </c>
    </row>
    <row r="86" spans="1:25" x14ac:dyDescent="0.2">
      <c r="A86" t="s">
        <v>183</v>
      </c>
      <c r="B86" s="2">
        <v>30</v>
      </c>
      <c r="C86" t="s">
        <v>72</v>
      </c>
      <c r="D86" s="2" t="s">
        <v>42</v>
      </c>
      <c r="E86" s="2">
        <v>26</v>
      </c>
      <c r="F86" s="2">
        <v>26</v>
      </c>
      <c r="G86" s="2">
        <v>593</v>
      </c>
      <c r="H86" s="2">
        <v>0.58399999999999996</v>
      </c>
      <c r="I86" s="2">
        <v>0.58399999999999996</v>
      </c>
      <c r="J86" s="2"/>
      <c r="K86" s="2">
        <v>0.58399999999999996</v>
      </c>
      <c r="L86" s="2">
        <v>0.55800000000000005</v>
      </c>
      <c r="M86" s="2">
        <v>0.58899999999999997</v>
      </c>
      <c r="N86" s="2">
        <v>0.25700000000000001</v>
      </c>
      <c r="O86" s="2">
        <v>0</v>
      </c>
      <c r="P86" s="2">
        <v>126</v>
      </c>
      <c r="Q86" s="2">
        <v>108</v>
      </c>
      <c r="R86" s="2"/>
      <c r="S86" s="2">
        <v>108</v>
      </c>
      <c r="T86" s="2">
        <v>72</v>
      </c>
      <c r="U86" s="2">
        <v>103</v>
      </c>
      <c r="V86" s="2">
        <v>103</v>
      </c>
      <c r="W86" s="2">
        <v>0</v>
      </c>
      <c r="X86" s="2">
        <v>17.600000000000001</v>
      </c>
      <c r="Y86" s="2">
        <v>6.6</v>
      </c>
    </row>
    <row r="87" spans="1:25" x14ac:dyDescent="0.2">
      <c r="A87" t="s">
        <v>110</v>
      </c>
      <c r="B87" s="2">
        <v>24</v>
      </c>
      <c r="C87" t="s">
        <v>70</v>
      </c>
      <c r="D87" s="2" t="s">
        <v>52</v>
      </c>
      <c r="E87" s="2">
        <v>23</v>
      </c>
      <c r="F87" s="2">
        <v>23</v>
      </c>
      <c r="G87" s="2">
        <v>751</v>
      </c>
      <c r="H87" s="2">
        <v>0.42399999999999999</v>
      </c>
      <c r="I87" s="2">
        <v>0.51200000000000001</v>
      </c>
      <c r="J87" s="2">
        <v>0.371</v>
      </c>
      <c r="K87" s="2">
        <v>0.54</v>
      </c>
      <c r="L87" s="2">
        <v>0.873</v>
      </c>
      <c r="M87" s="2">
        <v>0.57899999999999996</v>
      </c>
      <c r="N87" s="2">
        <v>0.216</v>
      </c>
      <c r="O87" s="2">
        <v>0.625</v>
      </c>
      <c r="P87" s="2">
        <v>91</v>
      </c>
      <c r="Q87" s="2">
        <v>95</v>
      </c>
      <c r="R87" s="2">
        <v>103</v>
      </c>
      <c r="S87" s="2">
        <v>100</v>
      </c>
      <c r="T87" s="2">
        <v>112</v>
      </c>
      <c r="U87" s="2">
        <v>101</v>
      </c>
      <c r="V87" s="2">
        <v>87</v>
      </c>
      <c r="W87" s="2">
        <v>148</v>
      </c>
      <c r="X87" s="2">
        <v>-0.6</v>
      </c>
      <c r="Y87" s="2">
        <v>3.2</v>
      </c>
    </row>
    <row r="88" spans="1:25" x14ac:dyDescent="0.2">
      <c r="A88" t="s">
        <v>225</v>
      </c>
      <c r="B88" s="2">
        <v>29</v>
      </c>
      <c r="C88" t="s">
        <v>59</v>
      </c>
      <c r="D88" s="2" t="s">
        <v>49</v>
      </c>
      <c r="E88" s="2">
        <v>24</v>
      </c>
      <c r="F88" s="2">
        <v>5</v>
      </c>
      <c r="G88" s="2">
        <v>629</v>
      </c>
      <c r="H88" s="2">
        <v>0.441</v>
      </c>
      <c r="I88" s="2">
        <v>0.53800000000000003</v>
      </c>
      <c r="J88" s="2">
        <v>0.33700000000000002</v>
      </c>
      <c r="K88" s="2">
        <v>0.52300000000000002</v>
      </c>
      <c r="L88" s="2">
        <v>0.65600000000000003</v>
      </c>
      <c r="M88" s="2">
        <v>0.53900000000000003</v>
      </c>
      <c r="N88" s="2">
        <v>0.18099999999999999</v>
      </c>
      <c r="O88" s="2">
        <v>0.48599999999999999</v>
      </c>
      <c r="P88" s="2">
        <v>95</v>
      </c>
      <c r="Q88" s="2">
        <v>99</v>
      </c>
      <c r="R88" s="2">
        <v>94</v>
      </c>
      <c r="S88" s="2">
        <v>97</v>
      </c>
      <c r="T88" s="2">
        <v>84</v>
      </c>
      <c r="U88" s="2">
        <v>94</v>
      </c>
      <c r="V88" s="2">
        <v>73</v>
      </c>
      <c r="W88" s="2">
        <v>115</v>
      </c>
      <c r="X88" s="2">
        <v>-6.3</v>
      </c>
      <c r="Y88" s="2">
        <v>-13.5</v>
      </c>
    </row>
    <row r="89" spans="1:25" x14ac:dyDescent="0.2">
      <c r="A89" t="s">
        <v>406</v>
      </c>
      <c r="B89" s="2">
        <v>20</v>
      </c>
      <c r="C89" t="s">
        <v>120</v>
      </c>
      <c r="D89" s="2" t="s">
        <v>52</v>
      </c>
      <c r="E89" s="2">
        <v>16</v>
      </c>
      <c r="F89" s="2">
        <v>7</v>
      </c>
      <c r="G89" s="2">
        <v>299</v>
      </c>
      <c r="H89" s="2">
        <v>0.26900000000000002</v>
      </c>
      <c r="I89" s="2">
        <v>0.36699999999999999</v>
      </c>
      <c r="J89" s="2">
        <v>0.189</v>
      </c>
      <c r="K89" s="2">
        <v>0.32100000000000001</v>
      </c>
      <c r="L89" s="2">
        <v>0.6</v>
      </c>
      <c r="M89" s="2">
        <v>0.34300000000000003</v>
      </c>
      <c r="N89" s="2">
        <v>0.14899999999999999</v>
      </c>
      <c r="O89" s="2">
        <v>0.55200000000000005</v>
      </c>
      <c r="P89" s="2">
        <v>58</v>
      </c>
      <c r="Q89" s="2">
        <v>68</v>
      </c>
      <c r="R89" s="2">
        <v>53</v>
      </c>
      <c r="S89" s="2">
        <v>59</v>
      </c>
      <c r="T89" s="2">
        <v>77</v>
      </c>
      <c r="U89" s="2">
        <v>60</v>
      </c>
      <c r="V89" s="2">
        <v>60</v>
      </c>
      <c r="W89" s="2">
        <v>131</v>
      </c>
      <c r="X89" s="2">
        <v>-29.4</v>
      </c>
      <c r="Y89" s="2">
        <v>-33</v>
      </c>
    </row>
    <row r="90" spans="1:25" x14ac:dyDescent="0.2">
      <c r="A90" t="s">
        <v>466</v>
      </c>
      <c r="B90" s="2">
        <v>22</v>
      </c>
      <c r="C90" t="s">
        <v>37</v>
      </c>
      <c r="D90" s="2" t="s">
        <v>52</v>
      </c>
      <c r="E90" s="2">
        <v>16</v>
      </c>
      <c r="F90" s="2">
        <v>0</v>
      </c>
      <c r="G90" s="2">
        <v>82</v>
      </c>
      <c r="H90" s="2">
        <v>0.42099999999999999</v>
      </c>
      <c r="I90" s="2">
        <v>0.33300000000000002</v>
      </c>
      <c r="J90" s="2">
        <v>0.57099999999999995</v>
      </c>
      <c r="K90" s="2">
        <v>0.52600000000000002</v>
      </c>
      <c r="L90" s="2"/>
      <c r="M90" s="2">
        <v>0.52600000000000002</v>
      </c>
      <c r="N90" s="2">
        <v>0</v>
      </c>
      <c r="O90" s="2">
        <v>0.36799999999999999</v>
      </c>
      <c r="P90" s="2">
        <v>91</v>
      </c>
      <c r="Q90" s="2">
        <v>62</v>
      </c>
      <c r="R90" s="2">
        <v>159</v>
      </c>
      <c r="S90" s="2">
        <v>97</v>
      </c>
      <c r="T90" s="2"/>
      <c r="U90" s="2">
        <v>92</v>
      </c>
      <c r="V90" s="2">
        <v>0</v>
      </c>
      <c r="W90" s="2">
        <v>87</v>
      </c>
      <c r="X90" s="2">
        <v>-0.5</v>
      </c>
      <c r="Y90" s="2">
        <v>-1.8</v>
      </c>
    </row>
    <row r="91" spans="1:25" x14ac:dyDescent="0.2">
      <c r="A91" t="s">
        <v>308</v>
      </c>
      <c r="B91" s="2">
        <v>24</v>
      </c>
      <c r="C91" t="s">
        <v>48</v>
      </c>
      <c r="D91" s="2" t="s">
        <v>33</v>
      </c>
      <c r="E91" s="2">
        <v>24</v>
      </c>
      <c r="F91" s="2">
        <v>0</v>
      </c>
      <c r="G91" s="2">
        <v>265</v>
      </c>
      <c r="H91" s="2">
        <v>0.377</v>
      </c>
      <c r="I91" s="2">
        <v>0.42199999999999999</v>
      </c>
      <c r="J91" s="2">
        <v>0.32</v>
      </c>
      <c r="K91" s="2">
        <v>0.44700000000000001</v>
      </c>
      <c r="L91" s="2">
        <v>0.71899999999999997</v>
      </c>
      <c r="M91" s="2">
        <v>0.48799999999999999</v>
      </c>
      <c r="N91" s="2">
        <v>0.28100000000000003</v>
      </c>
      <c r="O91" s="2">
        <v>0.439</v>
      </c>
      <c r="P91" s="2">
        <v>81</v>
      </c>
      <c r="Q91" s="2">
        <v>78</v>
      </c>
      <c r="R91" s="2">
        <v>89</v>
      </c>
      <c r="S91" s="2">
        <v>83</v>
      </c>
      <c r="T91" s="2">
        <v>92</v>
      </c>
      <c r="U91" s="2">
        <v>85</v>
      </c>
      <c r="V91" s="2">
        <v>113</v>
      </c>
      <c r="W91" s="2">
        <v>104</v>
      </c>
      <c r="X91" s="2">
        <v>-21.2</v>
      </c>
      <c r="Y91" s="2">
        <v>-22.2</v>
      </c>
    </row>
    <row r="92" spans="1:25" x14ac:dyDescent="0.2">
      <c r="A92" t="s">
        <v>566</v>
      </c>
      <c r="B92" s="2">
        <v>25</v>
      </c>
      <c r="C92" t="s">
        <v>75</v>
      </c>
      <c r="D92" s="2" t="s">
        <v>49</v>
      </c>
      <c r="E92" s="2">
        <v>2</v>
      </c>
      <c r="F92" s="2">
        <v>0</v>
      </c>
      <c r="G92" s="2">
        <v>13</v>
      </c>
      <c r="H92" s="2">
        <v>0</v>
      </c>
      <c r="I92" s="2"/>
      <c r="J92" s="2">
        <v>0</v>
      </c>
      <c r="K92" s="2">
        <v>0</v>
      </c>
      <c r="L92" s="2"/>
      <c r="M92" s="2">
        <v>0</v>
      </c>
      <c r="N92" s="2">
        <v>0</v>
      </c>
      <c r="O92" s="2">
        <v>1</v>
      </c>
      <c r="P92" s="2">
        <v>0</v>
      </c>
      <c r="Q92" s="2"/>
      <c r="R92" s="2">
        <v>0</v>
      </c>
      <c r="S92" s="2">
        <v>0</v>
      </c>
      <c r="T92" s="2"/>
      <c r="U92" s="2">
        <v>0</v>
      </c>
      <c r="V92" s="2">
        <v>0</v>
      </c>
      <c r="W92" s="2">
        <v>237</v>
      </c>
      <c r="X92" s="2">
        <v>-5.4</v>
      </c>
      <c r="Y92" s="2">
        <v>-5.7</v>
      </c>
    </row>
    <row r="93" spans="1:25" x14ac:dyDescent="0.2">
      <c r="A93" t="s">
        <v>496</v>
      </c>
      <c r="B93" s="2">
        <v>24</v>
      </c>
      <c r="C93" t="s">
        <v>80</v>
      </c>
      <c r="D93" s="2" t="s">
        <v>42</v>
      </c>
      <c r="E93" s="2">
        <v>7</v>
      </c>
      <c r="F93" s="2">
        <v>0</v>
      </c>
      <c r="G93" s="2">
        <v>21</v>
      </c>
      <c r="H93" s="2">
        <v>0.25</v>
      </c>
      <c r="I93" s="2">
        <v>0.5</v>
      </c>
      <c r="J93" s="2">
        <v>0</v>
      </c>
      <c r="K93" s="2">
        <v>0.25</v>
      </c>
      <c r="L93" s="2">
        <v>1</v>
      </c>
      <c r="M93" s="2">
        <v>0.66500000000000004</v>
      </c>
      <c r="N93" s="2">
        <v>2</v>
      </c>
      <c r="O93" s="2">
        <v>0.5</v>
      </c>
      <c r="P93" s="2">
        <v>54</v>
      </c>
      <c r="Q93" s="2">
        <v>92</v>
      </c>
      <c r="R93" s="2">
        <v>0</v>
      </c>
      <c r="S93" s="2">
        <v>46</v>
      </c>
      <c r="T93" s="2">
        <v>129</v>
      </c>
      <c r="U93" s="2">
        <v>116</v>
      </c>
      <c r="V93" s="2">
        <v>802</v>
      </c>
      <c r="W93" s="2">
        <v>118</v>
      </c>
      <c r="X93" s="2">
        <v>-2.2999999999999998</v>
      </c>
      <c r="Y93" s="2">
        <v>1.4</v>
      </c>
    </row>
    <row r="94" spans="1:25" x14ac:dyDescent="0.2">
      <c r="A94" t="s">
        <v>536</v>
      </c>
      <c r="B94" s="2">
        <v>25</v>
      </c>
      <c r="C94" t="s">
        <v>54</v>
      </c>
      <c r="D94" s="2" t="s">
        <v>33</v>
      </c>
      <c r="E94" s="2">
        <v>1</v>
      </c>
      <c r="F94" s="2">
        <v>0</v>
      </c>
      <c r="G94" s="2">
        <v>3</v>
      </c>
      <c r="H94" s="2">
        <v>0.5</v>
      </c>
      <c r="I94" s="2">
        <v>0</v>
      </c>
      <c r="J94" s="2">
        <v>1</v>
      </c>
      <c r="K94" s="2">
        <v>0.75</v>
      </c>
      <c r="L94" s="2"/>
      <c r="M94" s="2">
        <v>0.75</v>
      </c>
      <c r="N94" s="2">
        <v>0</v>
      </c>
      <c r="O94" s="2">
        <v>0.5</v>
      </c>
      <c r="P94" s="2">
        <v>108</v>
      </c>
      <c r="Q94" s="2">
        <v>0</v>
      </c>
      <c r="R94" s="2">
        <v>278</v>
      </c>
      <c r="S94" s="2">
        <v>139</v>
      </c>
      <c r="T94" s="2"/>
      <c r="U94" s="2">
        <v>131</v>
      </c>
      <c r="V94" s="2">
        <v>0</v>
      </c>
      <c r="W94" s="2">
        <v>118</v>
      </c>
      <c r="X94" s="2">
        <v>0.8</v>
      </c>
      <c r="Y94" s="2">
        <v>0.7</v>
      </c>
    </row>
    <row r="95" spans="1:25" x14ac:dyDescent="0.2">
      <c r="A95" t="s">
        <v>123</v>
      </c>
      <c r="B95" s="2">
        <v>26</v>
      </c>
      <c r="C95" t="s">
        <v>120</v>
      </c>
      <c r="D95" s="2" t="s">
        <v>52</v>
      </c>
      <c r="E95" s="2">
        <v>23</v>
      </c>
      <c r="F95" s="2">
        <v>21</v>
      </c>
      <c r="G95" s="2">
        <v>641</v>
      </c>
      <c r="H95" s="2">
        <v>0.48</v>
      </c>
      <c r="I95" s="2">
        <v>0.505</v>
      </c>
      <c r="J95" s="2">
        <v>0.432</v>
      </c>
      <c r="K95" s="2">
        <v>0.55400000000000005</v>
      </c>
      <c r="L95" s="2">
        <v>0.89800000000000002</v>
      </c>
      <c r="M95" s="2">
        <v>0.61099999999999999</v>
      </c>
      <c r="N95" s="2">
        <v>0.318</v>
      </c>
      <c r="O95" s="2">
        <v>0.34300000000000003</v>
      </c>
      <c r="P95" s="2">
        <v>103</v>
      </c>
      <c r="Q95" s="2">
        <v>93</v>
      </c>
      <c r="R95" s="2">
        <v>120</v>
      </c>
      <c r="S95" s="2">
        <v>103</v>
      </c>
      <c r="T95" s="2">
        <v>115</v>
      </c>
      <c r="U95" s="2">
        <v>106</v>
      </c>
      <c r="V95" s="2">
        <v>127</v>
      </c>
      <c r="W95" s="2">
        <v>81</v>
      </c>
      <c r="X95" s="2">
        <v>7.6</v>
      </c>
      <c r="Y95" s="2">
        <v>23.3</v>
      </c>
    </row>
    <row r="96" spans="1:25" x14ac:dyDescent="0.2">
      <c r="A96" t="s">
        <v>224</v>
      </c>
      <c r="B96" s="2">
        <v>25</v>
      </c>
      <c r="C96" t="s">
        <v>114</v>
      </c>
      <c r="D96" s="2" t="s">
        <v>49</v>
      </c>
      <c r="E96" s="2">
        <v>19</v>
      </c>
      <c r="F96" s="2">
        <v>0</v>
      </c>
      <c r="G96" s="2">
        <v>525</v>
      </c>
      <c r="H96" s="2">
        <v>0.41299999999999998</v>
      </c>
      <c r="I96" s="2">
        <v>0.56899999999999995</v>
      </c>
      <c r="J96" s="2">
        <v>0.313</v>
      </c>
      <c r="K96" s="2">
        <v>0.50800000000000001</v>
      </c>
      <c r="L96" s="2">
        <v>0.83299999999999996</v>
      </c>
      <c r="M96" s="2">
        <v>0.53200000000000003</v>
      </c>
      <c r="N96" s="2">
        <v>0.13</v>
      </c>
      <c r="O96" s="2">
        <v>0.60899999999999999</v>
      </c>
      <c r="P96" s="2">
        <v>89</v>
      </c>
      <c r="Q96" s="2">
        <v>105</v>
      </c>
      <c r="R96" s="2">
        <v>87</v>
      </c>
      <c r="S96" s="2">
        <v>94</v>
      </c>
      <c r="T96" s="2">
        <v>107</v>
      </c>
      <c r="U96" s="2">
        <v>93</v>
      </c>
      <c r="V96" s="2">
        <v>52</v>
      </c>
      <c r="W96" s="2">
        <v>144</v>
      </c>
      <c r="X96" s="2">
        <v>-11.9</v>
      </c>
      <c r="Y96" s="2">
        <v>-16.5</v>
      </c>
    </row>
    <row r="97" spans="1:25" x14ac:dyDescent="0.2">
      <c r="A97" t="s">
        <v>485</v>
      </c>
      <c r="B97" s="2">
        <v>33</v>
      </c>
      <c r="C97" t="s">
        <v>48</v>
      </c>
      <c r="D97" s="2" t="s">
        <v>33</v>
      </c>
      <c r="E97" s="2">
        <v>13</v>
      </c>
      <c r="F97" s="2">
        <v>0</v>
      </c>
      <c r="G97" s="2">
        <v>46</v>
      </c>
      <c r="H97" s="2">
        <v>0.33300000000000002</v>
      </c>
      <c r="I97" s="2">
        <v>0</v>
      </c>
      <c r="J97" s="2">
        <v>0.41699999999999998</v>
      </c>
      <c r="K97" s="2">
        <v>0.5</v>
      </c>
      <c r="L97" s="2"/>
      <c r="M97" s="2">
        <v>0.5</v>
      </c>
      <c r="N97" s="2">
        <v>0</v>
      </c>
      <c r="O97" s="2">
        <v>0.8</v>
      </c>
      <c r="P97" s="2">
        <v>72</v>
      </c>
      <c r="Q97" s="2">
        <v>0</v>
      </c>
      <c r="R97" s="2">
        <v>116</v>
      </c>
      <c r="S97" s="2">
        <v>93</v>
      </c>
      <c r="T97" s="2"/>
      <c r="U97" s="2">
        <v>87</v>
      </c>
      <c r="V97" s="2">
        <v>0</v>
      </c>
      <c r="W97" s="2">
        <v>189</v>
      </c>
      <c r="X97" s="2">
        <v>-1.2</v>
      </c>
      <c r="Y97" s="2">
        <v>-2.2000000000000002</v>
      </c>
    </row>
    <row r="98" spans="1:25" x14ac:dyDescent="0.2">
      <c r="A98" t="s">
        <v>415</v>
      </c>
      <c r="B98" s="2">
        <v>24</v>
      </c>
      <c r="C98" t="s">
        <v>57</v>
      </c>
      <c r="D98" s="2" t="s">
        <v>33</v>
      </c>
      <c r="E98" s="2">
        <v>16</v>
      </c>
      <c r="F98" s="2">
        <v>0</v>
      </c>
      <c r="G98" s="2">
        <v>151</v>
      </c>
      <c r="H98" s="2">
        <v>0.58099999999999996</v>
      </c>
      <c r="I98" s="2">
        <v>0.65</v>
      </c>
      <c r="J98" s="2">
        <v>0.45500000000000002</v>
      </c>
      <c r="K98" s="2">
        <v>0.66100000000000003</v>
      </c>
      <c r="L98" s="2">
        <v>0.6</v>
      </c>
      <c r="M98" s="2">
        <v>0.66300000000000003</v>
      </c>
      <c r="N98" s="2">
        <v>0.161</v>
      </c>
      <c r="O98" s="2">
        <v>0.35499999999999998</v>
      </c>
      <c r="P98" s="2">
        <v>125</v>
      </c>
      <c r="Q98" s="2">
        <v>120</v>
      </c>
      <c r="R98" s="2">
        <v>127</v>
      </c>
      <c r="S98" s="2">
        <v>122</v>
      </c>
      <c r="T98" s="2">
        <v>77</v>
      </c>
      <c r="U98" s="2">
        <v>115</v>
      </c>
      <c r="V98" s="2">
        <v>65</v>
      </c>
      <c r="W98" s="2">
        <v>84</v>
      </c>
      <c r="X98" s="2">
        <v>7.5</v>
      </c>
      <c r="Y98" s="2">
        <v>5.9</v>
      </c>
    </row>
    <row r="99" spans="1:25" x14ac:dyDescent="0.2">
      <c r="A99" t="s">
        <v>534</v>
      </c>
      <c r="B99" s="2">
        <v>21</v>
      </c>
      <c r="C99" t="s">
        <v>103</v>
      </c>
      <c r="D99" s="2" t="s">
        <v>52</v>
      </c>
      <c r="E99" s="2">
        <v>5</v>
      </c>
      <c r="F99" s="2">
        <v>0</v>
      </c>
      <c r="G99" s="2">
        <v>10</v>
      </c>
      <c r="H99" s="2">
        <v>0.14299999999999999</v>
      </c>
      <c r="I99" s="2">
        <v>0.25</v>
      </c>
      <c r="J99" s="2">
        <v>0</v>
      </c>
      <c r="K99" s="2">
        <v>0.14299999999999999</v>
      </c>
      <c r="L99" s="2">
        <v>0.5</v>
      </c>
      <c r="M99" s="2">
        <v>0.19</v>
      </c>
      <c r="N99" s="2">
        <v>0.28599999999999998</v>
      </c>
      <c r="O99" s="2">
        <v>0.42899999999999999</v>
      </c>
      <c r="P99" s="2">
        <v>31</v>
      </c>
      <c r="Q99" s="2">
        <v>46</v>
      </c>
      <c r="R99" s="2">
        <v>0</v>
      </c>
      <c r="S99" s="2">
        <v>26</v>
      </c>
      <c r="T99" s="2">
        <v>64</v>
      </c>
      <c r="U99" s="2">
        <v>33</v>
      </c>
      <c r="V99" s="2">
        <v>115</v>
      </c>
      <c r="W99" s="2">
        <v>101</v>
      </c>
      <c r="X99" s="2">
        <v>-5.6</v>
      </c>
      <c r="Y99" s="2">
        <v>-6.1</v>
      </c>
    </row>
    <row r="100" spans="1:25" x14ac:dyDescent="0.2">
      <c r="A100" t="s">
        <v>533</v>
      </c>
      <c r="B100" s="2">
        <v>24</v>
      </c>
      <c r="C100" t="s">
        <v>66</v>
      </c>
      <c r="D100" s="2" t="s">
        <v>52</v>
      </c>
      <c r="E100" s="2">
        <v>4</v>
      </c>
      <c r="F100" s="2">
        <v>0</v>
      </c>
      <c r="G100" s="2">
        <v>33</v>
      </c>
      <c r="H100" s="2">
        <v>0.14299999999999999</v>
      </c>
      <c r="I100" s="2">
        <v>0.25</v>
      </c>
      <c r="J100" s="2">
        <v>0</v>
      </c>
      <c r="K100" s="2">
        <v>0.14299999999999999</v>
      </c>
      <c r="L100" s="2">
        <v>1</v>
      </c>
      <c r="M100" s="2">
        <v>0.20200000000000001</v>
      </c>
      <c r="N100" s="2">
        <v>0.14299999999999999</v>
      </c>
      <c r="O100" s="2">
        <v>0.42899999999999999</v>
      </c>
      <c r="P100" s="2">
        <v>31</v>
      </c>
      <c r="Q100" s="2">
        <v>46</v>
      </c>
      <c r="R100" s="2">
        <v>0</v>
      </c>
      <c r="S100" s="2">
        <v>26</v>
      </c>
      <c r="T100" s="2">
        <v>129</v>
      </c>
      <c r="U100" s="2">
        <v>35</v>
      </c>
      <c r="V100" s="2">
        <v>57</v>
      </c>
      <c r="W100" s="2">
        <v>101</v>
      </c>
      <c r="X100" s="2">
        <v>-5.6</v>
      </c>
      <c r="Y100" s="2">
        <v>-5.5</v>
      </c>
    </row>
    <row r="101" spans="1:25" x14ac:dyDescent="0.2">
      <c r="A101" t="s">
        <v>157</v>
      </c>
      <c r="B101" s="2">
        <v>28</v>
      </c>
      <c r="C101" t="s">
        <v>41</v>
      </c>
      <c r="D101" s="2" t="s">
        <v>33</v>
      </c>
      <c r="E101" s="2">
        <v>23</v>
      </c>
      <c r="F101" s="2">
        <v>10</v>
      </c>
      <c r="G101" s="2">
        <v>629</v>
      </c>
      <c r="H101" s="2">
        <v>0.42199999999999999</v>
      </c>
      <c r="I101" s="2">
        <v>0.51300000000000001</v>
      </c>
      <c r="J101" s="2">
        <v>0.34300000000000003</v>
      </c>
      <c r="K101" s="2">
        <v>0.51400000000000001</v>
      </c>
      <c r="L101" s="2">
        <v>0.86699999999999999</v>
      </c>
      <c r="M101" s="2">
        <v>0.54800000000000004</v>
      </c>
      <c r="N101" s="2">
        <v>0.17899999999999999</v>
      </c>
      <c r="O101" s="2">
        <v>0.53400000000000003</v>
      </c>
      <c r="P101" s="2">
        <v>91</v>
      </c>
      <c r="Q101" s="2">
        <v>95</v>
      </c>
      <c r="R101" s="2">
        <v>96</v>
      </c>
      <c r="S101" s="2">
        <v>95</v>
      </c>
      <c r="T101" s="2">
        <v>111</v>
      </c>
      <c r="U101" s="2">
        <v>95</v>
      </c>
      <c r="V101" s="2">
        <v>72</v>
      </c>
      <c r="W101" s="2">
        <v>126</v>
      </c>
      <c r="X101" s="2">
        <v>-13.3</v>
      </c>
      <c r="Y101" s="2">
        <v>-14.1</v>
      </c>
    </row>
    <row r="102" spans="1:25" x14ac:dyDescent="0.2">
      <c r="A102" t="s">
        <v>554</v>
      </c>
      <c r="B102" s="2">
        <v>22</v>
      </c>
      <c r="C102" t="s">
        <v>51</v>
      </c>
      <c r="D102" s="2" t="s">
        <v>33</v>
      </c>
      <c r="E102" s="2">
        <v>3</v>
      </c>
      <c r="F102" s="2">
        <v>0</v>
      </c>
      <c r="G102" s="2">
        <v>13</v>
      </c>
      <c r="H102" s="2">
        <v>0</v>
      </c>
      <c r="I102" s="2"/>
      <c r="J102" s="2">
        <v>0</v>
      </c>
      <c r="K102" s="2">
        <v>0</v>
      </c>
      <c r="L102" s="2">
        <v>0.5</v>
      </c>
      <c r="M102" s="2">
        <v>0.26600000000000001</v>
      </c>
      <c r="N102" s="2">
        <v>2</v>
      </c>
      <c r="O102" s="2">
        <v>1</v>
      </c>
      <c r="P102" s="2">
        <v>0</v>
      </c>
      <c r="Q102" s="2"/>
      <c r="R102" s="2">
        <v>0</v>
      </c>
      <c r="S102" s="2">
        <v>0</v>
      </c>
      <c r="T102" s="2">
        <v>64</v>
      </c>
      <c r="U102" s="2">
        <v>46</v>
      </c>
      <c r="V102" s="2">
        <v>802</v>
      </c>
      <c r="W102" s="2">
        <v>237</v>
      </c>
      <c r="X102" s="2">
        <v>-1.1000000000000001</v>
      </c>
      <c r="Y102" s="2">
        <v>-1.2</v>
      </c>
    </row>
    <row r="103" spans="1:25" x14ac:dyDescent="0.2">
      <c r="A103" t="s">
        <v>209</v>
      </c>
      <c r="B103" s="2">
        <v>25</v>
      </c>
      <c r="C103" t="s">
        <v>135</v>
      </c>
      <c r="D103" s="2" t="s">
        <v>33</v>
      </c>
      <c r="E103" s="2">
        <v>22</v>
      </c>
      <c r="F103" s="2">
        <v>0</v>
      </c>
      <c r="G103" s="2">
        <v>378</v>
      </c>
      <c r="H103" s="2">
        <v>0.433</v>
      </c>
      <c r="I103" s="2">
        <v>0.46800000000000003</v>
      </c>
      <c r="J103" s="2">
        <v>0.38500000000000001</v>
      </c>
      <c r="K103" s="2">
        <v>0.51300000000000001</v>
      </c>
      <c r="L103" s="2">
        <v>0.67300000000000004</v>
      </c>
      <c r="M103" s="2">
        <v>0.54100000000000004</v>
      </c>
      <c r="N103" s="2">
        <v>0.27800000000000002</v>
      </c>
      <c r="O103" s="2">
        <v>0.41699999999999998</v>
      </c>
      <c r="P103" s="2">
        <v>93</v>
      </c>
      <c r="Q103" s="2">
        <v>86</v>
      </c>
      <c r="R103" s="2">
        <v>107</v>
      </c>
      <c r="S103" s="2">
        <v>95</v>
      </c>
      <c r="T103" s="2">
        <v>87</v>
      </c>
      <c r="U103" s="2">
        <v>94</v>
      </c>
      <c r="V103" s="2">
        <v>112</v>
      </c>
      <c r="W103" s="2">
        <v>99</v>
      </c>
      <c r="X103" s="2">
        <v>-10.199999999999999</v>
      </c>
      <c r="Y103" s="2">
        <v>-14.1</v>
      </c>
    </row>
    <row r="104" spans="1:25" x14ac:dyDescent="0.2">
      <c r="A104" t="s">
        <v>330</v>
      </c>
      <c r="B104" s="2">
        <v>22</v>
      </c>
      <c r="C104" t="s">
        <v>70</v>
      </c>
      <c r="D104" s="2" t="s">
        <v>52</v>
      </c>
      <c r="E104" s="2">
        <v>25</v>
      </c>
      <c r="F104" s="2">
        <v>0</v>
      </c>
      <c r="G104" s="2">
        <v>337</v>
      </c>
      <c r="H104" s="2">
        <v>0.5</v>
      </c>
      <c r="I104" s="2">
        <v>0.57399999999999995</v>
      </c>
      <c r="J104" s="2">
        <v>0.37</v>
      </c>
      <c r="K104" s="2">
        <v>0.56799999999999995</v>
      </c>
      <c r="L104" s="2">
        <v>0.78600000000000003</v>
      </c>
      <c r="M104" s="2">
        <v>0.61399999999999999</v>
      </c>
      <c r="N104" s="2">
        <v>0.378</v>
      </c>
      <c r="O104" s="2">
        <v>0.36499999999999999</v>
      </c>
      <c r="P104" s="2">
        <v>108</v>
      </c>
      <c r="Q104" s="2">
        <v>106</v>
      </c>
      <c r="R104" s="2">
        <v>103</v>
      </c>
      <c r="S104" s="2">
        <v>105</v>
      </c>
      <c r="T104" s="2">
        <v>101</v>
      </c>
      <c r="U104" s="2">
        <v>107</v>
      </c>
      <c r="V104" s="2">
        <v>152</v>
      </c>
      <c r="W104" s="2">
        <v>86</v>
      </c>
      <c r="X104" s="2">
        <v>4</v>
      </c>
      <c r="Y104" s="2">
        <v>6.8</v>
      </c>
    </row>
    <row r="105" spans="1:25" x14ac:dyDescent="0.2">
      <c r="A105" t="s">
        <v>184</v>
      </c>
      <c r="B105" s="2">
        <v>23</v>
      </c>
      <c r="C105" t="s">
        <v>41</v>
      </c>
      <c r="D105" s="2" t="s">
        <v>49</v>
      </c>
      <c r="E105" s="2">
        <v>24</v>
      </c>
      <c r="F105" s="2">
        <v>12</v>
      </c>
      <c r="G105" s="2">
        <v>583</v>
      </c>
      <c r="H105" s="2">
        <v>0.46899999999999997</v>
      </c>
      <c r="I105" s="2">
        <v>0.59</v>
      </c>
      <c r="J105" s="2">
        <v>0.39100000000000001</v>
      </c>
      <c r="K105" s="2">
        <v>0.58799999999999997</v>
      </c>
      <c r="L105" s="2">
        <v>0.77300000000000002</v>
      </c>
      <c r="M105" s="2">
        <v>0.6</v>
      </c>
      <c r="N105" s="2">
        <v>0.104</v>
      </c>
      <c r="O105" s="2">
        <v>0.60699999999999998</v>
      </c>
      <c r="P105" s="2">
        <v>101</v>
      </c>
      <c r="Q105" s="2">
        <v>109</v>
      </c>
      <c r="R105" s="2">
        <v>109</v>
      </c>
      <c r="S105" s="2">
        <v>109</v>
      </c>
      <c r="T105" s="2">
        <v>99</v>
      </c>
      <c r="U105" s="2">
        <v>105</v>
      </c>
      <c r="V105" s="2">
        <v>42</v>
      </c>
      <c r="W105" s="2">
        <v>144</v>
      </c>
      <c r="X105" s="2">
        <v>19.899999999999999</v>
      </c>
      <c r="Y105" s="2">
        <v>11.4</v>
      </c>
    </row>
    <row r="106" spans="1:25" x14ac:dyDescent="0.2">
      <c r="A106" t="s">
        <v>64</v>
      </c>
      <c r="B106" s="2">
        <v>34</v>
      </c>
      <c r="C106" t="s">
        <v>35</v>
      </c>
      <c r="D106" s="2" t="s">
        <v>33</v>
      </c>
      <c r="E106" s="2">
        <v>21</v>
      </c>
      <c r="F106" s="2">
        <v>21</v>
      </c>
      <c r="G106" s="2">
        <v>763</v>
      </c>
      <c r="H106" s="2">
        <v>0.45400000000000001</v>
      </c>
      <c r="I106" s="2">
        <v>0.54300000000000004</v>
      </c>
      <c r="J106" s="2">
        <v>0.372</v>
      </c>
      <c r="K106" s="2">
        <v>0.55100000000000005</v>
      </c>
      <c r="L106" s="2">
        <v>0.92</v>
      </c>
      <c r="M106" s="2">
        <v>0.626</v>
      </c>
      <c r="N106" s="2">
        <v>0.41</v>
      </c>
      <c r="O106" s="2">
        <v>0.52200000000000002</v>
      </c>
      <c r="P106" s="2">
        <v>98</v>
      </c>
      <c r="Q106" s="2">
        <v>100</v>
      </c>
      <c r="R106" s="2">
        <v>104</v>
      </c>
      <c r="S106" s="2">
        <v>102</v>
      </c>
      <c r="T106" s="2">
        <v>118</v>
      </c>
      <c r="U106" s="2">
        <v>109</v>
      </c>
      <c r="V106" s="2">
        <v>164</v>
      </c>
      <c r="W106" s="2">
        <v>123</v>
      </c>
      <c r="X106" s="2">
        <v>7.3</v>
      </c>
      <c r="Y106" s="2">
        <v>44.7</v>
      </c>
    </row>
    <row r="107" spans="1:25" x14ac:dyDescent="0.2">
      <c r="A107" t="s">
        <v>486</v>
      </c>
      <c r="B107" s="2">
        <v>32</v>
      </c>
      <c r="C107" t="s">
        <v>54</v>
      </c>
      <c r="D107" s="2" t="s">
        <v>52</v>
      </c>
      <c r="E107" s="2">
        <v>4</v>
      </c>
      <c r="F107" s="2">
        <v>0</v>
      </c>
      <c r="G107" s="2">
        <v>37</v>
      </c>
      <c r="H107" s="2">
        <v>0.28599999999999998</v>
      </c>
      <c r="I107" s="2">
        <v>0.6</v>
      </c>
      <c r="J107" s="2">
        <v>0.111</v>
      </c>
      <c r="K107" s="2">
        <v>0.32100000000000001</v>
      </c>
      <c r="L107" s="2">
        <v>1</v>
      </c>
      <c r="M107" s="2">
        <v>0.45100000000000001</v>
      </c>
      <c r="N107" s="2">
        <v>0.42899999999999999</v>
      </c>
      <c r="O107" s="2">
        <v>0.64300000000000002</v>
      </c>
      <c r="P107" s="2">
        <v>61</v>
      </c>
      <c r="Q107" s="2">
        <v>111</v>
      </c>
      <c r="R107" s="2">
        <v>31</v>
      </c>
      <c r="S107" s="2">
        <v>59</v>
      </c>
      <c r="T107" s="2">
        <v>129</v>
      </c>
      <c r="U107" s="2">
        <v>78</v>
      </c>
      <c r="V107" s="2">
        <v>172</v>
      </c>
      <c r="W107" s="2">
        <v>152</v>
      </c>
      <c r="X107" s="2">
        <v>-6.1</v>
      </c>
      <c r="Y107" s="2">
        <v>-4.0999999999999996</v>
      </c>
    </row>
    <row r="108" spans="1:25" x14ac:dyDescent="0.2">
      <c r="A108" t="s">
        <v>155</v>
      </c>
      <c r="B108" s="2">
        <v>26</v>
      </c>
      <c r="C108" t="s">
        <v>63</v>
      </c>
      <c r="D108" s="2" t="s">
        <v>42</v>
      </c>
      <c r="E108" s="2">
        <v>24</v>
      </c>
      <c r="F108" s="2">
        <v>12</v>
      </c>
      <c r="G108" s="2">
        <v>500</v>
      </c>
      <c r="H108" s="4">
        <v>0.73799999999999999</v>
      </c>
      <c r="I108" s="4">
        <v>0.73799999999999999</v>
      </c>
      <c r="J108" s="2"/>
      <c r="K108" s="4">
        <v>0.73799999999999999</v>
      </c>
      <c r="L108" s="2">
        <v>0.67600000000000005</v>
      </c>
      <c r="M108" s="4">
        <v>0.74299999999999999</v>
      </c>
      <c r="N108" s="2">
        <v>0.39500000000000002</v>
      </c>
      <c r="O108" s="2">
        <v>0</v>
      </c>
      <c r="P108" s="2">
        <v>159</v>
      </c>
      <c r="Q108" s="2">
        <v>136</v>
      </c>
      <c r="R108" s="2"/>
      <c r="S108" s="2">
        <v>137</v>
      </c>
      <c r="T108" s="2">
        <v>87</v>
      </c>
      <c r="U108" s="2">
        <v>129</v>
      </c>
      <c r="V108" s="2">
        <v>159</v>
      </c>
      <c r="W108" s="2">
        <v>0</v>
      </c>
      <c r="X108" s="2">
        <v>68.099999999999994</v>
      </c>
      <c r="Y108" s="2">
        <v>68</v>
      </c>
    </row>
    <row r="109" spans="1:25" x14ac:dyDescent="0.2">
      <c r="A109" t="s">
        <v>380</v>
      </c>
      <c r="B109" s="2">
        <v>32</v>
      </c>
      <c r="C109" t="s">
        <v>117</v>
      </c>
      <c r="D109" s="2" t="s">
        <v>42</v>
      </c>
      <c r="E109" s="2">
        <v>18</v>
      </c>
      <c r="F109" s="2">
        <v>7</v>
      </c>
      <c r="G109" s="2">
        <v>257</v>
      </c>
      <c r="H109" s="2">
        <v>0.441</v>
      </c>
      <c r="I109" s="2">
        <v>0.52500000000000002</v>
      </c>
      <c r="J109" s="2">
        <v>0.26300000000000001</v>
      </c>
      <c r="K109" s="2">
        <v>0.48299999999999998</v>
      </c>
      <c r="L109" s="2">
        <v>0.83299999999999996</v>
      </c>
      <c r="M109" s="2">
        <v>0.52100000000000002</v>
      </c>
      <c r="N109" s="2">
        <v>0.20300000000000001</v>
      </c>
      <c r="O109" s="2">
        <v>0.32200000000000001</v>
      </c>
      <c r="P109" s="2">
        <v>95</v>
      </c>
      <c r="Q109" s="2">
        <v>97</v>
      </c>
      <c r="R109" s="2">
        <v>73</v>
      </c>
      <c r="S109" s="2">
        <v>89</v>
      </c>
      <c r="T109" s="2">
        <v>107</v>
      </c>
      <c r="U109" s="2">
        <v>91</v>
      </c>
      <c r="V109" s="2">
        <v>82</v>
      </c>
      <c r="W109" s="2">
        <v>76</v>
      </c>
      <c r="X109" s="2">
        <v>-6.8</v>
      </c>
      <c r="Y109" s="2">
        <v>-6.9</v>
      </c>
    </row>
    <row r="110" spans="1:25" x14ac:dyDescent="0.2">
      <c r="A110" t="s">
        <v>560</v>
      </c>
      <c r="B110" s="2">
        <v>23</v>
      </c>
      <c r="C110" t="s">
        <v>75</v>
      </c>
      <c r="D110" s="2" t="s">
        <v>33</v>
      </c>
      <c r="E110" s="2">
        <v>2</v>
      </c>
      <c r="F110" s="2">
        <v>0</v>
      </c>
      <c r="G110" s="2">
        <v>5</v>
      </c>
      <c r="H110" s="2">
        <v>0</v>
      </c>
      <c r="I110" s="2"/>
      <c r="J110" s="2">
        <v>0</v>
      </c>
      <c r="K110" s="2">
        <v>0</v>
      </c>
      <c r="L110" s="2"/>
      <c r="M110" s="2">
        <v>0</v>
      </c>
      <c r="N110" s="2">
        <v>0</v>
      </c>
      <c r="O110" s="2">
        <v>1</v>
      </c>
      <c r="P110" s="2">
        <v>0</v>
      </c>
      <c r="Q110" s="2"/>
      <c r="R110" s="2">
        <v>0</v>
      </c>
      <c r="S110" s="2">
        <v>0</v>
      </c>
      <c r="T110" s="2"/>
      <c r="U110" s="2">
        <v>0</v>
      </c>
      <c r="V110" s="2">
        <v>0</v>
      </c>
      <c r="W110" s="2">
        <v>237</v>
      </c>
      <c r="X110" s="2">
        <v>-2.2000000000000002</v>
      </c>
      <c r="Y110" s="2">
        <v>-2.2999999999999998</v>
      </c>
    </row>
    <row r="111" spans="1:25" x14ac:dyDescent="0.2">
      <c r="A111" t="s">
        <v>431</v>
      </c>
      <c r="B111" s="2">
        <v>27</v>
      </c>
      <c r="C111" t="s">
        <v>59</v>
      </c>
      <c r="D111" s="2" t="s">
        <v>52</v>
      </c>
      <c r="E111" s="2">
        <v>3</v>
      </c>
      <c r="F111" s="2">
        <v>0</v>
      </c>
      <c r="G111" s="2">
        <v>61</v>
      </c>
      <c r="H111" s="2">
        <v>0.65</v>
      </c>
      <c r="I111" s="2">
        <v>0.7</v>
      </c>
      <c r="J111" s="2">
        <v>0.6</v>
      </c>
      <c r="K111" s="2">
        <v>0.8</v>
      </c>
      <c r="L111" s="2">
        <v>0.5</v>
      </c>
      <c r="M111" s="2">
        <v>0.79</v>
      </c>
      <c r="N111" s="2">
        <v>0.1</v>
      </c>
      <c r="O111" s="2">
        <v>0.5</v>
      </c>
      <c r="P111" s="2">
        <v>140</v>
      </c>
      <c r="Q111" s="2">
        <v>129</v>
      </c>
      <c r="R111" s="2">
        <v>167</v>
      </c>
      <c r="S111" s="2">
        <v>148</v>
      </c>
      <c r="T111" s="2">
        <v>64</v>
      </c>
      <c r="U111" s="2">
        <v>138</v>
      </c>
      <c r="V111" s="2">
        <v>40</v>
      </c>
      <c r="W111" s="2">
        <v>118</v>
      </c>
      <c r="X111" s="2">
        <v>10.4</v>
      </c>
      <c r="Y111" s="2">
        <v>9</v>
      </c>
    </row>
    <row r="112" spans="1:25" x14ac:dyDescent="0.2">
      <c r="A112" t="s">
        <v>429</v>
      </c>
      <c r="B112" s="2">
        <v>30</v>
      </c>
      <c r="C112" t="s">
        <v>46</v>
      </c>
      <c r="D112" s="2" t="s">
        <v>42</v>
      </c>
      <c r="E112" s="2">
        <v>10</v>
      </c>
      <c r="F112" s="2">
        <v>3</v>
      </c>
      <c r="G112" s="2">
        <v>136</v>
      </c>
      <c r="H112" s="2">
        <v>0.3</v>
      </c>
      <c r="I112" s="2">
        <v>0.33300000000000002</v>
      </c>
      <c r="J112" s="2">
        <v>0.26300000000000001</v>
      </c>
      <c r="K112" s="2">
        <v>0.36299999999999999</v>
      </c>
      <c r="L112" s="2">
        <v>0.83299999999999996</v>
      </c>
      <c r="M112" s="2">
        <v>0.39900000000000002</v>
      </c>
      <c r="N112" s="2">
        <v>0.15</v>
      </c>
      <c r="O112" s="2">
        <v>0.47499999999999998</v>
      </c>
      <c r="P112" s="2">
        <v>65</v>
      </c>
      <c r="Q112" s="2">
        <v>62</v>
      </c>
      <c r="R112" s="2">
        <v>73</v>
      </c>
      <c r="S112" s="2">
        <v>67</v>
      </c>
      <c r="T112" s="2">
        <v>107</v>
      </c>
      <c r="U112" s="2">
        <v>69</v>
      </c>
      <c r="V112" s="2">
        <v>60</v>
      </c>
      <c r="W112" s="2">
        <v>112</v>
      </c>
      <c r="X112" s="2">
        <v>-14.2</v>
      </c>
      <c r="Y112" s="2">
        <v>-15</v>
      </c>
    </row>
    <row r="113" spans="1:25" x14ac:dyDescent="0.2">
      <c r="A113" t="s">
        <v>476</v>
      </c>
      <c r="B113" s="2">
        <v>20</v>
      </c>
      <c r="C113" t="s">
        <v>103</v>
      </c>
      <c r="D113" s="2" t="s">
        <v>49</v>
      </c>
      <c r="E113" s="2">
        <v>3</v>
      </c>
      <c r="F113" s="2">
        <v>0</v>
      </c>
      <c r="G113" s="2">
        <v>26</v>
      </c>
      <c r="H113" s="2">
        <v>0.54500000000000004</v>
      </c>
      <c r="I113" s="2">
        <v>0</v>
      </c>
      <c r="J113" s="2">
        <v>0.6</v>
      </c>
      <c r="K113" s="2">
        <v>0.81799999999999995</v>
      </c>
      <c r="L113" s="2"/>
      <c r="M113" s="2">
        <v>0.81799999999999995</v>
      </c>
      <c r="N113" s="2">
        <v>0</v>
      </c>
      <c r="O113" s="2">
        <v>0.90900000000000003</v>
      </c>
      <c r="P113" s="2">
        <v>117</v>
      </c>
      <c r="Q113" s="2">
        <v>0</v>
      </c>
      <c r="R113" s="2">
        <v>167</v>
      </c>
      <c r="S113" s="2">
        <v>151</v>
      </c>
      <c r="T113" s="2"/>
      <c r="U113" s="2">
        <v>142</v>
      </c>
      <c r="V113" s="2">
        <v>0</v>
      </c>
      <c r="W113" s="2">
        <v>215</v>
      </c>
      <c r="X113" s="2">
        <v>6.1</v>
      </c>
      <c r="Y113" s="2">
        <v>5.4</v>
      </c>
    </row>
    <row r="114" spans="1:25" x14ac:dyDescent="0.2">
      <c r="A114" t="s">
        <v>83</v>
      </c>
      <c r="B114" s="2">
        <v>25</v>
      </c>
      <c r="C114" t="s">
        <v>57</v>
      </c>
      <c r="D114" s="2" t="s">
        <v>33</v>
      </c>
      <c r="E114" s="2">
        <v>24</v>
      </c>
      <c r="F114" s="2">
        <v>24</v>
      </c>
      <c r="G114" s="2">
        <v>728</v>
      </c>
      <c r="H114" s="2">
        <v>0.48799999999999999</v>
      </c>
      <c r="I114" s="2">
        <v>0.54</v>
      </c>
      <c r="J114" s="2">
        <v>0.42299999999999999</v>
      </c>
      <c r="K114" s="2">
        <v>0.58199999999999996</v>
      </c>
      <c r="L114" s="2">
        <v>0.94399999999999995</v>
      </c>
      <c r="M114" s="2">
        <v>0.621</v>
      </c>
      <c r="N114" s="2">
        <v>0.19500000000000001</v>
      </c>
      <c r="O114" s="2">
        <v>0.44700000000000001</v>
      </c>
      <c r="P114" s="2">
        <v>105</v>
      </c>
      <c r="Q114" s="2">
        <v>100</v>
      </c>
      <c r="R114" s="2">
        <v>118</v>
      </c>
      <c r="S114" s="2">
        <v>108</v>
      </c>
      <c r="T114" s="2">
        <v>121</v>
      </c>
      <c r="U114" s="2">
        <v>108</v>
      </c>
      <c r="V114" s="2">
        <v>78</v>
      </c>
      <c r="W114" s="2">
        <v>106</v>
      </c>
      <c r="X114" s="2">
        <v>30.4</v>
      </c>
      <c r="Y114" s="2">
        <v>36.700000000000003</v>
      </c>
    </row>
    <row r="115" spans="1:25" x14ac:dyDescent="0.2">
      <c r="A115" t="s">
        <v>535</v>
      </c>
      <c r="B115" s="2">
        <v>25</v>
      </c>
      <c r="C115" t="s">
        <v>93</v>
      </c>
      <c r="D115" s="2" t="s">
        <v>52</v>
      </c>
      <c r="E115" s="2">
        <v>1</v>
      </c>
      <c r="F115" s="2">
        <v>0</v>
      </c>
      <c r="G115" s="2">
        <v>8</v>
      </c>
      <c r="H115" s="2">
        <v>0.25</v>
      </c>
      <c r="I115" s="2">
        <v>0.33300000000000002</v>
      </c>
      <c r="J115" s="2">
        <v>0</v>
      </c>
      <c r="K115" s="2">
        <v>0.25</v>
      </c>
      <c r="L115" s="2">
        <v>0.5</v>
      </c>
      <c r="M115" s="2">
        <v>0.307</v>
      </c>
      <c r="N115" s="2">
        <v>0.5</v>
      </c>
      <c r="O115" s="2">
        <v>0.25</v>
      </c>
      <c r="P115" s="2">
        <v>54</v>
      </c>
      <c r="Q115" s="2">
        <v>62</v>
      </c>
      <c r="R115" s="2">
        <v>0</v>
      </c>
      <c r="S115" s="2">
        <v>46</v>
      </c>
      <c r="T115" s="2">
        <v>64</v>
      </c>
      <c r="U115" s="2">
        <v>54</v>
      </c>
      <c r="V115" s="2">
        <v>201</v>
      </c>
      <c r="W115" s="2">
        <v>59</v>
      </c>
      <c r="X115" s="2">
        <v>-2.2999999999999998</v>
      </c>
      <c r="Y115" s="2">
        <v>-2.6</v>
      </c>
    </row>
    <row r="116" spans="1:25" x14ac:dyDescent="0.2">
      <c r="A116" t="s">
        <v>370</v>
      </c>
      <c r="B116" s="2">
        <v>23</v>
      </c>
      <c r="C116" t="s">
        <v>72</v>
      </c>
      <c r="D116" s="2" t="s">
        <v>27</v>
      </c>
      <c r="E116" s="2">
        <v>14</v>
      </c>
      <c r="F116" s="2">
        <v>1</v>
      </c>
      <c r="G116" s="2">
        <v>204</v>
      </c>
      <c r="H116" s="2">
        <v>0.56299999999999994</v>
      </c>
      <c r="I116" s="2">
        <v>0.70799999999999996</v>
      </c>
      <c r="J116" s="2">
        <v>0.41699999999999998</v>
      </c>
      <c r="K116" s="2">
        <v>0.66700000000000004</v>
      </c>
      <c r="L116" s="2">
        <v>0.84599999999999997</v>
      </c>
      <c r="M116" s="2">
        <v>0.69799999999999995</v>
      </c>
      <c r="N116" s="2">
        <v>0.27100000000000002</v>
      </c>
      <c r="O116" s="2">
        <v>0.5</v>
      </c>
      <c r="P116" s="2">
        <v>121</v>
      </c>
      <c r="Q116" s="2">
        <v>131</v>
      </c>
      <c r="R116" s="2">
        <v>116</v>
      </c>
      <c r="S116" s="2">
        <v>123</v>
      </c>
      <c r="T116" s="2">
        <v>109</v>
      </c>
      <c r="U116" s="2">
        <v>122</v>
      </c>
      <c r="V116" s="2">
        <v>109</v>
      </c>
      <c r="W116" s="2">
        <v>118</v>
      </c>
      <c r="X116" s="2">
        <v>12.1</v>
      </c>
      <c r="Y116" s="2">
        <v>13.3</v>
      </c>
    </row>
    <row r="117" spans="1:25" x14ac:dyDescent="0.2">
      <c r="A117" t="s">
        <v>249</v>
      </c>
      <c r="B117" s="2">
        <v>26</v>
      </c>
      <c r="C117" t="s">
        <v>66</v>
      </c>
      <c r="D117" s="2" t="s">
        <v>33</v>
      </c>
      <c r="E117" s="2">
        <v>26</v>
      </c>
      <c r="F117" s="2">
        <v>13</v>
      </c>
      <c r="G117" s="2">
        <v>707</v>
      </c>
      <c r="H117" s="2">
        <v>0.39600000000000002</v>
      </c>
      <c r="I117" s="2">
        <v>0.5</v>
      </c>
      <c r="J117" s="2">
        <v>0.28399999999999997</v>
      </c>
      <c r="K117" s="2">
        <v>0.46400000000000002</v>
      </c>
      <c r="L117" s="2">
        <v>0.67700000000000005</v>
      </c>
      <c r="M117" s="2">
        <v>0.48699999999999999</v>
      </c>
      <c r="N117" s="2">
        <v>0.183</v>
      </c>
      <c r="O117" s="2">
        <v>0.47899999999999998</v>
      </c>
      <c r="P117" s="2">
        <v>85</v>
      </c>
      <c r="Q117" s="2">
        <v>92</v>
      </c>
      <c r="R117" s="2">
        <v>79</v>
      </c>
      <c r="S117" s="2">
        <v>86</v>
      </c>
      <c r="T117" s="2">
        <v>87</v>
      </c>
      <c r="U117" s="2">
        <v>85</v>
      </c>
      <c r="V117" s="2">
        <v>74</v>
      </c>
      <c r="W117" s="2">
        <v>113</v>
      </c>
      <c r="X117" s="2">
        <v>-25.7</v>
      </c>
      <c r="Y117" s="2">
        <v>-31.8</v>
      </c>
    </row>
    <row r="118" spans="1:25" x14ac:dyDescent="0.2">
      <c r="A118" t="s">
        <v>488</v>
      </c>
      <c r="B118" s="2">
        <v>23</v>
      </c>
      <c r="C118" t="s">
        <v>103</v>
      </c>
      <c r="D118" s="2" t="s">
        <v>42</v>
      </c>
      <c r="E118" s="2">
        <v>3</v>
      </c>
      <c r="F118" s="2">
        <v>0</v>
      </c>
      <c r="G118" s="2">
        <v>44</v>
      </c>
      <c r="H118" s="2">
        <v>0.36399999999999999</v>
      </c>
      <c r="I118" s="2">
        <v>0.33300000000000002</v>
      </c>
      <c r="J118" s="2">
        <v>0.5</v>
      </c>
      <c r="K118" s="2">
        <v>0.40899999999999997</v>
      </c>
      <c r="L118" s="2">
        <v>1</v>
      </c>
      <c r="M118" s="2">
        <v>0.55000000000000004</v>
      </c>
      <c r="N118" s="2">
        <v>0.54500000000000004</v>
      </c>
      <c r="O118" s="2">
        <v>0.182</v>
      </c>
      <c r="P118" s="2">
        <v>78</v>
      </c>
      <c r="Q118" s="2">
        <v>62</v>
      </c>
      <c r="R118" s="2">
        <v>139</v>
      </c>
      <c r="S118" s="2">
        <v>76</v>
      </c>
      <c r="T118" s="2">
        <v>129</v>
      </c>
      <c r="U118" s="2">
        <v>96</v>
      </c>
      <c r="V118" s="2">
        <v>219</v>
      </c>
      <c r="W118" s="2">
        <v>43</v>
      </c>
      <c r="X118" s="2">
        <v>-2.9</v>
      </c>
      <c r="Y118" s="2">
        <v>-0.7</v>
      </c>
    </row>
    <row r="119" spans="1:25" x14ac:dyDescent="0.2">
      <c r="A119" t="s">
        <v>36</v>
      </c>
      <c r="B119" s="2">
        <v>27</v>
      </c>
      <c r="C119" t="s">
        <v>37</v>
      </c>
      <c r="D119" s="2" t="s">
        <v>33</v>
      </c>
      <c r="E119" s="2">
        <v>26</v>
      </c>
      <c r="F119" s="2">
        <v>26</v>
      </c>
      <c r="G119" s="4">
        <v>968</v>
      </c>
      <c r="H119" s="2">
        <v>0.48399999999999999</v>
      </c>
      <c r="I119" s="2">
        <v>0.55600000000000005</v>
      </c>
      <c r="J119" s="2">
        <v>0.32500000000000001</v>
      </c>
      <c r="K119" s="2">
        <v>0.53500000000000003</v>
      </c>
      <c r="L119" s="2">
        <v>0.79600000000000004</v>
      </c>
      <c r="M119" s="2">
        <v>0.57699999999999996</v>
      </c>
      <c r="N119" s="2">
        <v>0.29199999999999998</v>
      </c>
      <c r="O119" s="2">
        <v>0.313</v>
      </c>
      <c r="P119" s="2">
        <v>104</v>
      </c>
      <c r="Q119" s="2">
        <v>103</v>
      </c>
      <c r="R119" s="2">
        <v>91</v>
      </c>
      <c r="S119" s="2">
        <v>99</v>
      </c>
      <c r="T119" s="2">
        <v>102</v>
      </c>
      <c r="U119" s="2">
        <v>100</v>
      </c>
      <c r="V119" s="2">
        <v>117</v>
      </c>
      <c r="W119" s="2">
        <v>74</v>
      </c>
      <c r="X119" s="2">
        <v>-6.2</v>
      </c>
      <c r="Y119" s="2">
        <v>2.6</v>
      </c>
    </row>
    <row r="120" spans="1:25" x14ac:dyDescent="0.2">
      <c r="A120" t="s">
        <v>160</v>
      </c>
      <c r="B120" s="2">
        <v>27</v>
      </c>
      <c r="C120" t="s">
        <v>72</v>
      </c>
      <c r="D120" s="2" t="s">
        <v>49</v>
      </c>
      <c r="E120" s="2">
        <v>15</v>
      </c>
      <c r="F120" s="2">
        <v>2</v>
      </c>
      <c r="G120" s="2">
        <v>417</v>
      </c>
      <c r="H120" s="2">
        <v>0.48299999999999998</v>
      </c>
      <c r="I120" s="2">
        <v>0.51400000000000001</v>
      </c>
      <c r="J120" s="2">
        <v>0.44600000000000001</v>
      </c>
      <c r="K120" s="2">
        <v>0.58499999999999996</v>
      </c>
      <c r="L120" s="2">
        <v>0.88100000000000001</v>
      </c>
      <c r="M120" s="2">
        <v>0.63800000000000001</v>
      </c>
      <c r="N120" s="2">
        <v>0.33300000000000002</v>
      </c>
      <c r="O120" s="2">
        <v>0.45800000000000002</v>
      </c>
      <c r="P120" s="2">
        <v>104</v>
      </c>
      <c r="Q120" s="2">
        <v>95</v>
      </c>
      <c r="R120" s="2">
        <v>124</v>
      </c>
      <c r="S120" s="2">
        <v>108</v>
      </c>
      <c r="T120" s="2">
        <v>113</v>
      </c>
      <c r="U120" s="2">
        <v>111</v>
      </c>
      <c r="V120" s="2">
        <v>134</v>
      </c>
      <c r="W120" s="2">
        <v>108</v>
      </c>
      <c r="X120" s="2">
        <v>17.7</v>
      </c>
      <c r="Y120" s="2">
        <v>29.2</v>
      </c>
    </row>
    <row r="121" spans="1:25" x14ac:dyDescent="0.2">
      <c r="A121" t="s">
        <v>389</v>
      </c>
      <c r="B121" s="2">
        <v>26</v>
      </c>
      <c r="C121" t="s">
        <v>100</v>
      </c>
      <c r="D121" s="2" t="s">
        <v>52</v>
      </c>
      <c r="E121" s="2">
        <v>6</v>
      </c>
      <c r="F121" s="2">
        <v>2</v>
      </c>
      <c r="G121" s="2">
        <v>121</v>
      </c>
      <c r="H121" s="2">
        <v>0.40699999999999997</v>
      </c>
      <c r="I121" s="2">
        <v>0.47399999999999998</v>
      </c>
      <c r="J121" s="2">
        <v>0.371</v>
      </c>
      <c r="K121" s="2">
        <v>0.52800000000000002</v>
      </c>
      <c r="L121" s="2">
        <v>0.625</v>
      </c>
      <c r="M121" s="2">
        <v>0.53900000000000003</v>
      </c>
      <c r="N121" s="2">
        <v>0.14799999999999999</v>
      </c>
      <c r="O121" s="2">
        <v>0.64800000000000002</v>
      </c>
      <c r="P121" s="2">
        <v>88</v>
      </c>
      <c r="Q121" s="2">
        <v>87</v>
      </c>
      <c r="R121" s="2">
        <v>103</v>
      </c>
      <c r="S121" s="2">
        <v>98</v>
      </c>
      <c r="T121" s="2">
        <v>80</v>
      </c>
      <c r="U121" s="2">
        <v>94</v>
      </c>
      <c r="V121" s="2">
        <v>59</v>
      </c>
      <c r="W121" s="2">
        <v>153</v>
      </c>
      <c r="X121" s="2">
        <v>-1.4</v>
      </c>
      <c r="Y121" s="2">
        <v>-4.0999999999999996</v>
      </c>
    </row>
    <row r="122" spans="1:25" x14ac:dyDescent="0.2">
      <c r="A122" t="s">
        <v>348</v>
      </c>
      <c r="B122" s="2">
        <v>28</v>
      </c>
      <c r="C122" t="s">
        <v>57</v>
      </c>
      <c r="D122" s="2" t="s">
        <v>27</v>
      </c>
      <c r="E122" s="2">
        <v>17</v>
      </c>
      <c r="F122" s="2">
        <v>9</v>
      </c>
      <c r="G122" s="2">
        <v>376</v>
      </c>
      <c r="H122" s="2">
        <v>0.36</v>
      </c>
      <c r="I122" s="2">
        <v>0.53800000000000003</v>
      </c>
      <c r="J122" s="2">
        <v>0.32900000000000001</v>
      </c>
      <c r="K122" s="2">
        <v>0.5</v>
      </c>
      <c r="L122" s="2">
        <v>0.42099999999999999</v>
      </c>
      <c r="M122" s="2">
        <v>0.498</v>
      </c>
      <c r="N122" s="2">
        <v>0.221</v>
      </c>
      <c r="O122" s="2">
        <v>0.84899999999999998</v>
      </c>
      <c r="P122" s="2">
        <v>78</v>
      </c>
      <c r="Q122" s="2">
        <v>99</v>
      </c>
      <c r="R122" s="2">
        <v>92</v>
      </c>
      <c r="S122" s="2">
        <v>93</v>
      </c>
      <c r="T122" s="2">
        <v>54</v>
      </c>
      <c r="U122" s="2">
        <v>87</v>
      </c>
      <c r="V122" s="2">
        <v>89</v>
      </c>
      <c r="W122" s="2">
        <v>201</v>
      </c>
      <c r="X122" s="2">
        <v>-7</v>
      </c>
      <c r="Y122" s="2">
        <v>-14.4</v>
      </c>
    </row>
    <row r="123" spans="1:25" x14ac:dyDescent="0.2">
      <c r="A123" t="s">
        <v>199</v>
      </c>
      <c r="B123" s="2">
        <v>26</v>
      </c>
      <c r="C123" t="s">
        <v>135</v>
      </c>
      <c r="D123" s="2" t="s">
        <v>42</v>
      </c>
      <c r="E123" s="2">
        <v>17</v>
      </c>
      <c r="F123" s="2">
        <v>17</v>
      </c>
      <c r="G123" s="2">
        <v>513</v>
      </c>
      <c r="H123" s="2">
        <v>0.55400000000000005</v>
      </c>
      <c r="I123" s="2">
        <v>0.58499999999999996</v>
      </c>
      <c r="J123" s="2">
        <v>0.26300000000000001</v>
      </c>
      <c r="K123" s="2">
        <v>0.56699999999999995</v>
      </c>
      <c r="L123" s="2">
        <v>0.61899999999999999</v>
      </c>
      <c r="M123" s="2">
        <v>0.57299999999999995</v>
      </c>
      <c r="N123" s="2">
        <v>0.104</v>
      </c>
      <c r="O123" s="2">
        <v>9.4E-2</v>
      </c>
      <c r="P123" s="2">
        <v>119</v>
      </c>
      <c r="Q123" s="2">
        <v>108</v>
      </c>
      <c r="R123" s="2">
        <v>73</v>
      </c>
      <c r="S123" s="2">
        <v>105</v>
      </c>
      <c r="T123" s="2">
        <v>80</v>
      </c>
      <c r="U123" s="2">
        <v>100</v>
      </c>
      <c r="V123" s="2">
        <v>42</v>
      </c>
      <c r="W123" s="2">
        <v>22</v>
      </c>
      <c r="X123" s="2">
        <v>10.6</v>
      </c>
      <c r="Y123" s="2">
        <v>-0.7</v>
      </c>
    </row>
    <row r="124" spans="1:25" x14ac:dyDescent="0.2">
      <c r="A124" t="s">
        <v>449</v>
      </c>
      <c r="B124" s="2">
        <v>36</v>
      </c>
      <c r="C124" t="s">
        <v>46</v>
      </c>
      <c r="D124" s="2" t="s">
        <v>42</v>
      </c>
      <c r="E124" s="2">
        <v>10</v>
      </c>
      <c r="F124" s="2">
        <v>0</v>
      </c>
      <c r="G124" s="2">
        <v>98</v>
      </c>
      <c r="H124" s="2">
        <v>0.57099999999999995</v>
      </c>
      <c r="I124" s="2">
        <v>0.57099999999999995</v>
      </c>
      <c r="J124" s="2"/>
      <c r="K124" s="2">
        <v>0.57099999999999995</v>
      </c>
      <c r="L124" s="2">
        <v>0.25</v>
      </c>
      <c r="M124" s="2">
        <v>0.53</v>
      </c>
      <c r="N124" s="2">
        <v>0.38100000000000001</v>
      </c>
      <c r="O124" s="2">
        <v>0</v>
      </c>
      <c r="P124" s="2">
        <v>123</v>
      </c>
      <c r="Q124" s="2">
        <v>105</v>
      </c>
      <c r="R124" s="2"/>
      <c r="S124" s="2">
        <v>106</v>
      </c>
      <c r="T124" s="2">
        <v>32</v>
      </c>
      <c r="U124" s="2">
        <v>92</v>
      </c>
      <c r="V124" s="2">
        <v>153</v>
      </c>
      <c r="W124" s="2">
        <v>0</v>
      </c>
      <c r="X124" s="2">
        <v>1.3</v>
      </c>
      <c r="Y124" s="2">
        <v>-2.2000000000000002</v>
      </c>
    </row>
    <row r="125" spans="1:25" x14ac:dyDescent="0.2">
      <c r="A125" t="s">
        <v>285</v>
      </c>
      <c r="B125" s="2">
        <v>28</v>
      </c>
      <c r="C125" t="s">
        <v>117</v>
      </c>
      <c r="D125" s="2" t="s">
        <v>33</v>
      </c>
      <c r="E125" s="2">
        <v>9</v>
      </c>
      <c r="F125" s="2">
        <v>9</v>
      </c>
      <c r="G125" s="2">
        <v>295</v>
      </c>
      <c r="H125" s="2">
        <v>0.34699999999999998</v>
      </c>
      <c r="I125" s="2">
        <v>0.39800000000000002</v>
      </c>
      <c r="J125" s="2">
        <v>0.25900000000000001</v>
      </c>
      <c r="K125" s="2">
        <v>0.39500000000000002</v>
      </c>
      <c r="L125" s="2">
        <v>0.86099999999999999</v>
      </c>
      <c r="M125" s="2">
        <v>0.45100000000000001</v>
      </c>
      <c r="N125" s="2">
        <v>0.245</v>
      </c>
      <c r="O125" s="2">
        <v>0.36699999999999999</v>
      </c>
      <c r="P125" s="2">
        <v>75</v>
      </c>
      <c r="Q125" s="2">
        <v>73</v>
      </c>
      <c r="R125" s="2">
        <v>72</v>
      </c>
      <c r="S125" s="2">
        <v>73</v>
      </c>
      <c r="T125" s="2">
        <v>111</v>
      </c>
      <c r="U125" s="2">
        <v>79</v>
      </c>
      <c r="V125" s="2">
        <v>98</v>
      </c>
      <c r="W125" s="2">
        <v>87</v>
      </c>
      <c r="X125" s="2">
        <v>-42.9</v>
      </c>
      <c r="Y125" s="2">
        <v>-40.1</v>
      </c>
    </row>
    <row r="126" spans="1:25" x14ac:dyDescent="0.2">
      <c r="A126" t="s">
        <v>407</v>
      </c>
      <c r="B126" s="2">
        <v>32</v>
      </c>
      <c r="C126" t="s">
        <v>35</v>
      </c>
      <c r="D126" s="2" t="s">
        <v>33</v>
      </c>
      <c r="E126" s="2">
        <v>18</v>
      </c>
      <c r="F126" s="2">
        <v>2</v>
      </c>
      <c r="G126" s="2">
        <v>287</v>
      </c>
      <c r="H126" s="2">
        <v>0.32100000000000001</v>
      </c>
      <c r="I126" s="2">
        <v>0.38100000000000001</v>
      </c>
      <c r="J126" s="2">
        <v>0.28100000000000003</v>
      </c>
      <c r="K126" s="2">
        <v>0.40600000000000003</v>
      </c>
      <c r="L126" s="2">
        <v>0.5</v>
      </c>
      <c r="M126" s="2">
        <v>0.41799999999999998</v>
      </c>
      <c r="N126" s="2">
        <v>0.189</v>
      </c>
      <c r="O126" s="2">
        <v>0.60399999999999998</v>
      </c>
      <c r="P126" s="2">
        <v>69</v>
      </c>
      <c r="Q126" s="2">
        <v>70</v>
      </c>
      <c r="R126" s="2">
        <v>78</v>
      </c>
      <c r="S126" s="2">
        <v>75</v>
      </c>
      <c r="T126" s="2">
        <v>64</v>
      </c>
      <c r="U126" s="2">
        <v>73</v>
      </c>
      <c r="V126" s="2">
        <v>76</v>
      </c>
      <c r="W126" s="2">
        <v>143</v>
      </c>
      <c r="X126" s="2">
        <v>-14.3</v>
      </c>
      <c r="Y126" s="2">
        <v>-18</v>
      </c>
    </row>
    <row r="127" spans="1:25" x14ac:dyDescent="0.2">
      <c r="A127" t="s">
        <v>88</v>
      </c>
      <c r="B127" s="2">
        <v>35</v>
      </c>
      <c r="C127" t="s">
        <v>37</v>
      </c>
      <c r="D127" s="2" t="s">
        <v>49</v>
      </c>
      <c r="E127" s="2">
        <v>21</v>
      </c>
      <c r="F127" s="2">
        <v>21</v>
      </c>
      <c r="G127" s="2">
        <v>747</v>
      </c>
      <c r="H127" s="2">
        <v>0.499</v>
      </c>
      <c r="I127" s="2">
        <v>0.52500000000000002</v>
      </c>
      <c r="J127" s="2">
        <v>0.32600000000000001</v>
      </c>
      <c r="K127" s="2">
        <v>0.52</v>
      </c>
      <c r="L127" s="2">
        <v>0.85299999999999998</v>
      </c>
      <c r="M127" s="2">
        <v>0.58599999999999997</v>
      </c>
      <c r="N127" s="2">
        <v>0.39</v>
      </c>
      <c r="O127" s="2">
        <v>0.13200000000000001</v>
      </c>
      <c r="P127" s="2">
        <v>107</v>
      </c>
      <c r="Q127" s="2">
        <v>97</v>
      </c>
      <c r="R127" s="2">
        <v>91</v>
      </c>
      <c r="S127" s="2">
        <v>96</v>
      </c>
      <c r="T127" s="2">
        <v>110</v>
      </c>
      <c r="U127" s="2">
        <v>102</v>
      </c>
      <c r="V127" s="2">
        <v>156</v>
      </c>
      <c r="W127" s="2">
        <v>31</v>
      </c>
      <c r="X127" s="2">
        <v>-14.3</v>
      </c>
      <c r="Y127" s="2">
        <v>9.3000000000000007</v>
      </c>
    </row>
    <row r="128" spans="1:25" x14ac:dyDescent="0.2">
      <c r="A128" t="s">
        <v>169</v>
      </c>
      <c r="B128" s="2">
        <v>24</v>
      </c>
      <c r="C128" t="s">
        <v>135</v>
      </c>
      <c r="D128" s="2" t="s">
        <v>49</v>
      </c>
      <c r="E128" s="2">
        <v>24</v>
      </c>
      <c r="F128" s="2">
        <v>12</v>
      </c>
      <c r="G128" s="2">
        <v>638</v>
      </c>
      <c r="H128" s="2">
        <v>0.41399999999999998</v>
      </c>
      <c r="I128" s="2">
        <v>0.46200000000000002</v>
      </c>
      <c r="J128" s="2">
        <v>0.34799999999999998</v>
      </c>
      <c r="K128" s="2">
        <v>0.48599999999999999</v>
      </c>
      <c r="L128" s="2">
        <v>0.78800000000000003</v>
      </c>
      <c r="M128" s="2">
        <v>0.54500000000000004</v>
      </c>
      <c r="N128" s="2">
        <v>0.38300000000000001</v>
      </c>
      <c r="O128" s="2">
        <v>0.41399999999999998</v>
      </c>
      <c r="P128" s="2">
        <v>89</v>
      </c>
      <c r="Q128" s="2">
        <v>85</v>
      </c>
      <c r="R128" s="2">
        <v>97</v>
      </c>
      <c r="S128" s="2">
        <v>90</v>
      </c>
      <c r="T128" s="2">
        <v>101</v>
      </c>
      <c r="U128" s="2">
        <v>95</v>
      </c>
      <c r="V128" s="2">
        <v>154</v>
      </c>
      <c r="W128" s="2">
        <v>98</v>
      </c>
      <c r="X128" s="2">
        <v>-24</v>
      </c>
      <c r="Y128" s="2">
        <v>-15</v>
      </c>
    </row>
    <row r="129" spans="1:25" x14ac:dyDescent="0.2">
      <c r="A129" t="s">
        <v>112</v>
      </c>
      <c r="B129" s="2">
        <v>31</v>
      </c>
      <c r="C129" t="s">
        <v>103</v>
      </c>
      <c r="D129" s="2" t="s">
        <v>33</v>
      </c>
      <c r="E129" s="2">
        <v>22</v>
      </c>
      <c r="F129" s="2">
        <v>22</v>
      </c>
      <c r="G129" s="2">
        <v>746</v>
      </c>
      <c r="H129" s="2">
        <v>0.44800000000000001</v>
      </c>
      <c r="I129" s="2">
        <v>0.5</v>
      </c>
      <c r="J129" s="2">
        <v>0.38500000000000001</v>
      </c>
      <c r="K129" s="2">
        <v>0.53500000000000003</v>
      </c>
      <c r="L129" s="2">
        <v>0.88900000000000001</v>
      </c>
      <c r="M129" s="2">
        <v>0.58299999999999996</v>
      </c>
      <c r="N129" s="2">
        <v>0.25700000000000001</v>
      </c>
      <c r="O129" s="2">
        <v>0.45400000000000001</v>
      </c>
      <c r="P129" s="2">
        <v>96</v>
      </c>
      <c r="Q129" s="2">
        <v>92</v>
      </c>
      <c r="R129" s="2">
        <v>107</v>
      </c>
      <c r="S129" s="2">
        <v>99</v>
      </c>
      <c r="T129" s="2">
        <v>114</v>
      </c>
      <c r="U129" s="2">
        <v>102</v>
      </c>
      <c r="V129" s="2">
        <v>103</v>
      </c>
      <c r="W129" s="2">
        <v>107</v>
      </c>
      <c r="X129" s="2">
        <v>-3.5</v>
      </c>
      <c r="Y129" s="2">
        <v>6.1</v>
      </c>
    </row>
    <row r="130" spans="1:25" x14ac:dyDescent="0.2">
      <c r="A130" t="s">
        <v>256</v>
      </c>
      <c r="B130" s="2">
        <v>20</v>
      </c>
      <c r="C130" t="s">
        <v>63</v>
      </c>
      <c r="D130" s="2" t="s">
        <v>42</v>
      </c>
      <c r="E130" s="2">
        <v>20</v>
      </c>
      <c r="F130" s="2">
        <v>13</v>
      </c>
      <c r="G130" s="2">
        <v>470</v>
      </c>
      <c r="H130" s="2">
        <v>0.67600000000000005</v>
      </c>
      <c r="I130" s="2">
        <v>0.67600000000000005</v>
      </c>
      <c r="J130" s="2"/>
      <c r="K130" s="2">
        <v>0.67600000000000005</v>
      </c>
      <c r="L130" s="2">
        <v>0.623</v>
      </c>
      <c r="M130" s="2">
        <v>0.68200000000000005</v>
      </c>
      <c r="N130" s="2">
        <v>0.505</v>
      </c>
      <c r="O130" s="2">
        <v>0</v>
      </c>
      <c r="P130" s="2">
        <v>146</v>
      </c>
      <c r="Q130" s="2">
        <v>125</v>
      </c>
      <c r="R130" s="2"/>
      <c r="S130" s="2">
        <v>125</v>
      </c>
      <c r="T130" s="2">
        <v>80</v>
      </c>
      <c r="U130" s="2">
        <v>119</v>
      </c>
      <c r="V130" s="2">
        <v>202</v>
      </c>
      <c r="W130" s="2">
        <v>0</v>
      </c>
      <c r="X130" s="2">
        <v>28.5</v>
      </c>
      <c r="Y130" s="2">
        <v>27.6</v>
      </c>
    </row>
    <row r="131" spans="1:25" x14ac:dyDescent="0.2">
      <c r="A131" t="s">
        <v>188</v>
      </c>
      <c r="B131" s="2">
        <v>27</v>
      </c>
      <c r="C131" t="s">
        <v>77</v>
      </c>
      <c r="D131" s="2" t="s">
        <v>49</v>
      </c>
      <c r="E131" s="2">
        <v>25</v>
      </c>
      <c r="F131" s="2">
        <v>25</v>
      </c>
      <c r="G131" s="2">
        <v>625</v>
      </c>
      <c r="H131" s="2">
        <v>0.5</v>
      </c>
      <c r="I131" s="2">
        <v>0.54900000000000004</v>
      </c>
      <c r="J131" s="2">
        <v>0.41699999999999998</v>
      </c>
      <c r="K131" s="2">
        <v>0.57699999999999996</v>
      </c>
      <c r="L131" s="2">
        <v>0.871</v>
      </c>
      <c r="M131" s="2">
        <v>0.60399999999999998</v>
      </c>
      <c r="N131" s="2">
        <v>0.16</v>
      </c>
      <c r="O131" s="2">
        <v>0.371</v>
      </c>
      <c r="P131" s="2">
        <v>108</v>
      </c>
      <c r="Q131" s="2">
        <v>101</v>
      </c>
      <c r="R131" s="2">
        <v>116</v>
      </c>
      <c r="S131" s="2">
        <v>107</v>
      </c>
      <c r="T131" s="2">
        <v>112</v>
      </c>
      <c r="U131" s="2">
        <v>105</v>
      </c>
      <c r="V131" s="2">
        <v>64</v>
      </c>
      <c r="W131" s="2">
        <v>88</v>
      </c>
      <c r="X131" s="2">
        <v>14.3</v>
      </c>
      <c r="Y131" s="2">
        <v>12.4</v>
      </c>
    </row>
    <row r="132" spans="1:25" x14ac:dyDescent="0.2">
      <c r="A132" t="s">
        <v>108</v>
      </c>
      <c r="B132" s="2">
        <v>30</v>
      </c>
      <c r="C132" t="s">
        <v>39</v>
      </c>
      <c r="D132" s="2" t="s">
        <v>52</v>
      </c>
      <c r="E132" s="2">
        <v>24</v>
      </c>
      <c r="F132" s="2">
        <v>24</v>
      </c>
      <c r="G132" s="2">
        <v>827</v>
      </c>
      <c r="H132" s="2">
        <v>0.45400000000000001</v>
      </c>
      <c r="I132" s="2">
        <v>0.58099999999999996</v>
      </c>
      <c r="J132" s="2">
        <v>0.40100000000000002</v>
      </c>
      <c r="K132" s="2">
        <v>0.59499999999999997</v>
      </c>
      <c r="L132" s="2">
        <v>0.86499999999999999</v>
      </c>
      <c r="M132" s="2">
        <v>0.622</v>
      </c>
      <c r="N132" s="2">
        <v>0.16500000000000001</v>
      </c>
      <c r="O132" s="2">
        <v>0.70499999999999996</v>
      </c>
      <c r="P132" s="2">
        <v>98</v>
      </c>
      <c r="Q132" s="2">
        <v>107</v>
      </c>
      <c r="R132" s="2">
        <v>112</v>
      </c>
      <c r="S132" s="2">
        <v>110</v>
      </c>
      <c r="T132" s="2">
        <v>111</v>
      </c>
      <c r="U132" s="2">
        <v>108</v>
      </c>
      <c r="V132" s="2">
        <v>66</v>
      </c>
      <c r="W132" s="2">
        <v>167</v>
      </c>
      <c r="X132" s="2">
        <v>34.5</v>
      </c>
      <c r="Y132" s="2">
        <v>31.8</v>
      </c>
    </row>
    <row r="133" spans="1:25" x14ac:dyDescent="0.2">
      <c r="A133" t="s">
        <v>194</v>
      </c>
      <c r="B133" s="2">
        <v>26</v>
      </c>
      <c r="C133" t="s">
        <v>80</v>
      </c>
      <c r="D133" s="2" t="s">
        <v>52</v>
      </c>
      <c r="E133" s="2">
        <v>17</v>
      </c>
      <c r="F133" s="2">
        <v>16</v>
      </c>
      <c r="G133" s="2">
        <v>481</v>
      </c>
      <c r="H133" s="2">
        <v>0.434</v>
      </c>
      <c r="I133" s="2">
        <v>0.52600000000000002</v>
      </c>
      <c r="J133" s="2">
        <v>0.32300000000000001</v>
      </c>
      <c r="K133" s="2">
        <v>0.50700000000000001</v>
      </c>
      <c r="L133" s="2">
        <v>0.81599999999999995</v>
      </c>
      <c r="M133" s="2">
        <v>0.53800000000000003</v>
      </c>
      <c r="N133" s="2">
        <v>0.17899999999999999</v>
      </c>
      <c r="O133" s="2">
        <v>0.45300000000000001</v>
      </c>
      <c r="P133" s="2">
        <v>93</v>
      </c>
      <c r="Q133" s="2">
        <v>97</v>
      </c>
      <c r="R133" s="2">
        <v>90</v>
      </c>
      <c r="S133" s="2">
        <v>94</v>
      </c>
      <c r="T133" s="2">
        <v>105</v>
      </c>
      <c r="U133" s="2">
        <v>94</v>
      </c>
      <c r="V133" s="2">
        <v>72</v>
      </c>
      <c r="W133" s="2">
        <v>107</v>
      </c>
      <c r="X133" s="2">
        <v>-14.2</v>
      </c>
      <c r="Y133" s="2">
        <v>-16.8</v>
      </c>
    </row>
    <row r="134" spans="1:25" x14ac:dyDescent="0.2">
      <c r="A134" t="s">
        <v>53</v>
      </c>
      <c r="B134" s="2">
        <v>28</v>
      </c>
      <c r="C134" t="s">
        <v>54</v>
      </c>
      <c r="D134" s="2" t="s">
        <v>52</v>
      </c>
      <c r="E134" s="2">
        <v>23</v>
      </c>
      <c r="F134" s="2">
        <v>23</v>
      </c>
      <c r="G134" s="2">
        <v>851</v>
      </c>
      <c r="H134" s="2">
        <v>0.432</v>
      </c>
      <c r="I134" s="2">
        <v>0.502</v>
      </c>
      <c r="J134" s="2">
        <v>0.33500000000000002</v>
      </c>
      <c r="K134" s="2">
        <v>0.502</v>
      </c>
      <c r="L134" s="2">
        <v>0.90400000000000003</v>
      </c>
      <c r="M134" s="2">
        <v>0.57999999999999996</v>
      </c>
      <c r="N134" s="2">
        <v>0.39400000000000002</v>
      </c>
      <c r="O134" s="2">
        <v>0.41799999999999998</v>
      </c>
      <c r="P134" s="2">
        <v>93</v>
      </c>
      <c r="Q134" s="2">
        <v>93</v>
      </c>
      <c r="R134" s="2">
        <v>93</v>
      </c>
      <c r="S134" s="2">
        <v>93</v>
      </c>
      <c r="T134" s="2">
        <v>116</v>
      </c>
      <c r="U134" s="2">
        <v>101</v>
      </c>
      <c r="V134" s="2">
        <v>158</v>
      </c>
      <c r="W134" s="2">
        <v>99</v>
      </c>
      <c r="X134" s="2">
        <v>-32.1</v>
      </c>
      <c r="Y134" s="2">
        <v>5.4</v>
      </c>
    </row>
    <row r="135" spans="1:25" x14ac:dyDescent="0.2">
      <c r="A135" t="s">
        <v>282</v>
      </c>
      <c r="B135" s="2">
        <v>24</v>
      </c>
      <c r="C135" t="s">
        <v>93</v>
      </c>
      <c r="D135" s="2" t="s">
        <v>52</v>
      </c>
      <c r="E135" s="2">
        <v>9</v>
      </c>
      <c r="F135" s="2">
        <v>0</v>
      </c>
      <c r="G135" s="2">
        <v>216</v>
      </c>
      <c r="H135" s="2">
        <v>0.48599999999999999</v>
      </c>
      <c r="I135" s="2">
        <v>0.54200000000000004</v>
      </c>
      <c r="J135" s="2">
        <v>0.42299999999999999</v>
      </c>
      <c r="K135" s="2">
        <v>0.58599999999999997</v>
      </c>
      <c r="L135" s="2">
        <v>0.90500000000000003</v>
      </c>
      <c r="M135" s="2">
        <v>0.62</v>
      </c>
      <c r="N135" s="2">
        <v>0.189</v>
      </c>
      <c r="O135" s="2">
        <v>0.46800000000000003</v>
      </c>
      <c r="P135" s="2">
        <v>105</v>
      </c>
      <c r="Q135" s="2">
        <v>100</v>
      </c>
      <c r="R135" s="2">
        <v>118</v>
      </c>
      <c r="S135" s="2">
        <v>108</v>
      </c>
      <c r="T135" s="2">
        <v>116</v>
      </c>
      <c r="U135" s="2">
        <v>108</v>
      </c>
      <c r="V135" s="2">
        <v>76</v>
      </c>
      <c r="W135" s="2">
        <v>111</v>
      </c>
      <c r="X135" s="2">
        <v>10</v>
      </c>
      <c r="Y135" s="2">
        <v>10.8</v>
      </c>
    </row>
    <row r="136" spans="1:25" x14ac:dyDescent="0.2">
      <c r="A136" t="s">
        <v>150</v>
      </c>
      <c r="B136" s="2">
        <v>29</v>
      </c>
      <c r="C136" t="s">
        <v>87</v>
      </c>
      <c r="D136" s="2" t="s">
        <v>49</v>
      </c>
      <c r="E136" s="2">
        <v>25</v>
      </c>
      <c r="F136" s="2">
        <v>25</v>
      </c>
      <c r="G136" s="2">
        <v>782</v>
      </c>
      <c r="H136" s="2">
        <v>0.42399999999999999</v>
      </c>
      <c r="I136" s="2">
        <v>0.46500000000000002</v>
      </c>
      <c r="J136" s="2">
        <v>0.38100000000000001</v>
      </c>
      <c r="K136" s="2">
        <v>0.51600000000000001</v>
      </c>
      <c r="L136" s="2">
        <v>0.83299999999999996</v>
      </c>
      <c r="M136" s="2">
        <v>0.54</v>
      </c>
      <c r="N136" s="2">
        <v>0.13</v>
      </c>
      <c r="O136" s="2">
        <v>0.48599999999999999</v>
      </c>
      <c r="P136" s="2">
        <v>91</v>
      </c>
      <c r="Q136" s="2">
        <v>86</v>
      </c>
      <c r="R136" s="2">
        <v>106</v>
      </c>
      <c r="S136" s="2">
        <v>96</v>
      </c>
      <c r="T136" s="2">
        <v>107</v>
      </c>
      <c r="U136" s="2">
        <v>94</v>
      </c>
      <c r="V136" s="2">
        <v>52</v>
      </c>
      <c r="W136" s="2">
        <v>115</v>
      </c>
      <c r="X136" s="2">
        <v>-13.4</v>
      </c>
      <c r="Y136" s="2">
        <v>-20.3</v>
      </c>
    </row>
    <row r="137" spans="1:25" x14ac:dyDescent="0.2">
      <c r="A137" t="s">
        <v>404</v>
      </c>
      <c r="B137" s="2">
        <v>23</v>
      </c>
      <c r="C137" t="s">
        <v>32</v>
      </c>
      <c r="D137" s="2" t="s">
        <v>49</v>
      </c>
      <c r="E137" s="2">
        <v>21</v>
      </c>
      <c r="F137" s="2">
        <v>0</v>
      </c>
      <c r="G137" s="2">
        <v>177</v>
      </c>
      <c r="H137" s="2">
        <v>0.34499999999999997</v>
      </c>
      <c r="I137" s="2">
        <v>0.54500000000000004</v>
      </c>
      <c r="J137" s="2">
        <v>0.21199999999999999</v>
      </c>
      <c r="K137" s="2">
        <v>0.40899999999999997</v>
      </c>
      <c r="L137" s="2">
        <v>0.625</v>
      </c>
      <c r="M137" s="2">
        <v>0.42699999999999999</v>
      </c>
      <c r="N137" s="2">
        <v>0.14499999999999999</v>
      </c>
      <c r="O137" s="2">
        <v>0.6</v>
      </c>
      <c r="P137" s="2">
        <v>74</v>
      </c>
      <c r="Q137" s="2">
        <v>101</v>
      </c>
      <c r="R137" s="2">
        <v>59</v>
      </c>
      <c r="S137" s="2">
        <v>76</v>
      </c>
      <c r="T137" s="2">
        <v>80</v>
      </c>
      <c r="U137" s="2">
        <v>74</v>
      </c>
      <c r="V137" s="2">
        <v>58</v>
      </c>
      <c r="W137" s="2">
        <v>142</v>
      </c>
      <c r="X137" s="2">
        <v>-14.5</v>
      </c>
      <c r="Y137" s="2">
        <v>-17.2</v>
      </c>
    </row>
    <row r="138" spans="1:25" x14ac:dyDescent="0.2">
      <c r="A138" t="s">
        <v>78</v>
      </c>
      <c r="B138" s="2">
        <v>28</v>
      </c>
      <c r="C138" t="s">
        <v>37</v>
      </c>
      <c r="D138" s="2" t="s">
        <v>42</v>
      </c>
      <c r="E138" s="2">
        <v>24</v>
      </c>
      <c r="F138" s="2">
        <v>24</v>
      </c>
      <c r="G138" s="2">
        <v>859</v>
      </c>
      <c r="H138" s="2">
        <v>0.628</v>
      </c>
      <c r="I138" s="2">
        <v>0.67100000000000004</v>
      </c>
      <c r="J138" s="2">
        <v>0.439</v>
      </c>
      <c r="K138" s="2">
        <v>0.66800000000000004</v>
      </c>
      <c r="L138" s="2">
        <v>0.82899999999999996</v>
      </c>
      <c r="M138" s="2">
        <v>0.70699999999999996</v>
      </c>
      <c r="N138" s="2">
        <v>0.379</v>
      </c>
      <c r="O138" s="2">
        <v>0.184</v>
      </c>
      <c r="P138" s="2">
        <v>135</v>
      </c>
      <c r="Q138" s="2">
        <v>124</v>
      </c>
      <c r="R138" s="2">
        <v>122</v>
      </c>
      <c r="S138" s="2">
        <v>124</v>
      </c>
      <c r="T138" s="2">
        <v>107</v>
      </c>
      <c r="U138" s="2">
        <v>123</v>
      </c>
      <c r="V138" s="2">
        <v>152</v>
      </c>
      <c r="W138" s="2">
        <v>44</v>
      </c>
      <c r="X138" s="2">
        <v>79</v>
      </c>
      <c r="Y138" s="2">
        <v>95.8</v>
      </c>
    </row>
    <row r="139" spans="1:25" x14ac:dyDescent="0.2">
      <c r="A139" t="s">
        <v>552</v>
      </c>
      <c r="B139" s="2">
        <v>21</v>
      </c>
      <c r="C139" t="s">
        <v>72</v>
      </c>
      <c r="D139" s="2" t="s">
        <v>49</v>
      </c>
      <c r="E139" s="2">
        <v>2</v>
      </c>
      <c r="F139" s="2">
        <v>0</v>
      </c>
      <c r="G139" s="2">
        <v>11</v>
      </c>
      <c r="H139" s="2">
        <v>0</v>
      </c>
      <c r="I139" s="2">
        <v>0</v>
      </c>
      <c r="J139" s="2"/>
      <c r="K139" s="2">
        <v>0</v>
      </c>
      <c r="L139" s="2">
        <v>0.5</v>
      </c>
      <c r="M139" s="2">
        <v>0.26600000000000001</v>
      </c>
      <c r="N139" s="2">
        <v>2</v>
      </c>
      <c r="O139" s="2">
        <v>0</v>
      </c>
      <c r="P139" s="2">
        <v>0</v>
      </c>
      <c r="Q139" s="2">
        <v>0</v>
      </c>
      <c r="R139" s="2"/>
      <c r="S139" s="2">
        <v>0</v>
      </c>
      <c r="T139" s="2">
        <v>64</v>
      </c>
      <c r="U139" s="2">
        <v>46</v>
      </c>
      <c r="V139" s="2">
        <v>802</v>
      </c>
      <c r="W139" s="2">
        <v>0</v>
      </c>
      <c r="X139" s="2">
        <v>-1.1000000000000001</v>
      </c>
      <c r="Y139" s="2">
        <v>-1.2</v>
      </c>
    </row>
    <row r="140" spans="1:25" x14ac:dyDescent="0.2">
      <c r="A140" t="s">
        <v>339</v>
      </c>
      <c r="B140" s="2">
        <v>20</v>
      </c>
      <c r="C140" t="s">
        <v>135</v>
      </c>
      <c r="D140" s="2" t="s">
        <v>42</v>
      </c>
      <c r="E140" s="2">
        <v>17</v>
      </c>
      <c r="F140" s="2">
        <v>6</v>
      </c>
      <c r="G140" s="2">
        <v>289</v>
      </c>
      <c r="H140" s="2">
        <v>0.52600000000000002</v>
      </c>
      <c r="I140" s="2">
        <v>0.55200000000000005</v>
      </c>
      <c r="J140" s="2">
        <v>0.33300000000000002</v>
      </c>
      <c r="K140" s="2">
        <v>0.54600000000000004</v>
      </c>
      <c r="L140" s="2">
        <v>0.72699999999999998</v>
      </c>
      <c r="M140" s="2">
        <v>0.57799999999999996</v>
      </c>
      <c r="N140" s="2">
        <v>0.28899999999999998</v>
      </c>
      <c r="O140" s="2">
        <v>0.11799999999999999</v>
      </c>
      <c r="P140" s="2">
        <v>113</v>
      </c>
      <c r="Q140" s="2">
        <v>102</v>
      </c>
      <c r="R140" s="2">
        <v>93</v>
      </c>
      <c r="S140" s="2">
        <v>101</v>
      </c>
      <c r="T140" s="2">
        <v>93</v>
      </c>
      <c r="U140" s="2">
        <v>101</v>
      </c>
      <c r="V140" s="2">
        <v>116</v>
      </c>
      <c r="W140" s="2">
        <v>28</v>
      </c>
      <c r="X140" s="2">
        <v>0.8</v>
      </c>
      <c r="Y140" s="2">
        <v>0.6</v>
      </c>
    </row>
    <row r="141" spans="1:25" x14ac:dyDescent="0.2">
      <c r="A141" t="s">
        <v>56</v>
      </c>
      <c r="B141" s="2">
        <v>28</v>
      </c>
      <c r="C141" t="s">
        <v>57</v>
      </c>
      <c r="D141" s="2" t="s">
        <v>52</v>
      </c>
      <c r="E141" s="2">
        <v>24</v>
      </c>
      <c r="F141" s="2">
        <v>24</v>
      </c>
      <c r="G141" s="2">
        <v>765</v>
      </c>
      <c r="H141" s="2">
        <v>0.45100000000000001</v>
      </c>
      <c r="I141" s="2">
        <v>0.48899999999999999</v>
      </c>
      <c r="J141" s="2">
        <v>0.41099999999999998</v>
      </c>
      <c r="K141" s="2">
        <v>0.55100000000000005</v>
      </c>
      <c r="L141" s="2">
        <v>0.80700000000000005</v>
      </c>
      <c r="M141" s="2">
        <v>0.57999999999999996</v>
      </c>
      <c r="N141" s="2">
        <v>0.19500000000000001</v>
      </c>
      <c r="O141" s="2">
        <v>0.48499999999999999</v>
      </c>
      <c r="P141" s="2">
        <v>97</v>
      </c>
      <c r="Q141" s="2">
        <v>90</v>
      </c>
      <c r="R141" s="2">
        <v>114</v>
      </c>
      <c r="S141" s="2">
        <v>102</v>
      </c>
      <c r="T141" s="2">
        <v>104</v>
      </c>
      <c r="U141" s="2">
        <v>101</v>
      </c>
      <c r="V141" s="2">
        <v>78</v>
      </c>
      <c r="W141" s="2">
        <v>115</v>
      </c>
      <c r="X141" s="2">
        <v>9.4</v>
      </c>
      <c r="Y141" s="2">
        <v>5.2</v>
      </c>
    </row>
    <row r="142" spans="1:25" x14ac:dyDescent="0.2">
      <c r="A142" t="s">
        <v>234</v>
      </c>
      <c r="B142" s="2">
        <v>28</v>
      </c>
      <c r="C142" t="s">
        <v>51</v>
      </c>
      <c r="D142" s="2" t="s">
        <v>52</v>
      </c>
      <c r="E142" s="2">
        <v>23</v>
      </c>
      <c r="F142" s="2">
        <v>2</v>
      </c>
      <c r="G142" s="2">
        <v>579</v>
      </c>
      <c r="H142" s="2">
        <v>0.35199999999999998</v>
      </c>
      <c r="I142" s="2">
        <v>0.46300000000000002</v>
      </c>
      <c r="J142" s="2">
        <v>0.32200000000000001</v>
      </c>
      <c r="K142" s="2">
        <v>0.47899999999999998</v>
      </c>
      <c r="L142" s="2">
        <v>0.75</v>
      </c>
      <c r="M142" s="2">
        <v>0.49199999999999999</v>
      </c>
      <c r="N142" s="2">
        <v>8.3000000000000004E-2</v>
      </c>
      <c r="O142" s="2">
        <v>0.78800000000000003</v>
      </c>
      <c r="P142" s="2">
        <v>76</v>
      </c>
      <c r="Q142" s="2">
        <v>86</v>
      </c>
      <c r="R142" s="2">
        <v>90</v>
      </c>
      <c r="S142" s="2">
        <v>89</v>
      </c>
      <c r="T142" s="2">
        <v>96</v>
      </c>
      <c r="U142" s="2">
        <v>86</v>
      </c>
      <c r="V142" s="2">
        <v>33</v>
      </c>
      <c r="W142" s="2">
        <v>186</v>
      </c>
      <c r="X142" s="2">
        <v>-23.6</v>
      </c>
      <c r="Y142" s="2">
        <v>-32.799999999999997</v>
      </c>
    </row>
    <row r="143" spans="1:25" x14ac:dyDescent="0.2">
      <c r="A143" t="s">
        <v>261</v>
      </c>
      <c r="B143" s="2">
        <v>31</v>
      </c>
      <c r="C143" t="s">
        <v>103</v>
      </c>
      <c r="D143" s="2" t="s">
        <v>27</v>
      </c>
      <c r="E143" s="2">
        <v>16</v>
      </c>
      <c r="F143" s="2">
        <v>16</v>
      </c>
      <c r="G143" s="2">
        <v>466</v>
      </c>
      <c r="H143" s="2">
        <v>0.46500000000000002</v>
      </c>
      <c r="I143" s="2">
        <v>0.53700000000000003</v>
      </c>
      <c r="J143" s="2">
        <v>0.432</v>
      </c>
      <c r="K143" s="2">
        <v>0.61199999999999999</v>
      </c>
      <c r="L143" s="2">
        <v>0.61099999999999999</v>
      </c>
      <c r="M143" s="2">
        <v>0.61699999999999999</v>
      </c>
      <c r="N143" s="2">
        <v>0.14000000000000001</v>
      </c>
      <c r="O143" s="2">
        <v>0.68200000000000005</v>
      </c>
      <c r="P143" s="2">
        <v>100</v>
      </c>
      <c r="Q143" s="2">
        <v>99</v>
      </c>
      <c r="R143" s="2">
        <v>120</v>
      </c>
      <c r="S143" s="2">
        <v>113</v>
      </c>
      <c r="T143" s="2">
        <v>79</v>
      </c>
      <c r="U143" s="2">
        <v>107</v>
      </c>
      <c r="V143" s="2">
        <v>56</v>
      </c>
      <c r="W143" s="2">
        <v>161</v>
      </c>
      <c r="X143" s="2">
        <v>18.5</v>
      </c>
      <c r="Y143" s="2">
        <v>11.7</v>
      </c>
    </row>
    <row r="144" spans="1:25" x14ac:dyDescent="0.2">
      <c r="A144" t="s">
        <v>382</v>
      </c>
      <c r="B144" s="2">
        <v>33</v>
      </c>
      <c r="C144" t="s">
        <v>37</v>
      </c>
      <c r="D144" s="2" t="s">
        <v>49</v>
      </c>
      <c r="E144" s="2">
        <v>19</v>
      </c>
      <c r="F144" s="2">
        <v>2</v>
      </c>
      <c r="G144" s="2">
        <v>155</v>
      </c>
      <c r="H144" s="2">
        <v>0.4</v>
      </c>
      <c r="I144" s="2">
        <v>0.375</v>
      </c>
      <c r="J144" s="2">
        <v>0.40400000000000003</v>
      </c>
      <c r="K144" s="2">
        <v>0.57299999999999995</v>
      </c>
      <c r="L144" s="2">
        <v>0.6</v>
      </c>
      <c r="M144" s="2">
        <v>0.57699999999999996</v>
      </c>
      <c r="N144" s="2">
        <v>9.0999999999999998E-2</v>
      </c>
      <c r="O144" s="2">
        <v>0.85499999999999998</v>
      </c>
      <c r="P144" s="2">
        <v>86</v>
      </c>
      <c r="Q144" s="2">
        <v>69</v>
      </c>
      <c r="R144" s="2">
        <v>113</v>
      </c>
      <c r="S144" s="2">
        <v>106</v>
      </c>
      <c r="T144" s="2">
        <v>77</v>
      </c>
      <c r="U144" s="2">
        <v>100</v>
      </c>
      <c r="V144" s="2">
        <v>36</v>
      </c>
      <c r="W144" s="2">
        <v>202</v>
      </c>
      <c r="X144" s="2">
        <v>3.5</v>
      </c>
      <c r="Y144" s="2">
        <v>0.3</v>
      </c>
    </row>
    <row r="145" spans="1:25" x14ac:dyDescent="0.2">
      <c r="A145" t="s">
        <v>240</v>
      </c>
      <c r="B145" s="2">
        <v>34</v>
      </c>
      <c r="C145" t="s">
        <v>100</v>
      </c>
      <c r="D145" s="2" t="s">
        <v>27</v>
      </c>
      <c r="E145" s="2">
        <v>22</v>
      </c>
      <c r="F145" s="2">
        <v>21</v>
      </c>
      <c r="G145" s="2">
        <v>629</v>
      </c>
      <c r="H145" s="2">
        <v>0.443</v>
      </c>
      <c r="I145" s="2">
        <v>0.51400000000000001</v>
      </c>
      <c r="J145" s="2">
        <v>0.38</v>
      </c>
      <c r="K145" s="2">
        <v>0.54400000000000004</v>
      </c>
      <c r="L145" s="2">
        <v>0.61199999999999999</v>
      </c>
      <c r="M145" s="2">
        <v>0.56299999999999994</v>
      </c>
      <c r="N145" s="2">
        <v>0.32900000000000001</v>
      </c>
      <c r="O145" s="2">
        <v>0.53</v>
      </c>
      <c r="P145" s="2">
        <v>95</v>
      </c>
      <c r="Q145" s="2">
        <v>95</v>
      </c>
      <c r="R145" s="2">
        <v>106</v>
      </c>
      <c r="S145" s="2">
        <v>101</v>
      </c>
      <c r="T145" s="2">
        <v>79</v>
      </c>
      <c r="U145" s="2">
        <v>98</v>
      </c>
      <c r="V145" s="2">
        <v>132</v>
      </c>
      <c r="W145" s="2">
        <v>125</v>
      </c>
      <c r="X145" s="2">
        <v>0.9</v>
      </c>
      <c r="Y145" s="2">
        <v>-4</v>
      </c>
    </row>
    <row r="146" spans="1:25" x14ac:dyDescent="0.2">
      <c r="A146" t="s">
        <v>353</v>
      </c>
      <c r="B146" s="2">
        <v>27</v>
      </c>
      <c r="C146" t="s">
        <v>120</v>
      </c>
      <c r="D146" s="2" t="s">
        <v>42</v>
      </c>
      <c r="E146" s="2">
        <v>20</v>
      </c>
      <c r="F146" s="2">
        <v>0</v>
      </c>
      <c r="G146" s="2">
        <v>271</v>
      </c>
      <c r="H146" s="2">
        <v>0.58099999999999996</v>
      </c>
      <c r="I146" s="2">
        <v>0.59299999999999997</v>
      </c>
      <c r="J146" s="2">
        <v>0.33300000000000002</v>
      </c>
      <c r="K146" s="2">
        <v>0.58899999999999997</v>
      </c>
      <c r="L146" s="2">
        <v>0.63</v>
      </c>
      <c r="M146" s="2">
        <v>0.60899999999999999</v>
      </c>
      <c r="N146" s="2">
        <v>0.435</v>
      </c>
      <c r="O146" s="2">
        <v>4.8000000000000001E-2</v>
      </c>
      <c r="P146" s="2">
        <v>125</v>
      </c>
      <c r="Q146" s="2">
        <v>109</v>
      </c>
      <c r="R146" s="2">
        <v>93</v>
      </c>
      <c r="S146" s="2">
        <v>109</v>
      </c>
      <c r="T146" s="2">
        <v>81</v>
      </c>
      <c r="U146" s="2">
        <v>106</v>
      </c>
      <c r="V146" s="2">
        <v>175</v>
      </c>
      <c r="W146" s="2">
        <v>11</v>
      </c>
      <c r="X146" s="2">
        <v>6</v>
      </c>
      <c r="Y146" s="2">
        <v>5.0999999999999996</v>
      </c>
    </row>
    <row r="147" spans="1:25" x14ac:dyDescent="0.2">
      <c r="A147" t="s">
        <v>467</v>
      </c>
      <c r="B147" s="2">
        <v>25</v>
      </c>
      <c r="C147" t="s">
        <v>39</v>
      </c>
      <c r="D147" s="2" t="s">
        <v>27</v>
      </c>
      <c r="E147" s="2">
        <v>7</v>
      </c>
      <c r="F147" s="2">
        <v>0</v>
      </c>
      <c r="G147" s="2">
        <v>81</v>
      </c>
      <c r="H147" s="2">
        <v>0.33300000000000002</v>
      </c>
      <c r="I147" s="2">
        <v>0.5</v>
      </c>
      <c r="J147" s="2">
        <v>0.308</v>
      </c>
      <c r="K147" s="2">
        <v>0.46700000000000003</v>
      </c>
      <c r="L147" s="2">
        <v>0.85699999999999998</v>
      </c>
      <c r="M147" s="2">
        <v>0.55300000000000005</v>
      </c>
      <c r="N147" s="2">
        <v>0.46700000000000003</v>
      </c>
      <c r="O147" s="2">
        <v>0.86699999999999999</v>
      </c>
      <c r="P147" s="2">
        <v>72</v>
      </c>
      <c r="Q147" s="2">
        <v>92</v>
      </c>
      <c r="R147" s="2">
        <v>86</v>
      </c>
      <c r="S147" s="2">
        <v>86</v>
      </c>
      <c r="T147" s="2">
        <v>110</v>
      </c>
      <c r="U147" s="2">
        <v>96</v>
      </c>
      <c r="V147" s="2">
        <v>187</v>
      </c>
      <c r="W147" s="2">
        <v>205</v>
      </c>
      <c r="X147" s="2">
        <v>-2.2000000000000002</v>
      </c>
      <c r="Y147" s="2">
        <v>-0.8</v>
      </c>
    </row>
    <row r="148" spans="1:25" x14ac:dyDescent="0.2">
      <c r="A148" t="s">
        <v>400</v>
      </c>
      <c r="B148" s="2">
        <v>27</v>
      </c>
      <c r="C148" t="s">
        <v>61</v>
      </c>
      <c r="D148" s="2" t="s">
        <v>52</v>
      </c>
      <c r="E148" s="2">
        <v>10</v>
      </c>
      <c r="F148" s="2">
        <v>0</v>
      </c>
      <c r="G148" s="2">
        <v>174</v>
      </c>
      <c r="H148" s="2">
        <v>0.47599999999999998</v>
      </c>
      <c r="I148" s="2">
        <v>0.45500000000000002</v>
      </c>
      <c r="J148" s="2">
        <v>0.5</v>
      </c>
      <c r="K148" s="2">
        <v>0.59499999999999997</v>
      </c>
      <c r="L148" s="2">
        <v>0.66700000000000004</v>
      </c>
      <c r="M148" s="2">
        <v>0.60499999999999998</v>
      </c>
      <c r="N148" s="2">
        <v>0.14299999999999999</v>
      </c>
      <c r="O148" s="2">
        <v>0.47599999999999998</v>
      </c>
      <c r="P148" s="2">
        <v>102</v>
      </c>
      <c r="Q148" s="2">
        <v>84</v>
      </c>
      <c r="R148" s="2">
        <v>139</v>
      </c>
      <c r="S148" s="2">
        <v>110</v>
      </c>
      <c r="T148" s="2">
        <v>86</v>
      </c>
      <c r="U148" s="2">
        <v>105</v>
      </c>
      <c r="V148" s="2">
        <v>57</v>
      </c>
      <c r="W148" s="2">
        <v>113</v>
      </c>
      <c r="X148" s="2">
        <v>4.5999999999999996</v>
      </c>
      <c r="Y148" s="2">
        <v>2.7</v>
      </c>
    </row>
    <row r="149" spans="1:25" x14ac:dyDescent="0.2">
      <c r="A149" t="s">
        <v>198</v>
      </c>
      <c r="B149" s="2">
        <v>30</v>
      </c>
      <c r="C149" t="s">
        <v>61</v>
      </c>
      <c r="D149" s="2" t="s">
        <v>49</v>
      </c>
      <c r="E149" s="2">
        <v>22</v>
      </c>
      <c r="F149" s="2">
        <v>11</v>
      </c>
      <c r="G149" s="2">
        <v>496</v>
      </c>
      <c r="H149" s="2">
        <v>0.41799999999999998</v>
      </c>
      <c r="I149" s="2">
        <v>0.49299999999999999</v>
      </c>
      <c r="J149" s="2">
        <v>0.38300000000000001</v>
      </c>
      <c r="K149" s="2">
        <v>0.54800000000000004</v>
      </c>
      <c r="L149" s="2">
        <v>0.83299999999999996</v>
      </c>
      <c r="M149" s="2">
        <v>0.56299999999999994</v>
      </c>
      <c r="N149" s="2">
        <v>8.6999999999999994E-2</v>
      </c>
      <c r="O149" s="2">
        <v>0.67800000000000005</v>
      </c>
      <c r="P149" s="2">
        <v>90</v>
      </c>
      <c r="Q149" s="2">
        <v>91</v>
      </c>
      <c r="R149" s="2">
        <v>107</v>
      </c>
      <c r="S149" s="2">
        <v>101</v>
      </c>
      <c r="T149" s="2">
        <v>107</v>
      </c>
      <c r="U149" s="2">
        <v>98</v>
      </c>
      <c r="V149" s="2">
        <v>35</v>
      </c>
      <c r="W149" s="2">
        <v>160</v>
      </c>
      <c r="X149" s="2">
        <v>3.1</v>
      </c>
      <c r="Y149" s="2">
        <v>-5.0999999999999996</v>
      </c>
    </row>
    <row r="150" spans="1:25" x14ac:dyDescent="0.2">
      <c r="A150" t="s">
        <v>447</v>
      </c>
      <c r="B150" s="2">
        <v>28</v>
      </c>
      <c r="C150" t="s">
        <v>135</v>
      </c>
      <c r="D150" s="2" t="s">
        <v>42</v>
      </c>
      <c r="E150" s="2">
        <v>13</v>
      </c>
      <c r="F150" s="2">
        <v>0</v>
      </c>
      <c r="G150" s="2">
        <v>83</v>
      </c>
      <c r="H150" s="2">
        <v>0.38500000000000001</v>
      </c>
      <c r="I150" s="2">
        <v>0.42899999999999999</v>
      </c>
      <c r="J150" s="2">
        <v>0.36799999999999999</v>
      </c>
      <c r="K150" s="2">
        <v>0.51900000000000002</v>
      </c>
      <c r="L150" s="2"/>
      <c r="M150" s="2">
        <v>0.51900000000000002</v>
      </c>
      <c r="N150" s="2">
        <v>0</v>
      </c>
      <c r="O150" s="2">
        <v>0.73099999999999998</v>
      </c>
      <c r="P150" s="2">
        <v>83</v>
      </c>
      <c r="Q150" s="2">
        <v>79</v>
      </c>
      <c r="R150" s="2">
        <v>103</v>
      </c>
      <c r="S150" s="2">
        <v>96</v>
      </c>
      <c r="T150" s="2"/>
      <c r="U150" s="2">
        <v>90</v>
      </c>
      <c r="V150" s="2">
        <v>0</v>
      </c>
      <c r="W150" s="2">
        <v>173</v>
      </c>
      <c r="X150" s="2">
        <v>-1.1000000000000001</v>
      </c>
      <c r="Y150" s="2">
        <v>-2.9</v>
      </c>
    </row>
    <row r="151" spans="1:25" x14ac:dyDescent="0.2">
      <c r="A151" t="s">
        <v>434</v>
      </c>
      <c r="B151" s="2">
        <v>33</v>
      </c>
      <c r="C151" t="s">
        <v>63</v>
      </c>
      <c r="D151" s="2" t="s">
        <v>42</v>
      </c>
      <c r="E151" s="2">
        <v>19</v>
      </c>
      <c r="F151" s="2">
        <v>0</v>
      </c>
      <c r="G151" s="2">
        <v>154</v>
      </c>
      <c r="H151" s="2">
        <v>0.8</v>
      </c>
      <c r="I151" s="2">
        <v>0.8</v>
      </c>
      <c r="J151" s="2"/>
      <c r="K151" s="2">
        <v>0.8</v>
      </c>
      <c r="L151" s="2">
        <v>0.70799999999999996</v>
      </c>
      <c r="M151" s="2">
        <v>0.80300000000000005</v>
      </c>
      <c r="N151" s="2">
        <v>2.4</v>
      </c>
      <c r="O151" s="2">
        <v>0</v>
      </c>
      <c r="P151" s="2">
        <v>172</v>
      </c>
      <c r="Q151" s="2">
        <v>148</v>
      </c>
      <c r="R151" s="2"/>
      <c r="S151" s="2">
        <v>148</v>
      </c>
      <c r="T151" s="2">
        <v>91</v>
      </c>
      <c r="U151" s="2">
        <v>140</v>
      </c>
      <c r="V151" s="2">
        <v>962</v>
      </c>
      <c r="W151" s="2">
        <v>0</v>
      </c>
      <c r="X151" s="2">
        <v>5.2</v>
      </c>
      <c r="Y151" s="2">
        <v>9.4</v>
      </c>
    </row>
    <row r="152" spans="1:25" x14ac:dyDescent="0.2">
      <c r="A152" t="s">
        <v>146</v>
      </c>
      <c r="B152" s="2">
        <v>21</v>
      </c>
      <c r="C152" t="s">
        <v>72</v>
      </c>
      <c r="D152" s="2" t="s">
        <v>52</v>
      </c>
      <c r="E152" s="2">
        <v>24</v>
      </c>
      <c r="F152" s="2">
        <v>24</v>
      </c>
      <c r="G152" s="2">
        <v>811</v>
      </c>
      <c r="H152" s="2">
        <v>0.44700000000000001</v>
      </c>
      <c r="I152" s="2">
        <v>0.50700000000000001</v>
      </c>
      <c r="J152" s="2">
        <v>0.312</v>
      </c>
      <c r="K152" s="2">
        <v>0.495</v>
      </c>
      <c r="L152" s="2">
        <v>0.64900000000000002</v>
      </c>
      <c r="M152" s="2">
        <v>0.50700000000000001</v>
      </c>
      <c r="N152" s="2">
        <v>0.123</v>
      </c>
      <c r="O152" s="2">
        <v>0.308</v>
      </c>
      <c r="P152" s="2">
        <v>96</v>
      </c>
      <c r="Q152" s="2">
        <v>94</v>
      </c>
      <c r="R152" s="2">
        <v>87</v>
      </c>
      <c r="S152" s="2">
        <v>92</v>
      </c>
      <c r="T152" s="2">
        <v>83</v>
      </c>
      <c r="U152" s="2">
        <v>88</v>
      </c>
      <c r="V152" s="2">
        <v>49</v>
      </c>
      <c r="W152" s="2">
        <v>73</v>
      </c>
      <c r="X152" s="2">
        <v>-27.5</v>
      </c>
      <c r="Y152" s="2">
        <v>-42.7</v>
      </c>
    </row>
    <row r="153" spans="1:25" x14ac:dyDescent="0.2">
      <c r="A153" t="s">
        <v>487</v>
      </c>
      <c r="B153" s="2">
        <v>24</v>
      </c>
      <c r="C153" t="s">
        <v>70</v>
      </c>
      <c r="D153" s="2" t="s">
        <v>27</v>
      </c>
      <c r="E153" s="2">
        <v>6</v>
      </c>
      <c r="F153" s="2">
        <v>0</v>
      </c>
      <c r="G153" s="2">
        <v>31</v>
      </c>
      <c r="H153" s="2">
        <v>0.625</v>
      </c>
      <c r="I153" s="2">
        <v>1</v>
      </c>
      <c r="J153" s="2">
        <v>0.5</v>
      </c>
      <c r="K153" s="2">
        <v>0.81299999999999994</v>
      </c>
      <c r="L153" s="2">
        <v>1</v>
      </c>
      <c r="M153" s="2">
        <v>0.84499999999999997</v>
      </c>
      <c r="N153" s="2">
        <v>0.25</v>
      </c>
      <c r="O153" s="2">
        <v>0.75</v>
      </c>
      <c r="P153" s="2">
        <v>135</v>
      </c>
      <c r="Q153" s="2">
        <v>185</v>
      </c>
      <c r="R153" s="2">
        <v>139</v>
      </c>
      <c r="S153" s="2">
        <v>150</v>
      </c>
      <c r="T153" s="2">
        <v>129</v>
      </c>
      <c r="U153" s="2">
        <v>147</v>
      </c>
      <c r="V153" s="2">
        <v>100</v>
      </c>
      <c r="W153" s="2">
        <v>177</v>
      </c>
      <c r="X153" s="2">
        <v>4.4000000000000004</v>
      </c>
      <c r="Y153" s="2">
        <v>4.8</v>
      </c>
    </row>
    <row r="154" spans="1:25" x14ac:dyDescent="0.2">
      <c r="A154" t="s">
        <v>408</v>
      </c>
      <c r="B154" s="2">
        <v>30</v>
      </c>
      <c r="C154" t="s">
        <v>117</v>
      </c>
      <c r="D154" s="2" t="s">
        <v>33</v>
      </c>
      <c r="E154" s="2">
        <v>7</v>
      </c>
      <c r="F154" s="2">
        <v>3</v>
      </c>
      <c r="G154" s="2">
        <v>144</v>
      </c>
      <c r="H154" s="2">
        <v>0.5</v>
      </c>
      <c r="I154" s="2">
        <v>0.51100000000000001</v>
      </c>
      <c r="J154" s="2">
        <v>0</v>
      </c>
      <c r="K154" s="2">
        <v>0.5</v>
      </c>
      <c r="L154" s="2">
        <v>0.5</v>
      </c>
      <c r="M154" s="2">
        <v>0.501</v>
      </c>
      <c r="N154" s="2">
        <v>4.2999999999999997E-2</v>
      </c>
      <c r="O154" s="2">
        <v>2.1999999999999999E-2</v>
      </c>
      <c r="P154" s="2">
        <v>108</v>
      </c>
      <c r="Q154" s="2">
        <v>94</v>
      </c>
      <c r="R154" s="2">
        <v>0</v>
      </c>
      <c r="S154" s="2">
        <v>93</v>
      </c>
      <c r="T154" s="2">
        <v>64</v>
      </c>
      <c r="U154" s="2">
        <v>87</v>
      </c>
      <c r="V154" s="2">
        <v>17</v>
      </c>
      <c r="W154" s="2">
        <v>5</v>
      </c>
      <c r="X154" s="2">
        <v>-3.7</v>
      </c>
      <c r="Y154" s="2">
        <v>-6.9</v>
      </c>
    </row>
    <row r="155" spans="1:25" x14ac:dyDescent="0.2">
      <c r="A155" t="s">
        <v>458</v>
      </c>
      <c r="B155" s="2">
        <v>24</v>
      </c>
      <c r="C155" t="s">
        <v>82</v>
      </c>
      <c r="D155" s="2" t="s">
        <v>27</v>
      </c>
      <c r="E155" s="2">
        <v>15</v>
      </c>
      <c r="F155" s="2">
        <v>1</v>
      </c>
      <c r="G155" s="2">
        <v>111</v>
      </c>
      <c r="H155" s="2">
        <v>0.44400000000000001</v>
      </c>
      <c r="I155" s="2">
        <v>0.53800000000000003</v>
      </c>
      <c r="J155" s="2">
        <v>0.2</v>
      </c>
      <c r="K155" s="2">
        <v>0.47199999999999998</v>
      </c>
      <c r="L155" s="2">
        <v>0.55600000000000005</v>
      </c>
      <c r="M155" s="2">
        <v>0.501</v>
      </c>
      <c r="N155" s="2">
        <v>0.5</v>
      </c>
      <c r="O155" s="2">
        <v>0.27800000000000002</v>
      </c>
      <c r="P155" s="2">
        <v>96</v>
      </c>
      <c r="Q155" s="2">
        <v>99</v>
      </c>
      <c r="R155" s="2">
        <v>56</v>
      </c>
      <c r="S155" s="2">
        <v>87</v>
      </c>
      <c r="T155" s="2">
        <v>71</v>
      </c>
      <c r="U155" s="2">
        <v>87</v>
      </c>
      <c r="V155" s="2">
        <v>201</v>
      </c>
      <c r="W155" s="2">
        <v>66</v>
      </c>
      <c r="X155" s="2">
        <v>-2.5</v>
      </c>
      <c r="Y155" s="2">
        <v>-3.2</v>
      </c>
    </row>
    <row r="156" spans="1:25" x14ac:dyDescent="0.2">
      <c r="A156" t="s">
        <v>367</v>
      </c>
      <c r="B156" s="2">
        <v>36</v>
      </c>
      <c r="C156" t="s">
        <v>122</v>
      </c>
      <c r="D156" s="2" t="s">
        <v>52</v>
      </c>
      <c r="E156" s="2">
        <v>16</v>
      </c>
      <c r="F156" s="2">
        <v>1</v>
      </c>
      <c r="G156" s="2">
        <v>264</v>
      </c>
      <c r="H156" s="2">
        <v>0.32500000000000001</v>
      </c>
      <c r="I156" s="2">
        <v>0.42899999999999999</v>
      </c>
      <c r="J156" s="2">
        <v>0.23799999999999999</v>
      </c>
      <c r="K156" s="2">
        <v>0.39</v>
      </c>
      <c r="L156" s="2">
        <v>0.77300000000000002</v>
      </c>
      <c r="M156" s="2">
        <v>0.44400000000000001</v>
      </c>
      <c r="N156" s="2">
        <v>0.28599999999999998</v>
      </c>
      <c r="O156" s="2">
        <v>0.54500000000000004</v>
      </c>
      <c r="P156" s="2">
        <v>70</v>
      </c>
      <c r="Q156" s="2">
        <v>79</v>
      </c>
      <c r="R156" s="2">
        <v>66</v>
      </c>
      <c r="S156" s="2">
        <v>72</v>
      </c>
      <c r="T156" s="2">
        <v>99</v>
      </c>
      <c r="U156" s="2">
        <v>77</v>
      </c>
      <c r="V156" s="2">
        <v>115</v>
      </c>
      <c r="W156" s="2">
        <v>129</v>
      </c>
      <c r="X156" s="2">
        <v>-23.2</v>
      </c>
      <c r="Y156" s="2">
        <v>-22.6</v>
      </c>
    </row>
    <row r="157" spans="1:25" x14ac:dyDescent="0.2">
      <c r="A157" t="s">
        <v>96</v>
      </c>
      <c r="B157" s="2">
        <v>23</v>
      </c>
      <c r="C157" t="s">
        <v>57</v>
      </c>
      <c r="D157" s="2" t="s">
        <v>27</v>
      </c>
      <c r="E157" s="2">
        <v>24</v>
      </c>
      <c r="F157" s="2">
        <v>24</v>
      </c>
      <c r="G157" s="2">
        <v>736</v>
      </c>
      <c r="H157" s="2">
        <v>0.55800000000000005</v>
      </c>
      <c r="I157" s="2">
        <v>0.59299999999999997</v>
      </c>
      <c r="J157" s="2">
        <v>0.4</v>
      </c>
      <c r="K157" s="2">
        <v>0.59399999999999997</v>
      </c>
      <c r="L157" s="2">
        <v>0.79600000000000004</v>
      </c>
      <c r="M157" s="2">
        <v>0.63300000000000001</v>
      </c>
      <c r="N157" s="2">
        <v>0.32300000000000001</v>
      </c>
      <c r="O157" s="2">
        <v>0.182</v>
      </c>
      <c r="P157" s="2">
        <v>120</v>
      </c>
      <c r="Q157" s="2">
        <v>109</v>
      </c>
      <c r="R157" s="2">
        <v>111</v>
      </c>
      <c r="S157" s="2">
        <v>110</v>
      </c>
      <c r="T157" s="2">
        <v>102</v>
      </c>
      <c r="U157" s="2">
        <v>110</v>
      </c>
      <c r="V157" s="2">
        <v>130</v>
      </c>
      <c r="W157" s="2">
        <v>43</v>
      </c>
      <c r="X157" s="2">
        <v>32.4</v>
      </c>
      <c r="Y157" s="2">
        <v>40.299999999999997</v>
      </c>
    </row>
    <row r="158" spans="1:25" x14ac:dyDescent="0.2">
      <c r="A158" t="s">
        <v>47</v>
      </c>
      <c r="B158" s="2">
        <v>23</v>
      </c>
      <c r="C158" t="s">
        <v>48</v>
      </c>
      <c r="D158" s="2" t="s">
        <v>49</v>
      </c>
      <c r="E158" s="2">
        <v>25</v>
      </c>
      <c r="F158" s="2">
        <v>25</v>
      </c>
      <c r="G158" s="2">
        <v>829</v>
      </c>
      <c r="H158" s="2">
        <v>0.46500000000000002</v>
      </c>
      <c r="I158" s="2">
        <v>0.53800000000000003</v>
      </c>
      <c r="J158" s="2">
        <v>0.32100000000000001</v>
      </c>
      <c r="K158" s="2">
        <v>0.51900000000000002</v>
      </c>
      <c r="L158" s="2">
        <v>0.88100000000000001</v>
      </c>
      <c r="M158" s="2">
        <v>0.57299999999999995</v>
      </c>
      <c r="N158" s="2">
        <v>0.28499999999999998</v>
      </c>
      <c r="O158" s="2">
        <v>0.33600000000000002</v>
      </c>
      <c r="P158" s="2">
        <v>100</v>
      </c>
      <c r="Q158" s="2">
        <v>99</v>
      </c>
      <c r="R158" s="2">
        <v>89</v>
      </c>
      <c r="S158" s="2">
        <v>96</v>
      </c>
      <c r="T158" s="2">
        <v>113</v>
      </c>
      <c r="U158" s="2">
        <v>100</v>
      </c>
      <c r="V158" s="2">
        <v>114</v>
      </c>
      <c r="W158" s="2">
        <v>80</v>
      </c>
      <c r="X158" s="2">
        <v>-20.3</v>
      </c>
      <c r="Y158" s="2">
        <v>-1.7</v>
      </c>
    </row>
    <row r="159" spans="1:25" x14ac:dyDescent="0.2">
      <c r="A159" t="s">
        <v>127</v>
      </c>
      <c r="B159" s="2">
        <v>30</v>
      </c>
      <c r="C159" t="s">
        <v>87</v>
      </c>
      <c r="D159" s="2" t="s">
        <v>33</v>
      </c>
      <c r="E159" s="2">
        <v>23</v>
      </c>
      <c r="F159" s="2">
        <v>23</v>
      </c>
      <c r="G159" s="2">
        <v>808</v>
      </c>
      <c r="H159" s="2">
        <v>0.38500000000000001</v>
      </c>
      <c r="I159" s="2">
        <v>0.46400000000000002</v>
      </c>
      <c r="J159" s="2">
        <v>0.316</v>
      </c>
      <c r="K159" s="2">
        <v>0.47</v>
      </c>
      <c r="L159" s="2">
        <v>0.83099999999999996</v>
      </c>
      <c r="M159" s="2">
        <v>0.504</v>
      </c>
      <c r="N159" s="2">
        <v>0.17899999999999999</v>
      </c>
      <c r="O159" s="2">
        <v>0.53600000000000003</v>
      </c>
      <c r="P159" s="2">
        <v>83</v>
      </c>
      <c r="Q159" s="2">
        <v>86</v>
      </c>
      <c r="R159" s="2">
        <v>88</v>
      </c>
      <c r="S159" s="2">
        <v>87</v>
      </c>
      <c r="T159" s="2">
        <v>107</v>
      </c>
      <c r="U159" s="2">
        <v>88</v>
      </c>
      <c r="V159" s="2">
        <v>72</v>
      </c>
      <c r="W159" s="2">
        <v>127</v>
      </c>
      <c r="X159" s="2">
        <v>-46.7</v>
      </c>
      <c r="Y159" s="2">
        <v>-50</v>
      </c>
    </row>
    <row r="160" spans="1:25" x14ac:dyDescent="0.2">
      <c r="A160" t="s">
        <v>351</v>
      </c>
      <c r="B160" s="2">
        <v>28</v>
      </c>
      <c r="C160" t="s">
        <v>41</v>
      </c>
      <c r="D160" s="2" t="s">
        <v>33</v>
      </c>
      <c r="E160" s="2">
        <v>24</v>
      </c>
      <c r="F160" s="2">
        <v>3</v>
      </c>
      <c r="G160" s="2">
        <v>454</v>
      </c>
      <c r="H160" s="2">
        <v>0.35</v>
      </c>
      <c r="I160" s="2">
        <v>0.47599999999999998</v>
      </c>
      <c r="J160" s="2">
        <v>0.26200000000000001</v>
      </c>
      <c r="K160" s="2">
        <v>0.42699999999999999</v>
      </c>
      <c r="L160" s="2">
        <v>0.5</v>
      </c>
      <c r="M160" s="2">
        <v>0.432</v>
      </c>
      <c r="N160" s="2">
        <v>7.8E-2</v>
      </c>
      <c r="O160" s="2">
        <v>0.59199999999999997</v>
      </c>
      <c r="P160" s="2">
        <v>75</v>
      </c>
      <c r="Q160" s="2">
        <v>88</v>
      </c>
      <c r="R160" s="2">
        <v>73</v>
      </c>
      <c r="S160" s="2">
        <v>79</v>
      </c>
      <c r="T160" s="2">
        <v>64</v>
      </c>
      <c r="U160" s="2">
        <v>75</v>
      </c>
      <c r="V160" s="2">
        <v>31</v>
      </c>
      <c r="W160" s="2">
        <v>140</v>
      </c>
      <c r="X160" s="2">
        <v>-23.3</v>
      </c>
      <c r="Y160" s="2">
        <v>-30.4</v>
      </c>
    </row>
    <row r="161" spans="1:25" x14ac:dyDescent="0.2">
      <c r="A161" t="s">
        <v>521</v>
      </c>
      <c r="B161" s="2">
        <v>38</v>
      </c>
      <c r="C161" t="s">
        <v>66</v>
      </c>
      <c r="D161" s="2" t="s">
        <v>52</v>
      </c>
      <c r="E161" s="2">
        <v>8</v>
      </c>
      <c r="F161" s="2">
        <v>0</v>
      </c>
      <c r="G161" s="2">
        <v>31</v>
      </c>
      <c r="H161" s="2">
        <v>0.33300000000000002</v>
      </c>
      <c r="I161" s="2">
        <v>0.25</v>
      </c>
      <c r="J161" s="2">
        <v>0.5</v>
      </c>
      <c r="K161" s="2">
        <v>0.41699999999999998</v>
      </c>
      <c r="L161" s="2"/>
      <c r="M161" s="2">
        <v>0.41699999999999998</v>
      </c>
      <c r="N161" s="2">
        <v>0</v>
      </c>
      <c r="O161" s="2">
        <v>0.33300000000000002</v>
      </c>
      <c r="P161" s="2">
        <v>72</v>
      </c>
      <c r="Q161" s="2">
        <v>46</v>
      </c>
      <c r="R161" s="2">
        <v>139</v>
      </c>
      <c r="S161" s="2">
        <v>77</v>
      </c>
      <c r="T161" s="2"/>
      <c r="U161" s="2">
        <v>73</v>
      </c>
      <c r="V161" s="2">
        <v>0</v>
      </c>
      <c r="W161" s="2">
        <v>79</v>
      </c>
      <c r="X161" s="2">
        <v>-1.5</v>
      </c>
      <c r="Y161" s="2">
        <v>-1.9</v>
      </c>
    </row>
    <row r="162" spans="1:25" x14ac:dyDescent="0.2">
      <c r="A162" t="s">
        <v>280</v>
      </c>
      <c r="B162" s="2">
        <v>28</v>
      </c>
      <c r="C162" t="s">
        <v>72</v>
      </c>
      <c r="D162" s="2" t="s">
        <v>52</v>
      </c>
      <c r="E162" s="2">
        <v>19</v>
      </c>
      <c r="F162" s="2">
        <v>1</v>
      </c>
      <c r="G162" s="2">
        <v>343</v>
      </c>
      <c r="H162" s="2">
        <v>0.434</v>
      </c>
      <c r="I162" s="2">
        <v>0.375</v>
      </c>
      <c r="J162" s="2">
        <v>0.44600000000000001</v>
      </c>
      <c r="K162" s="2">
        <v>0.621</v>
      </c>
      <c r="L162" s="2">
        <v>0.83899999999999997</v>
      </c>
      <c r="M162" s="2">
        <v>0.66100000000000003</v>
      </c>
      <c r="N162" s="2">
        <v>0.313</v>
      </c>
      <c r="O162" s="2">
        <v>0.83799999999999997</v>
      </c>
      <c r="P162" s="2">
        <v>93</v>
      </c>
      <c r="Q162" s="2">
        <v>69</v>
      </c>
      <c r="R162" s="2">
        <v>124</v>
      </c>
      <c r="S162" s="2">
        <v>115</v>
      </c>
      <c r="T162" s="2">
        <v>108</v>
      </c>
      <c r="U162" s="2">
        <v>115</v>
      </c>
      <c r="V162" s="2">
        <v>126</v>
      </c>
      <c r="W162" s="2">
        <v>198</v>
      </c>
      <c r="X162" s="2">
        <v>16</v>
      </c>
      <c r="Y162" s="2">
        <v>19.600000000000001</v>
      </c>
    </row>
    <row r="163" spans="1:25" x14ac:dyDescent="0.2">
      <c r="A163" t="s">
        <v>378</v>
      </c>
      <c r="B163" s="2">
        <v>30</v>
      </c>
      <c r="C163" t="s">
        <v>48</v>
      </c>
      <c r="D163" s="2" t="s">
        <v>52</v>
      </c>
      <c r="E163" s="2">
        <v>17</v>
      </c>
      <c r="F163" s="2">
        <v>2</v>
      </c>
      <c r="G163" s="2">
        <v>282</v>
      </c>
      <c r="H163" s="2">
        <v>0.4</v>
      </c>
      <c r="I163" s="2">
        <v>0.5</v>
      </c>
      <c r="J163" s="2">
        <v>0.37</v>
      </c>
      <c r="K163" s="2">
        <v>0.54200000000000004</v>
      </c>
      <c r="L163" s="2">
        <v>0.66700000000000004</v>
      </c>
      <c r="M163" s="2">
        <v>0.55100000000000005</v>
      </c>
      <c r="N163" s="2">
        <v>0.1</v>
      </c>
      <c r="O163" s="2">
        <v>0.76700000000000002</v>
      </c>
      <c r="P163" s="2">
        <v>86</v>
      </c>
      <c r="Q163" s="2">
        <v>92</v>
      </c>
      <c r="R163" s="2">
        <v>103</v>
      </c>
      <c r="S163" s="2">
        <v>100</v>
      </c>
      <c r="T163" s="2">
        <v>86</v>
      </c>
      <c r="U163" s="2">
        <v>96</v>
      </c>
      <c r="V163" s="2">
        <v>40</v>
      </c>
      <c r="W163" s="2">
        <v>181</v>
      </c>
      <c r="X163" s="2">
        <v>0.1</v>
      </c>
      <c r="Y163" s="2">
        <v>-3</v>
      </c>
    </row>
    <row r="164" spans="1:25" x14ac:dyDescent="0.2">
      <c r="A164" t="s">
        <v>321</v>
      </c>
      <c r="B164" s="2">
        <v>32</v>
      </c>
      <c r="C164" t="s">
        <v>100</v>
      </c>
      <c r="D164" s="2" t="s">
        <v>52</v>
      </c>
      <c r="E164" s="2">
        <v>24</v>
      </c>
      <c r="F164" s="2">
        <v>4</v>
      </c>
      <c r="G164" s="2">
        <v>325</v>
      </c>
      <c r="H164" s="2">
        <v>0.54800000000000004</v>
      </c>
      <c r="I164" s="2">
        <v>0.71199999999999997</v>
      </c>
      <c r="J164" s="2">
        <v>0.14799999999999999</v>
      </c>
      <c r="K164" s="2">
        <v>0.56999999999999995</v>
      </c>
      <c r="L164" s="2">
        <v>0.54500000000000004</v>
      </c>
      <c r="M164" s="2">
        <v>0.57199999999999995</v>
      </c>
      <c r="N164" s="2">
        <v>0.11799999999999999</v>
      </c>
      <c r="O164" s="2">
        <v>0.28999999999999998</v>
      </c>
      <c r="P164" s="2">
        <v>118</v>
      </c>
      <c r="Q164" s="2">
        <v>131</v>
      </c>
      <c r="R164" s="2">
        <v>41</v>
      </c>
      <c r="S164" s="2">
        <v>105</v>
      </c>
      <c r="T164" s="2">
        <v>70</v>
      </c>
      <c r="U164" s="2">
        <v>100</v>
      </c>
      <c r="V164" s="2">
        <v>47</v>
      </c>
      <c r="W164" s="2">
        <v>69</v>
      </c>
      <c r="X164" s="2">
        <v>5.5</v>
      </c>
      <c r="Y164" s="2">
        <v>-0.4</v>
      </c>
    </row>
    <row r="165" spans="1:25" x14ac:dyDescent="0.2">
      <c r="A165" t="s">
        <v>228</v>
      </c>
      <c r="B165" s="2">
        <v>26</v>
      </c>
      <c r="C165" t="s">
        <v>35</v>
      </c>
      <c r="D165" s="2" t="s">
        <v>52</v>
      </c>
      <c r="E165" s="2">
        <v>22</v>
      </c>
      <c r="F165" s="2">
        <v>7</v>
      </c>
      <c r="G165" s="2">
        <v>571</v>
      </c>
      <c r="H165" s="2">
        <v>0.41599999999999998</v>
      </c>
      <c r="I165" s="2">
        <v>0.44400000000000001</v>
      </c>
      <c r="J165" s="2">
        <v>0.40200000000000002</v>
      </c>
      <c r="K165" s="2">
        <v>0.55100000000000005</v>
      </c>
      <c r="L165" s="2">
        <v>0.91300000000000003</v>
      </c>
      <c r="M165" s="2">
        <v>0.57899999999999996</v>
      </c>
      <c r="N165" s="2">
        <v>0.13900000000000001</v>
      </c>
      <c r="O165" s="2">
        <v>0.67500000000000004</v>
      </c>
      <c r="P165" s="2">
        <v>89</v>
      </c>
      <c r="Q165" s="2">
        <v>82</v>
      </c>
      <c r="R165" s="2">
        <v>112</v>
      </c>
      <c r="S165" s="2">
        <v>102</v>
      </c>
      <c r="T165" s="2">
        <v>117</v>
      </c>
      <c r="U165" s="2">
        <v>101</v>
      </c>
      <c r="V165" s="2">
        <v>56</v>
      </c>
      <c r="W165" s="2">
        <v>160</v>
      </c>
      <c r="X165" s="2">
        <v>3.5</v>
      </c>
      <c r="Y165" s="2">
        <v>1.6</v>
      </c>
    </row>
    <row r="166" spans="1:25" x14ac:dyDescent="0.2">
      <c r="A166" t="s">
        <v>221</v>
      </c>
      <c r="B166" s="2">
        <v>31</v>
      </c>
      <c r="C166" t="s">
        <v>57</v>
      </c>
      <c r="D166" s="2" t="s">
        <v>27</v>
      </c>
      <c r="E166" s="2">
        <v>25</v>
      </c>
      <c r="F166" s="2">
        <v>1</v>
      </c>
      <c r="G166" s="2">
        <v>514</v>
      </c>
      <c r="H166" s="2">
        <v>0.46200000000000002</v>
      </c>
      <c r="I166" s="2">
        <v>0.66100000000000003</v>
      </c>
      <c r="J166" s="2">
        <v>0.36</v>
      </c>
      <c r="K166" s="2">
        <v>0.58099999999999996</v>
      </c>
      <c r="L166" s="2">
        <v>0.76900000000000002</v>
      </c>
      <c r="M166" s="2">
        <v>0.59</v>
      </c>
      <c r="N166" s="2">
        <v>7.4999999999999997E-2</v>
      </c>
      <c r="O166" s="2">
        <v>0.65900000000000003</v>
      </c>
      <c r="P166" s="2">
        <v>100</v>
      </c>
      <c r="Q166" s="2">
        <v>122</v>
      </c>
      <c r="R166" s="2">
        <v>100</v>
      </c>
      <c r="S166" s="2">
        <v>107</v>
      </c>
      <c r="T166" s="2">
        <v>99</v>
      </c>
      <c r="U166" s="2">
        <v>103</v>
      </c>
      <c r="V166" s="2">
        <v>30</v>
      </c>
      <c r="W166" s="2">
        <v>156</v>
      </c>
      <c r="X166" s="2">
        <v>14</v>
      </c>
      <c r="Y166" s="2">
        <v>5.7</v>
      </c>
    </row>
    <row r="167" spans="1:25" x14ac:dyDescent="0.2">
      <c r="A167" t="s">
        <v>34</v>
      </c>
      <c r="B167" s="2">
        <v>30</v>
      </c>
      <c r="C167" t="s">
        <v>35</v>
      </c>
      <c r="D167" s="2" t="s">
        <v>27</v>
      </c>
      <c r="E167" s="2">
        <v>22</v>
      </c>
      <c r="F167" s="2">
        <v>22</v>
      </c>
      <c r="G167" s="2">
        <v>772</v>
      </c>
      <c r="H167" s="2">
        <v>0.61199999999999999</v>
      </c>
      <c r="I167" s="2">
        <v>0.629</v>
      </c>
      <c r="J167" s="2">
        <v>0.17599999999999999</v>
      </c>
      <c r="K167" s="2">
        <v>0.61499999999999999</v>
      </c>
      <c r="L167" s="2">
        <v>0.61099999999999999</v>
      </c>
      <c r="M167" s="2">
        <v>0.63</v>
      </c>
      <c r="N167" s="2">
        <v>0.52600000000000002</v>
      </c>
      <c r="O167" s="2">
        <v>3.6999999999999998E-2</v>
      </c>
      <c r="P167" s="2">
        <v>132</v>
      </c>
      <c r="Q167" s="2">
        <v>116</v>
      </c>
      <c r="R167" s="2">
        <v>49</v>
      </c>
      <c r="S167" s="2">
        <v>114</v>
      </c>
      <c r="T167" s="2">
        <v>78</v>
      </c>
      <c r="U167" s="2">
        <v>110</v>
      </c>
      <c r="V167" s="2">
        <v>211</v>
      </c>
      <c r="W167" s="2">
        <v>9</v>
      </c>
      <c r="X167" s="2">
        <v>69.400000000000006</v>
      </c>
      <c r="Y167" s="2">
        <v>63.5</v>
      </c>
    </row>
    <row r="168" spans="1:25" x14ac:dyDescent="0.2">
      <c r="A168" t="s">
        <v>235</v>
      </c>
      <c r="B168" s="2">
        <v>25</v>
      </c>
      <c r="C168" t="s">
        <v>48</v>
      </c>
      <c r="D168" s="2" t="s">
        <v>42</v>
      </c>
      <c r="E168" s="2">
        <v>22</v>
      </c>
      <c r="F168" s="2">
        <v>19</v>
      </c>
      <c r="G168" s="2">
        <v>516</v>
      </c>
      <c r="H168" s="2">
        <v>0.63600000000000001</v>
      </c>
      <c r="I168" s="2">
        <v>0.69499999999999995</v>
      </c>
      <c r="J168" s="2">
        <v>0</v>
      </c>
      <c r="K168" s="2">
        <v>0.63600000000000001</v>
      </c>
      <c r="L168" s="2">
        <v>0.78</v>
      </c>
      <c r="M168" s="2">
        <v>0.66600000000000004</v>
      </c>
      <c r="N168" s="2">
        <v>0.318</v>
      </c>
      <c r="O168" s="2">
        <v>8.5000000000000006E-2</v>
      </c>
      <c r="P168" s="2">
        <v>137</v>
      </c>
      <c r="Q168" s="2">
        <v>128</v>
      </c>
      <c r="R168" s="2">
        <v>0</v>
      </c>
      <c r="S168" s="2">
        <v>118</v>
      </c>
      <c r="T168" s="2">
        <v>100</v>
      </c>
      <c r="U168" s="2">
        <v>116</v>
      </c>
      <c r="V168" s="2">
        <v>127</v>
      </c>
      <c r="W168" s="2">
        <v>20</v>
      </c>
      <c r="X168" s="2">
        <v>24.5</v>
      </c>
      <c r="Y168" s="2">
        <v>27.1</v>
      </c>
    </row>
    <row r="169" spans="1:25" x14ac:dyDescent="0.2">
      <c r="A169" t="s">
        <v>124</v>
      </c>
      <c r="B169" s="2">
        <v>21</v>
      </c>
      <c r="C169" t="s">
        <v>66</v>
      </c>
      <c r="D169" s="2" t="s">
        <v>52</v>
      </c>
      <c r="E169" s="2">
        <v>21</v>
      </c>
      <c r="F169" s="2">
        <v>21</v>
      </c>
      <c r="G169" s="2">
        <v>680</v>
      </c>
      <c r="H169" s="2">
        <v>0.41399999999999998</v>
      </c>
      <c r="I169" s="2">
        <v>0.48699999999999999</v>
      </c>
      <c r="J169" s="2">
        <v>0.34200000000000003</v>
      </c>
      <c r="K169" s="2">
        <v>0.5</v>
      </c>
      <c r="L169" s="2">
        <v>0.9</v>
      </c>
      <c r="M169" s="2">
        <v>0.55400000000000005</v>
      </c>
      <c r="N169" s="2">
        <v>0.26100000000000001</v>
      </c>
      <c r="O169" s="2">
        <v>0.505</v>
      </c>
      <c r="P169" s="2">
        <v>89</v>
      </c>
      <c r="Q169" s="2">
        <v>90</v>
      </c>
      <c r="R169" s="2">
        <v>95</v>
      </c>
      <c r="S169" s="2">
        <v>93</v>
      </c>
      <c r="T169" s="2">
        <v>116</v>
      </c>
      <c r="U169" s="2">
        <v>96</v>
      </c>
      <c r="V169" s="2">
        <v>105</v>
      </c>
      <c r="W169" s="2">
        <v>119</v>
      </c>
      <c r="X169" s="2">
        <v>-24.9</v>
      </c>
      <c r="Y169" s="2">
        <v>-14.2</v>
      </c>
    </row>
    <row r="170" spans="1:25" x14ac:dyDescent="0.2">
      <c r="A170" t="s">
        <v>265</v>
      </c>
      <c r="B170" s="2">
        <v>26</v>
      </c>
      <c r="C170" t="s">
        <v>59</v>
      </c>
      <c r="D170" s="2" t="s">
        <v>27</v>
      </c>
      <c r="E170" s="2">
        <v>16</v>
      </c>
      <c r="F170" s="2">
        <v>7</v>
      </c>
      <c r="G170" s="2">
        <v>479</v>
      </c>
      <c r="H170" s="2">
        <v>0.439</v>
      </c>
      <c r="I170" s="2">
        <v>0.55100000000000005</v>
      </c>
      <c r="J170" s="2">
        <v>0.36499999999999999</v>
      </c>
      <c r="K170" s="2">
        <v>0.54900000000000004</v>
      </c>
      <c r="L170" s="2">
        <v>0.83799999999999997</v>
      </c>
      <c r="M170" s="2">
        <v>0.59599999999999997</v>
      </c>
      <c r="N170" s="2">
        <v>0.30099999999999999</v>
      </c>
      <c r="O170" s="2">
        <v>0.60199999999999998</v>
      </c>
      <c r="P170" s="2">
        <v>94</v>
      </c>
      <c r="Q170" s="2">
        <v>102</v>
      </c>
      <c r="R170" s="2">
        <v>102</v>
      </c>
      <c r="S170" s="2">
        <v>102</v>
      </c>
      <c r="T170" s="2">
        <v>108</v>
      </c>
      <c r="U170" s="2">
        <v>104</v>
      </c>
      <c r="V170" s="2">
        <v>121</v>
      </c>
      <c r="W170" s="2">
        <v>142</v>
      </c>
      <c r="X170" s="2">
        <v>2</v>
      </c>
      <c r="Y170" s="2">
        <v>6</v>
      </c>
    </row>
    <row r="171" spans="1:25" x14ac:dyDescent="0.2">
      <c r="A171" t="s">
        <v>223</v>
      </c>
      <c r="B171" s="2">
        <v>29</v>
      </c>
      <c r="C171" t="s">
        <v>54</v>
      </c>
      <c r="D171" s="2" t="s">
        <v>52</v>
      </c>
      <c r="E171" s="2">
        <v>19</v>
      </c>
      <c r="F171" s="2">
        <v>1</v>
      </c>
      <c r="G171" s="2">
        <v>453</v>
      </c>
      <c r="H171" s="2">
        <v>0.42099999999999999</v>
      </c>
      <c r="I171" s="2">
        <v>0.54100000000000004</v>
      </c>
      <c r="J171" s="2">
        <v>0.38300000000000001</v>
      </c>
      <c r="K171" s="2">
        <v>0.56599999999999995</v>
      </c>
      <c r="L171" s="2">
        <v>0.82599999999999996</v>
      </c>
      <c r="M171" s="2">
        <v>0.61</v>
      </c>
      <c r="N171" s="2">
        <v>0.30299999999999999</v>
      </c>
      <c r="O171" s="2">
        <v>0.75700000000000001</v>
      </c>
      <c r="P171" s="2">
        <v>91</v>
      </c>
      <c r="Q171" s="2">
        <v>100</v>
      </c>
      <c r="R171" s="2">
        <v>107</v>
      </c>
      <c r="S171" s="2">
        <v>105</v>
      </c>
      <c r="T171" s="2">
        <v>106</v>
      </c>
      <c r="U171" s="2">
        <v>106</v>
      </c>
      <c r="V171" s="2">
        <v>121</v>
      </c>
      <c r="W171" s="2">
        <v>179</v>
      </c>
      <c r="X171" s="2">
        <v>7.7</v>
      </c>
      <c r="Y171" s="2">
        <v>12.1</v>
      </c>
    </row>
    <row r="172" spans="1:25" x14ac:dyDescent="0.2">
      <c r="A172" t="s">
        <v>216</v>
      </c>
      <c r="B172" s="2">
        <v>29</v>
      </c>
      <c r="C172" t="s">
        <v>122</v>
      </c>
      <c r="D172" s="2" t="s">
        <v>27</v>
      </c>
      <c r="E172" s="2">
        <v>22</v>
      </c>
      <c r="F172" s="2">
        <v>9</v>
      </c>
      <c r="G172" s="2">
        <v>538</v>
      </c>
      <c r="H172" s="2">
        <v>0.49099999999999999</v>
      </c>
      <c r="I172" s="2">
        <v>0.59699999999999998</v>
      </c>
      <c r="J172" s="2">
        <v>0.39500000000000002</v>
      </c>
      <c r="K172" s="2">
        <v>0.59499999999999997</v>
      </c>
      <c r="L172" s="2">
        <v>0.57499999999999996</v>
      </c>
      <c r="M172" s="2">
        <v>0.60099999999999998</v>
      </c>
      <c r="N172" s="2">
        <v>0.245</v>
      </c>
      <c r="O172" s="2">
        <v>0.52800000000000002</v>
      </c>
      <c r="P172" s="2">
        <v>106</v>
      </c>
      <c r="Q172" s="2">
        <v>110</v>
      </c>
      <c r="R172" s="2">
        <v>110</v>
      </c>
      <c r="S172" s="2">
        <v>110</v>
      </c>
      <c r="T172" s="2">
        <v>74</v>
      </c>
      <c r="U172" s="2">
        <v>105</v>
      </c>
      <c r="V172" s="2">
        <v>98</v>
      </c>
      <c r="W172" s="2">
        <v>125</v>
      </c>
      <c r="X172" s="2">
        <v>17.8</v>
      </c>
      <c r="Y172" s="2">
        <v>9.5</v>
      </c>
    </row>
    <row r="173" spans="1:25" x14ac:dyDescent="0.2">
      <c r="A173" t="s">
        <v>512</v>
      </c>
      <c r="B173" s="2">
        <v>22</v>
      </c>
      <c r="C173" t="s">
        <v>100</v>
      </c>
      <c r="D173" s="2" t="s">
        <v>27</v>
      </c>
      <c r="E173" s="2">
        <v>6</v>
      </c>
      <c r="F173" s="2">
        <v>0</v>
      </c>
      <c r="G173" s="2">
        <v>22</v>
      </c>
      <c r="H173" s="2">
        <v>0.4</v>
      </c>
      <c r="I173" s="2">
        <v>0.5</v>
      </c>
      <c r="J173" s="2">
        <v>0.33300000000000002</v>
      </c>
      <c r="K173" s="2">
        <v>0.5</v>
      </c>
      <c r="L173" s="2">
        <v>0.5</v>
      </c>
      <c r="M173" s="2">
        <v>0.51</v>
      </c>
      <c r="N173" s="2">
        <v>0.4</v>
      </c>
      <c r="O173" s="2">
        <v>0.6</v>
      </c>
      <c r="P173" s="2">
        <v>86</v>
      </c>
      <c r="Q173" s="2">
        <v>92</v>
      </c>
      <c r="R173" s="2">
        <v>93</v>
      </c>
      <c r="S173" s="2">
        <v>93</v>
      </c>
      <c r="T173" s="2">
        <v>64</v>
      </c>
      <c r="U173" s="2">
        <v>89</v>
      </c>
      <c r="V173" s="2">
        <v>160</v>
      </c>
      <c r="W173" s="2">
        <v>142</v>
      </c>
      <c r="X173" s="2">
        <v>-0.4</v>
      </c>
      <c r="Y173" s="2">
        <v>-0.8</v>
      </c>
    </row>
    <row r="174" spans="1:25" x14ac:dyDescent="0.2">
      <c r="A174" t="s">
        <v>186</v>
      </c>
      <c r="B174" s="2">
        <v>32</v>
      </c>
      <c r="C174" t="s">
        <v>93</v>
      </c>
      <c r="D174" s="2" t="s">
        <v>27</v>
      </c>
      <c r="E174" s="2">
        <v>24</v>
      </c>
      <c r="F174" s="2">
        <v>24</v>
      </c>
      <c r="G174" s="2">
        <v>688</v>
      </c>
      <c r="H174" s="2">
        <v>0.48599999999999999</v>
      </c>
      <c r="I174" s="2">
        <v>0.53100000000000003</v>
      </c>
      <c r="J174" s="2">
        <v>0.43</v>
      </c>
      <c r="K174" s="2">
        <v>0.58199999999999996</v>
      </c>
      <c r="L174" s="2">
        <v>0.81699999999999995</v>
      </c>
      <c r="M174" s="2">
        <v>0.63400000000000001</v>
      </c>
      <c r="N174" s="2">
        <v>0.40100000000000002</v>
      </c>
      <c r="O174" s="2">
        <v>0.44600000000000001</v>
      </c>
      <c r="P174" s="2">
        <v>105</v>
      </c>
      <c r="Q174" s="2">
        <v>98</v>
      </c>
      <c r="R174" s="2">
        <v>120</v>
      </c>
      <c r="S174" s="2">
        <v>108</v>
      </c>
      <c r="T174" s="2">
        <v>105</v>
      </c>
      <c r="U174" s="2">
        <v>110</v>
      </c>
      <c r="V174" s="2">
        <v>161</v>
      </c>
      <c r="W174" s="2">
        <v>106</v>
      </c>
      <c r="X174" s="2">
        <v>14.7</v>
      </c>
      <c r="Y174" s="2">
        <v>24.7</v>
      </c>
    </row>
    <row r="175" spans="1:25" x14ac:dyDescent="0.2">
      <c r="A175" t="s">
        <v>559</v>
      </c>
      <c r="B175" s="2">
        <v>22</v>
      </c>
      <c r="C175" t="s">
        <v>93</v>
      </c>
      <c r="D175" s="2" t="s">
        <v>49</v>
      </c>
      <c r="E175" s="2">
        <v>1</v>
      </c>
      <c r="F175" s="2">
        <v>0</v>
      </c>
      <c r="G175" s="2">
        <v>7</v>
      </c>
      <c r="H175" s="2">
        <v>0</v>
      </c>
      <c r="I175" s="2">
        <v>0</v>
      </c>
      <c r="J175" s="2"/>
      <c r="K175" s="2">
        <v>0</v>
      </c>
      <c r="L175" s="2"/>
      <c r="M175" s="2">
        <v>0</v>
      </c>
      <c r="N175" s="2">
        <v>0</v>
      </c>
      <c r="O175" s="2">
        <v>0</v>
      </c>
      <c r="P175" s="2">
        <v>0</v>
      </c>
      <c r="Q175" s="2">
        <v>0</v>
      </c>
      <c r="R175" s="2"/>
      <c r="S175" s="2">
        <v>0</v>
      </c>
      <c r="T175" s="2"/>
      <c r="U175" s="2">
        <v>0</v>
      </c>
      <c r="V175" s="2">
        <v>0</v>
      </c>
      <c r="W175" s="2">
        <v>0</v>
      </c>
      <c r="X175" s="2">
        <v>-1.1000000000000001</v>
      </c>
      <c r="Y175" s="2">
        <v>-1.1000000000000001</v>
      </c>
    </row>
    <row r="176" spans="1:25" x14ac:dyDescent="0.2">
      <c r="A176" t="s">
        <v>275</v>
      </c>
      <c r="B176" s="2">
        <v>28</v>
      </c>
      <c r="C176" t="s">
        <v>61</v>
      </c>
      <c r="D176" s="2" t="s">
        <v>49</v>
      </c>
      <c r="E176" s="2">
        <v>21</v>
      </c>
      <c r="F176" s="2">
        <v>15</v>
      </c>
      <c r="G176" s="2">
        <v>527</v>
      </c>
      <c r="H176" s="2">
        <v>0.47499999999999998</v>
      </c>
      <c r="I176" s="2">
        <v>0.53800000000000003</v>
      </c>
      <c r="J176" s="2">
        <v>0.42399999999999999</v>
      </c>
      <c r="K176" s="2">
        <v>0.59299999999999997</v>
      </c>
      <c r="L176" s="2">
        <v>0.68400000000000005</v>
      </c>
      <c r="M176" s="2">
        <v>0.60499999999999998</v>
      </c>
      <c r="N176" s="2">
        <v>0.161</v>
      </c>
      <c r="O176" s="2">
        <v>0.55900000000000005</v>
      </c>
      <c r="P176" s="2">
        <v>102</v>
      </c>
      <c r="Q176" s="2">
        <v>99</v>
      </c>
      <c r="R176" s="2">
        <v>118</v>
      </c>
      <c r="S176" s="2">
        <v>110</v>
      </c>
      <c r="T176" s="2">
        <v>88</v>
      </c>
      <c r="U176" s="2">
        <v>105</v>
      </c>
      <c r="V176" s="2">
        <v>65</v>
      </c>
      <c r="W176" s="2">
        <v>132</v>
      </c>
      <c r="X176" s="2">
        <v>12.4</v>
      </c>
      <c r="Y176" s="2">
        <v>7.8</v>
      </c>
    </row>
    <row r="177" spans="1:25" x14ac:dyDescent="0.2">
      <c r="A177" t="s">
        <v>363</v>
      </c>
      <c r="B177" s="2">
        <v>26</v>
      </c>
      <c r="C177" t="s">
        <v>117</v>
      </c>
      <c r="D177" s="2" t="s">
        <v>49</v>
      </c>
      <c r="E177" s="2">
        <v>8</v>
      </c>
      <c r="F177" s="2">
        <v>8</v>
      </c>
      <c r="G177" s="2">
        <v>255</v>
      </c>
      <c r="H177" s="2">
        <v>0.48499999999999999</v>
      </c>
      <c r="I177" s="2">
        <v>0.63200000000000001</v>
      </c>
      <c r="J177" s="2">
        <v>0.28599999999999998</v>
      </c>
      <c r="K177" s="2">
        <v>0.54500000000000004</v>
      </c>
      <c r="L177" s="2">
        <v>0.66700000000000004</v>
      </c>
      <c r="M177" s="2">
        <v>0.56499999999999995</v>
      </c>
      <c r="N177" s="2">
        <v>0.22700000000000001</v>
      </c>
      <c r="O177" s="2">
        <v>0.42399999999999999</v>
      </c>
      <c r="P177" s="2">
        <v>104</v>
      </c>
      <c r="Q177" s="2">
        <v>117</v>
      </c>
      <c r="R177" s="2">
        <v>80</v>
      </c>
      <c r="S177" s="2">
        <v>101</v>
      </c>
      <c r="T177" s="2">
        <v>86</v>
      </c>
      <c r="U177" s="2">
        <v>98</v>
      </c>
      <c r="V177" s="2">
        <v>91</v>
      </c>
      <c r="W177" s="2">
        <v>100</v>
      </c>
      <c r="X177" s="2">
        <v>0.7</v>
      </c>
      <c r="Y177" s="2">
        <v>-1.4</v>
      </c>
    </row>
    <row r="178" spans="1:25" x14ac:dyDescent="0.2">
      <c r="A178" t="s">
        <v>424</v>
      </c>
      <c r="B178" s="2">
        <v>24</v>
      </c>
      <c r="C178" t="s">
        <v>46</v>
      </c>
      <c r="D178" s="2" t="s">
        <v>27</v>
      </c>
      <c r="E178" s="2">
        <v>14</v>
      </c>
      <c r="F178" s="2">
        <v>0</v>
      </c>
      <c r="G178" s="2">
        <v>129</v>
      </c>
      <c r="H178" s="2">
        <v>0.44400000000000001</v>
      </c>
      <c r="I178" s="2">
        <v>0.72699999999999998</v>
      </c>
      <c r="J178" s="2">
        <v>0.25</v>
      </c>
      <c r="K178" s="2">
        <v>0.51900000000000002</v>
      </c>
      <c r="L178" s="2">
        <v>0.88900000000000001</v>
      </c>
      <c r="M178" s="2">
        <v>0.58099999999999996</v>
      </c>
      <c r="N178" s="2">
        <v>0.33300000000000002</v>
      </c>
      <c r="O178" s="2">
        <v>0.59299999999999997</v>
      </c>
      <c r="P178" s="2">
        <v>96</v>
      </c>
      <c r="Q178" s="2">
        <v>134</v>
      </c>
      <c r="R178" s="2">
        <v>70</v>
      </c>
      <c r="S178" s="2">
        <v>96</v>
      </c>
      <c r="T178" s="2">
        <v>114</v>
      </c>
      <c r="U178" s="2">
        <v>101</v>
      </c>
      <c r="V178" s="2">
        <v>134</v>
      </c>
      <c r="W178" s="2">
        <v>140</v>
      </c>
      <c r="X178" s="2">
        <v>-1.2</v>
      </c>
      <c r="Y178" s="2">
        <v>0.4</v>
      </c>
    </row>
    <row r="179" spans="1:25" x14ac:dyDescent="0.2">
      <c r="A179" t="s">
        <v>413</v>
      </c>
      <c r="B179" s="2">
        <v>25</v>
      </c>
      <c r="C179" t="s">
        <v>66</v>
      </c>
      <c r="D179" s="2" t="s">
        <v>33</v>
      </c>
      <c r="E179" s="2">
        <v>3</v>
      </c>
      <c r="F179" s="2">
        <v>3</v>
      </c>
      <c r="G179" s="2">
        <v>68</v>
      </c>
      <c r="H179" s="2">
        <v>0.38100000000000001</v>
      </c>
      <c r="I179" s="2">
        <v>0.38500000000000001</v>
      </c>
      <c r="J179" s="2">
        <v>0.375</v>
      </c>
      <c r="K179" s="2">
        <v>0.45200000000000001</v>
      </c>
      <c r="L179" s="2">
        <v>0.88900000000000001</v>
      </c>
      <c r="M179" s="2">
        <v>0.5</v>
      </c>
      <c r="N179" s="2">
        <v>0.214</v>
      </c>
      <c r="O179" s="2">
        <v>0.38100000000000001</v>
      </c>
      <c r="P179" s="2">
        <v>82</v>
      </c>
      <c r="Q179" s="2">
        <v>71</v>
      </c>
      <c r="R179" s="2">
        <v>104</v>
      </c>
      <c r="S179" s="2">
        <v>84</v>
      </c>
      <c r="T179" s="2">
        <v>114</v>
      </c>
      <c r="U179" s="2">
        <v>87</v>
      </c>
      <c r="V179" s="2">
        <v>86</v>
      </c>
      <c r="W179" s="2">
        <v>90</v>
      </c>
      <c r="X179" s="2">
        <v>-7.4</v>
      </c>
      <c r="Y179" s="2">
        <v>-6.8</v>
      </c>
    </row>
    <row r="180" spans="1:25" x14ac:dyDescent="0.2">
      <c r="A180" t="s">
        <v>385</v>
      </c>
      <c r="B180" s="2">
        <v>24</v>
      </c>
      <c r="C180" t="s">
        <v>37</v>
      </c>
      <c r="D180" s="2" t="s">
        <v>27</v>
      </c>
      <c r="E180" s="2">
        <v>15</v>
      </c>
      <c r="F180" s="2">
        <v>0</v>
      </c>
      <c r="G180" s="2">
        <v>142</v>
      </c>
      <c r="H180" s="2">
        <v>0.65100000000000002</v>
      </c>
      <c r="I180" s="2">
        <v>0.69199999999999995</v>
      </c>
      <c r="J180" s="2">
        <v>0.25</v>
      </c>
      <c r="K180" s="2">
        <v>0.66300000000000003</v>
      </c>
      <c r="L180" s="2">
        <v>0.46700000000000003</v>
      </c>
      <c r="M180" s="2">
        <v>0.64500000000000002</v>
      </c>
      <c r="N180" s="2">
        <v>0.34899999999999998</v>
      </c>
      <c r="O180" s="2">
        <v>9.2999999999999999E-2</v>
      </c>
      <c r="P180" s="2">
        <v>140</v>
      </c>
      <c r="Q180" s="2">
        <v>128</v>
      </c>
      <c r="R180" s="2">
        <v>70</v>
      </c>
      <c r="S180" s="2">
        <v>123</v>
      </c>
      <c r="T180" s="2">
        <v>60</v>
      </c>
      <c r="U180" s="2">
        <v>112</v>
      </c>
      <c r="V180" s="2">
        <v>140</v>
      </c>
      <c r="W180" s="2">
        <v>22</v>
      </c>
      <c r="X180" s="2">
        <v>10.5</v>
      </c>
      <c r="Y180" s="2">
        <v>7</v>
      </c>
    </row>
    <row r="181" spans="1:25" x14ac:dyDescent="0.2">
      <c r="A181" t="s">
        <v>307</v>
      </c>
      <c r="B181" s="2">
        <v>24</v>
      </c>
      <c r="C181" t="s">
        <v>57</v>
      </c>
      <c r="D181" s="2" t="s">
        <v>52</v>
      </c>
      <c r="E181" s="2">
        <v>21</v>
      </c>
      <c r="F181" s="2">
        <v>14</v>
      </c>
      <c r="G181" s="2">
        <v>439</v>
      </c>
      <c r="H181" s="2">
        <v>0.47899999999999998</v>
      </c>
      <c r="I181" s="2">
        <v>0.5</v>
      </c>
      <c r="J181" s="2">
        <v>0.46300000000000002</v>
      </c>
      <c r="K181" s="2">
        <v>0.61199999999999999</v>
      </c>
      <c r="L181" s="2">
        <v>0.64700000000000002</v>
      </c>
      <c r="M181" s="2">
        <v>0.621</v>
      </c>
      <c r="N181" s="2">
        <v>0.18099999999999999</v>
      </c>
      <c r="O181" s="2">
        <v>0.57399999999999995</v>
      </c>
      <c r="P181" s="2">
        <v>103</v>
      </c>
      <c r="Q181" s="2">
        <v>92</v>
      </c>
      <c r="R181" s="2">
        <v>129</v>
      </c>
      <c r="S181" s="2">
        <v>113</v>
      </c>
      <c r="T181" s="2">
        <v>83</v>
      </c>
      <c r="U181" s="2">
        <v>108</v>
      </c>
      <c r="V181" s="2">
        <v>73</v>
      </c>
      <c r="W181" s="2">
        <v>136</v>
      </c>
      <c r="X181" s="2">
        <v>13.4</v>
      </c>
      <c r="Y181" s="2">
        <v>9.4</v>
      </c>
    </row>
    <row r="182" spans="1:25" x14ac:dyDescent="0.2">
      <c r="A182" t="s">
        <v>394</v>
      </c>
      <c r="B182" s="2">
        <v>20</v>
      </c>
      <c r="C182" t="s">
        <v>120</v>
      </c>
      <c r="D182" s="2" t="s">
        <v>33</v>
      </c>
      <c r="E182" s="2">
        <v>16</v>
      </c>
      <c r="F182" s="2">
        <v>1</v>
      </c>
      <c r="G182" s="2">
        <v>278</v>
      </c>
      <c r="H182" s="2">
        <v>0.31</v>
      </c>
      <c r="I182" s="2">
        <v>0.40899999999999997</v>
      </c>
      <c r="J182" s="2">
        <v>0.14799999999999999</v>
      </c>
      <c r="K182" s="2">
        <v>0.33800000000000002</v>
      </c>
      <c r="L182" s="2">
        <v>0.44400000000000001</v>
      </c>
      <c r="M182" s="2">
        <v>0.35499999999999998</v>
      </c>
      <c r="N182" s="2">
        <v>0.254</v>
      </c>
      <c r="O182" s="2">
        <v>0.38</v>
      </c>
      <c r="P182" s="2">
        <v>67</v>
      </c>
      <c r="Q182" s="2">
        <v>75</v>
      </c>
      <c r="R182" s="2">
        <v>41</v>
      </c>
      <c r="S182" s="2">
        <v>63</v>
      </c>
      <c r="T182" s="2">
        <v>57</v>
      </c>
      <c r="U182" s="2">
        <v>62</v>
      </c>
      <c r="V182" s="2">
        <v>102</v>
      </c>
      <c r="W182" s="2">
        <v>90</v>
      </c>
      <c r="X182" s="2">
        <v>-28.8</v>
      </c>
      <c r="Y182" s="2">
        <v>-34.700000000000003</v>
      </c>
    </row>
    <row r="183" spans="1:25" x14ac:dyDescent="0.2">
      <c r="A183" t="s">
        <v>555</v>
      </c>
      <c r="B183" s="2">
        <v>23</v>
      </c>
      <c r="C183" t="s">
        <v>37</v>
      </c>
      <c r="D183" s="2" t="s">
        <v>49</v>
      </c>
      <c r="E183" s="2">
        <v>1</v>
      </c>
      <c r="F183" s="2">
        <v>0</v>
      </c>
      <c r="G183" s="2">
        <v>5</v>
      </c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>
        <v>0</v>
      </c>
      <c r="Y183" s="2">
        <v>0</v>
      </c>
    </row>
    <row r="184" spans="1:25" x14ac:dyDescent="0.2">
      <c r="A184" t="s">
        <v>332</v>
      </c>
      <c r="B184" s="2">
        <v>26</v>
      </c>
      <c r="C184" t="s">
        <v>32</v>
      </c>
      <c r="D184" s="2" t="s">
        <v>42</v>
      </c>
      <c r="E184" s="2">
        <v>9</v>
      </c>
      <c r="F184" s="2">
        <v>8</v>
      </c>
      <c r="G184" s="2">
        <v>267</v>
      </c>
      <c r="H184" s="2">
        <v>0.55400000000000005</v>
      </c>
      <c r="I184" s="2">
        <v>0.58199999999999996</v>
      </c>
      <c r="J184" s="2">
        <v>0</v>
      </c>
      <c r="K184" s="2">
        <v>0.55400000000000005</v>
      </c>
      <c r="L184" s="2">
        <v>0.57099999999999995</v>
      </c>
      <c r="M184" s="2">
        <v>0.56399999999999995</v>
      </c>
      <c r="N184" s="2">
        <v>0.253</v>
      </c>
      <c r="O184" s="2">
        <v>4.8000000000000001E-2</v>
      </c>
      <c r="P184" s="2">
        <v>119</v>
      </c>
      <c r="Q184" s="2">
        <v>107</v>
      </c>
      <c r="R184" s="2">
        <v>0</v>
      </c>
      <c r="S184" s="2">
        <v>103</v>
      </c>
      <c r="T184" s="2">
        <v>73</v>
      </c>
      <c r="U184" s="2">
        <v>98</v>
      </c>
      <c r="V184" s="2">
        <v>101</v>
      </c>
      <c r="W184" s="2">
        <v>11</v>
      </c>
      <c r="X184" s="2">
        <v>2.2999999999999998</v>
      </c>
      <c r="Y184" s="2">
        <v>-2</v>
      </c>
    </row>
    <row r="185" spans="1:25" x14ac:dyDescent="0.2">
      <c r="A185" t="s">
        <v>425</v>
      </c>
      <c r="B185" s="2">
        <v>23</v>
      </c>
      <c r="C185" t="s">
        <v>82</v>
      </c>
      <c r="D185" s="2" t="s">
        <v>42</v>
      </c>
      <c r="E185" s="2">
        <v>5</v>
      </c>
      <c r="F185" s="2">
        <v>1</v>
      </c>
      <c r="G185" s="2">
        <v>84</v>
      </c>
      <c r="H185" s="2">
        <v>0.60899999999999999</v>
      </c>
      <c r="I185" s="2">
        <v>0.60899999999999999</v>
      </c>
      <c r="J185" s="2"/>
      <c r="K185" s="2">
        <v>0.60899999999999999</v>
      </c>
      <c r="L185" s="2">
        <v>0.5</v>
      </c>
      <c r="M185" s="2">
        <v>0.6</v>
      </c>
      <c r="N185" s="2">
        <v>0.60899999999999999</v>
      </c>
      <c r="O185" s="2">
        <v>0</v>
      </c>
      <c r="P185" s="2">
        <v>131</v>
      </c>
      <c r="Q185" s="2">
        <v>112</v>
      </c>
      <c r="R185" s="2"/>
      <c r="S185" s="2">
        <v>113</v>
      </c>
      <c r="T185" s="2">
        <v>64</v>
      </c>
      <c r="U185" s="2">
        <v>104</v>
      </c>
      <c r="V185" s="2">
        <v>244</v>
      </c>
      <c r="W185" s="2">
        <v>0</v>
      </c>
      <c r="X185" s="2">
        <v>3.1</v>
      </c>
      <c r="Y185" s="2">
        <v>1.5</v>
      </c>
    </row>
    <row r="186" spans="1:25" x14ac:dyDescent="0.2">
      <c r="A186" t="s">
        <v>232</v>
      </c>
      <c r="B186" s="2">
        <v>25</v>
      </c>
      <c r="C186" t="s">
        <v>32</v>
      </c>
      <c r="D186" s="2" t="s">
        <v>52</v>
      </c>
      <c r="E186" s="2">
        <v>22</v>
      </c>
      <c r="F186" s="2">
        <v>9</v>
      </c>
      <c r="G186" s="2">
        <v>473</v>
      </c>
      <c r="H186" s="2">
        <v>0.41199999999999998</v>
      </c>
      <c r="I186" s="2">
        <v>0.52900000000000003</v>
      </c>
      <c r="J186" s="2">
        <v>0.38200000000000001</v>
      </c>
      <c r="K186" s="2">
        <v>0.56499999999999995</v>
      </c>
      <c r="L186" s="2">
        <v>0.7</v>
      </c>
      <c r="M186" s="2">
        <v>0.57099999999999995</v>
      </c>
      <c r="N186" s="2">
        <v>5.8999999999999997E-2</v>
      </c>
      <c r="O186" s="2">
        <v>0.8</v>
      </c>
      <c r="P186" s="2">
        <v>89</v>
      </c>
      <c r="Q186" s="2">
        <v>98</v>
      </c>
      <c r="R186" s="2">
        <v>106</v>
      </c>
      <c r="S186" s="2">
        <v>104</v>
      </c>
      <c r="T186" s="2">
        <v>90</v>
      </c>
      <c r="U186" s="2">
        <v>99</v>
      </c>
      <c r="V186" s="2">
        <v>24</v>
      </c>
      <c r="W186" s="2">
        <v>189</v>
      </c>
      <c r="X186" s="2">
        <v>8.1999999999999993</v>
      </c>
      <c r="Y186" s="2">
        <v>-1.4</v>
      </c>
    </row>
    <row r="187" spans="1:25" x14ac:dyDescent="0.2">
      <c r="A187" t="s">
        <v>272</v>
      </c>
      <c r="B187" s="2">
        <v>23</v>
      </c>
      <c r="C187" t="s">
        <v>75</v>
      </c>
      <c r="D187" s="2" t="s">
        <v>42</v>
      </c>
      <c r="E187" s="2">
        <v>26</v>
      </c>
      <c r="F187" s="2">
        <v>3</v>
      </c>
      <c r="G187" s="2">
        <v>572</v>
      </c>
      <c r="H187" s="2">
        <v>0.55400000000000005</v>
      </c>
      <c r="I187" s="2">
        <v>0.62</v>
      </c>
      <c r="J187" s="2">
        <v>0.25</v>
      </c>
      <c r="K187" s="2">
        <v>0.57599999999999996</v>
      </c>
      <c r="L187" s="2">
        <v>0.879</v>
      </c>
      <c r="M187" s="2">
        <v>0.624</v>
      </c>
      <c r="N187" s="2">
        <v>0.29499999999999998</v>
      </c>
      <c r="O187" s="2">
        <v>0.17899999999999999</v>
      </c>
      <c r="P187" s="2">
        <v>119</v>
      </c>
      <c r="Q187" s="2">
        <v>114</v>
      </c>
      <c r="R187" s="2">
        <v>70</v>
      </c>
      <c r="S187" s="2">
        <v>107</v>
      </c>
      <c r="T187" s="2">
        <v>113</v>
      </c>
      <c r="U187" s="2">
        <v>109</v>
      </c>
      <c r="V187" s="2">
        <v>118</v>
      </c>
      <c r="W187" s="2">
        <v>42</v>
      </c>
      <c r="X187" s="2">
        <v>7.9</v>
      </c>
      <c r="Y187" s="2">
        <v>12.6</v>
      </c>
    </row>
    <row r="188" spans="1:25" x14ac:dyDescent="0.2">
      <c r="A188" t="s">
        <v>478</v>
      </c>
      <c r="B188" s="2">
        <v>24</v>
      </c>
      <c r="C188" t="s">
        <v>59</v>
      </c>
      <c r="D188" s="2" t="s">
        <v>52</v>
      </c>
      <c r="E188" s="2">
        <v>2</v>
      </c>
      <c r="F188" s="2">
        <v>0</v>
      </c>
      <c r="G188" s="2">
        <v>29</v>
      </c>
      <c r="H188" s="2">
        <v>0.45500000000000002</v>
      </c>
      <c r="I188" s="2">
        <v>0.44400000000000001</v>
      </c>
      <c r="J188" s="2">
        <v>0.5</v>
      </c>
      <c r="K188" s="2">
        <v>0.5</v>
      </c>
      <c r="L188" s="2">
        <v>0.875</v>
      </c>
      <c r="M188" s="2">
        <v>0.62</v>
      </c>
      <c r="N188" s="2">
        <v>0.72699999999999998</v>
      </c>
      <c r="O188" s="2">
        <v>0.182</v>
      </c>
      <c r="P188" s="2">
        <v>98</v>
      </c>
      <c r="Q188" s="2">
        <v>82</v>
      </c>
      <c r="R188" s="2">
        <v>139</v>
      </c>
      <c r="S188" s="2">
        <v>93</v>
      </c>
      <c r="T188" s="2">
        <v>112</v>
      </c>
      <c r="U188" s="2">
        <v>108</v>
      </c>
      <c r="V188" s="2">
        <v>292</v>
      </c>
      <c r="W188" s="2">
        <v>43</v>
      </c>
      <c r="X188" s="2">
        <v>-0.9</v>
      </c>
      <c r="Y188" s="2">
        <v>1.3</v>
      </c>
    </row>
    <row r="189" spans="1:25" x14ac:dyDescent="0.2">
      <c r="A189" t="s">
        <v>126</v>
      </c>
      <c r="B189" s="2">
        <v>27</v>
      </c>
      <c r="C189" t="s">
        <v>77</v>
      </c>
      <c r="D189" s="2" t="s">
        <v>42</v>
      </c>
      <c r="E189" s="2">
        <v>25</v>
      </c>
      <c r="F189" s="2">
        <v>25</v>
      </c>
      <c r="G189" s="2">
        <v>811</v>
      </c>
      <c r="H189" s="2">
        <v>0.60199999999999998</v>
      </c>
      <c r="I189" s="2">
        <v>0.60199999999999998</v>
      </c>
      <c r="J189" s="2"/>
      <c r="K189" s="2">
        <v>0.60199999999999998</v>
      </c>
      <c r="L189" s="2">
        <v>0.53400000000000003</v>
      </c>
      <c r="M189" s="2">
        <v>0.60299999999999998</v>
      </c>
      <c r="N189" s="2">
        <v>0.26600000000000001</v>
      </c>
      <c r="O189" s="2">
        <v>0</v>
      </c>
      <c r="P189" s="2">
        <v>130</v>
      </c>
      <c r="Q189" s="2">
        <v>111</v>
      </c>
      <c r="R189" s="2"/>
      <c r="S189" s="2">
        <v>111</v>
      </c>
      <c r="T189" s="2">
        <v>69</v>
      </c>
      <c r="U189" s="2">
        <v>105</v>
      </c>
      <c r="V189" s="2">
        <v>107</v>
      </c>
      <c r="W189" s="2">
        <v>0</v>
      </c>
      <c r="X189" s="2">
        <v>33.799999999999997</v>
      </c>
      <c r="Y189" s="2">
        <v>17.3</v>
      </c>
    </row>
    <row r="190" spans="1:25" x14ac:dyDescent="0.2">
      <c r="A190" t="s">
        <v>151</v>
      </c>
      <c r="B190" s="2">
        <v>25</v>
      </c>
      <c r="C190" t="s">
        <v>80</v>
      </c>
      <c r="D190" s="2" t="s">
        <v>33</v>
      </c>
      <c r="E190" s="2">
        <v>14</v>
      </c>
      <c r="F190" s="2">
        <v>14</v>
      </c>
      <c r="G190" s="2">
        <v>394</v>
      </c>
      <c r="H190" s="2">
        <v>0.45700000000000002</v>
      </c>
      <c r="I190" s="2">
        <v>0.51900000000000002</v>
      </c>
      <c r="J190" s="2">
        <v>0.30199999999999999</v>
      </c>
      <c r="K190" s="2">
        <v>0.5</v>
      </c>
      <c r="L190" s="2">
        <v>0.85299999999999998</v>
      </c>
      <c r="M190" s="2">
        <v>0.57399999999999995</v>
      </c>
      <c r="N190" s="2">
        <v>0.42599999999999999</v>
      </c>
      <c r="O190" s="2">
        <v>0.28299999999999997</v>
      </c>
      <c r="P190" s="2">
        <v>98</v>
      </c>
      <c r="Q190" s="2">
        <v>96</v>
      </c>
      <c r="R190" s="2">
        <v>84</v>
      </c>
      <c r="S190" s="2">
        <v>93</v>
      </c>
      <c r="T190" s="2">
        <v>110</v>
      </c>
      <c r="U190" s="2">
        <v>100</v>
      </c>
      <c r="V190" s="2">
        <v>171</v>
      </c>
      <c r="W190" s="2">
        <v>67</v>
      </c>
      <c r="X190" s="2">
        <v>-18.100000000000001</v>
      </c>
      <c r="Y190" s="2">
        <v>-0.2</v>
      </c>
    </row>
    <row r="191" spans="1:25" x14ac:dyDescent="0.2">
      <c r="A191" t="s">
        <v>359</v>
      </c>
      <c r="B191" s="2">
        <v>20</v>
      </c>
      <c r="C191" t="s">
        <v>66</v>
      </c>
      <c r="D191" s="2" t="s">
        <v>52</v>
      </c>
      <c r="E191" s="2">
        <v>12</v>
      </c>
      <c r="F191" s="2">
        <v>4</v>
      </c>
      <c r="G191" s="2">
        <v>227</v>
      </c>
      <c r="H191" s="2">
        <v>0.35899999999999999</v>
      </c>
      <c r="I191" s="2">
        <v>0.48899999999999999</v>
      </c>
      <c r="J191" s="2">
        <v>0.222</v>
      </c>
      <c r="K191" s="2">
        <v>0.41299999999999998</v>
      </c>
      <c r="L191" s="2">
        <v>0.71399999999999997</v>
      </c>
      <c r="M191" s="2">
        <v>0.438</v>
      </c>
      <c r="N191" s="2">
        <v>0.152</v>
      </c>
      <c r="O191" s="2">
        <v>0.48899999999999999</v>
      </c>
      <c r="P191" s="2">
        <v>77</v>
      </c>
      <c r="Q191" s="2">
        <v>90</v>
      </c>
      <c r="R191" s="2">
        <v>62</v>
      </c>
      <c r="S191" s="2">
        <v>76</v>
      </c>
      <c r="T191" s="2">
        <v>92</v>
      </c>
      <c r="U191" s="2">
        <v>76</v>
      </c>
      <c r="V191" s="2">
        <v>61</v>
      </c>
      <c r="W191" s="2">
        <v>116</v>
      </c>
      <c r="X191" s="2">
        <v>-23.5</v>
      </c>
      <c r="Y191" s="2">
        <v>-26.8</v>
      </c>
    </row>
    <row r="192" spans="1:25" x14ac:dyDescent="0.2">
      <c r="A192" t="s">
        <v>166</v>
      </c>
      <c r="B192" s="2">
        <v>21</v>
      </c>
      <c r="C192" t="s">
        <v>87</v>
      </c>
      <c r="D192" s="2" t="s">
        <v>27</v>
      </c>
      <c r="E192" s="2">
        <v>25</v>
      </c>
      <c r="F192" s="2">
        <v>25</v>
      </c>
      <c r="G192" s="2">
        <v>758</v>
      </c>
      <c r="H192" s="2">
        <v>0.436</v>
      </c>
      <c r="I192" s="2">
        <v>0.52600000000000002</v>
      </c>
      <c r="J192" s="2">
        <v>0.35199999999999998</v>
      </c>
      <c r="K192" s="2">
        <v>0.52800000000000002</v>
      </c>
      <c r="L192" s="2">
        <v>0.85699999999999998</v>
      </c>
      <c r="M192" s="2">
        <v>0.56499999999999995</v>
      </c>
      <c r="N192" s="2">
        <v>0.20799999999999999</v>
      </c>
      <c r="O192" s="2">
        <v>0.51700000000000002</v>
      </c>
      <c r="P192" s="2">
        <v>94</v>
      </c>
      <c r="Q192" s="2">
        <v>97</v>
      </c>
      <c r="R192" s="2">
        <v>98</v>
      </c>
      <c r="S192" s="2">
        <v>98</v>
      </c>
      <c r="T192" s="2">
        <v>110</v>
      </c>
      <c r="U192" s="2">
        <v>98</v>
      </c>
      <c r="V192" s="2">
        <v>83</v>
      </c>
      <c r="W192" s="2">
        <v>122</v>
      </c>
      <c r="X192" s="2">
        <v>-6.1</v>
      </c>
      <c r="Y192" s="2">
        <v>-4.9000000000000004</v>
      </c>
    </row>
    <row r="193" spans="1:25" x14ac:dyDescent="0.2">
      <c r="A193" t="s">
        <v>393</v>
      </c>
      <c r="B193" s="2">
        <v>22</v>
      </c>
      <c r="C193" t="s">
        <v>135</v>
      </c>
      <c r="D193" s="2" t="s">
        <v>49</v>
      </c>
      <c r="E193" s="2">
        <v>19</v>
      </c>
      <c r="F193" s="2">
        <v>0</v>
      </c>
      <c r="G193" s="2">
        <v>204</v>
      </c>
      <c r="H193" s="2">
        <v>0.373</v>
      </c>
      <c r="I193" s="2">
        <v>0.47599999999999998</v>
      </c>
      <c r="J193" s="2">
        <v>0.11799999999999999</v>
      </c>
      <c r="K193" s="2">
        <v>0.39</v>
      </c>
      <c r="L193" s="2">
        <v>0.84599999999999997</v>
      </c>
      <c r="M193" s="2">
        <v>0.44</v>
      </c>
      <c r="N193" s="2">
        <v>0.22</v>
      </c>
      <c r="O193" s="2">
        <v>0.28799999999999998</v>
      </c>
      <c r="P193" s="2">
        <v>80</v>
      </c>
      <c r="Q193" s="2">
        <v>88</v>
      </c>
      <c r="R193" s="2">
        <v>33</v>
      </c>
      <c r="S193" s="2">
        <v>72</v>
      </c>
      <c r="T193" s="2">
        <v>109</v>
      </c>
      <c r="U193" s="2">
        <v>77</v>
      </c>
      <c r="V193" s="2">
        <v>88</v>
      </c>
      <c r="W193" s="2">
        <v>68</v>
      </c>
      <c r="X193" s="2">
        <v>-17.8</v>
      </c>
      <c r="Y193" s="2">
        <v>-17.399999999999999</v>
      </c>
    </row>
    <row r="194" spans="1:25" x14ac:dyDescent="0.2">
      <c r="A194" t="s">
        <v>503</v>
      </c>
      <c r="B194" s="2">
        <v>28</v>
      </c>
      <c r="C194" t="s">
        <v>87</v>
      </c>
      <c r="D194" s="2" t="s">
        <v>27</v>
      </c>
      <c r="E194" s="2">
        <v>6</v>
      </c>
      <c r="F194" s="2">
        <v>0</v>
      </c>
      <c r="G194" s="2">
        <v>21</v>
      </c>
      <c r="H194" s="2">
        <v>0.27300000000000002</v>
      </c>
      <c r="I194" s="2">
        <v>0.33300000000000002</v>
      </c>
      <c r="J194" s="2">
        <v>0.25</v>
      </c>
      <c r="K194" s="2">
        <v>0.36399999999999999</v>
      </c>
      <c r="L194" s="2"/>
      <c r="M194" s="2">
        <v>0.36399999999999999</v>
      </c>
      <c r="N194" s="2">
        <v>0</v>
      </c>
      <c r="O194" s="2">
        <v>0.72699999999999998</v>
      </c>
      <c r="P194" s="2">
        <v>59</v>
      </c>
      <c r="Q194" s="2">
        <v>62</v>
      </c>
      <c r="R194" s="2">
        <v>70</v>
      </c>
      <c r="S194" s="2">
        <v>67</v>
      </c>
      <c r="T194" s="2"/>
      <c r="U194" s="2">
        <v>63</v>
      </c>
      <c r="V194" s="2">
        <v>0</v>
      </c>
      <c r="W194" s="2">
        <v>172</v>
      </c>
      <c r="X194" s="2">
        <v>-3.9</v>
      </c>
      <c r="Y194" s="2">
        <v>-4.5999999999999996</v>
      </c>
    </row>
    <row r="195" spans="1:25" x14ac:dyDescent="0.2">
      <c r="A195" t="s">
        <v>551</v>
      </c>
      <c r="B195" s="2">
        <v>24</v>
      </c>
      <c r="C195" t="s">
        <v>44</v>
      </c>
      <c r="D195" s="2" t="s">
        <v>49</v>
      </c>
      <c r="E195" s="2">
        <v>7</v>
      </c>
      <c r="F195" s="2">
        <v>0</v>
      </c>
      <c r="G195" s="2">
        <v>21</v>
      </c>
      <c r="H195" s="2">
        <v>0.33300000000000002</v>
      </c>
      <c r="I195" s="2">
        <v>1</v>
      </c>
      <c r="J195" s="2">
        <v>0</v>
      </c>
      <c r="K195" s="2">
        <v>0.33300000000000002</v>
      </c>
      <c r="L195" s="2"/>
      <c r="M195" s="2">
        <v>0.33300000000000002</v>
      </c>
      <c r="N195" s="2">
        <v>0</v>
      </c>
      <c r="O195" s="2">
        <v>0.66700000000000004</v>
      </c>
      <c r="P195" s="2">
        <v>72</v>
      </c>
      <c r="Q195" s="2">
        <v>185</v>
      </c>
      <c r="R195" s="2">
        <v>0</v>
      </c>
      <c r="S195" s="2">
        <v>62</v>
      </c>
      <c r="T195" s="2"/>
      <c r="U195" s="2">
        <v>58</v>
      </c>
      <c r="V195" s="2">
        <v>0</v>
      </c>
      <c r="W195" s="2">
        <v>158</v>
      </c>
      <c r="X195" s="2">
        <v>-1.2</v>
      </c>
      <c r="Y195" s="2">
        <v>-1.4</v>
      </c>
    </row>
    <row r="196" spans="1:25" x14ac:dyDescent="0.2">
      <c r="A196" t="s">
        <v>288</v>
      </c>
      <c r="B196" s="2">
        <v>22</v>
      </c>
      <c r="C196" t="s">
        <v>63</v>
      </c>
      <c r="D196" s="2" t="s">
        <v>52</v>
      </c>
      <c r="E196" s="2">
        <v>22</v>
      </c>
      <c r="F196" s="2">
        <v>2</v>
      </c>
      <c r="G196" s="2">
        <v>320</v>
      </c>
      <c r="H196" s="2">
        <v>0.39100000000000001</v>
      </c>
      <c r="I196" s="2">
        <v>0.45900000000000002</v>
      </c>
      <c r="J196" s="2">
        <v>0.30499999999999999</v>
      </c>
      <c r="K196" s="2">
        <v>0.45900000000000002</v>
      </c>
      <c r="L196" s="2">
        <v>0.88</v>
      </c>
      <c r="M196" s="2">
        <v>0.5</v>
      </c>
      <c r="N196" s="2">
        <v>0.188</v>
      </c>
      <c r="O196" s="2">
        <v>0.44400000000000001</v>
      </c>
      <c r="P196" s="2">
        <v>84</v>
      </c>
      <c r="Q196" s="2">
        <v>85</v>
      </c>
      <c r="R196" s="2">
        <v>85</v>
      </c>
      <c r="S196" s="2">
        <v>85</v>
      </c>
      <c r="T196" s="2">
        <v>113</v>
      </c>
      <c r="U196" s="2">
        <v>87</v>
      </c>
      <c r="V196" s="2">
        <v>75</v>
      </c>
      <c r="W196" s="2">
        <v>105</v>
      </c>
      <c r="X196" s="2">
        <v>-21.8</v>
      </c>
      <c r="Y196" s="2">
        <v>-21.4</v>
      </c>
    </row>
    <row r="197" spans="1:25" x14ac:dyDescent="0.2">
      <c r="A197" t="s">
        <v>101</v>
      </c>
      <c r="B197" s="2">
        <v>22</v>
      </c>
      <c r="C197" t="s">
        <v>75</v>
      </c>
      <c r="D197" s="2" t="s">
        <v>52</v>
      </c>
      <c r="E197" s="2">
        <v>25</v>
      </c>
      <c r="F197" s="2">
        <v>25</v>
      </c>
      <c r="G197" s="2">
        <v>759</v>
      </c>
      <c r="H197" s="2">
        <v>0.436</v>
      </c>
      <c r="I197" s="2">
        <v>0.47499999999999998</v>
      </c>
      <c r="J197" s="2">
        <v>0.36699999999999999</v>
      </c>
      <c r="K197" s="2">
        <v>0.503</v>
      </c>
      <c r="L197" s="2">
        <v>0.73099999999999998</v>
      </c>
      <c r="M197" s="2">
        <v>0.54200000000000004</v>
      </c>
      <c r="N197" s="2">
        <v>0.308</v>
      </c>
      <c r="O197" s="2">
        <v>0.36499999999999999</v>
      </c>
      <c r="P197" s="2">
        <v>94</v>
      </c>
      <c r="Q197" s="2">
        <v>88</v>
      </c>
      <c r="R197" s="2">
        <v>102</v>
      </c>
      <c r="S197" s="2">
        <v>93</v>
      </c>
      <c r="T197" s="2">
        <v>94</v>
      </c>
      <c r="U197" s="2">
        <v>94</v>
      </c>
      <c r="V197" s="2">
        <v>123</v>
      </c>
      <c r="W197" s="2">
        <v>86</v>
      </c>
      <c r="X197" s="2">
        <v>-26.4</v>
      </c>
      <c r="Y197" s="2">
        <v>-25.9</v>
      </c>
    </row>
    <row r="198" spans="1:25" x14ac:dyDescent="0.2">
      <c r="A198" t="s">
        <v>210</v>
      </c>
      <c r="B198" s="2">
        <v>24</v>
      </c>
      <c r="C198" t="s">
        <v>51</v>
      </c>
      <c r="D198" s="2" t="s">
        <v>27</v>
      </c>
      <c r="E198" s="2">
        <v>23</v>
      </c>
      <c r="F198" s="2">
        <v>23</v>
      </c>
      <c r="G198" s="2">
        <v>691</v>
      </c>
      <c r="H198" s="2">
        <v>0.44</v>
      </c>
      <c r="I198" s="2">
        <v>0.53800000000000003</v>
      </c>
      <c r="J198" s="2">
        <v>0.307</v>
      </c>
      <c r="K198" s="2">
        <v>0.505</v>
      </c>
      <c r="L198" s="2">
        <v>0.69199999999999995</v>
      </c>
      <c r="M198" s="2">
        <v>0.52</v>
      </c>
      <c r="N198" s="2">
        <v>0.126</v>
      </c>
      <c r="O198" s="2">
        <v>0.42499999999999999</v>
      </c>
      <c r="P198" s="2">
        <v>95</v>
      </c>
      <c r="Q198" s="2">
        <v>99</v>
      </c>
      <c r="R198" s="2">
        <v>85</v>
      </c>
      <c r="S198" s="2">
        <v>93</v>
      </c>
      <c r="T198" s="2">
        <v>89</v>
      </c>
      <c r="U198" s="2">
        <v>90</v>
      </c>
      <c r="V198" s="2">
        <v>50</v>
      </c>
      <c r="W198" s="2">
        <v>101</v>
      </c>
      <c r="X198" s="2">
        <v>-14.8</v>
      </c>
      <c r="Y198" s="2">
        <v>-24</v>
      </c>
    </row>
    <row r="199" spans="1:25" x14ac:dyDescent="0.2">
      <c r="A199" t="s">
        <v>513</v>
      </c>
      <c r="B199" s="2">
        <v>22</v>
      </c>
      <c r="C199" t="s">
        <v>39</v>
      </c>
      <c r="D199" s="2" t="s">
        <v>52</v>
      </c>
      <c r="E199" s="2">
        <v>7</v>
      </c>
      <c r="F199" s="2">
        <v>0</v>
      </c>
      <c r="G199" s="2">
        <v>24</v>
      </c>
      <c r="H199" s="2">
        <v>0.28599999999999998</v>
      </c>
      <c r="I199" s="2">
        <v>0.4</v>
      </c>
      <c r="J199" s="2">
        <v>0</v>
      </c>
      <c r="K199" s="2">
        <v>0.28599999999999998</v>
      </c>
      <c r="L199" s="2">
        <v>0.5</v>
      </c>
      <c r="M199" s="2">
        <v>0.34200000000000003</v>
      </c>
      <c r="N199" s="2">
        <v>0.57099999999999995</v>
      </c>
      <c r="O199" s="2">
        <v>0.28599999999999998</v>
      </c>
      <c r="P199" s="2">
        <v>61</v>
      </c>
      <c r="Q199" s="2">
        <v>74</v>
      </c>
      <c r="R199" s="2">
        <v>0</v>
      </c>
      <c r="S199" s="2">
        <v>53</v>
      </c>
      <c r="T199" s="2">
        <v>64</v>
      </c>
      <c r="U199" s="2">
        <v>60</v>
      </c>
      <c r="V199" s="2">
        <v>229</v>
      </c>
      <c r="W199" s="2">
        <v>68</v>
      </c>
      <c r="X199" s="2">
        <v>-3.6</v>
      </c>
      <c r="Y199" s="2">
        <v>-4.0999999999999996</v>
      </c>
    </row>
    <row r="200" spans="1:25" x14ac:dyDescent="0.2">
      <c r="A200" t="s">
        <v>465</v>
      </c>
      <c r="B200" s="2">
        <v>34</v>
      </c>
      <c r="C200" t="s">
        <v>37</v>
      </c>
      <c r="D200" s="2" t="s">
        <v>49</v>
      </c>
      <c r="E200" s="2">
        <v>5</v>
      </c>
      <c r="F200" s="2">
        <v>2</v>
      </c>
      <c r="G200" s="2">
        <v>84</v>
      </c>
      <c r="H200" s="2">
        <v>0.35299999999999998</v>
      </c>
      <c r="I200" s="2">
        <v>0.6</v>
      </c>
      <c r="J200" s="2">
        <v>0.25</v>
      </c>
      <c r="K200" s="2">
        <v>0.441</v>
      </c>
      <c r="L200" s="2">
        <v>0.83299999999999996</v>
      </c>
      <c r="M200" s="2">
        <v>0.50900000000000001</v>
      </c>
      <c r="N200" s="2">
        <v>0.35299999999999998</v>
      </c>
      <c r="O200" s="2">
        <v>0.70599999999999996</v>
      </c>
      <c r="P200" s="2">
        <v>76</v>
      </c>
      <c r="Q200" s="2">
        <v>111</v>
      </c>
      <c r="R200" s="2">
        <v>70</v>
      </c>
      <c r="S200" s="2">
        <v>82</v>
      </c>
      <c r="T200" s="2">
        <v>107</v>
      </c>
      <c r="U200" s="2">
        <v>89</v>
      </c>
      <c r="V200" s="2">
        <v>142</v>
      </c>
      <c r="W200" s="2">
        <v>167</v>
      </c>
      <c r="X200" s="2">
        <v>-3.4</v>
      </c>
      <c r="Y200" s="2">
        <v>-2.6</v>
      </c>
    </row>
    <row r="201" spans="1:25" x14ac:dyDescent="0.2">
      <c r="A201" t="s">
        <v>454</v>
      </c>
      <c r="B201" s="2">
        <v>29</v>
      </c>
      <c r="C201" t="s">
        <v>87</v>
      </c>
      <c r="D201" s="2" t="s">
        <v>49</v>
      </c>
      <c r="E201" s="2">
        <v>10</v>
      </c>
      <c r="F201" s="2">
        <v>0</v>
      </c>
      <c r="G201" s="2">
        <v>59</v>
      </c>
      <c r="H201" s="2">
        <v>0.56299999999999994</v>
      </c>
      <c r="I201" s="2">
        <v>0.64300000000000002</v>
      </c>
      <c r="J201" s="2">
        <v>0</v>
      </c>
      <c r="K201" s="2">
        <v>0.56299999999999994</v>
      </c>
      <c r="L201" s="2">
        <v>0.66700000000000004</v>
      </c>
      <c r="M201" s="2">
        <v>0.60099999999999998</v>
      </c>
      <c r="N201" s="2">
        <v>0.56299999999999994</v>
      </c>
      <c r="O201" s="2">
        <v>0.125</v>
      </c>
      <c r="P201" s="2">
        <v>121</v>
      </c>
      <c r="Q201" s="2">
        <v>119</v>
      </c>
      <c r="R201" s="2">
        <v>0</v>
      </c>
      <c r="S201" s="2">
        <v>104</v>
      </c>
      <c r="T201" s="2">
        <v>86</v>
      </c>
      <c r="U201" s="2">
        <v>105</v>
      </c>
      <c r="V201" s="2">
        <v>226</v>
      </c>
      <c r="W201" s="2">
        <v>30</v>
      </c>
      <c r="X201" s="2">
        <v>0.7</v>
      </c>
      <c r="Y201" s="2">
        <v>1.1000000000000001</v>
      </c>
    </row>
    <row r="202" spans="1:25" x14ac:dyDescent="0.2">
      <c r="A202" t="s">
        <v>270</v>
      </c>
      <c r="B202" s="2">
        <v>23</v>
      </c>
      <c r="C202" t="s">
        <v>61</v>
      </c>
      <c r="D202" s="2" t="s">
        <v>49</v>
      </c>
      <c r="E202" s="2">
        <v>19</v>
      </c>
      <c r="F202" s="2">
        <v>1</v>
      </c>
      <c r="G202" s="2">
        <v>402</v>
      </c>
      <c r="H202" s="2">
        <v>0.42099999999999999</v>
      </c>
      <c r="I202" s="2">
        <v>0.47199999999999998</v>
      </c>
      <c r="J202" s="2">
        <v>0.27</v>
      </c>
      <c r="K202" s="2">
        <v>0.45500000000000002</v>
      </c>
      <c r="L202" s="2">
        <v>0.70499999999999996</v>
      </c>
      <c r="M202" s="2">
        <v>0.496</v>
      </c>
      <c r="N202" s="2">
        <v>0.30299999999999999</v>
      </c>
      <c r="O202" s="2">
        <v>0.255</v>
      </c>
      <c r="P202" s="2">
        <v>91</v>
      </c>
      <c r="Q202" s="2">
        <v>87</v>
      </c>
      <c r="R202" s="2">
        <v>75</v>
      </c>
      <c r="S202" s="2">
        <v>84</v>
      </c>
      <c r="T202" s="2">
        <v>91</v>
      </c>
      <c r="U202" s="2">
        <v>86</v>
      </c>
      <c r="V202" s="2">
        <v>122</v>
      </c>
      <c r="W202" s="2">
        <v>60</v>
      </c>
      <c r="X202" s="2">
        <v>-24.7</v>
      </c>
      <c r="Y202" s="2">
        <v>-25.8</v>
      </c>
    </row>
    <row r="203" spans="1:25" x14ac:dyDescent="0.2">
      <c r="A203" t="s">
        <v>218</v>
      </c>
      <c r="B203" s="2">
        <v>23</v>
      </c>
      <c r="C203" t="s">
        <v>80</v>
      </c>
      <c r="D203" s="2" t="s">
        <v>27</v>
      </c>
      <c r="E203" s="2">
        <v>25</v>
      </c>
      <c r="F203" s="2">
        <v>0</v>
      </c>
      <c r="G203" s="2">
        <v>584</v>
      </c>
      <c r="H203" s="2">
        <v>0.503</v>
      </c>
      <c r="I203" s="2">
        <v>0.56799999999999995</v>
      </c>
      <c r="J203" s="2">
        <v>0.39300000000000002</v>
      </c>
      <c r="K203" s="2">
        <v>0.57599999999999996</v>
      </c>
      <c r="L203" s="2">
        <v>0.69499999999999995</v>
      </c>
      <c r="M203" s="2">
        <v>0.60699999999999998</v>
      </c>
      <c r="N203" s="2">
        <v>0.39100000000000001</v>
      </c>
      <c r="O203" s="2">
        <v>0.371</v>
      </c>
      <c r="P203" s="2">
        <v>108</v>
      </c>
      <c r="Q203" s="2">
        <v>105</v>
      </c>
      <c r="R203" s="2">
        <v>109</v>
      </c>
      <c r="S203" s="2">
        <v>107</v>
      </c>
      <c r="T203" s="2">
        <v>89</v>
      </c>
      <c r="U203" s="2">
        <v>106</v>
      </c>
      <c r="V203" s="2">
        <v>157</v>
      </c>
      <c r="W203" s="2">
        <v>88</v>
      </c>
      <c r="X203" s="2">
        <v>10.8</v>
      </c>
      <c r="Y203" s="2">
        <v>11.7</v>
      </c>
    </row>
    <row r="204" spans="1:25" x14ac:dyDescent="0.2">
      <c r="A204" t="s">
        <v>118</v>
      </c>
      <c r="B204" s="2">
        <v>29</v>
      </c>
      <c r="C204" t="s">
        <v>66</v>
      </c>
      <c r="D204" s="2" t="s">
        <v>42</v>
      </c>
      <c r="E204" s="2">
        <v>25</v>
      </c>
      <c r="F204" s="2">
        <v>24</v>
      </c>
      <c r="G204" s="2">
        <v>813</v>
      </c>
      <c r="H204" s="2">
        <v>0.59299999999999997</v>
      </c>
      <c r="I204" s="2">
        <v>0.59699999999999998</v>
      </c>
      <c r="J204" s="2">
        <v>0</v>
      </c>
      <c r="K204" s="2">
        <v>0.59299999999999997</v>
      </c>
      <c r="L204" s="2">
        <v>0.68200000000000005</v>
      </c>
      <c r="M204" s="2">
        <v>0.61499999999999999</v>
      </c>
      <c r="N204" s="2">
        <v>0.309</v>
      </c>
      <c r="O204" s="2">
        <v>7.0000000000000001E-3</v>
      </c>
      <c r="P204" s="2">
        <v>128</v>
      </c>
      <c r="Q204" s="2">
        <v>110</v>
      </c>
      <c r="R204" s="2">
        <v>0</v>
      </c>
      <c r="S204" s="2">
        <v>110</v>
      </c>
      <c r="T204" s="2">
        <v>88</v>
      </c>
      <c r="U204" s="2">
        <v>107</v>
      </c>
      <c r="V204" s="2">
        <v>124</v>
      </c>
      <c r="W204" s="2">
        <v>2</v>
      </c>
      <c r="X204" s="2">
        <v>29.9</v>
      </c>
      <c r="Y204" s="2">
        <v>26.1</v>
      </c>
    </row>
    <row r="205" spans="1:25" x14ac:dyDescent="0.2">
      <c r="A205" t="s">
        <v>553</v>
      </c>
      <c r="B205" s="2">
        <v>23</v>
      </c>
      <c r="C205" t="s">
        <v>54</v>
      </c>
      <c r="D205" s="2" t="s">
        <v>49</v>
      </c>
      <c r="E205" s="2">
        <v>2</v>
      </c>
      <c r="F205" s="2">
        <v>0</v>
      </c>
      <c r="G205" s="2">
        <v>11</v>
      </c>
      <c r="H205" s="2">
        <v>0</v>
      </c>
      <c r="I205" s="2"/>
      <c r="J205" s="2">
        <v>0</v>
      </c>
      <c r="K205" s="2">
        <v>0</v>
      </c>
      <c r="L205" s="2">
        <v>0.5</v>
      </c>
      <c r="M205" s="2">
        <v>0.17399999999999999</v>
      </c>
      <c r="N205" s="2">
        <v>1</v>
      </c>
      <c r="O205" s="2">
        <v>1</v>
      </c>
      <c r="P205" s="2">
        <v>0</v>
      </c>
      <c r="Q205" s="2"/>
      <c r="R205" s="2">
        <v>0</v>
      </c>
      <c r="S205" s="2">
        <v>0</v>
      </c>
      <c r="T205" s="2">
        <v>64</v>
      </c>
      <c r="U205" s="2">
        <v>30</v>
      </c>
      <c r="V205" s="2">
        <v>401</v>
      </c>
      <c r="W205" s="2">
        <v>237</v>
      </c>
      <c r="X205" s="2">
        <v>-2.2000000000000002</v>
      </c>
      <c r="Y205" s="2">
        <v>-2.2999999999999998</v>
      </c>
    </row>
    <row r="206" spans="1:25" x14ac:dyDescent="0.2">
      <c r="A206" t="s">
        <v>43</v>
      </c>
      <c r="B206" s="2">
        <v>28</v>
      </c>
      <c r="C206" t="s">
        <v>44</v>
      </c>
      <c r="D206" s="2" t="s">
        <v>33</v>
      </c>
      <c r="E206" s="2">
        <v>25</v>
      </c>
      <c r="F206" s="2">
        <v>25</v>
      </c>
      <c r="G206" s="2">
        <v>857</v>
      </c>
      <c r="H206" s="2">
        <v>0.49099999999999999</v>
      </c>
      <c r="I206" s="2">
        <v>0.52500000000000002</v>
      </c>
      <c r="J206" s="2">
        <v>0.42899999999999999</v>
      </c>
      <c r="K206" s="2">
        <v>0.56699999999999995</v>
      </c>
      <c r="L206" s="2">
        <v>0.82299999999999995</v>
      </c>
      <c r="M206" s="2">
        <v>0.61899999999999999</v>
      </c>
      <c r="N206" s="2">
        <v>0.36699999999999999</v>
      </c>
      <c r="O206" s="2">
        <v>0.35799999999999998</v>
      </c>
      <c r="P206" s="2">
        <v>106</v>
      </c>
      <c r="Q206" s="2">
        <v>97</v>
      </c>
      <c r="R206" s="2">
        <v>119</v>
      </c>
      <c r="S206" s="2">
        <v>105</v>
      </c>
      <c r="T206" s="2">
        <v>106</v>
      </c>
      <c r="U206" s="2">
        <v>108</v>
      </c>
      <c r="V206" s="2">
        <v>147</v>
      </c>
      <c r="W206" s="2">
        <v>85</v>
      </c>
      <c r="X206" s="2">
        <v>23.2</v>
      </c>
      <c r="Y206" s="2">
        <v>44.1</v>
      </c>
    </row>
    <row r="207" spans="1:25" x14ac:dyDescent="0.2">
      <c r="A207" t="s">
        <v>226</v>
      </c>
      <c r="B207" s="2">
        <v>21</v>
      </c>
      <c r="C207" t="s">
        <v>75</v>
      </c>
      <c r="D207" s="2" t="s">
        <v>42</v>
      </c>
      <c r="E207" s="2">
        <v>23</v>
      </c>
      <c r="F207" s="2">
        <v>23</v>
      </c>
      <c r="G207" s="2">
        <v>550</v>
      </c>
      <c r="H207" s="2">
        <v>0.68</v>
      </c>
      <c r="I207" s="2">
        <v>0.68</v>
      </c>
      <c r="J207" s="2"/>
      <c r="K207" s="2">
        <v>0.68</v>
      </c>
      <c r="L207" s="2">
        <v>0.57599999999999996</v>
      </c>
      <c r="M207" s="2">
        <v>0.67500000000000004</v>
      </c>
      <c r="N207" s="2">
        <v>0.54100000000000004</v>
      </c>
      <c r="O207" s="2">
        <v>0</v>
      </c>
      <c r="P207" s="2">
        <v>146</v>
      </c>
      <c r="Q207" s="2">
        <v>126</v>
      </c>
      <c r="R207" s="2"/>
      <c r="S207" s="2">
        <v>126</v>
      </c>
      <c r="T207" s="2">
        <v>74</v>
      </c>
      <c r="U207" s="2">
        <v>118</v>
      </c>
      <c r="V207" s="2">
        <v>217</v>
      </c>
      <c r="W207" s="2">
        <v>0</v>
      </c>
      <c r="X207" s="2">
        <v>34.1</v>
      </c>
      <c r="Y207" s="2">
        <v>30.5</v>
      </c>
    </row>
    <row r="208" spans="1:25" x14ac:dyDescent="0.2">
      <c r="A208" t="s">
        <v>86</v>
      </c>
      <c r="B208" s="2">
        <v>22</v>
      </c>
      <c r="C208" t="s">
        <v>87</v>
      </c>
      <c r="D208" s="2" t="s">
        <v>52</v>
      </c>
      <c r="E208" s="2">
        <v>25</v>
      </c>
      <c r="F208" s="2">
        <v>25</v>
      </c>
      <c r="G208" s="2">
        <v>813</v>
      </c>
      <c r="H208" s="2">
        <v>0.39700000000000002</v>
      </c>
      <c r="I208" s="2">
        <v>0.46500000000000002</v>
      </c>
      <c r="J208" s="2">
        <v>0.32100000000000001</v>
      </c>
      <c r="K208" s="2">
        <v>0.47299999999999998</v>
      </c>
      <c r="L208" s="2">
        <v>0.874</v>
      </c>
      <c r="M208" s="2">
        <v>0.52900000000000003</v>
      </c>
      <c r="N208" s="2">
        <v>0.27300000000000002</v>
      </c>
      <c r="O208" s="2">
        <v>0.47499999999999998</v>
      </c>
      <c r="P208" s="2">
        <v>85</v>
      </c>
      <c r="Q208" s="2">
        <v>86</v>
      </c>
      <c r="R208" s="2">
        <v>89</v>
      </c>
      <c r="S208" s="2">
        <v>87</v>
      </c>
      <c r="T208" s="2">
        <v>112</v>
      </c>
      <c r="U208" s="2">
        <v>92</v>
      </c>
      <c r="V208" s="2">
        <v>110</v>
      </c>
      <c r="W208" s="2">
        <v>112</v>
      </c>
      <c r="X208" s="2">
        <v>-54.9</v>
      </c>
      <c r="Y208" s="2">
        <v>-41.6</v>
      </c>
    </row>
    <row r="209" spans="1:25" x14ac:dyDescent="0.2">
      <c r="A209" t="s">
        <v>526</v>
      </c>
      <c r="B209" s="2">
        <v>21</v>
      </c>
      <c r="C209" t="s">
        <v>41</v>
      </c>
      <c r="D209" s="2" t="s">
        <v>52</v>
      </c>
      <c r="E209" s="2">
        <v>2</v>
      </c>
      <c r="F209" s="2">
        <v>0</v>
      </c>
      <c r="G209" s="2">
        <v>14</v>
      </c>
      <c r="H209" s="2">
        <v>1</v>
      </c>
      <c r="I209" s="2">
        <v>1</v>
      </c>
      <c r="J209" s="2"/>
      <c r="K209" s="2">
        <v>1</v>
      </c>
      <c r="L209" s="2">
        <v>1</v>
      </c>
      <c r="M209" s="2">
        <v>1.0640000000000001</v>
      </c>
      <c r="N209" s="2">
        <v>2</v>
      </c>
      <c r="O209" s="2">
        <v>0</v>
      </c>
      <c r="P209" s="2">
        <v>215</v>
      </c>
      <c r="Q209" s="2">
        <v>185</v>
      </c>
      <c r="R209" s="2"/>
      <c r="S209" s="2">
        <v>185</v>
      </c>
      <c r="T209" s="2">
        <v>129</v>
      </c>
      <c r="U209" s="2">
        <v>185</v>
      </c>
      <c r="V209" s="2">
        <v>802</v>
      </c>
      <c r="W209" s="2">
        <v>0</v>
      </c>
      <c r="X209" s="2">
        <v>0.9</v>
      </c>
      <c r="Y209" s="2">
        <v>1.8</v>
      </c>
    </row>
    <row r="210" spans="1:25" x14ac:dyDescent="0.2">
      <c r="A210" t="s">
        <v>89</v>
      </c>
      <c r="B210" s="2">
        <v>23</v>
      </c>
      <c r="C210" t="s">
        <v>72</v>
      </c>
      <c r="D210" s="2" t="s">
        <v>49</v>
      </c>
      <c r="E210" s="2">
        <v>24</v>
      </c>
      <c r="F210" s="2">
        <v>24</v>
      </c>
      <c r="G210" s="2">
        <v>877</v>
      </c>
      <c r="H210" s="2">
        <v>0.503</v>
      </c>
      <c r="I210" s="2">
        <v>0.56599999999999995</v>
      </c>
      <c r="J210" s="2">
        <v>0.34899999999999998</v>
      </c>
      <c r="K210" s="2">
        <v>0.55300000000000005</v>
      </c>
      <c r="L210" s="2">
        <v>0.75</v>
      </c>
      <c r="M210" s="2">
        <v>0.57899999999999996</v>
      </c>
      <c r="N210" s="2">
        <v>0.21299999999999999</v>
      </c>
      <c r="O210" s="2">
        <v>0.28999999999999998</v>
      </c>
      <c r="P210" s="2">
        <v>108</v>
      </c>
      <c r="Q210" s="2">
        <v>104</v>
      </c>
      <c r="R210" s="2">
        <v>97</v>
      </c>
      <c r="S210" s="2">
        <v>102</v>
      </c>
      <c r="T210" s="2">
        <v>96</v>
      </c>
      <c r="U210" s="2">
        <v>101</v>
      </c>
      <c r="V210" s="2">
        <v>85</v>
      </c>
      <c r="W210" s="2">
        <v>69</v>
      </c>
      <c r="X210" s="2">
        <v>9.5</v>
      </c>
      <c r="Y210" s="2">
        <v>3.5</v>
      </c>
    </row>
    <row r="211" spans="1:25" x14ac:dyDescent="0.2">
      <c r="A211" t="s">
        <v>519</v>
      </c>
      <c r="B211" s="2">
        <v>25</v>
      </c>
      <c r="C211" t="s">
        <v>46</v>
      </c>
      <c r="D211" s="2" t="s">
        <v>52</v>
      </c>
      <c r="E211" s="2">
        <v>4</v>
      </c>
      <c r="F211" s="2">
        <v>0</v>
      </c>
      <c r="G211" s="2">
        <v>37</v>
      </c>
      <c r="H211" s="2">
        <v>0.5</v>
      </c>
      <c r="I211" s="2">
        <v>1</v>
      </c>
      <c r="J211" s="2">
        <v>0.33300000000000002</v>
      </c>
      <c r="K211" s="2">
        <v>0.625</v>
      </c>
      <c r="L211" s="2"/>
      <c r="M211" s="2">
        <v>0.625</v>
      </c>
      <c r="N211" s="2">
        <v>0</v>
      </c>
      <c r="O211" s="2">
        <v>0.75</v>
      </c>
      <c r="P211" s="2">
        <v>108</v>
      </c>
      <c r="Q211" s="2">
        <v>185</v>
      </c>
      <c r="R211" s="2">
        <v>93</v>
      </c>
      <c r="S211" s="2">
        <v>116</v>
      </c>
      <c r="T211" s="2"/>
      <c r="U211" s="2">
        <v>109</v>
      </c>
      <c r="V211" s="2">
        <v>0</v>
      </c>
      <c r="W211" s="2">
        <v>177</v>
      </c>
      <c r="X211" s="2">
        <v>0.7</v>
      </c>
      <c r="Y211" s="2">
        <v>0.4</v>
      </c>
    </row>
    <row r="212" spans="1:25" x14ac:dyDescent="0.2">
      <c r="A212" t="s">
        <v>254</v>
      </c>
      <c r="B212" s="2">
        <v>24</v>
      </c>
      <c r="C212" t="s">
        <v>70</v>
      </c>
      <c r="D212" s="2" t="s">
        <v>42</v>
      </c>
      <c r="E212" s="2">
        <v>22</v>
      </c>
      <c r="F212" s="2">
        <v>0</v>
      </c>
      <c r="G212" s="2">
        <v>325</v>
      </c>
      <c r="H212" s="2">
        <v>0.46200000000000002</v>
      </c>
      <c r="I212" s="2">
        <v>0.59599999999999997</v>
      </c>
      <c r="J212" s="2">
        <v>0.36</v>
      </c>
      <c r="K212" s="2">
        <v>0.56399999999999995</v>
      </c>
      <c r="L212" s="2">
        <v>0.79400000000000004</v>
      </c>
      <c r="M212" s="2">
        <v>0.59899999999999998</v>
      </c>
      <c r="N212" s="2">
        <v>0.25800000000000001</v>
      </c>
      <c r="O212" s="2">
        <v>0.56799999999999995</v>
      </c>
      <c r="P212" s="2">
        <v>99</v>
      </c>
      <c r="Q212" s="2">
        <v>110</v>
      </c>
      <c r="R212" s="2">
        <v>100</v>
      </c>
      <c r="S212" s="2">
        <v>104</v>
      </c>
      <c r="T212" s="2">
        <v>102</v>
      </c>
      <c r="U212" s="2">
        <v>104</v>
      </c>
      <c r="V212" s="2">
        <v>103</v>
      </c>
      <c r="W212" s="2">
        <v>134</v>
      </c>
      <c r="X212" s="2">
        <v>6.3</v>
      </c>
      <c r="Y212" s="2">
        <v>7.1</v>
      </c>
    </row>
    <row r="213" spans="1:25" x14ac:dyDescent="0.2">
      <c r="A213" t="s">
        <v>104</v>
      </c>
      <c r="B213" s="2">
        <v>23</v>
      </c>
      <c r="C213" t="s">
        <v>48</v>
      </c>
      <c r="D213" s="2" t="s">
        <v>33</v>
      </c>
      <c r="E213" s="2">
        <v>26</v>
      </c>
      <c r="F213" s="2">
        <v>26</v>
      </c>
      <c r="G213" s="2">
        <v>789</v>
      </c>
      <c r="H213" s="2">
        <v>0.41599999999999998</v>
      </c>
      <c r="I213" s="2">
        <v>0.52700000000000002</v>
      </c>
      <c r="J213" s="2">
        <v>0.317</v>
      </c>
      <c r="K213" s="2">
        <v>0.5</v>
      </c>
      <c r="L213" s="2">
        <v>0.91500000000000004</v>
      </c>
      <c r="M213" s="2">
        <v>0.55000000000000004</v>
      </c>
      <c r="N213" s="2">
        <v>0.23</v>
      </c>
      <c r="O213" s="2">
        <v>0.53100000000000003</v>
      </c>
      <c r="P213" s="2">
        <v>89</v>
      </c>
      <c r="Q213" s="2">
        <v>97</v>
      </c>
      <c r="R213" s="2">
        <v>88</v>
      </c>
      <c r="S213" s="2">
        <v>93</v>
      </c>
      <c r="T213" s="2">
        <v>118</v>
      </c>
      <c r="U213" s="2">
        <v>96</v>
      </c>
      <c r="V213" s="2">
        <v>92</v>
      </c>
      <c r="W213" s="2">
        <v>126</v>
      </c>
      <c r="X213" s="2">
        <v>-28.8</v>
      </c>
      <c r="Y213" s="2">
        <v>-19.5</v>
      </c>
    </row>
    <row r="214" spans="1:25" x14ac:dyDescent="0.2">
      <c r="A214" t="s">
        <v>73</v>
      </c>
      <c r="B214" s="2">
        <v>23</v>
      </c>
      <c r="C214" t="s">
        <v>32</v>
      </c>
      <c r="D214" s="2" t="s">
        <v>52</v>
      </c>
      <c r="E214" s="2">
        <v>24</v>
      </c>
      <c r="F214" s="2">
        <v>24</v>
      </c>
      <c r="G214" s="2">
        <v>764</v>
      </c>
      <c r="H214" s="2">
        <v>0.505</v>
      </c>
      <c r="I214" s="2">
        <v>0.55900000000000005</v>
      </c>
      <c r="J214" s="2">
        <v>0.38400000000000001</v>
      </c>
      <c r="K214" s="2">
        <v>0.56399999999999995</v>
      </c>
      <c r="L214" s="2">
        <v>0.80700000000000005</v>
      </c>
      <c r="M214" s="2">
        <v>0.59399999999999997</v>
      </c>
      <c r="N214" s="2">
        <v>0.20499999999999999</v>
      </c>
      <c r="O214" s="2">
        <v>0.309</v>
      </c>
      <c r="P214" s="2">
        <v>109</v>
      </c>
      <c r="Q214" s="2">
        <v>103</v>
      </c>
      <c r="R214" s="2">
        <v>107</v>
      </c>
      <c r="S214" s="2">
        <v>104</v>
      </c>
      <c r="T214" s="2">
        <v>104</v>
      </c>
      <c r="U214" s="2">
        <v>103</v>
      </c>
      <c r="V214" s="2">
        <v>82</v>
      </c>
      <c r="W214" s="2">
        <v>73</v>
      </c>
      <c r="X214" s="2">
        <v>19.3</v>
      </c>
      <c r="Y214" s="2">
        <v>16.899999999999999</v>
      </c>
    </row>
    <row r="215" spans="1:25" x14ac:dyDescent="0.2">
      <c r="A215" t="s">
        <v>230</v>
      </c>
      <c r="B215" s="2">
        <v>24</v>
      </c>
      <c r="C215" t="s">
        <v>103</v>
      </c>
      <c r="D215" s="2" t="s">
        <v>27</v>
      </c>
      <c r="E215" s="2">
        <v>23</v>
      </c>
      <c r="F215" s="2">
        <v>6</v>
      </c>
      <c r="G215" s="2">
        <v>575</v>
      </c>
      <c r="H215" s="2">
        <v>0.43</v>
      </c>
      <c r="I215" s="2">
        <v>0.53500000000000003</v>
      </c>
      <c r="J215" s="2">
        <v>0.34499999999999997</v>
      </c>
      <c r="K215" s="2">
        <v>0.52500000000000002</v>
      </c>
      <c r="L215" s="2">
        <v>0.875</v>
      </c>
      <c r="M215" s="2">
        <v>0.57199999999999995</v>
      </c>
      <c r="N215" s="2">
        <v>0.253</v>
      </c>
      <c r="O215" s="2">
        <v>0.55100000000000005</v>
      </c>
      <c r="P215" s="2">
        <v>93</v>
      </c>
      <c r="Q215" s="2">
        <v>99</v>
      </c>
      <c r="R215" s="2">
        <v>96</v>
      </c>
      <c r="S215" s="2">
        <v>97</v>
      </c>
      <c r="T215" s="2">
        <v>112</v>
      </c>
      <c r="U215" s="2">
        <v>100</v>
      </c>
      <c r="V215" s="2">
        <v>102</v>
      </c>
      <c r="W215" s="2">
        <v>130</v>
      </c>
      <c r="X215" s="2">
        <v>-4.8</v>
      </c>
      <c r="Y215" s="2">
        <v>-0.8</v>
      </c>
    </row>
    <row r="216" spans="1:25" x14ac:dyDescent="0.2">
      <c r="A216" t="s">
        <v>376</v>
      </c>
      <c r="B216" s="2">
        <v>25</v>
      </c>
      <c r="C216" t="s">
        <v>117</v>
      </c>
      <c r="D216" s="2" t="s">
        <v>49</v>
      </c>
      <c r="E216" s="2">
        <v>15</v>
      </c>
      <c r="F216" s="2">
        <v>0</v>
      </c>
      <c r="G216" s="2">
        <v>217</v>
      </c>
      <c r="H216" s="2">
        <v>0.47199999999999998</v>
      </c>
      <c r="I216" s="2">
        <v>0.61499999999999999</v>
      </c>
      <c r="J216" s="2">
        <v>0.33300000000000002</v>
      </c>
      <c r="K216" s="2">
        <v>0.55700000000000005</v>
      </c>
      <c r="L216" s="2">
        <v>0.625</v>
      </c>
      <c r="M216" s="2">
        <v>0.57499999999999996</v>
      </c>
      <c r="N216" s="2">
        <v>0.30199999999999999</v>
      </c>
      <c r="O216" s="2">
        <v>0.50900000000000001</v>
      </c>
      <c r="P216" s="2">
        <v>102</v>
      </c>
      <c r="Q216" s="2">
        <v>114</v>
      </c>
      <c r="R216" s="2">
        <v>93</v>
      </c>
      <c r="S216" s="2">
        <v>103</v>
      </c>
      <c r="T216" s="2">
        <v>80</v>
      </c>
      <c r="U216" s="2">
        <v>100</v>
      </c>
      <c r="V216" s="2">
        <v>121</v>
      </c>
      <c r="W216" s="2">
        <v>121</v>
      </c>
      <c r="X216" s="2">
        <v>1.7</v>
      </c>
      <c r="Y216" s="2">
        <v>0</v>
      </c>
    </row>
    <row r="217" spans="1:25" x14ac:dyDescent="0.2">
      <c r="A217" t="s">
        <v>154</v>
      </c>
      <c r="B217" s="2">
        <v>27</v>
      </c>
      <c r="C217" t="s">
        <v>46</v>
      </c>
      <c r="D217" s="2" t="s">
        <v>33</v>
      </c>
      <c r="E217" s="2">
        <v>17</v>
      </c>
      <c r="F217" s="2">
        <v>17</v>
      </c>
      <c r="G217" s="2">
        <v>613</v>
      </c>
      <c r="H217" s="2">
        <v>0.42</v>
      </c>
      <c r="I217" s="2">
        <v>0.47499999999999998</v>
      </c>
      <c r="J217" s="2">
        <v>0.33300000000000002</v>
      </c>
      <c r="K217" s="2">
        <v>0.48399999999999999</v>
      </c>
      <c r="L217" s="2">
        <v>0.80300000000000005</v>
      </c>
      <c r="M217" s="2">
        <v>0.52800000000000002</v>
      </c>
      <c r="N217" s="2">
        <v>0.25700000000000001</v>
      </c>
      <c r="O217" s="2">
        <v>0.38500000000000001</v>
      </c>
      <c r="P217" s="2">
        <v>90</v>
      </c>
      <c r="Q217" s="2">
        <v>88</v>
      </c>
      <c r="R217" s="2">
        <v>93</v>
      </c>
      <c r="S217" s="2">
        <v>90</v>
      </c>
      <c r="T217" s="2">
        <v>103</v>
      </c>
      <c r="U217" s="2">
        <v>92</v>
      </c>
      <c r="V217" s="2">
        <v>103</v>
      </c>
      <c r="W217" s="2">
        <v>91</v>
      </c>
      <c r="X217" s="2">
        <v>-28.8</v>
      </c>
      <c r="Y217" s="2">
        <v>-26.6</v>
      </c>
    </row>
    <row r="218" spans="1:25" x14ac:dyDescent="0.2">
      <c r="A218" t="s">
        <v>327</v>
      </c>
      <c r="B218" s="2">
        <v>22</v>
      </c>
      <c r="C218" t="s">
        <v>66</v>
      </c>
      <c r="D218" s="2" t="s">
        <v>33</v>
      </c>
      <c r="E218" s="2">
        <v>24</v>
      </c>
      <c r="F218" s="2">
        <v>0</v>
      </c>
      <c r="G218" s="2">
        <v>338</v>
      </c>
      <c r="H218" s="2">
        <v>0.38100000000000001</v>
      </c>
      <c r="I218" s="2">
        <v>0.42599999999999999</v>
      </c>
      <c r="J218" s="2">
        <v>0.311</v>
      </c>
      <c r="K218" s="2">
        <v>0.442</v>
      </c>
      <c r="L218" s="2">
        <v>0.75</v>
      </c>
      <c r="M218" s="2">
        <v>0.46100000000000002</v>
      </c>
      <c r="N218" s="2">
        <v>0.106</v>
      </c>
      <c r="O218" s="2">
        <v>0.39800000000000002</v>
      </c>
      <c r="P218" s="2">
        <v>82</v>
      </c>
      <c r="Q218" s="2">
        <v>79</v>
      </c>
      <c r="R218" s="2">
        <v>87</v>
      </c>
      <c r="S218" s="2">
        <v>82</v>
      </c>
      <c r="T218" s="2">
        <v>96</v>
      </c>
      <c r="U218" s="2">
        <v>80</v>
      </c>
      <c r="V218" s="2">
        <v>43</v>
      </c>
      <c r="W218" s="2">
        <v>94</v>
      </c>
      <c r="X218" s="2">
        <v>-22.2</v>
      </c>
      <c r="Y218" s="2">
        <v>-26.9</v>
      </c>
    </row>
    <row r="219" spans="1:25" x14ac:dyDescent="0.2">
      <c r="A219" t="s">
        <v>76</v>
      </c>
      <c r="B219" s="2">
        <v>35</v>
      </c>
      <c r="C219" t="s">
        <v>77</v>
      </c>
      <c r="D219" s="2" t="s">
        <v>33</v>
      </c>
      <c r="E219" s="2">
        <v>24</v>
      </c>
      <c r="F219" s="2">
        <v>24</v>
      </c>
      <c r="G219" s="2">
        <v>814</v>
      </c>
      <c r="H219" s="2">
        <v>0.379</v>
      </c>
      <c r="I219" s="2">
        <v>0.42099999999999999</v>
      </c>
      <c r="J219" s="2">
        <v>0.33800000000000002</v>
      </c>
      <c r="K219" s="2">
        <v>0.46500000000000002</v>
      </c>
      <c r="L219" s="2">
        <v>0.89600000000000002</v>
      </c>
      <c r="M219" s="2">
        <v>0.55600000000000005</v>
      </c>
      <c r="N219" s="2">
        <v>0.442</v>
      </c>
      <c r="O219" s="2">
        <v>0.51400000000000001</v>
      </c>
      <c r="P219" s="2">
        <v>81</v>
      </c>
      <c r="Q219" s="2">
        <v>78</v>
      </c>
      <c r="R219" s="2">
        <v>94</v>
      </c>
      <c r="S219" s="2">
        <v>86</v>
      </c>
      <c r="T219" s="2">
        <v>115</v>
      </c>
      <c r="U219" s="2">
        <v>97</v>
      </c>
      <c r="V219" s="2">
        <v>177</v>
      </c>
      <c r="W219" s="2">
        <v>122</v>
      </c>
      <c r="X219" s="2">
        <v>-58.7</v>
      </c>
      <c r="Y219" s="2">
        <v>-17.7</v>
      </c>
    </row>
    <row r="220" spans="1:25" x14ac:dyDescent="0.2">
      <c r="A220" t="s">
        <v>528</v>
      </c>
      <c r="B220" s="2">
        <v>37</v>
      </c>
      <c r="C220" t="s">
        <v>82</v>
      </c>
      <c r="D220" s="2" t="s">
        <v>27</v>
      </c>
      <c r="E220" s="2">
        <v>3</v>
      </c>
      <c r="F220" s="2">
        <v>0</v>
      </c>
      <c r="G220" s="2">
        <v>10</v>
      </c>
      <c r="H220" s="2">
        <v>0.5</v>
      </c>
      <c r="I220" s="2">
        <v>0.66700000000000004</v>
      </c>
      <c r="J220" s="2">
        <v>0</v>
      </c>
      <c r="K220" s="2">
        <v>0.5</v>
      </c>
      <c r="L220" s="2"/>
      <c r="M220" s="2">
        <v>0.5</v>
      </c>
      <c r="N220" s="2">
        <v>0</v>
      </c>
      <c r="O220" s="2">
        <v>0.25</v>
      </c>
      <c r="P220" s="2">
        <v>108</v>
      </c>
      <c r="Q220" s="2">
        <v>123</v>
      </c>
      <c r="R220" s="2">
        <v>0</v>
      </c>
      <c r="S220" s="2">
        <v>93</v>
      </c>
      <c r="T220" s="2"/>
      <c r="U220" s="2">
        <v>87</v>
      </c>
      <c r="V220" s="2">
        <v>0</v>
      </c>
      <c r="W220" s="2">
        <v>59</v>
      </c>
      <c r="X220" s="2">
        <v>-0.3</v>
      </c>
      <c r="Y220" s="2">
        <v>-0.6</v>
      </c>
    </row>
    <row r="221" spans="1:25" x14ac:dyDescent="0.2">
      <c r="A221" t="s">
        <v>515</v>
      </c>
      <c r="B221" s="2">
        <v>23</v>
      </c>
      <c r="C221" t="s">
        <v>82</v>
      </c>
      <c r="D221" s="2" t="s">
        <v>42</v>
      </c>
      <c r="E221" s="2">
        <v>1</v>
      </c>
      <c r="F221" s="2">
        <v>0</v>
      </c>
      <c r="G221" s="2">
        <v>5</v>
      </c>
      <c r="H221" s="2">
        <v>0.5</v>
      </c>
      <c r="I221" s="2">
        <v>0.66700000000000004</v>
      </c>
      <c r="J221" s="2">
        <v>0</v>
      </c>
      <c r="K221" s="2">
        <v>0.5</v>
      </c>
      <c r="L221" s="2">
        <v>1</v>
      </c>
      <c r="M221" s="2">
        <v>0.61499999999999999</v>
      </c>
      <c r="N221" s="2">
        <v>0.5</v>
      </c>
      <c r="O221" s="2">
        <v>0.25</v>
      </c>
      <c r="P221" s="2">
        <v>108</v>
      </c>
      <c r="Q221" s="2">
        <v>123</v>
      </c>
      <c r="R221" s="2">
        <v>0</v>
      </c>
      <c r="S221" s="2">
        <v>93</v>
      </c>
      <c r="T221" s="2">
        <v>129</v>
      </c>
      <c r="U221" s="2">
        <v>107</v>
      </c>
      <c r="V221" s="2">
        <v>201</v>
      </c>
      <c r="W221" s="2">
        <v>59</v>
      </c>
      <c r="X221" s="2">
        <v>-0.3</v>
      </c>
      <c r="Y221" s="2">
        <v>0.4</v>
      </c>
    </row>
    <row r="222" spans="1:25" x14ac:dyDescent="0.2">
      <c r="A222" t="s">
        <v>295</v>
      </c>
      <c r="B222" s="2">
        <v>23</v>
      </c>
      <c r="C222" t="s">
        <v>66</v>
      </c>
      <c r="D222" s="2" t="s">
        <v>49</v>
      </c>
      <c r="E222" s="2">
        <v>24</v>
      </c>
      <c r="F222" s="2">
        <v>0</v>
      </c>
      <c r="G222" s="2">
        <v>326</v>
      </c>
      <c r="H222" s="2">
        <v>0.48499999999999999</v>
      </c>
      <c r="I222" s="2">
        <v>0.61499999999999999</v>
      </c>
      <c r="J222" s="2">
        <v>0.44</v>
      </c>
      <c r="K222" s="2">
        <v>0.64900000000000002</v>
      </c>
      <c r="L222" s="2">
        <v>0.81799999999999995</v>
      </c>
      <c r="M222" s="2">
        <v>0.66100000000000003</v>
      </c>
      <c r="N222" s="2">
        <v>0.109</v>
      </c>
      <c r="O222" s="2">
        <v>0.74299999999999999</v>
      </c>
      <c r="P222" s="2">
        <v>104</v>
      </c>
      <c r="Q222" s="2">
        <v>114</v>
      </c>
      <c r="R222" s="2">
        <v>123</v>
      </c>
      <c r="S222" s="2">
        <v>120</v>
      </c>
      <c r="T222" s="2">
        <v>105</v>
      </c>
      <c r="U222" s="2">
        <v>115</v>
      </c>
      <c r="V222" s="2">
        <v>44</v>
      </c>
      <c r="W222" s="2">
        <v>176</v>
      </c>
      <c r="X222" s="2">
        <v>21.8</v>
      </c>
      <c r="Y222" s="2">
        <v>18.399999999999999</v>
      </c>
    </row>
    <row r="223" spans="1:25" x14ac:dyDescent="0.2">
      <c r="A223" t="s">
        <v>294</v>
      </c>
      <c r="B223" s="2">
        <v>21</v>
      </c>
      <c r="C223" t="s">
        <v>82</v>
      </c>
      <c r="D223" s="2" t="s">
        <v>27</v>
      </c>
      <c r="E223" s="2">
        <v>25</v>
      </c>
      <c r="F223" s="2">
        <v>1</v>
      </c>
      <c r="G223" s="2">
        <v>456</v>
      </c>
      <c r="H223" s="2">
        <v>0.434</v>
      </c>
      <c r="I223" s="2">
        <v>0.48099999999999998</v>
      </c>
      <c r="J223" s="2">
        <v>0.39300000000000002</v>
      </c>
      <c r="K223" s="2">
        <v>0.54</v>
      </c>
      <c r="L223" s="2">
        <v>0.61299999999999999</v>
      </c>
      <c r="M223" s="2">
        <v>0.55700000000000005</v>
      </c>
      <c r="N223" s="2">
        <v>0.27400000000000002</v>
      </c>
      <c r="O223" s="2">
        <v>0.54</v>
      </c>
      <c r="P223" s="2">
        <v>93</v>
      </c>
      <c r="Q223" s="2">
        <v>89</v>
      </c>
      <c r="R223" s="2">
        <v>110</v>
      </c>
      <c r="S223" s="2">
        <v>100</v>
      </c>
      <c r="T223" s="2">
        <v>79</v>
      </c>
      <c r="U223" s="2">
        <v>97</v>
      </c>
      <c r="V223" s="2">
        <v>110</v>
      </c>
      <c r="W223" s="2">
        <v>128</v>
      </c>
      <c r="X223" s="2">
        <v>-0.2</v>
      </c>
      <c r="Y223" s="2">
        <v>-4.5</v>
      </c>
    </row>
    <row r="224" spans="1:25" x14ac:dyDescent="0.2">
      <c r="A224" t="s">
        <v>343</v>
      </c>
      <c r="B224" s="2">
        <v>24</v>
      </c>
      <c r="C224" t="s">
        <v>114</v>
      </c>
      <c r="D224" s="2" t="s">
        <v>52</v>
      </c>
      <c r="E224" s="2">
        <v>17</v>
      </c>
      <c r="F224" s="2">
        <v>0</v>
      </c>
      <c r="G224" s="2">
        <v>180</v>
      </c>
      <c r="H224" s="2">
        <v>0.44700000000000001</v>
      </c>
      <c r="I224" s="2">
        <v>0.52400000000000002</v>
      </c>
      <c r="J224" s="2">
        <v>0.22700000000000001</v>
      </c>
      <c r="K224" s="2">
        <v>0.47599999999999998</v>
      </c>
      <c r="L224" s="2">
        <v>0.72699999999999998</v>
      </c>
      <c r="M224" s="2">
        <v>0.51200000000000001</v>
      </c>
      <c r="N224" s="2">
        <v>0.25900000000000001</v>
      </c>
      <c r="O224" s="2">
        <v>0.25900000000000001</v>
      </c>
      <c r="P224" s="2">
        <v>96</v>
      </c>
      <c r="Q224" s="2">
        <v>97</v>
      </c>
      <c r="R224" s="2">
        <v>63</v>
      </c>
      <c r="S224" s="2">
        <v>88</v>
      </c>
      <c r="T224" s="2">
        <v>93</v>
      </c>
      <c r="U224" s="2">
        <v>89</v>
      </c>
      <c r="V224" s="2">
        <v>104</v>
      </c>
      <c r="W224" s="2">
        <v>61</v>
      </c>
      <c r="X224" s="2">
        <v>-10.9</v>
      </c>
      <c r="Y224" s="2">
        <v>-11.8</v>
      </c>
    </row>
    <row r="225" spans="1:25" x14ac:dyDescent="0.2">
      <c r="A225" t="s">
        <v>133</v>
      </c>
      <c r="B225" s="2">
        <v>20</v>
      </c>
      <c r="C225" t="s">
        <v>122</v>
      </c>
      <c r="D225" s="2" t="s">
        <v>52</v>
      </c>
      <c r="E225" s="2">
        <v>22</v>
      </c>
      <c r="F225" s="2">
        <v>8</v>
      </c>
      <c r="G225" s="2">
        <v>563</v>
      </c>
      <c r="H225" s="2">
        <v>0.46300000000000002</v>
      </c>
      <c r="I225" s="2">
        <v>0.54</v>
      </c>
      <c r="J225" s="2">
        <v>0.38200000000000001</v>
      </c>
      <c r="K225" s="2">
        <v>0.55600000000000005</v>
      </c>
      <c r="L225" s="2">
        <v>0.875</v>
      </c>
      <c r="M225" s="2">
        <v>0.59299999999999997</v>
      </c>
      <c r="N225" s="2">
        <v>0.20899999999999999</v>
      </c>
      <c r="O225" s="2">
        <v>0.48899999999999999</v>
      </c>
      <c r="P225" s="2">
        <v>100</v>
      </c>
      <c r="Q225" s="2">
        <v>100</v>
      </c>
      <c r="R225" s="2">
        <v>106</v>
      </c>
      <c r="S225" s="2">
        <v>103</v>
      </c>
      <c r="T225" s="2">
        <v>112</v>
      </c>
      <c r="U225" s="2">
        <v>103</v>
      </c>
      <c r="V225" s="2">
        <v>84</v>
      </c>
      <c r="W225" s="2">
        <v>116</v>
      </c>
      <c r="X225" s="2">
        <v>8.3000000000000007</v>
      </c>
      <c r="Y225" s="2">
        <v>10.8</v>
      </c>
    </row>
    <row r="226" spans="1:25" x14ac:dyDescent="0.2">
      <c r="A226" t="s">
        <v>531</v>
      </c>
      <c r="B226" s="2">
        <v>25</v>
      </c>
      <c r="C226" t="s">
        <v>59</v>
      </c>
      <c r="D226" s="2" t="s">
        <v>52</v>
      </c>
      <c r="E226" s="2">
        <v>4</v>
      </c>
      <c r="F226" s="2">
        <v>0</v>
      </c>
      <c r="G226" s="2">
        <v>12</v>
      </c>
      <c r="H226" s="2">
        <v>0.25</v>
      </c>
      <c r="I226" s="2">
        <v>0.33300000000000002</v>
      </c>
      <c r="J226" s="2">
        <v>0</v>
      </c>
      <c r="K226" s="2">
        <v>0.25</v>
      </c>
      <c r="L226" s="2"/>
      <c r="M226" s="2">
        <v>0.25</v>
      </c>
      <c r="N226" s="2">
        <v>0</v>
      </c>
      <c r="O226" s="2">
        <v>0.25</v>
      </c>
      <c r="P226" s="2">
        <v>54</v>
      </c>
      <c r="Q226" s="2">
        <v>62</v>
      </c>
      <c r="R226" s="2">
        <v>0</v>
      </c>
      <c r="S226" s="2">
        <v>46</v>
      </c>
      <c r="T226" s="2"/>
      <c r="U226" s="2">
        <v>44</v>
      </c>
      <c r="V226" s="2">
        <v>0</v>
      </c>
      <c r="W226" s="2">
        <v>59</v>
      </c>
      <c r="X226" s="2">
        <v>-4.5999999999999996</v>
      </c>
      <c r="Y226" s="2">
        <v>-5.2</v>
      </c>
    </row>
    <row r="227" spans="1:25" x14ac:dyDescent="0.2">
      <c r="A227" t="s">
        <v>79</v>
      </c>
      <c r="B227" s="2">
        <v>25</v>
      </c>
      <c r="C227" t="s">
        <v>80</v>
      </c>
      <c r="D227" s="2" t="s">
        <v>42</v>
      </c>
      <c r="E227" s="2">
        <v>23</v>
      </c>
      <c r="F227" s="2">
        <v>23</v>
      </c>
      <c r="G227" s="2">
        <v>645</v>
      </c>
      <c r="H227" s="2">
        <v>0.51700000000000002</v>
      </c>
      <c r="I227" s="2">
        <v>0.60399999999999998</v>
      </c>
      <c r="J227" s="2">
        <v>0.35</v>
      </c>
      <c r="K227" s="2">
        <v>0.57699999999999996</v>
      </c>
      <c r="L227" s="2">
        <v>0.81299999999999994</v>
      </c>
      <c r="M227" s="2">
        <v>0.624</v>
      </c>
      <c r="N227" s="2">
        <v>0.35099999999999998</v>
      </c>
      <c r="O227" s="2">
        <v>0.34300000000000003</v>
      </c>
      <c r="P227" s="2">
        <v>111</v>
      </c>
      <c r="Q227" s="2">
        <v>112</v>
      </c>
      <c r="R227" s="2">
        <v>97</v>
      </c>
      <c r="S227" s="2">
        <v>107</v>
      </c>
      <c r="T227" s="2">
        <v>105</v>
      </c>
      <c r="U227" s="2">
        <v>109</v>
      </c>
      <c r="V227" s="2">
        <v>141</v>
      </c>
      <c r="W227" s="2">
        <v>81</v>
      </c>
      <c r="X227" s="2">
        <v>25.6</v>
      </c>
      <c r="Y227" s="2">
        <v>39.700000000000003</v>
      </c>
    </row>
    <row r="228" spans="1:25" x14ac:dyDescent="0.2">
      <c r="A228" t="s">
        <v>143</v>
      </c>
      <c r="B228" s="2">
        <v>26</v>
      </c>
      <c r="C228" t="s">
        <v>57</v>
      </c>
      <c r="D228" s="2" t="s">
        <v>42</v>
      </c>
      <c r="E228" s="2">
        <v>25</v>
      </c>
      <c r="F228" s="2">
        <v>25</v>
      </c>
      <c r="G228" s="2">
        <v>745</v>
      </c>
      <c r="H228" s="2">
        <v>0.68300000000000005</v>
      </c>
      <c r="I228" s="2">
        <v>0.68700000000000006</v>
      </c>
      <c r="J228" s="2">
        <v>0</v>
      </c>
      <c r="K228" s="2">
        <v>0.68300000000000005</v>
      </c>
      <c r="L228" s="2">
        <v>0.73799999999999999</v>
      </c>
      <c r="M228" s="2">
        <v>0.70799999999999996</v>
      </c>
      <c r="N228" s="2">
        <v>0.42199999999999999</v>
      </c>
      <c r="O228" s="2">
        <v>5.0000000000000001E-3</v>
      </c>
      <c r="P228" s="2">
        <v>147</v>
      </c>
      <c r="Q228" s="2">
        <v>127</v>
      </c>
      <c r="R228" s="2">
        <v>0</v>
      </c>
      <c r="S228" s="2">
        <v>126</v>
      </c>
      <c r="T228" s="2">
        <v>95</v>
      </c>
      <c r="U228" s="2">
        <v>123</v>
      </c>
      <c r="V228" s="2">
        <v>169</v>
      </c>
      <c r="W228" s="2">
        <v>1</v>
      </c>
      <c r="X228" s="2">
        <v>56.9</v>
      </c>
      <c r="Y228" s="2">
        <v>62.9</v>
      </c>
    </row>
    <row r="229" spans="1:25" x14ac:dyDescent="0.2">
      <c r="A229" t="s">
        <v>279</v>
      </c>
      <c r="B229" s="2">
        <v>31</v>
      </c>
      <c r="C229" t="s">
        <v>117</v>
      </c>
      <c r="D229" s="2" t="s">
        <v>52</v>
      </c>
      <c r="E229" s="2">
        <v>24</v>
      </c>
      <c r="F229" s="2">
        <v>12</v>
      </c>
      <c r="G229" s="2">
        <v>560</v>
      </c>
      <c r="H229" s="2">
        <v>0.42599999999999999</v>
      </c>
      <c r="I229" s="2">
        <v>0.51500000000000001</v>
      </c>
      <c r="J229" s="2">
        <v>0.315</v>
      </c>
      <c r="K229" s="2">
        <v>0.496</v>
      </c>
      <c r="L229" s="2">
        <v>0.76900000000000002</v>
      </c>
      <c r="M229" s="2">
        <v>0.54300000000000004</v>
      </c>
      <c r="N229" s="2">
        <v>0.32</v>
      </c>
      <c r="O229" s="2">
        <v>0.443</v>
      </c>
      <c r="P229" s="2">
        <v>92</v>
      </c>
      <c r="Q229" s="2">
        <v>95</v>
      </c>
      <c r="R229" s="2">
        <v>88</v>
      </c>
      <c r="S229" s="2">
        <v>92</v>
      </c>
      <c r="T229" s="2">
        <v>99</v>
      </c>
      <c r="U229" s="2">
        <v>94</v>
      </c>
      <c r="V229" s="2">
        <v>128</v>
      </c>
      <c r="W229" s="2">
        <v>105</v>
      </c>
      <c r="X229" s="2">
        <v>-10.9</v>
      </c>
      <c r="Y229" s="2">
        <v>-8.9</v>
      </c>
    </row>
    <row r="230" spans="1:25" x14ac:dyDescent="0.2">
      <c r="A230" t="s">
        <v>375</v>
      </c>
      <c r="B230" s="2">
        <v>24</v>
      </c>
      <c r="C230" t="s">
        <v>41</v>
      </c>
      <c r="D230" s="2" t="s">
        <v>42</v>
      </c>
      <c r="E230" s="2">
        <v>11</v>
      </c>
      <c r="F230" s="2">
        <v>1</v>
      </c>
      <c r="G230" s="2">
        <v>192</v>
      </c>
      <c r="H230" s="2">
        <v>0.72199999999999998</v>
      </c>
      <c r="I230" s="2">
        <v>0.72199999999999998</v>
      </c>
      <c r="J230" s="2"/>
      <c r="K230" s="2">
        <v>0.72199999999999998</v>
      </c>
      <c r="L230" s="2">
        <v>0.78300000000000003</v>
      </c>
      <c r="M230" s="2">
        <v>0.75900000000000001</v>
      </c>
      <c r="N230" s="2">
        <v>0.63900000000000001</v>
      </c>
      <c r="O230" s="2">
        <v>0</v>
      </c>
      <c r="P230" s="2">
        <v>155</v>
      </c>
      <c r="Q230" s="2">
        <v>133</v>
      </c>
      <c r="R230" s="2"/>
      <c r="S230" s="2">
        <v>134</v>
      </c>
      <c r="T230" s="2">
        <v>101</v>
      </c>
      <c r="U230" s="2">
        <v>132</v>
      </c>
      <c r="V230" s="2">
        <v>256</v>
      </c>
      <c r="W230" s="2">
        <v>0</v>
      </c>
      <c r="X230" s="2">
        <v>13.1</v>
      </c>
      <c r="Y230" s="2">
        <v>17</v>
      </c>
    </row>
    <row r="231" spans="1:25" x14ac:dyDescent="0.2">
      <c r="A231" t="s">
        <v>203</v>
      </c>
      <c r="B231" s="2">
        <v>26</v>
      </c>
      <c r="C231" t="s">
        <v>80</v>
      </c>
      <c r="D231" s="2" t="s">
        <v>42</v>
      </c>
      <c r="E231" s="2">
        <v>25</v>
      </c>
      <c r="F231" s="2">
        <v>1</v>
      </c>
      <c r="G231" s="2">
        <v>392</v>
      </c>
      <c r="H231" s="2">
        <v>0.51900000000000002</v>
      </c>
      <c r="I231" s="2">
        <v>0.72199999999999998</v>
      </c>
      <c r="J231" s="2">
        <v>0.41299999999999998</v>
      </c>
      <c r="K231" s="2">
        <v>0.65500000000000003</v>
      </c>
      <c r="L231" s="2">
        <v>0.75600000000000001</v>
      </c>
      <c r="M231" s="2">
        <v>0.67600000000000005</v>
      </c>
      <c r="N231" s="2">
        <v>0.25900000000000001</v>
      </c>
      <c r="O231" s="2">
        <v>0.65800000000000003</v>
      </c>
      <c r="P231" s="2">
        <v>112</v>
      </c>
      <c r="Q231" s="2">
        <v>133</v>
      </c>
      <c r="R231" s="2">
        <v>115</v>
      </c>
      <c r="S231" s="2">
        <v>121</v>
      </c>
      <c r="T231" s="2">
        <v>97</v>
      </c>
      <c r="U231" s="2">
        <v>118</v>
      </c>
      <c r="V231" s="2">
        <v>104</v>
      </c>
      <c r="W231" s="2">
        <v>156</v>
      </c>
      <c r="X231" s="2">
        <v>36.200000000000003</v>
      </c>
      <c r="Y231" s="2">
        <v>35.700000000000003</v>
      </c>
    </row>
    <row r="232" spans="1:25" x14ac:dyDescent="0.2">
      <c r="A232" t="s">
        <v>84</v>
      </c>
      <c r="B232" s="2">
        <v>28</v>
      </c>
      <c r="C232" t="s">
        <v>39</v>
      </c>
      <c r="D232" s="2" t="s">
        <v>49</v>
      </c>
      <c r="E232" s="2">
        <v>20</v>
      </c>
      <c r="F232" s="2">
        <v>20</v>
      </c>
      <c r="G232" s="2">
        <v>716</v>
      </c>
      <c r="H232" s="2">
        <v>0.44600000000000001</v>
      </c>
      <c r="I232" s="2">
        <v>0.51100000000000001</v>
      </c>
      <c r="J232" s="2">
        <v>0.34200000000000003</v>
      </c>
      <c r="K232" s="2">
        <v>0.51200000000000001</v>
      </c>
      <c r="L232" s="2">
        <v>0.76400000000000001</v>
      </c>
      <c r="M232" s="2">
        <v>0.55700000000000005</v>
      </c>
      <c r="N232" s="2">
        <v>0.33200000000000002</v>
      </c>
      <c r="O232" s="2">
        <v>0.38100000000000001</v>
      </c>
      <c r="P232" s="2">
        <v>96</v>
      </c>
      <c r="Q232" s="2">
        <v>94</v>
      </c>
      <c r="R232" s="2">
        <v>95</v>
      </c>
      <c r="S232" s="2">
        <v>95</v>
      </c>
      <c r="T232" s="2">
        <v>98</v>
      </c>
      <c r="U232" s="2">
        <v>97</v>
      </c>
      <c r="V232" s="2">
        <v>133</v>
      </c>
      <c r="W232" s="2">
        <v>90</v>
      </c>
      <c r="X232" s="2">
        <v>-22</v>
      </c>
      <c r="Y232" s="2">
        <v>-15.3</v>
      </c>
    </row>
    <row r="233" spans="1:25" x14ac:dyDescent="0.2">
      <c r="A233" t="s">
        <v>537</v>
      </c>
      <c r="B233" s="2">
        <v>21</v>
      </c>
      <c r="C233" t="s">
        <v>103</v>
      </c>
      <c r="D233" s="2" t="s">
        <v>49</v>
      </c>
      <c r="E233" s="2">
        <v>2</v>
      </c>
      <c r="F233" s="2">
        <v>0</v>
      </c>
      <c r="G233" s="2">
        <v>3</v>
      </c>
      <c r="H233" s="2">
        <v>1</v>
      </c>
      <c r="I233" s="2"/>
      <c r="J233" s="2">
        <v>1</v>
      </c>
      <c r="K233" s="2">
        <v>1.5</v>
      </c>
      <c r="L233" s="2"/>
      <c r="M233" s="2">
        <v>1.5</v>
      </c>
      <c r="N233" s="2">
        <v>0</v>
      </c>
      <c r="O233" s="2">
        <v>1</v>
      </c>
      <c r="P233" s="2">
        <v>215</v>
      </c>
      <c r="Q233" s="2"/>
      <c r="R233" s="2">
        <v>278</v>
      </c>
      <c r="S233" s="2">
        <v>278</v>
      </c>
      <c r="T233" s="2"/>
      <c r="U233" s="2">
        <v>261</v>
      </c>
      <c r="V233" s="2">
        <v>0</v>
      </c>
      <c r="W233" s="2">
        <v>237</v>
      </c>
      <c r="X233" s="2">
        <v>1.9</v>
      </c>
      <c r="Y233" s="2">
        <v>1.9</v>
      </c>
    </row>
    <row r="234" spans="1:25" x14ac:dyDescent="0.2">
      <c r="A234" t="s">
        <v>379</v>
      </c>
      <c r="B234" s="2">
        <v>25</v>
      </c>
      <c r="C234" t="s">
        <v>117</v>
      </c>
      <c r="D234" s="2" t="s">
        <v>52</v>
      </c>
      <c r="E234" s="2">
        <v>8</v>
      </c>
      <c r="F234" s="2">
        <v>0</v>
      </c>
      <c r="G234" s="2">
        <v>168</v>
      </c>
      <c r="H234" s="2">
        <v>0.35599999999999998</v>
      </c>
      <c r="I234" s="2">
        <v>0.39100000000000001</v>
      </c>
      <c r="J234" s="2">
        <v>0.29599999999999999</v>
      </c>
      <c r="K234" s="2">
        <v>0.41099999999999998</v>
      </c>
      <c r="L234" s="2">
        <v>0.63600000000000001</v>
      </c>
      <c r="M234" s="2">
        <v>0.43</v>
      </c>
      <c r="N234" s="2">
        <v>0.151</v>
      </c>
      <c r="O234" s="2">
        <v>0.37</v>
      </c>
      <c r="P234" s="2">
        <v>77</v>
      </c>
      <c r="Q234" s="2">
        <v>72</v>
      </c>
      <c r="R234" s="2">
        <v>83</v>
      </c>
      <c r="S234" s="2">
        <v>76</v>
      </c>
      <c r="T234" s="2">
        <v>82</v>
      </c>
      <c r="U234" s="2">
        <v>75</v>
      </c>
      <c r="V234" s="2">
        <v>60</v>
      </c>
      <c r="W234" s="2">
        <v>87</v>
      </c>
      <c r="X234" s="2">
        <v>-18.899999999999999</v>
      </c>
      <c r="Y234" s="2">
        <v>-22.4</v>
      </c>
    </row>
    <row r="235" spans="1:25" x14ac:dyDescent="0.2">
      <c r="A235" t="s">
        <v>168</v>
      </c>
      <c r="B235" s="2">
        <v>21</v>
      </c>
      <c r="C235" t="s">
        <v>80</v>
      </c>
      <c r="D235" s="2" t="s">
        <v>52</v>
      </c>
      <c r="E235" s="2">
        <v>25</v>
      </c>
      <c r="F235" s="2">
        <v>20</v>
      </c>
      <c r="G235" s="2">
        <v>621</v>
      </c>
      <c r="H235" s="2">
        <v>0.45200000000000001</v>
      </c>
      <c r="I235" s="2">
        <v>0.52800000000000002</v>
      </c>
      <c r="J235" s="2">
        <v>0.38300000000000001</v>
      </c>
      <c r="K235" s="2">
        <v>0.55300000000000005</v>
      </c>
      <c r="L235" s="2">
        <v>0.8</v>
      </c>
      <c r="M235" s="2">
        <v>0.58099999999999996</v>
      </c>
      <c r="N235" s="2">
        <v>0.19700000000000001</v>
      </c>
      <c r="O235" s="2">
        <v>0.52600000000000002</v>
      </c>
      <c r="P235" s="2">
        <v>97</v>
      </c>
      <c r="Q235" s="2">
        <v>97</v>
      </c>
      <c r="R235" s="2">
        <v>107</v>
      </c>
      <c r="S235" s="2">
        <v>102</v>
      </c>
      <c r="T235" s="2">
        <v>103</v>
      </c>
      <c r="U235" s="2">
        <v>101</v>
      </c>
      <c r="V235" s="2">
        <v>79</v>
      </c>
      <c r="W235" s="2">
        <v>125</v>
      </c>
      <c r="X235" s="2">
        <v>5.5</v>
      </c>
      <c r="Y235" s="2">
        <v>3.3</v>
      </c>
    </row>
    <row r="236" spans="1:25" x14ac:dyDescent="0.2">
      <c r="A236" t="s">
        <v>443</v>
      </c>
      <c r="B236" s="2">
        <v>22</v>
      </c>
      <c r="C236" t="s">
        <v>57</v>
      </c>
      <c r="D236" s="2" t="s">
        <v>52</v>
      </c>
      <c r="E236" s="2">
        <v>14</v>
      </c>
      <c r="F236" s="2">
        <v>1</v>
      </c>
      <c r="G236" s="2">
        <v>108</v>
      </c>
      <c r="H236" s="2">
        <v>0.44400000000000001</v>
      </c>
      <c r="I236" s="2">
        <v>0.56299999999999994</v>
      </c>
      <c r="J236" s="2">
        <v>0.27300000000000002</v>
      </c>
      <c r="K236" s="2">
        <v>0.5</v>
      </c>
      <c r="L236" s="2">
        <v>0.5</v>
      </c>
      <c r="M236" s="2">
        <v>0.50600000000000001</v>
      </c>
      <c r="N236" s="2">
        <v>0.222</v>
      </c>
      <c r="O236" s="2">
        <v>0.40699999999999997</v>
      </c>
      <c r="P236" s="2">
        <v>96</v>
      </c>
      <c r="Q236" s="2">
        <v>104</v>
      </c>
      <c r="R236" s="2">
        <v>76</v>
      </c>
      <c r="S236" s="2">
        <v>93</v>
      </c>
      <c r="T236" s="2">
        <v>64</v>
      </c>
      <c r="U236" s="2">
        <v>88</v>
      </c>
      <c r="V236" s="2">
        <v>89</v>
      </c>
      <c r="W236" s="2">
        <v>96</v>
      </c>
      <c r="X236" s="2">
        <v>-2.2000000000000002</v>
      </c>
      <c r="Y236" s="2">
        <v>-4.0999999999999996</v>
      </c>
    </row>
    <row r="237" spans="1:25" x14ac:dyDescent="0.2">
      <c r="A237" t="s">
        <v>38</v>
      </c>
      <c r="B237" s="2">
        <v>26</v>
      </c>
      <c r="C237" t="s">
        <v>39</v>
      </c>
      <c r="D237" s="2" t="s">
        <v>27</v>
      </c>
      <c r="E237" s="2">
        <v>23</v>
      </c>
      <c r="F237" s="2">
        <v>23</v>
      </c>
      <c r="G237" s="2">
        <v>839</v>
      </c>
      <c r="H237" s="2">
        <v>0.45300000000000001</v>
      </c>
      <c r="I237" s="2">
        <v>0.55000000000000004</v>
      </c>
      <c r="J237" s="2">
        <v>0.36399999999999999</v>
      </c>
      <c r="K237" s="2">
        <v>0.54700000000000004</v>
      </c>
      <c r="L237" s="2">
        <v>0.8</v>
      </c>
      <c r="M237" s="2">
        <v>0.59899999999999998</v>
      </c>
      <c r="N237" s="2">
        <v>0.377</v>
      </c>
      <c r="O237" s="2">
        <v>0.52200000000000002</v>
      </c>
      <c r="P237" s="2">
        <v>97</v>
      </c>
      <c r="Q237" s="2">
        <v>101</v>
      </c>
      <c r="R237" s="2">
        <v>101</v>
      </c>
      <c r="S237" s="2">
        <v>101</v>
      </c>
      <c r="T237" s="2">
        <v>103</v>
      </c>
      <c r="U237" s="2">
        <v>104</v>
      </c>
      <c r="V237" s="2">
        <v>151</v>
      </c>
      <c r="W237" s="2">
        <v>123</v>
      </c>
      <c r="X237" s="2">
        <v>6.4</v>
      </c>
      <c r="Y237" s="2">
        <v>26.4</v>
      </c>
    </row>
    <row r="238" spans="1:25" x14ac:dyDescent="0.2">
      <c r="A238" t="s">
        <v>502</v>
      </c>
      <c r="B238" s="2">
        <v>21</v>
      </c>
      <c r="C238" t="s">
        <v>63</v>
      </c>
      <c r="D238" s="2" t="s">
        <v>33</v>
      </c>
      <c r="E238" s="2">
        <v>6</v>
      </c>
      <c r="F238" s="2">
        <v>0</v>
      </c>
      <c r="G238" s="2">
        <v>14</v>
      </c>
      <c r="H238" s="2">
        <v>0.6</v>
      </c>
      <c r="I238" s="2">
        <v>0.5</v>
      </c>
      <c r="J238" s="2">
        <v>0.66700000000000004</v>
      </c>
      <c r="K238" s="2">
        <v>0.8</v>
      </c>
      <c r="L238" s="2"/>
      <c r="M238" s="2">
        <v>0.8</v>
      </c>
      <c r="N238" s="2">
        <v>0</v>
      </c>
      <c r="O238" s="2">
        <v>0.6</v>
      </c>
      <c r="P238" s="2">
        <v>129</v>
      </c>
      <c r="Q238" s="2">
        <v>92</v>
      </c>
      <c r="R238" s="2">
        <v>186</v>
      </c>
      <c r="S238" s="2">
        <v>148</v>
      </c>
      <c r="T238" s="2"/>
      <c r="U238" s="2">
        <v>139</v>
      </c>
      <c r="V238" s="2">
        <v>0</v>
      </c>
      <c r="W238" s="2">
        <v>142</v>
      </c>
      <c r="X238" s="2">
        <v>2.6</v>
      </c>
      <c r="Y238" s="2">
        <v>2.2999999999999998</v>
      </c>
    </row>
    <row r="239" spans="1:25" x14ac:dyDescent="0.2">
      <c r="A239" t="s">
        <v>509</v>
      </c>
      <c r="B239" s="2">
        <v>22</v>
      </c>
      <c r="C239" t="s">
        <v>39</v>
      </c>
      <c r="D239" s="2" t="s">
        <v>33</v>
      </c>
      <c r="E239" s="2">
        <v>5</v>
      </c>
      <c r="F239" s="2">
        <v>0</v>
      </c>
      <c r="G239" s="2">
        <v>24</v>
      </c>
      <c r="H239" s="2">
        <v>0.4</v>
      </c>
      <c r="I239" s="2">
        <v>0.5</v>
      </c>
      <c r="J239" s="2">
        <v>0.33300000000000002</v>
      </c>
      <c r="K239" s="2">
        <v>0.5</v>
      </c>
      <c r="L239" s="2">
        <v>0.5</v>
      </c>
      <c r="M239" s="2">
        <v>0.51</v>
      </c>
      <c r="N239" s="2">
        <v>0.4</v>
      </c>
      <c r="O239" s="2">
        <v>0.6</v>
      </c>
      <c r="P239" s="2">
        <v>86</v>
      </c>
      <c r="Q239" s="2">
        <v>92</v>
      </c>
      <c r="R239" s="2">
        <v>93</v>
      </c>
      <c r="S239" s="2">
        <v>93</v>
      </c>
      <c r="T239" s="2">
        <v>64</v>
      </c>
      <c r="U239" s="2">
        <v>89</v>
      </c>
      <c r="V239" s="2">
        <v>160</v>
      </c>
      <c r="W239" s="2">
        <v>142</v>
      </c>
      <c r="X239" s="2">
        <v>-0.4</v>
      </c>
      <c r="Y239" s="2">
        <v>-0.8</v>
      </c>
    </row>
    <row r="240" spans="1:25" x14ac:dyDescent="0.2">
      <c r="A240" t="s">
        <v>508</v>
      </c>
      <c r="B240" s="2">
        <v>25</v>
      </c>
      <c r="C240" t="s">
        <v>87</v>
      </c>
      <c r="D240" s="2" t="s">
        <v>52</v>
      </c>
      <c r="E240" s="2">
        <v>3</v>
      </c>
      <c r="F240" s="2">
        <v>0</v>
      </c>
      <c r="G240" s="2">
        <v>10</v>
      </c>
      <c r="H240" s="2">
        <v>0.75</v>
      </c>
      <c r="I240" s="2">
        <v>1</v>
      </c>
      <c r="J240" s="2">
        <v>0.5</v>
      </c>
      <c r="K240" s="2">
        <v>0.875</v>
      </c>
      <c r="L240" s="2"/>
      <c r="M240" s="2">
        <v>0.875</v>
      </c>
      <c r="N240" s="2">
        <v>0</v>
      </c>
      <c r="O240" s="2">
        <v>0.5</v>
      </c>
      <c r="P240" s="2">
        <v>161</v>
      </c>
      <c r="Q240" s="2">
        <v>185</v>
      </c>
      <c r="R240" s="2">
        <v>139</v>
      </c>
      <c r="S240" s="2">
        <v>162</v>
      </c>
      <c r="T240" s="2"/>
      <c r="U240" s="2">
        <v>152</v>
      </c>
      <c r="V240" s="2">
        <v>0</v>
      </c>
      <c r="W240" s="2">
        <v>118</v>
      </c>
      <c r="X240" s="2">
        <v>2.7</v>
      </c>
      <c r="Y240" s="2">
        <v>2.4</v>
      </c>
    </row>
    <row r="241" spans="1:25" x14ac:dyDescent="0.2">
      <c r="A241" t="s">
        <v>481</v>
      </c>
      <c r="B241" s="2">
        <v>27</v>
      </c>
      <c r="C241" t="s">
        <v>122</v>
      </c>
      <c r="D241" s="2" t="s">
        <v>33</v>
      </c>
      <c r="E241" s="2">
        <v>8</v>
      </c>
      <c r="F241" s="2">
        <v>0</v>
      </c>
      <c r="G241" s="2">
        <v>80</v>
      </c>
      <c r="H241" s="2">
        <v>0.316</v>
      </c>
      <c r="I241" s="2">
        <v>0.45500000000000002</v>
      </c>
      <c r="J241" s="2">
        <v>0.125</v>
      </c>
      <c r="K241" s="2">
        <v>0.34200000000000003</v>
      </c>
      <c r="L241" s="2">
        <v>0.75</v>
      </c>
      <c r="M241" s="2">
        <v>0.38500000000000001</v>
      </c>
      <c r="N241" s="2">
        <v>0.21099999999999999</v>
      </c>
      <c r="O241" s="2">
        <v>0.42099999999999999</v>
      </c>
      <c r="P241" s="2">
        <v>68</v>
      </c>
      <c r="Q241" s="2">
        <v>84</v>
      </c>
      <c r="R241" s="2">
        <v>35</v>
      </c>
      <c r="S241" s="2">
        <v>63</v>
      </c>
      <c r="T241" s="2">
        <v>96</v>
      </c>
      <c r="U241" s="2">
        <v>67</v>
      </c>
      <c r="V241" s="2">
        <v>84</v>
      </c>
      <c r="W241" s="2">
        <v>100</v>
      </c>
      <c r="X241" s="2">
        <v>-7.5</v>
      </c>
      <c r="Y241" s="2">
        <v>-7.9</v>
      </c>
    </row>
    <row r="242" spans="1:25" x14ac:dyDescent="0.2">
      <c r="A242" t="s">
        <v>480</v>
      </c>
      <c r="B242" s="2">
        <v>38</v>
      </c>
      <c r="C242" t="s">
        <v>87</v>
      </c>
      <c r="D242" s="2" t="s">
        <v>27</v>
      </c>
      <c r="E242" s="2">
        <v>7</v>
      </c>
      <c r="F242" s="2">
        <v>0</v>
      </c>
      <c r="G242" s="2">
        <v>40</v>
      </c>
      <c r="H242" s="2">
        <v>0.53800000000000003</v>
      </c>
      <c r="I242" s="2">
        <v>0.8</v>
      </c>
      <c r="J242" s="2">
        <v>0.375</v>
      </c>
      <c r="K242" s="2">
        <v>0.65400000000000003</v>
      </c>
      <c r="L242" s="2"/>
      <c r="M242" s="2">
        <v>0.65400000000000003</v>
      </c>
      <c r="N242" s="2">
        <v>0</v>
      </c>
      <c r="O242" s="2">
        <v>0.61499999999999999</v>
      </c>
      <c r="P242" s="2">
        <v>116</v>
      </c>
      <c r="Q242" s="2">
        <v>148</v>
      </c>
      <c r="R242" s="2">
        <v>104</v>
      </c>
      <c r="S242" s="2">
        <v>121</v>
      </c>
      <c r="T242" s="2"/>
      <c r="U242" s="2">
        <v>114</v>
      </c>
      <c r="V242" s="2">
        <v>0</v>
      </c>
      <c r="W242" s="2">
        <v>146</v>
      </c>
      <c r="X242" s="2">
        <v>2.9</v>
      </c>
      <c r="Y242" s="2">
        <v>2.1</v>
      </c>
    </row>
    <row r="243" spans="1:25" x14ac:dyDescent="0.2">
      <c r="A243" t="s">
        <v>139</v>
      </c>
      <c r="B243" s="2">
        <v>30</v>
      </c>
      <c r="C243" t="s">
        <v>135</v>
      </c>
      <c r="D243" s="2" t="s">
        <v>27</v>
      </c>
      <c r="E243" s="2">
        <v>22</v>
      </c>
      <c r="F243" s="2">
        <v>22</v>
      </c>
      <c r="G243" s="2">
        <v>714</v>
      </c>
      <c r="H243" s="2">
        <v>0.38</v>
      </c>
      <c r="I243" s="2">
        <v>0.40300000000000002</v>
      </c>
      <c r="J243" s="2">
        <v>0.35499999999999998</v>
      </c>
      <c r="K243" s="2">
        <v>0.46500000000000002</v>
      </c>
      <c r="L243" s="2">
        <v>0.82399999999999995</v>
      </c>
      <c r="M243" s="2">
        <v>0.51900000000000002</v>
      </c>
      <c r="N243" s="2">
        <v>0.29599999999999999</v>
      </c>
      <c r="O243" s="2">
        <v>0.48099999999999998</v>
      </c>
      <c r="P243" s="2">
        <v>82</v>
      </c>
      <c r="Q243" s="2">
        <v>74</v>
      </c>
      <c r="R243" s="2">
        <v>99</v>
      </c>
      <c r="S243" s="2">
        <v>86</v>
      </c>
      <c r="T243" s="2">
        <v>106</v>
      </c>
      <c r="U243" s="2">
        <v>90</v>
      </c>
      <c r="V243" s="2">
        <v>119</v>
      </c>
      <c r="W243" s="2">
        <v>114</v>
      </c>
      <c r="X243" s="2">
        <v>-43.3</v>
      </c>
      <c r="Y243" s="2">
        <v>-35.700000000000003</v>
      </c>
    </row>
    <row r="244" spans="1:25" x14ac:dyDescent="0.2">
      <c r="A244" t="s">
        <v>250</v>
      </c>
      <c r="B244" s="2">
        <v>24</v>
      </c>
      <c r="C244" t="s">
        <v>117</v>
      </c>
      <c r="D244" s="2" t="s">
        <v>27</v>
      </c>
      <c r="E244" s="2">
        <v>25</v>
      </c>
      <c r="F244" s="2">
        <v>4</v>
      </c>
      <c r="G244" s="2">
        <v>507</v>
      </c>
      <c r="H244" s="2">
        <v>0.438</v>
      </c>
      <c r="I244" s="2">
        <v>0.52300000000000002</v>
      </c>
      <c r="J244" s="2">
        <v>0.32300000000000001</v>
      </c>
      <c r="K244" s="2">
        <v>0.50700000000000001</v>
      </c>
      <c r="L244" s="2">
        <v>0.88500000000000001</v>
      </c>
      <c r="M244" s="2">
        <v>0.54100000000000004</v>
      </c>
      <c r="N244" s="2">
        <v>0.17</v>
      </c>
      <c r="O244" s="2">
        <v>0.42499999999999999</v>
      </c>
      <c r="P244" s="2">
        <v>94</v>
      </c>
      <c r="Q244" s="2">
        <v>96</v>
      </c>
      <c r="R244" s="2">
        <v>90</v>
      </c>
      <c r="S244" s="2">
        <v>94</v>
      </c>
      <c r="T244" s="2">
        <v>114</v>
      </c>
      <c r="U244" s="2">
        <v>94</v>
      </c>
      <c r="V244" s="2">
        <v>68</v>
      </c>
      <c r="W244" s="2">
        <v>101</v>
      </c>
      <c r="X244" s="2">
        <v>-10.4</v>
      </c>
      <c r="Y244" s="2">
        <v>-10.9</v>
      </c>
    </row>
    <row r="245" spans="1:25" x14ac:dyDescent="0.2">
      <c r="A245" t="s">
        <v>271</v>
      </c>
      <c r="B245" s="2">
        <v>21</v>
      </c>
      <c r="C245" t="s">
        <v>93</v>
      </c>
      <c r="D245" s="2" t="s">
        <v>27</v>
      </c>
      <c r="E245" s="2">
        <v>11</v>
      </c>
      <c r="F245" s="2">
        <v>8</v>
      </c>
      <c r="G245" s="2">
        <v>304</v>
      </c>
      <c r="H245" s="2">
        <v>0.5</v>
      </c>
      <c r="I245" s="2">
        <v>0.55100000000000005</v>
      </c>
      <c r="J245" s="2">
        <v>0.21099999999999999</v>
      </c>
      <c r="K245" s="2">
        <v>0.51600000000000001</v>
      </c>
      <c r="L245" s="2">
        <v>0.69</v>
      </c>
      <c r="M245" s="2">
        <v>0.55000000000000004</v>
      </c>
      <c r="N245" s="2">
        <v>0.33300000000000002</v>
      </c>
      <c r="O245" s="2">
        <v>0.151</v>
      </c>
      <c r="P245" s="2">
        <v>108</v>
      </c>
      <c r="Q245" s="2">
        <v>102</v>
      </c>
      <c r="R245" s="2">
        <v>59</v>
      </c>
      <c r="S245" s="2">
        <v>95</v>
      </c>
      <c r="T245" s="2">
        <v>89</v>
      </c>
      <c r="U245" s="2">
        <v>96</v>
      </c>
      <c r="V245" s="2">
        <v>134</v>
      </c>
      <c r="W245" s="2">
        <v>36</v>
      </c>
      <c r="X245" s="2">
        <v>-6.2</v>
      </c>
      <c r="Y245" s="2">
        <v>-7</v>
      </c>
    </row>
    <row r="246" spans="1:25" x14ac:dyDescent="0.2">
      <c r="A246" t="s">
        <v>418</v>
      </c>
      <c r="B246" s="2">
        <v>26</v>
      </c>
      <c r="C246" t="s">
        <v>44</v>
      </c>
      <c r="D246" s="2" t="s">
        <v>42</v>
      </c>
      <c r="E246" s="2">
        <v>24</v>
      </c>
      <c r="F246" s="2">
        <v>2</v>
      </c>
      <c r="G246" s="2">
        <v>299</v>
      </c>
      <c r="H246" s="2">
        <v>0.70399999999999996</v>
      </c>
      <c r="I246" s="2">
        <v>0.70399999999999996</v>
      </c>
      <c r="J246" s="2"/>
      <c r="K246" s="2">
        <v>0.70399999999999996</v>
      </c>
      <c r="L246" s="2">
        <v>0.57099999999999995</v>
      </c>
      <c r="M246" s="2">
        <v>0.69799999999999995</v>
      </c>
      <c r="N246" s="2">
        <v>0.25900000000000001</v>
      </c>
      <c r="O246" s="2">
        <v>0</v>
      </c>
      <c r="P246" s="2">
        <v>151</v>
      </c>
      <c r="Q246" s="2">
        <v>130</v>
      </c>
      <c r="R246" s="2"/>
      <c r="S246" s="2">
        <v>130</v>
      </c>
      <c r="T246" s="2">
        <v>73</v>
      </c>
      <c r="U246" s="2">
        <v>122</v>
      </c>
      <c r="V246" s="2">
        <v>104</v>
      </c>
      <c r="W246" s="2">
        <v>0</v>
      </c>
      <c r="X246" s="2">
        <v>8.8000000000000007</v>
      </c>
      <c r="Y246" s="2">
        <v>7.4</v>
      </c>
    </row>
    <row r="247" spans="1:25" x14ac:dyDescent="0.2">
      <c r="A247" t="s">
        <v>333</v>
      </c>
      <c r="B247" s="2">
        <v>21</v>
      </c>
      <c r="C247" t="s">
        <v>48</v>
      </c>
      <c r="D247" s="2" t="s">
        <v>49</v>
      </c>
      <c r="E247" s="2">
        <v>25</v>
      </c>
      <c r="F247" s="2">
        <v>0</v>
      </c>
      <c r="G247" s="2">
        <v>268</v>
      </c>
      <c r="H247" s="2">
        <v>0.378</v>
      </c>
      <c r="I247" s="2">
        <v>0.56499999999999995</v>
      </c>
      <c r="J247" s="2">
        <v>0.32</v>
      </c>
      <c r="K247" s="2">
        <v>0.5</v>
      </c>
      <c r="L247" s="2">
        <v>0.85699999999999998</v>
      </c>
      <c r="M247" s="2">
        <v>0.51400000000000001</v>
      </c>
      <c r="N247" s="2">
        <v>7.0999999999999994E-2</v>
      </c>
      <c r="O247" s="2">
        <v>0.76500000000000001</v>
      </c>
      <c r="P247" s="2">
        <v>81</v>
      </c>
      <c r="Q247" s="2">
        <v>104</v>
      </c>
      <c r="R247" s="2">
        <v>89</v>
      </c>
      <c r="S247" s="2">
        <v>93</v>
      </c>
      <c r="T247" s="2">
        <v>110</v>
      </c>
      <c r="U247" s="2">
        <v>90</v>
      </c>
      <c r="V247" s="2">
        <v>29</v>
      </c>
      <c r="W247" s="2">
        <v>181</v>
      </c>
      <c r="X247" s="2">
        <v>-7.9</v>
      </c>
      <c r="Y247" s="2">
        <v>-12.1</v>
      </c>
    </row>
    <row r="248" spans="1:25" x14ac:dyDescent="0.2">
      <c r="A248" t="s">
        <v>475</v>
      </c>
      <c r="B248" s="2">
        <v>29</v>
      </c>
      <c r="C248" t="s">
        <v>70</v>
      </c>
      <c r="D248" s="2" t="s">
        <v>33</v>
      </c>
      <c r="E248" s="2">
        <v>11</v>
      </c>
      <c r="F248" s="2">
        <v>0</v>
      </c>
      <c r="G248" s="2">
        <v>53</v>
      </c>
      <c r="H248" s="2">
        <v>0.30399999999999999</v>
      </c>
      <c r="I248" s="2">
        <v>0.42899999999999999</v>
      </c>
      <c r="J248" s="2">
        <v>0.25</v>
      </c>
      <c r="K248" s="2">
        <v>0.39100000000000001</v>
      </c>
      <c r="L248" s="2"/>
      <c r="M248" s="2">
        <v>0.39100000000000001</v>
      </c>
      <c r="N248" s="2">
        <v>0</v>
      </c>
      <c r="O248" s="2">
        <v>0.69599999999999995</v>
      </c>
      <c r="P248" s="2">
        <v>66</v>
      </c>
      <c r="Q248" s="2">
        <v>79</v>
      </c>
      <c r="R248" s="2">
        <v>70</v>
      </c>
      <c r="S248" s="2">
        <v>72</v>
      </c>
      <c r="T248" s="2"/>
      <c r="U248" s="2">
        <v>68</v>
      </c>
      <c r="V248" s="2">
        <v>0</v>
      </c>
      <c r="W248" s="2">
        <v>165</v>
      </c>
      <c r="X248" s="2">
        <v>-6.9</v>
      </c>
      <c r="Y248" s="2">
        <v>-8.4</v>
      </c>
    </row>
    <row r="249" spans="1:25" x14ac:dyDescent="0.2">
      <c r="A249" t="s">
        <v>144</v>
      </c>
      <c r="B249" s="2">
        <v>35</v>
      </c>
      <c r="C249" t="s">
        <v>61</v>
      </c>
      <c r="D249" s="2" t="s">
        <v>27</v>
      </c>
      <c r="E249" s="2">
        <v>18</v>
      </c>
      <c r="F249" s="2">
        <v>18</v>
      </c>
      <c r="G249" s="2">
        <v>575</v>
      </c>
      <c r="H249" s="2">
        <v>0.55000000000000004</v>
      </c>
      <c r="I249" s="2">
        <v>0.57699999999999996</v>
      </c>
      <c r="J249" s="2">
        <v>0.36</v>
      </c>
      <c r="K249" s="2">
        <v>0.57299999999999995</v>
      </c>
      <c r="L249" s="2">
        <v>0.77800000000000002</v>
      </c>
      <c r="M249" s="2">
        <v>0.64400000000000002</v>
      </c>
      <c r="N249" s="2">
        <v>0.67500000000000004</v>
      </c>
      <c r="O249" s="2">
        <v>0.125</v>
      </c>
      <c r="P249" s="2">
        <v>118</v>
      </c>
      <c r="Q249" s="2">
        <v>107</v>
      </c>
      <c r="R249" s="2">
        <v>100</v>
      </c>
      <c r="S249" s="2">
        <v>106</v>
      </c>
      <c r="T249" s="2">
        <v>100</v>
      </c>
      <c r="U249" s="2">
        <v>112</v>
      </c>
      <c r="V249" s="2">
        <v>271</v>
      </c>
      <c r="W249" s="2">
        <v>30</v>
      </c>
      <c r="X249" s="2">
        <v>12.8</v>
      </c>
      <c r="Y249" s="2">
        <v>36</v>
      </c>
    </row>
    <row r="250" spans="1:25" x14ac:dyDescent="0.2">
      <c r="A250" t="s">
        <v>397</v>
      </c>
      <c r="B250" s="2">
        <v>29</v>
      </c>
      <c r="C250" t="s">
        <v>87</v>
      </c>
      <c r="D250" s="2" t="s">
        <v>42</v>
      </c>
      <c r="E250" s="2">
        <v>14</v>
      </c>
      <c r="F250" s="2">
        <v>0</v>
      </c>
      <c r="G250" s="2">
        <v>156</v>
      </c>
      <c r="H250" s="2">
        <v>0.44700000000000001</v>
      </c>
      <c r="I250" s="2">
        <v>0.439</v>
      </c>
      <c r="J250" s="2">
        <v>0.5</v>
      </c>
      <c r="K250" s="2">
        <v>0.47899999999999998</v>
      </c>
      <c r="L250" s="2">
        <v>0.52600000000000002</v>
      </c>
      <c r="M250" s="2">
        <v>0.497</v>
      </c>
      <c r="N250" s="2">
        <v>0.40400000000000003</v>
      </c>
      <c r="O250" s="2">
        <v>0.128</v>
      </c>
      <c r="P250" s="2">
        <v>96</v>
      </c>
      <c r="Q250" s="2">
        <v>81</v>
      </c>
      <c r="R250" s="2">
        <v>139</v>
      </c>
      <c r="S250" s="2">
        <v>89</v>
      </c>
      <c r="T250" s="2">
        <v>68</v>
      </c>
      <c r="U250" s="2">
        <v>86</v>
      </c>
      <c r="V250" s="2">
        <v>162</v>
      </c>
      <c r="W250" s="2">
        <v>30</v>
      </c>
      <c r="X250" s="2">
        <v>-5.8</v>
      </c>
      <c r="Y250" s="2">
        <v>-8.6</v>
      </c>
    </row>
    <row r="251" spans="1:25" x14ac:dyDescent="0.2">
      <c r="A251" t="s">
        <v>558</v>
      </c>
      <c r="B251" s="2">
        <v>37</v>
      </c>
      <c r="C251" t="s">
        <v>51</v>
      </c>
      <c r="D251" s="2" t="s">
        <v>49</v>
      </c>
      <c r="E251" s="2">
        <v>7</v>
      </c>
      <c r="F251" s="2">
        <v>0</v>
      </c>
      <c r="G251" s="2">
        <v>26</v>
      </c>
      <c r="H251" s="2">
        <v>0</v>
      </c>
      <c r="I251" s="2"/>
      <c r="J251" s="2">
        <v>0</v>
      </c>
      <c r="K251" s="2">
        <v>0</v>
      </c>
      <c r="L251" s="2"/>
      <c r="M251" s="2">
        <v>0</v>
      </c>
      <c r="N251" s="2">
        <v>0</v>
      </c>
      <c r="O251" s="2">
        <v>1</v>
      </c>
      <c r="P251" s="2">
        <v>0</v>
      </c>
      <c r="Q251" s="2"/>
      <c r="R251" s="2">
        <v>0</v>
      </c>
      <c r="S251" s="2">
        <v>0</v>
      </c>
      <c r="T251" s="2"/>
      <c r="U251" s="2">
        <v>0</v>
      </c>
      <c r="V251" s="2">
        <v>0</v>
      </c>
      <c r="W251" s="2">
        <v>237</v>
      </c>
      <c r="X251" s="2">
        <v>-2.2000000000000002</v>
      </c>
      <c r="Y251" s="2">
        <v>-2.2999999999999998</v>
      </c>
    </row>
    <row r="252" spans="1:25" x14ac:dyDescent="0.2">
      <c r="A252" t="s">
        <v>324</v>
      </c>
      <c r="B252" s="2">
        <v>30</v>
      </c>
      <c r="C252" t="s">
        <v>122</v>
      </c>
      <c r="D252" s="2" t="s">
        <v>42</v>
      </c>
      <c r="E252" s="2">
        <v>5</v>
      </c>
      <c r="F252" s="2">
        <v>5</v>
      </c>
      <c r="G252" s="2">
        <v>158</v>
      </c>
      <c r="H252" s="2">
        <v>0.40699999999999997</v>
      </c>
      <c r="I252" s="2">
        <v>0.50800000000000001</v>
      </c>
      <c r="J252" s="2">
        <v>0.13</v>
      </c>
      <c r="K252" s="2">
        <v>0.42399999999999999</v>
      </c>
      <c r="L252" s="4">
        <v>0.97399999999999998</v>
      </c>
      <c r="M252" s="2">
        <v>0.53500000000000003</v>
      </c>
      <c r="N252" s="2">
        <v>0.442</v>
      </c>
      <c r="O252" s="2">
        <v>0.26700000000000002</v>
      </c>
      <c r="P252" s="2">
        <v>88</v>
      </c>
      <c r="Q252" s="2">
        <v>94</v>
      </c>
      <c r="R252" s="2">
        <v>36</v>
      </c>
      <c r="S252" s="2">
        <v>79</v>
      </c>
      <c r="T252" s="2">
        <v>125</v>
      </c>
      <c r="U252" s="2">
        <v>93</v>
      </c>
      <c r="V252" s="2">
        <v>177</v>
      </c>
      <c r="W252" s="2">
        <v>63</v>
      </c>
      <c r="X252" s="2">
        <v>-20</v>
      </c>
      <c r="Y252" s="2">
        <v>-8</v>
      </c>
    </row>
    <row r="253" spans="1:25" x14ac:dyDescent="0.2">
      <c r="A253" t="s">
        <v>119</v>
      </c>
      <c r="B253" s="2">
        <v>27</v>
      </c>
      <c r="C253" t="s">
        <v>120</v>
      </c>
      <c r="D253" s="2" t="s">
        <v>27</v>
      </c>
      <c r="E253" s="2">
        <v>22</v>
      </c>
      <c r="F253" s="2">
        <v>13</v>
      </c>
      <c r="G253" s="2">
        <v>634</v>
      </c>
      <c r="H253" s="2">
        <v>0.53500000000000003</v>
      </c>
      <c r="I253" s="2">
        <v>0.56799999999999995</v>
      </c>
      <c r="J253" s="2">
        <v>0.435</v>
      </c>
      <c r="K253" s="2">
        <v>0.58899999999999997</v>
      </c>
      <c r="L253" s="2">
        <v>0.92200000000000004</v>
      </c>
      <c r="M253" s="2">
        <v>0.63900000000000001</v>
      </c>
      <c r="N253" s="2">
        <v>0.28000000000000003</v>
      </c>
      <c r="O253" s="2">
        <v>0.251</v>
      </c>
      <c r="P253" s="2">
        <v>115</v>
      </c>
      <c r="Q253" s="2">
        <v>105</v>
      </c>
      <c r="R253" s="2">
        <v>121</v>
      </c>
      <c r="S253" s="2">
        <v>109</v>
      </c>
      <c r="T253" s="2">
        <v>119</v>
      </c>
      <c r="U253" s="2">
        <v>111</v>
      </c>
      <c r="V253" s="2">
        <v>112</v>
      </c>
      <c r="W253" s="2">
        <v>59</v>
      </c>
      <c r="X253" s="2">
        <v>26.7</v>
      </c>
      <c r="Y253" s="2">
        <v>40.1</v>
      </c>
    </row>
    <row r="254" spans="1:25" x14ac:dyDescent="0.2">
      <c r="A254" t="s">
        <v>435</v>
      </c>
      <c r="B254" s="2">
        <v>28</v>
      </c>
      <c r="C254" t="s">
        <v>80</v>
      </c>
      <c r="D254" s="2" t="s">
        <v>52</v>
      </c>
      <c r="E254" s="2">
        <v>12</v>
      </c>
      <c r="F254" s="2">
        <v>0</v>
      </c>
      <c r="G254" s="2">
        <v>154</v>
      </c>
      <c r="H254" s="2">
        <v>0.5</v>
      </c>
      <c r="I254" s="2">
        <v>1</v>
      </c>
      <c r="J254" s="2">
        <v>0.38900000000000001</v>
      </c>
      <c r="K254" s="2">
        <v>0.65900000000000003</v>
      </c>
      <c r="L254" s="2">
        <v>0.75</v>
      </c>
      <c r="M254" s="2">
        <v>0.67300000000000004</v>
      </c>
      <c r="N254" s="2">
        <v>0.182</v>
      </c>
      <c r="O254" s="2">
        <v>0.81799999999999995</v>
      </c>
      <c r="P254" s="2">
        <v>108</v>
      </c>
      <c r="Q254" s="2">
        <v>185</v>
      </c>
      <c r="R254" s="2">
        <v>108</v>
      </c>
      <c r="S254" s="2">
        <v>122</v>
      </c>
      <c r="T254" s="2">
        <v>96</v>
      </c>
      <c r="U254" s="2">
        <v>117</v>
      </c>
      <c r="V254" s="2">
        <v>73</v>
      </c>
      <c r="W254" s="2">
        <v>194</v>
      </c>
      <c r="X254" s="2">
        <v>5.2</v>
      </c>
      <c r="Y254" s="2">
        <v>4.7</v>
      </c>
    </row>
    <row r="255" spans="1:25" x14ac:dyDescent="0.2">
      <c r="A255" t="s">
        <v>399</v>
      </c>
      <c r="B255" s="2">
        <v>22</v>
      </c>
      <c r="C255" t="s">
        <v>114</v>
      </c>
      <c r="D255" s="2" t="s">
        <v>52</v>
      </c>
      <c r="E255" s="2">
        <v>17</v>
      </c>
      <c r="F255" s="2">
        <v>0</v>
      </c>
      <c r="G255" s="2">
        <v>142</v>
      </c>
      <c r="H255" s="2">
        <v>0.5</v>
      </c>
      <c r="I255" s="2">
        <v>0.56299999999999994</v>
      </c>
      <c r="J255" s="2">
        <v>0.33300000000000002</v>
      </c>
      <c r="K255" s="2">
        <v>0.54500000000000004</v>
      </c>
      <c r="L255" s="2">
        <v>0.66700000000000004</v>
      </c>
      <c r="M255" s="2">
        <v>0.56299999999999994</v>
      </c>
      <c r="N255" s="2">
        <v>0.20499999999999999</v>
      </c>
      <c r="O255" s="2">
        <v>0.27300000000000002</v>
      </c>
      <c r="P255" s="2">
        <v>108</v>
      </c>
      <c r="Q255" s="2">
        <v>104</v>
      </c>
      <c r="R255" s="2">
        <v>93</v>
      </c>
      <c r="S255" s="2">
        <v>101</v>
      </c>
      <c r="T255" s="2">
        <v>86</v>
      </c>
      <c r="U255" s="2">
        <v>98</v>
      </c>
      <c r="V255" s="2">
        <v>82</v>
      </c>
      <c r="W255" s="2">
        <v>65</v>
      </c>
      <c r="X255" s="2">
        <v>0.4</v>
      </c>
      <c r="Y255" s="2">
        <v>-1.1000000000000001</v>
      </c>
    </row>
    <row r="256" spans="1:25" x14ac:dyDescent="0.2">
      <c r="A256" t="s">
        <v>403</v>
      </c>
      <c r="B256" s="2">
        <v>20</v>
      </c>
      <c r="C256" t="s">
        <v>82</v>
      </c>
      <c r="D256" s="2" t="s">
        <v>52</v>
      </c>
      <c r="E256" s="2">
        <v>15</v>
      </c>
      <c r="F256" s="2">
        <v>0</v>
      </c>
      <c r="G256" s="2">
        <v>150</v>
      </c>
      <c r="H256" s="2">
        <v>0.40500000000000003</v>
      </c>
      <c r="I256" s="2">
        <v>0.38900000000000001</v>
      </c>
      <c r="J256" s="2">
        <v>0.41699999999999998</v>
      </c>
      <c r="K256" s="2">
        <v>0.52400000000000002</v>
      </c>
      <c r="L256" s="2">
        <v>1</v>
      </c>
      <c r="M256" s="2">
        <v>0.56599999999999995</v>
      </c>
      <c r="N256" s="2">
        <v>0.16700000000000001</v>
      </c>
      <c r="O256" s="2">
        <v>0.57099999999999995</v>
      </c>
      <c r="P256" s="2">
        <v>87</v>
      </c>
      <c r="Q256" s="2">
        <v>72</v>
      </c>
      <c r="R256" s="2">
        <v>116</v>
      </c>
      <c r="S256" s="2">
        <v>97</v>
      </c>
      <c r="T256" s="2">
        <v>129</v>
      </c>
      <c r="U256" s="2">
        <v>98</v>
      </c>
      <c r="V256" s="2">
        <v>67</v>
      </c>
      <c r="W256" s="2">
        <v>135</v>
      </c>
      <c r="X256" s="2">
        <v>-1.4</v>
      </c>
      <c r="Y256" s="2">
        <v>-0.8</v>
      </c>
    </row>
    <row r="257" spans="1:25" x14ac:dyDescent="0.2">
      <c r="A257" t="s">
        <v>305</v>
      </c>
      <c r="B257" s="2">
        <v>23</v>
      </c>
      <c r="C257" t="s">
        <v>120</v>
      </c>
      <c r="D257" s="2" t="s">
        <v>52</v>
      </c>
      <c r="E257" s="2">
        <v>19</v>
      </c>
      <c r="F257" s="2">
        <v>0</v>
      </c>
      <c r="G257" s="2">
        <v>328</v>
      </c>
      <c r="H257" s="2">
        <v>0.39300000000000002</v>
      </c>
      <c r="I257" s="2">
        <v>0.46899999999999997</v>
      </c>
      <c r="J257" s="2">
        <v>0.36299999999999999</v>
      </c>
      <c r="K257" s="2">
        <v>0.52200000000000002</v>
      </c>
      <c r="L257" s="2">
        <v>0.84599999999999997</v>
      </c>
      <c r="M257" s="2">
        <v>0.54400000000000004</v>
      </c>
      <c r="N257" s="2">
        <v>0.11600000000000001</v>
      </c>
      <c r="O257" s="2">
        <v>0.71399999999999997</v>
      </c>
      <c r="P257" s="2">
        <v>85</v>
      </c>
      <c r="Q257" s="2">
        <v>87</v>
      </c>
      <c r="R257" s="2">
        <v>101</v>
      </c>
      <c r="S257" s="2">
        <v>97</v>
      </c>
      <c r="T257" s="2">
        <v>109</v>
      </c>
      <c r="U257" s="2">
        <v>95</v>
      </c>
      <c r="V257" s="2">
        <v>47</v>
      </c>
      <c r="W257" s="2">
        <v>169</v>
      </c>
      <c r="X257" s="2">
        <v>-4.0999999999999996</v>
      </c>
      <c r="Y257" s="2">
        <v>-7.3</v>
      </c>
    </row>
    <row r="258" spans="1:25" x14ac:dyDescent="0.2">
      <c r="A258" t="s">
        <v>175</v>
      </c>
      <c r="B258" s="2">
        <v>32</v>
      </c>
      <c r="C258" t="s">
        <v>114</v>
      </c>
      <c r="D258" s="2" t="s">
        <v>42</v>
      </c>
      <c r="E258" s="2">
        <v>22</v>
      </c>
      <c r="F258" s="2">
        <v>6</v>
      </c>
      <c r="G258" s="2">
        <v>447</v>
      </c>
      <c r="H258" s="2">
        <v>0.56599999999999995</v>
      </c>
      <c r="I258" s="2">
        <v>0.58599999999999997</v>
      </c>
      <c r="J258" s="2">
        <v>0.2</v>
      </c>
      <c r="K258" s="2">
        <v>0.57099999999999995</v>
      </c>
      <c r="L258" s="2">
        <v>0.91500000000000004</v>
      </c>
      <c r="M258" s="2">
        <v>0.626</v>
      </c>
      <c r="N258" s="2">
        <v>0.30099999999999999</v>
      </c>
      <c r="O258" s="2">
        <v>5.0999999999999997E-2</v>
      </c>
      <c r="P258" s="2">
        <v>122</v>
      </c>
      <c r="Q258" s="2">
        <v>108</v>
      </c>
      <c r="R258" s="2">
        <v>56</v>
      </c>
      <c r="S258" s="2">
        <v>106</v>
      </c>
      <c r="T258" s="2">
        <v>118</v>
      </c>
      <c r="U258" s="2">
        <v>109</v>
      </c>
      <c r="V258" s="2">
        <v>121</v>
      </c>
      <c r="W258" s="2">
        <v>12</v>
      </c>
      <c r="X258" s="2">
        <v>12.1</v>
      </c>
      <c r="Y258" s="2">
        <v>23</v>
      </c>
    </row>
    <row r="259" spans="1:25" x14ac:dyDescent="0.2">
      <c r="A259" t="s">
        <v>299</v>
      </c>
      <c r="B259" s="2">
        <v>27</v>
      </c>
      <c r="C259" t="s">
        <v>48</v>
      </c>
      <c r="D259" s="2" t="s">
        <v>27</v>
      </c>
      <c r="E259" s="2">
        <v>21</v>
      </c>
      <c r="F259" s="2">
        <v>0</v>
      </c>
      <c r="G259" s="2">
        <v>355</v>
      </c>
      <c r="H259" s="2">
        <v>0.442</v>
      </c>
      <c r="I259" s="2">
        <v>0.6</v>
      </c>
      <c r="J259" s="2">
        <v>0.29299999999999998</v>
      </c>
      <c r="K259" s="2">
        <v>0.51800000000000002</v>
      </c>
      <c r="L259" s="2">
        <v>0.67900000000000005</v>
      </c>
      <c r="M259" s="2">
        <v>0.54300000000000004</v>
      </c>
      <c r="N259" s="2">
        <v>0.248</v>
      </c>
      <c r="O259" s="2">
        <v>0.51300000000000001</v>
      </c>
      <c r="P259" s="2">
        <v>95</v>
      </c>
      <c r="Q259" s="2">
        <v>111</v>
      </c>
      <c r="R259" s="2">
        <v>82</v>
      </c>
      <c r="S259" s="2">
        <v>96</v>
      </c>
      <c r="T259" s="2">
        <v>87</v>
      </c>
      <c r="U259" s="2">
        <v>94</v>
      </c>
      <c r="V259" s="2">
        <v>99</v>
      </c>
      <c r="W259" s="2">
        <v>121</v>
      </c>
      <c r="X259" s="2">
        <v>-5.2</v>
      </c>
      <c r="Y259" s="2">
        <v>-8</v>
      </c>
    </row>
    <row r="260" spans="1:25" x14ac:dyDescent="0.2">
      <c r="A260" t="s">
        <v>141</v>
      </c>
      <c r="B260" s="2">
        <v>22</v>
      </c>
      <c r="C260" t="s">
        <v>100</v>
      </c>
      <c r="D260" s="2" t="s">
        <v>27</v>
      </c>
      <c r="E260" s="2">
        <v>22</v>
      </c>
      <c r="F260" s="2">
        <v>9</v>
      </c>
      <c r="G260" s="2">
        <v>550</v>
      </c>
      <c r="H260" s="2">
        <v>0.44400000000000001</v>
      </c>
      <c r="I260" s="2">
        <v>0.5</v>
      </c>
      <c r="J260" s="2">
        <v>0.31</v>
      </c>
      <c r="K260" s="2">
        <v>0.49</v>
      </c>
      <c r="L260" s="2">
        <v>0.58199999999999996</v>
      </c>
      <c r="M260" s="2">
        <v>0.51100000000000001</v>
      </c>
      <c r="N260" s="2">
        <v>0.316</v>
      </c>
      <c r="O260" s="2">
        <v>0.29199999999999998</v>
      </c>
      <c r="P260" s="2">
        <v>96</v>
      </c>
      <c r="Q260" s="2">
        <v>92</v>
      </c>
      <c r="R260" s="2">
        <v>86</v>
      </c>
      <c r="S260" s="2">
        <v>91</v>
      </c>
      <c r="T260" s="2">
        <v>75</v>
      </c>
      <c r="U260" s="2">
        <v>89</v>
      </c>
      <c r="V260" s="2">
        <v>127</v>
      </c>
      <c r="W260" s="2">
        <v>69</v>
      </c>
      <c r="X260" s="2">
        <v>-29.3</v>
      </c>
      <c r="Y260" s="2">
        <v>-41.9</v>
      </c>
    </row>
    <row r="261" spans="1:25" x14ac:dyDescent="0.2">
      <c r="A261" t="s">
        <v>287</v>
      </c>
      <c r="B261" s="2">
        <v>23</v>
      </c>
      <c r="C261" t="s">
        <v>66</v>
      </c>
      <c r="D261" s="2" t="s">
        <v>27</v>
      </c>
      <c r="E261" s="2">
        <v>26</v>
      </c>
      <c r="F261" s="2">
        <v>2</v>
      </c>
      <c r="G261" s="2">
        <v>439</v>
      </c>
      <c r="H261" s="2">
        <v>0.47399999999999998</v>
      </c>
      <c r="I261" s="2">
        <v>0.5</v>
      </c>
      <c r="J261" s="2">
        <v>0.35</v>
      </c>
      <c r="K261" s="2">
        <v>0.504</v>
      </c>
      <c r="L261" s="2">
        <v>0.71399999999999997</v>
      </c>
      <c r="M261" s="2">
        <v>0.54700000000000004</v>
      </c>
      <c r="N261" s="2">
        <v>0.36799999999999999</v>
      </c>
      <c r="O261" s="2">
        <v>0.17499999999999999</v>
      </c>
      <c r="P261" s="2">
        <v>102</v>
      </c>
      <c r="Q261" s="2">
        <v>92</v>
      </c>
      <c r="R261" s="2">
        <v>97</v>
      </c>
      <c r="S261" s="2">
        <v>93</v>
      </c>
      <c r="T261" s="2">
        <v>92</v>
      </c>
      <c r="U261" s="2">
        <v>95</v>
      </c>
      <c r="V261" s="2">
        <v>148</v>
      </c>
      <c r="W261" s="2">
        <v>42</v>
      </c>
      <c r="X261" s="2">
        <v>-8.1999999999999993</v>
      </c>
      <c r="Y261" s="2">
        <v>-7.2</v>
      </c>
    </row>
    <row r="262" spans="1:25" x14ac:dyDescent="0.2">
      <c r="A262" t="s">
        <v>236</v>
      </c>
      <c r="B262" s="2">
        <v>32</v>
      </c>
      <c r="C262" t="s">
        <v>120</v>
      </c>
      <c r="D262" s="2" t="s">
        <v>52</v>
      </c>
      <c r="E262" s="2">
        <v>13</v>
      </c>
      <c r="F262" s="2">
        <v>2</v>
      </c>
      <c r="G262" s="2">
        <v>338</v>
      </c>
      <c r="H262" s="2">
        <v>0.39100000000000001</v>
      </c>
      <c r="I262" s="2">
        <v>0.48899999999999999</v>
      </c>
      <c r="J262" s="2">
        <v>0.27500000000000002</v>
      </c>
      <c r="K262" s="2">
        <v>0.45400000000000001</v>
      </c>
      <c r="L262" s="2">
        <v>0.80400000000000005</v>
      </c>
      <c r="M262" s="2">
        <v>0.502</v>
      </c>
      <c r="N262" s="2">
        <v>0.26400000000000001</v>
      </c>
      <c r="O262" s="2">
        <v>0.46</v>
      </c>
      <c r="P262" s="2">
        <v>84</v>
      </c>
      <c r="Q262" s="2">
        <v>90</v>
      </c>
      <c r="R262" s="2">
        <v>77</v>
      </c>
      <c r="S262" s="2">
        <v>84</v>
      </c>
      <c r="T262" s="2">
        <v>103</v>
      </c>
      <c r="U262" s="2">
        <v>87</v>
      </c>
      <c r="V262" s="2">
        <v>106</v>
      </c>
      <c r="W262" s="2">
        <v>109</v>
      </c>
      <c r="X262" s="2">
        <v>-30.1</v>
      </c>
      <c r="Y262" s="2">
        <v>-28.2</v>
      </c>
    </row>
    <row r="263" spans="1:25" x14ac:dyDescent="0.2">
      <c r="A263" t="s">
        <v>289</v>
      </c>
      <c r="B263" s="2">
        <v>22</v>
      </c>
      <c r="C263" t="s">
        <v>117</v>
      </c>
      <c r="D263" s="2" t="s">
        <v>52</v>
      </c>
      <c r="E263" s="2">
        <v>11</v>
      </c>
      <c r="F263" s="2">
        <v>3</v>
      </c>
      <c r="G263" s="2">
        <v>302</v>
      </c>
      <c r="H263" s="2">
        <v>0.373</v>
      </c>
      <c r="I263" s="2">
        <v>0.41699999999999998</v>
      </c>
      <c r="J263" s="2">
        <v>0.33300000000000002</v>
      </c>
      <c r="K263" s="2">
        <v>0.46</v>
      </c>
      <c r="L263" s="2">
        <v>0.90300000000000002</v>
      </c>
      <c r="M263" s="2">
        <v>0.51600000000000001</v>
      </c>
      <c r="N263" s="2">
        <v>0.246</v>
      </c>
      <c r="O263" s="2">
        <v>0.52400000000000002</v>
      </c>
      <c r="P263" s="2">
        <v>80</v>
      </c>
      <c r="Q263" s="2">
        <v>77</v>
      </c>
      <c r="R263" s="2">
        <v>93</v>
      </c>
      <c r="S263" s="2">
        <v>85</v>
      </c>
      <c r="T263" s="2">
        <v>116</v>
      </c>
      <c r="U263" s="2">
        <v>90</v>
      </c>
      <c r="V263" s="2">
        <v>99</v>
      </c>
      <c r="W263" s="2">
        <v>124</v>
      </c>
      <c r="X263" s="2">
        <v>-20.2</v>
      </c>
      <c r="Y263" s="2">
        <v>-16.399999999999999</v>
      </c>
    </row>
    <row r="264" spans="1:25" x14ac:dyDescent="0.2">
      <c r="A264" t="s">
        <v>412</v>
      </c>
      <c r="B264" s="2">
        <v>28</v>
      </c>
      <c r="C264" t="s">
        <v>37</v>
      </c>
      <c r="D264" s="2" t="s">
        <v>33</v>
      </c>
      <c r="E264" s="2">
        <v>20</v>
      </c>
      <c r="F264" s="2">
        <v>0</v>
      </c>
      <c r="G264" s="2">
        <v>158</v>
      </c>
      <c r="H264" s="2">
        <v>0.36799999999999999</v>
      </c>
      <c r="I264" s="2">
        <v>0.375</v>
      </c>
      <c r="J264" s="2">
        <v>0.36399999999999999</v>
      </c>
      <c r="K264" s="2">
        <v>0.47399999999999998</v>
      </c>
      <c r="L264" s="2">
        <v>0.71399999999999997</v>
      </c>
      <c r="M264" s="2">
        <v>0.52100000000000002</v>
      </c>
      <c r="N264" s="2">
        <v>0.36799999999999999</v>
      </c>
      <c r="O264" s="2">
        <v>0.57899999999999996</v>
      </c>
      <c r="P264" s="2">
        <v>79</v>
      </c>
      <c r="Q264" s="2">
        <v>69</v>
      </c>
      <c r="R264" s="2">
        <v>101</v>
      </c>
      <c r="S264" s="2">
        <v>88</v>
      </c>
      <c r="T264" s="2">
        <v>92</v>
      </c>
      <c r="U264" s="2">
        <v>91</v>
      </c>
      <c r="V264" s="2">
        <v>148</v>
      </c>
      <c r="W264" s="2">
        <v>137</v>
      </c>
      <c r="X264" s="2">
        <v>-5.0999999999999996</v>
      </c>
      <c r="Y264" s="2">
        <v>-4.7</v>
      </c>
    </row>
    <row r="265" spans="1:25" x14ac:dyDescent="0.2">
      <c r="A265" t="s">
        <v>325</v>
      </c>
      <c r="B265" s="2">
        <v>25</v>
      </c>
      <c r="C265" t="s">
        <v>77</v>
      </c>
      <c r="D265" s="2" t="s">
        <v>49</v>
      </c>
      <c r="E265" s="2">
        <v>14</v>
      </c>
      <c r="F265" s="2">
        <v>0</v>
      </c>
      <c r="G265" s="2">
        <v>228</v>
      </c>
      <c r="H265" s="2">
        <v>0.46700000000000003</v>
      </c>
      <c r="I265" s="2">
        <v>0.52200000000000002</v>
      </c>
      <c r="J265" s="2">
        <v>0.30399999999999999</v>
      </c>
      <c r="K265" s="2">
        <v>0.505</v>
      </c>
      <c r="L265" s="2">
        <v>0.77300000000000002</v>
      </c>
      <c r="M265" s="2">
        <v>0.54100000000000004</v>
      </c>
      <c r="N265" s="2">
        <v>0.23899999999999999</v>
      </c>
      <c r="O265" s="2">
        <v>0.25</v>
      </c>
      <c r="P265" s="2">
        <v>101</v>
      </c>
      <c r="Q265" s="2">
        <v>96</v>
      </c>
      <c r="R265" s="2">
        <v>85</v>
      </c>
      <c r="S265" s="2">
        <v>94</v>
      </c>
      <c r="T265" s="2">
        <v>99</v>
      </c>
      <c r="U265" s="2">
        <v>94</v>
      </c>
      <c r="V265" s="2">
        <v>96</v>
      </c>
      <c r="W265" s="2">
        <v>59</v>
      </c>
      <c r="X265" s="2">
        <v>-6.5</v>
      </c>
      <c r="Y265" s="2">
        <v>-6.8</v>
      </c>
    </row>
    <row r="266" spans="1:25" x14ac:dyDescent="0.2">
      <c r="A266" t="s">
        <v>113</v>
      </c>
      <c r="B266" s="2">
        <v>25</v>
      </c>
      <c r="C266" t="s">
        <v>114</v>
      </c>
      <c r="D266" s="2" t="s">
        <v>52</v>
      </c>
      <c r="E266" s="2">
        <v>20</v>
      </c>
      <c r="F266" s="2">
        <v>20</v>
      </c>
      <c r="G266" s="2">
        <v>606</v>
      </c>
      <c r="H266" s="2">
        <v>0.436</v>
      </c>
      <c r="I266" s="2">
        <v>0.46700000000000003</v>
      </c>
      <c r="J266" s="2">
        <v>0.40799999999999997</v>
      </c>
      <c r="K266" s="2">
        <v>0.54100000000000004</v>
      </c>
      <c r="L266" s="2">
        <v>0.85399999999999998</v>
      </c>
      <c r="M266" s="2">
        <v>0.58899999999999997</v>
      </c>
      <c r="N266" s="2">
        <v>0.28999999999999998</v>
      </c>
      <c r="O266" s="2">
        <v>0.51100000000000001</v>
      </c>
      <c r="P266" s="2">
        <v>94</v>
      </c>
      <c r="Q266" s="2">
        <v>86</v>
      </c>
      <c r="R266" s="2">
        <v>114</v>
      </c>
      <c r="S266" s="2">
        <v>100</v>
      </c>
      <c r="T266" s="2">
        <v>110</v>
      </c>
      <c r="U266" s="2">
        <v>103</v>
      </c>
      <c r="V266" s="2">
        <v>116</v>
      </c>
      <c r="W266" s="2">
        <v>121</v>
      </c>
      <c r="X266" s="2">
        <v>0.1</v>
      </c>
      <c r="Y266" s="2">
        <v>10.3</v>
      </c>
    </row>
    <row r="267" spans="1:25" x14ac:dyDescent="0.2">
      <c r="A267" t="s">
        <v>457</v>
      </c>
      <c r="B267" s="2">
        <v>20</v>
      </c>
      <c r="C267" t="s">
        <v>39</v>
      </c>
      <c r="D267" s="2" t="s">
        <v>27</v>
      </c>
      <c r="E267" s="2">
        <v>17</v>
      </c>
      <c r="F267" s="2">
        <v>1</v>
      </c>
      <c r="G267" s="2">
        <v>154</v>
      </c>
      <c r="H267" s="2">
        <v>0.31</v>
      </c>
      <c r="I267" s="2">
        <v>0.57099999999999995</v>
      </c>
      <c r="J267" s="2">
        <v>0.22700000000000001</v>
      </c>
      <c r="K267" s="2">
        <v>0.39700000000000002</v>
      </c>
      <c r="L267" s="2">
        <v>0</v>
      </c>
      <c r="M267" s="2">
        <v>0.39100000000000001</v>
      </c>
      <c r="N267" s="2">
        <v>3.4000000000000002E-2</v>
      </c>
      <c r="O267" s="2">
        <v>0.75900000000000001</v>
      </c>
      <c r="P267" s="2">
        <v>67</v>
      </c>
      <c r="Q267" s="2">
        <v>105</v>
      </c>
      <c r="R267" s="2">
        <v>63</v>
      </c>
      <c r="S267" s="2">
        <v>73</v>
      </c>
      <c r="T267" s="2">
        <v>0</v>
      </c>
      <c r="U267" s="2">
        <v>68</v>
      </c>
      <c r="V267" s="2">
        <v>14</v>
      </c>
      <c r="W267" s="2">
        <v>179</v>
      </c>
      <c r="X267" s="2">
        <v>-8.3000000000000007</v>
      </c>
      <c r="Y267" s="2">
        <v>-10.8</v>
      </c>
    </row>
    <row r="268" spans="1:25" x14ac:dyDescent="0.2">
      <c r="A268" t="s">
        <v>317</v>
      </c>
      <c r="B268" s="2">
        <v>26</v>
      </c>
      <c r="C268" t="s">
        <v>117</v>
      </c>
      <c r="D268" s="2" t="s">
        <v>33</v>
      </c>
      <c r="E268" s="2">
        <v>11</v>
      </c>
      <c r="F268" s="2">
        <v>7</v>
      </c>
      <c r="G268" s="2">
        <v>282</v>
      </c>
      <c r="H268" s="2">
        <v>0.39600000000000002</v>
      </c>
      <c r="I268" s="2">
        <v>0.39</v>
      </c>
      <c r="J268" s="2">
        <v>0.4</v>
      </c>
      <c r="K268" s="2">
        <v>0.51500000000000001</v>
      </c>
      <c r="L268" s="2">
        <v>0.82399999999999995</v>
      </c>
      <c r="M268" s="2">
        <v>0.54400000000000004</v>
      </c>
      <c r="N268" s="2">
        <v>0.16800000000000001</v>
      </c>
      <c r="O268" s="2">
        <v>0.59399999999999997</v>
      </c>
      <c r="P268" s="2">
        <v>85</v>
      </c>
      <c r="Q268" s="2">
        <v>72</v>
      </c>
      <c r="R268" s="2">
        <v>111</v>
      </c>
      <c r="S268" s="2">
        <v>95</v>
      </c>
      <c r="T268" s="2">
        <v>106</v>
      </c>
      <c r="U268" s="2">
        <v>95</v>
      </c>
      <c r="V268" s="2">
        <v>67</v>
      </c>
      <c r="W268" s="2">
        <v>141</v>
      </c>
      <c r="X268" s="2">
        <v>-5.2</v>
      </c>
      <c r="Y268" s="2">
        <v>-6.6</v>
      </c>
    </row>
    <row r="269" spans="1:25" x14ac:dyDescent="0.2">
      <c r="A269" t="s">
        <v>161</v>
      </c>
      <c r="B269" s="2">
        <v>22</v>
      </c>
      <c r="C269" t="s">
        <v>70</v>
      </c>
      <c r="D269" s="2" t="s">
        <v>33</v>
      </c>
      <c r="E269" s="2">
        <v>25</v>
      </c>
      <c r="F269" s="2">
        <v>25</v>
      </c>
      <c r="G269" s="2">
        <v>679</v>
      </c>
      <c r="H269" s="2">
        <v>0.443</v>
      </c>
      <c r="I269" s="2">
        <v>0.51200000000000001</v>
      </c>
      <c r="J269" s="2">
        <v>0.31900000000000001</v>
      </c>
      <c r="K269" s="2">
        <v>0.5</v>
      </c>
      <c r="L269" s="2">
        <v>0.69</v>
      </c>
      <c r="M269" s="2">
        <v>0.52600000000000002</v>
      </c>
      <c r="N269" s="2">
        <v>0.22900000000000001</v>
      </c>
      <c r="O269" s="2">
        <v>0.36</v>
      </c>
      <c r="P269" s="2">
        <v>95</v>
      </c>
      <c r="Q269" s="2">
        <v>95</v>
      </c>
      <c r="R269" s="2">
        <v>89</v>
      </c>
      <c r="S269" s="2">
        <v>93</v>
      </c>
      <c r="T269" s="2">
        <v>89</v>
      </c>
      <c r="U269" s="2">
        <v>92</v>
      </c>
      <c r="V269" s="2">
        <v>92</v>
      </c>
      <c r="W269" s="2">
        <v>85</v>
      </c>
      <c r="X269" s="2">
        <v>-20.5</v>
      </c>
      <c r="Y269" s="2">
        <v>-27</v>
      </c>
    </row>
    <row r="270" spans="1:25" x14ac:dyDescent="0.2">
      <c r="A270" t="s">
        <v>264</v>
      </c>
      <c r="B270" s="2">
        <v>24</v>
      </c>
      <c r="C270" t="s">
        <v>59</v>
      </c>
      <c r="D270" s="2" t="s">
        <v>52</v>
      </c>
      <c r="E270" s="2">
        <v>22</v>
      </c>
      <c r="F270" s="2">
        <v>21</v>
      </c>
      <c r="G270" s="2">
        <v>608</v>
      </c>
      <c r="H270" s="2">
        <v>0.438</v>
      </c>
      <c r="I270" s="2">
        <v>0.42199999999999999</v>
      </c>
      <c r="J270" s="2">
        <v>0.45200000000000001</v>
      </c>
      <c r="K270" s="2">
        <v>0.55800000000000005</v>
      </c>
      <c r="L270" s="2">
        <v>0.59099999999999997</v>
      </c>
      <c r="M270" s="2">
        <v>0.56599999999999995</v>
      </c>
      <c r="N270" s="2">
        <v>0.161</v>
      </c>
      <c r="O270" s="2">
        <v>0.53300000000000003</v>
      </c>
      <c r="P270" s="2">
        <v>94</v>
      </c>
      <c r="Q270" s="2">
        <v>78</v>
      </c>
      <c r="R270" s="2">
        <v>126</v>
      </c>
      <c r="S270" s="2">
        <v>103</v>
      </c>
      <c r="T270" s="2">
        <v>76</v>
      </c>
      <c r="U270" s="2">
        <v>98</v>
      </c>
      <c r="V270" s="2">
        <v>64</v>
      </c>
      <c r="W270" s="2">
        <v>126</v>
      </c>
      <c r="X270" s="2">
        <v>4.9000000000000004</v>
      </c>
      <c r="Y270" s="2">
        <v>-2.5</v>
      </c>
    </row>
    <row r="271" spans="1:25" x14ac:dyDescent="0.2">
      <c r="A271" t="s">
        <v>128</v>
      </c>
      <c r="B271" s="2">
        <v>29</v>
      </c>
      <c r="C271" t="s">
        <v>44</v>
      </c>
      <c r="D271" s="2" t="s">
        <v>52</v>
      </c>
      <c r="E271" s="2">
        <v>25</v>
      </c>
      <c r="F271" s="2">
        <v>25</v>
      </c>
      <c r="G271" s="2">
        <v>924</v>
      </c>
      <c r="H271" s="2">
        <v>0.59599999999999997</v>
      </c>
      <c r="I271" s="2">
        <v>0.70799999999999996</v>
      </c>
      <c r="J271" s="2">
        <v>0.40699999999999997</v>
      </c>
      <c r="K271" s="2">
        <v>0.67200000000000004</v>
      </c>
      <c r="L271" s="2">
        <v>0.84899999999999998</v>
      </c>
      <c r="M271" s="2">
        <v>0.69899999999999995</v>
      </c>
      <c r="N271" s="2">
        <v>0.23</v>
      </c>
      <c r="O271" s="2">
        <v>0.374</v>
      </c>
      <c r="P271" s="2">
        <v>128</v>
      </c>
      <c r="Q271" s="2">
        <v>131</v>
      </c>
      <c r="R271" s="2">
        <v>113</v>
      </c>
      <c r="S271" s="2">
        <v>124</v>
      </c>
      <c r="T271" s="2">
        <v>109</v>
      </c>
      <c r="U271" s="2">
        <v>122</v>
      </c>
      <c r="V271" s="2">
        <v>92</v>
      </c>
      <c r="W271" s="2">
        <v>88</v>
      </c>
      <c r="X271" s="2">
        <v>60.4</v>
      </c>
      <c r="Y271" s="2">
        <v>62.9</v>
      </c>
    </row>
    <row r="272" spans="1:25" x14ac:dyDescent="0.2">
      <c r="A272" t="s">
        <v>446</v>
      </c>
      <c r="B272" s="2">
        <v>22</v>
      </c>
      <c r="C272" t="s">
        <v>51</v>
      </c>
      <c r="D272" s="2" t="s">
        <v>49</v>
      </c>
      <c r="E272" s="2">
        <v>11</v>
      </c>
      <c r="F272" s="2">
        <v>0</v>
      </c>
      <c r="G272" s="2">
        <v>82</v>
      </c>
      <c r="H272" s="2">
        <v>0.57899999999999996</v>
      </c>
      <c r="I272" s="2">
        <v>1</v>
      </c>
      <c r="J272" s="2">
        <v>0.2</v>
      </c>
      <c r="K272" s="2">
        <v>0.63200000000000001</v>
      </c>
      <c r="L272" s="2">
        <v>0.6</v>
      </c>
      <c r="M272" s="2">
        <v>0.63700000000000001</v>
      </c>
      <c r="N272" s="2">
        <v>0.26300000000000001</v>
      </c>
      <c r="O272" s="2">
        <v>0.52600000000000002</v>
      </c>
      <c r="P272" s="2">
        <v>125</v>
      </c>
      <c r="Q272" s="2">
        <v>185</v>
      </c>
      <c r="R272" s="2">
        <v>56</v>
      </c>
      <c r="S272" s="2">
        <v>117</v>
      </c>
      <c r="T272" s="2">
        <v>77</v>
      </c>
      <c r="U272" s="2">
        <v>111</v>
      </c>
      <c r="V272" s="2">
        <v>106</v>
      </c>
      <c r="W272" s="2">
        <v>125</v>
      </c>
      <c r="X272" s="2">
        <v>3.5</v>
      </c>
      <c r="Y272" s="2">
        <v>2.6</v>
      </c>
    </row>
    <row r="273" spans="1:25" x14ac:dyDescent="0.2">
      <c r="A273" t="s">
        <v>342</v>
      </c>
      <c r="B273" s="2">
        <v>26</v>
      </c>
      <c r="C273" t="s">
        <v>54</v>
      </c>
      <c r="D273" s="2" t="s">
        <v>52</v>
      </c>
      <c r="E273" s="2">
        <v>13</v>
      </c>
      <c r="F273" s="2">
        <v>1</v>
      </c>
      <c r="G273" s="2">
        <v>194</v>
      </c>
      <c r="H273" s="2">
        <v>0.51400000000000001</v>
      </c>
      <c r="I273" s="2">
        <v>0.55300000000000005</v>
      </c>
      <c r="J273" s="2">
        <v>0.435</v>
      </c>
      <c r="K273" s="2">
        <v>0.58599999999999997</v>
      </c>
      <c r="L273" s="2">
        <v>0.69599999999999995</v>
      </c>
      <c r="M273" s="2">
        <v>0.61199999999999999</v>
      </c>
      <c r="N273" s="2">
        <v>0.32900000000000001</v>
      </c>
      <c r="O273" s="2">
        <v>0.32900000000000001</v>
      </c>
      <c r="P273" s="2">
        <v>111</v>
      </c>
      <c r="Q273" s="2">
        <v>102</v>
      </c>
      <c r="R273" s="2">
        <v>121</v>
      </c>
      <c r="S273" s="2">
        <v>108</v>
      </c>
      <c r="T273" s="2">
        <v>89</v>
      </c>
      <c r="U273" s="2">
        <v>106</v>
      </c>
      <c r="V273" s="2">
        <v>132</v>
      </c>
      <c r="W273" s="2">
        <v>78</v>
      </c>
      <c r="X273" s="2">
        <v>6.3</v>
      </c>
      <c r="Y273" s="2">
        <v>5.9</v>
      </c>
    </row>
    <row r="274" spans="1:25" x14ac:dyDescent="0.2">
      <c r="A274" t="s">
        <v>437</v>
      </c>
      <c r="B274" s="2">
        <v>31</v>
      </c>
      <c r="C274" t="s">
        <v>61</v>
      </c>
      <c r="D274" s="2" t="s">
        <v>52</v>
      </c>
      <c r="E274" s="2">
        <v>8</v>
      </c>
      <c r="F274" s="2">
        <v>0</v>
      </c>
      <c r="G274" s="2">
        <v>150</v>
      </c>
      <c r="H274" s="2">
        <v>0.28899999999999998</v>
      </c>
      <c r="I274" s="2">
        <v>0.313</v>
      </c>
      <c r="J274" s="2">
        <v>0.27300000000000002</v>
      </c>
      <c r="K274" s="2">
        <v>0.36799999999999999</v>
      </c>
      <c r="L274" s="2">
        <v>1</v>
      </c>
      <c r="M274" s="2">
        <v>0.40200000000000002</v>
      </c>
      <c r="N274" s="2">
        <v>0.105</v>
      </c>
      <c r="O274" s="2">
        <v>0.57899999999999996</v>
      </c>
      <c r="P274" s="2">
        <v>62</v>
      </c>
      <c r="Q274" s="2">
        <v>58</v>
      </c>
      <c r="R274" s="2">
        <v>76</v>
      </c>
      <c r="S274" s="2">
        <v>68</v>
      </c>
      <c r="T274" s="2">
        <v>129</v>
      </c>
      <c r="U274" s="2">
        <v>70</v>
      </c>
      <c r="V274" s="2">
        <v>42</v>
      </c>
      <c r="W274" s="2">
        <v>137</v>
      </c>
      <c r="X274" s="2">
        <v>-13.1</v>
      </c>
      <c r="Y274" s="2">
        <v>-13.7</v>
      </c>
    </row>
    <row r="275" spans="1:25" x14ac:dyDescent="0.2">
      <c r="A275" t="s">
        <v>176</v>
      </c>
      <c r="B275" s="2">
        <v>34</v>
      </c>
      <c r="C275" t="s">
        <v>39</v>
      </c>
      <c r="D275" s="2" t="s">
        <v>33</v>
      </c>
      <c r="E275" s="2">
        <v>22</v>
      </c>
      <c r="F275" s="2">
        <v>22</v>
      </c>
      <c r="G275" s="2">
        <v>681</v>
      </c>
      <c r="H275" s="2">
        <v>0.436</v>
      </c>
      <c r="I275" s="2">
        <v>0.56399999999999995</v>
      </c>
      <c r="J275" s="2">
        <v>0.33300000000000002</v>
      </c>
      <c r="K275" s="2">
        <v>0.52900000000000003</v>
      </c>
      <c r="L275" s="2">
        <v>0.90200000000000002</v>
      </c>
      <c r="M275" s="2">
        <v>0.56499999999999995</v>
      </c>
      <c r="N275" s="2">
        <v>0.18099999999999999</v>
      </c>
      <c r="O275" s="2">
        <v>0.55500000000000005</v>
      </c>
      <c r="P275" s="2">
        <v>94</v>
      </c>
      <c r="Q275" s="2">
        <v>104</v>
      </c>
      <c r="R275" s="2">
        <v>93</v>
      </c>
      <c r="S275" s="2">
        <v>98</v>
      </c>
      <c r="T275" s="2">
        <v>116</v>
      </c>
      <c r="U275" s="2">
        <v>98</v>
      </c>
      <c r="V275" s="2">
        <v>72</v>
      </c>
      <c r="W275" s="2">
        <v>131</v>
      </c>
      <c r="X275" s="2">
        <v>-5.4</v>
      </c>
      <c r="Y275" s="2">
        <v>-4.5</v>
      </c>
    </row>
    <row r="276" spans="1:25" x14ac:dyDescent="0.2">
      <c r="A276" t="s">
        <v>473</v>
      </c>
      <c r="B276" s="2">
        <v>22</v>
      </c>
      <c r="C276" t="s">
        <v>57</v>
      </c>
      <c r="D276" s="2" t="s">
        <v>27</v>
      </c>
      <c r="E276" s="2">
        <v>3</v>
      </c>
      <c r="F276" s="2">
        <v>0</v>
      </c>
      <c r="G276" s="2">
        <v>16</v>
      </c>
      <c r="H276" s="2">
        <v>1</v>
      </c>
      <c r="I276" s="2">
        <v>1</v>
      </c>
      <c r="J276" s="2">
        <v>1</v>
      </c>
      <c r="K276" s="2">
        <v>1.214</v>
      </c>
      <c r="L276" s="2">
        <v>1</v>
      </c>
      <c r="M276" s="2">
        <v>1.206</v>
      </c>
      <c r="N276" s="2">
        <v>0.28599999999999998</v>
      </c>
      <c r="O276" s="2">
        <v>0.42899999999999999</v>
      </c>
      <c r="P276" s="2">
        <v>215</v>
      </c>
      <c r="Q276" s="2">
        <v>185</v>
      </c>
      <c r="R276" s="2">
        <v>278</v>
      </c>
      <c r="S276" s="2">
        <v>225</v>
      </c>
      <c r="T276" s="2">
        <v>129</v>
      </c>
      <c r="U276" s="2">
        <v>210</v>
      </c>
      <c r="V276" s="2">
        <v>115</v>
      </c>
      <c r="W276" s="2">
        <v>101</v>
      </c>
      <c r="X276" s="2">
        <v>9.4</v>
      </c>
      <c r="Y276" s="2">
        <v>9.9</v>
      </c>
    </row>
    <row r="277" spans="1:25" x14ac:dyDescent="0.2">
      <c r="A277" t="s">
        <v>153</v>
      </c>
      <c r="B277" s="2">
        <v>23</v>
      </c>
      <c r="C277" t="s">
        <v>93</v>
      </c>
      <c r="D277" s="2" t="s">
        <v>49</v>
      </c>
      <c r="E277" s="2">
        <v>24</v>
      </c>
      <c r="F277" s="2">
        <v>24</v>
      </c>
      <c r="G277" s="2">
        <v>711</v>
      </c>
      <c r="H277" s="2">
        <v>0.433</v>
      </c>
      <c r="I277" s="2">
        <v>0.623</v>
      </c>
      <c r="J277" s="2">
        <v>0.35499999999999998</v>
      </c>
      <c r="K277" s="2">
        <v>0.55900000000000005</v>
      </c>
      <c r="L277" s="2">
        <v>0.92300000000000004</v>
      </c>
      <c r="M277" s="2">
        <v>0.59199999999999997</v>
      </c>
      <c r="N277" s="2">
        <v>0.16400000000000001</v>
      </c>
      <c r="O277" s="2">
        <v>0.71</v>
      </c>
      <c r="P277" s="2">
        <v>93</v>
      </c>
      <c r="Q277" s="2">
        <v>115</v>
      </c>
      <c r="R277" s="2">
        <v>99</v>
      </c>
      <c r="S277" s="2">
        <v>103</v>
      </c>
      <c r="T277" s="2">
        <v>119</v>
      </c>
      <c r="U277" s="2">
        <v>103</v>
      </c>
      <c r="V277" s="2">
        <v>66</v>
      </c>
      <c r="W277" s="2">
        <v>168</v>
      </c>
      <c r="X277" s="2">
        <v>8.6999999999999993</v>
      </c>
      <c r="Y277" s="2">
        <v>8.8000000000000007</v>
      </c>
    </row>
    <row r="278" spans="1:25" x14ac:dyDescent="0.2">
      <c r="A278" t="s">
        <v>328</v>
      </c>
      <c r="B278" s="2">
        <v>21</v>
      </c>
      <c r="C278" t="s">
        <v>70</v>
      </c>
      <c r="D278" s="2" t="s">
        <v>49</v>
      </c>
      <c r="E278" s="2">
        <v>24</v>
      </c>
      <c r="F278" s="2">
        <v>2</v>
      </c>
      <c r="G278" s="2">
        <v>344</v>
      </c>
      <c r="H278" s="2">
        <v>0.41299999999999998</v>
      </c>
      <c r="I278" s="2">
        <v>0.57099999999999995</v>
      </c>
      <c r="J278" s="2">
        <v>0.316</v>
      </c>
      <c r="K278" s="2">
        <v>0.51100000000000001</v>
      </c>
      <c r="L278" s="2">
        <v>0.61899999999999999</v>
      </c>
      <c r="M278" s="2">
        <v>0.52800000000000002</v>
      </c>
      <c r="N278" s="2">
        <v>0.22800000000000001</v>
      </c>
      <c r="O278" s="2">
        <v>0.62</v>
      </c>
      <c r="P278" s="2">
        <v>89</v>
      </c>
      <c r="Q278" s="2">
        <v>105</v>
      </c>
      <c r="R278" s="2">
        <v>88</v>
      </c>
      <c r="S278" s="2">
        <v>95</v>
      </c>
      <c r="T278" s="2">
        <v>80</v>
      </c>
      <c r="U278" s="2">
        <v>92</v>
      </c>
      <c r="V278" s="2">
        <v>92</v>
      </c>
      <c r="W278" s="2">
        <v>147</v>
      </c>
      <c r="X278" s="2">
        <v>-5.5</v>
      </c>
      <c r="Y278" s="2">
        <v>-9.3000000000000007</v>
      </c>
    </row>
    <row r="279" spans="1:25" x14ac:dyDescent="0.2">
      <c r="A279" t="s">
        <v>233</v>
      </c>
      <c r="B279" s="2">
        <v>22</v>
      </c>
      <c r="C279" t="s">
        <v>46</v>
      </c>
      <c r="D279" s="2" t="s">
        <v>52</v>
      </c>
      <c r="E279" s="2">
        <v>22</v>
      </c>
      <c r="F279" s="2">
        <v>0</v>
      </c>
      <c r="G279" s="2">
        <v>458</v>
      </c>
      <c r="H279" s="2">
        <v>0.46300000000000002</v>
      </c>
      <c r="I279" s="2">
        <v>0.52100000000000002</v>
      </c>
      <c r="J279" s="2">
        <v>0.40799999999999997</v>
      </c>
      <c r="K279" s="2">
        <v>0.56699999999999995</v>
      </c>
      <c r="L279" s="2">
        <v>0.80600000000000005</v>
      </c>
      <c r="M279" s="2">
        <v>0.60099999999999998</v>
      </c>
      <c r="N279" s="2">
        <v>0.24199999999999999</v>
      </c>
      <c r="O279" s="2">
        <v>0.51</v>
      </c>
      <c r="P279" s="2">
        <v>100</v>
      </c>
      <c r="Q279" s="2">
        <v>96</v>
      </c>
      <c r="R279" s="2">
        <v>114</v>
      </c>
      <c r="S279" s="2">
        <v>105</v>
      </c>
      <c r="T279" s="2">
        <v>104</v>
      </c>
      <c r="U279" s="2">
        <v>105</v>
      </c>
      <c r="V279" s="2">
        <v>97</v>
      </c>
      <c r="W279" s="2">
        <v>121</v>
      </c>
      <c r="X279" s="2">
        <v>7.9</v>
      </c>
      <c r="Y279" s="2">
        <v>8.6</v>
      </c>
    </row>
    <row r="280" spans="1:25" x14ac:dyDescent="0.2">
      <c r="A280" t="s">
        <v>91</v>
      </c>
      <c r="B280" s="2">
        <v>30</v>
      </c>
      <c r="C280" t="s">
        <v>51</v>
      </c>
      <c r="D280" s="2" t="s">
        <v>27</v>
      </c>
      <c r="E280" s="2">
        <v>23</v>
      </c>
      <c r="F280" s="2">
        <v>23</v>
      </c>
      <c r="G280" s="2">
        <v>763</v>
      </c>
      <c r="H280" s="2">
        <v>0.48899999999999999</v>
      </c>
      <c r="I280" s="2">
        <v>0.55000000000000004</v>
      </c>
      <c r="J280" s="2">
        <v>0.36699999999999999</v>
      </c>
      <c r="K280" s="2">
        <v>0.55000000000000004</v>
      </c>
      <c r="L280" s="2">
        <v>0.82399999999999995</v>
      </c>
      <c r="M280" s="2">
        <v>0.60799999999999998</v>
      </c>
      <c r="N280" s="2">
        <v>0.39800000000000002</v>
      </c>
      <c r="O280" s="2">
        <v>0.33100000000000002</v>
      </c>
      <c r="P280" s="2">
        <v>105</v>
      </c>
      <c r="Q280" s="2">
        <v>102</v>
      </c>
      <c r="R280" s="2">
        <v>102</v>
      </c>
      <c r="S280" s="2">
        <v>102</v>
      </c>
      <c r="T280" s="2">
        <v>106</v>
      </c>
      <c r="U280" s="2">
        <v>106</v>
      </c>
      <c r="V280" s="2">
        <v>160</v>
      </c>
      <c r="W280" s="2">
        <v>78</v>
      </c>
      <c r="X280" s="2">
        <v>6.3</v>
      </c>
      <c r="Y280" s="2">
        <v>25.8</v>
      </c>
    </row>
    <row r="281" spans="1:25" x14ac:dyDescent="0.2">
      <c r="A281" t="s">
        <v>410</v>
      </c>
      <c r="B281" s="2">
        <v>23</v>
      </c>
      <c r="C281" t="s">
        <v>114</v>
      </c>
      <c r="D281" s="2" t="s">
        <v>49</v>
      </c>
      <c r="E281" s="2">
        <v>5</v>
      </c>
      <c r="F281" s="2">
        <v>2</v>
      </c>
      <c r="G281" s="2">
        <v>105</v>
      </c>
      <c r="H281" s="2">
        <v>0.55900000000000005</v>
      </c>
      <c r="I281" s="2">
        <v>0.63600000000000001</v>
      </c>
      <c r="J281" s="2">
        <v>0.41699999999999998</v>
      </c>
      <c r="K281" s="2">
        <v>0.63200000000000001</v>
      </c>
      <c r="L281" s="2">
        <v>0.6</v>
      </c>
      <c r="M281" s="2">
        <v>0.63500000000000001</v>
      </c>
      <c r="N281" s="2">
        <v>0.14699999999999999</v>
      </c>
      <c r="O281" s="2">
        <v>0.35299999999999998</v>
      </c>
      <c r="P281" s="2">
        <v>120</v>
      </c>
      <c r="Q281" s="2">
        <v>117</v>
      </c>
      <c r="R281" s="2">
        <v>116</v>
      </c>
      <c r="S281" s="2">
        <v>117</v>
      </c>
      <c r="T281" s="2">
        <v>77</v>
      </c>
      <c r="U281" s="2">
        <v>111</v>
      </c>
      <c r="V281" s="2">
        <v>59</v>
      </c>
      <c r="W281" s="2">
        <v>83</v>
      </c>
      <c r="X281" s="2">
        <v>6.2</v>
      </c>
      <c r="Y281" s="2">
        <v>4.4000000000000004</v>
      </c>
    </row>
    <row r="282" spans="1:25" x14ac:dyDescent="0.2">
      <c r="A282" t="s">
        <v>524</v>
      </c>
      <c r="B282" s="2">
        <v>21</v>
      </c>
      <c r="C282" t="s">
        <v>122</v>
      </c>
      <c r="D282" s="2" t="s">
        <v>49</v>
      </c>
      <c r="E282" s="2">
        <v>2</v>
      </c>
      <c r="F282" s="2">
        <v>0</v>
      </c>
      <c r="G282" s="2">
        <v>9</v>
      </c>
      <c r="H282" s="2">
        <v>0.66700000000000004</v>
      </c>
      <c r="I282" s="2">
        <v>1</v>
      </c>
      <c r="J282" s="2">
        <v>0</v>
      </c>
      <c r="K282" s="2">
        <v>0.66700000000000004</v>
      </c>
      <c r="L282" s="2">
        <v>0</v>
      </c>
      <c r="M282" s="2">
        <v>0.58099999999999996</v>
      </c>
      <c r="N282" s="2">
        <v>0.33300000000000002</v>
      </c>
      <c r="O282" s="2">
        <v>0.33300000000000002</v>
      </c>
      <c r="P282" s="2">
        <v>143</v>
      </c>
      <c r="Q282" s="2">
        <v>185</v>
      </c>
      <c r="R282" s="2">
        <v>0</v>
      </c>
      <c r="S282" s="2">
        <v>123</v>
      </c>
      <c r="T282" s="2">
        <v>0</v>
      </c>
      <c r="U282" s="2">
        <v>101</v>
      </c>
      <c r="V282" s="2">
        <v>134</v>
      </c>
      <c r="W282" s="2">
        <v>79</v>
      </c>
      <c r="X282" s="2">
        <v>0.8</v>
      </c>
      <c r="Y282" s="2">
        <v>0</v>
      </c>
    </row>
    <row r="283" spans="1:25" x14ac:dyDescent="0.2">
      <c r="A283" t="s">
        <v>564</v>
      </c>
      <c r="B283" s="2">
        <v>25</v>
      </c>
      <c r="C283" t="s">
        <v>135</v>
      </c>
      <c r="D283" s="2" t="s">
        <v>49</v>
      </c>
      <c r="E283" s="2">
        <v>1</v>
      </c>
      <c r="F283" s="2">
        <v>0</v>
      </c>
      <c r="G283" s="2">
        <v>6</v>
      </c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>
        <v>0</v>
      </c>
      <c r="Y283" s="2">
        <v>0</v>
      </c>
    </row>
    <row r="284" spans="1:25" x14ac:dyDescent="0.2">
      <c r="A284" t="s">
        <v>293</v>
      </c>
      <c r="B284" s="2">
        <v>30</v>
      </c>
      <c r="C284" t="s">
        <v>54</v>
      </c>
      <c r="D284" s="2" t="s">
        <v>42</v>
      </c>
      <c r="E284" s="2">
        <v>16</v>
      </c>
      <c r="F284" s="2">
        <v>16</v>
      </c>
      <c r="G284" s="2">
        <v>385</v>
      </c>
      <c r="H284" s="2">
        <v>0.42</v>
      </c>
      <c r="I284" s="2">
        <v>0.50800000000000001</v>
      </c>
      <c r="J284" s="2">
        <v>0.29799999999999999</v>
      </c>
      <c r="K284" s="2">
        <v>0.48199999999999998</v>
      </c>
      <c r="L284" s="2">
        <v>0.67300000000000004</v>
      </c>
      <c r="M284" s="2">
        <v>0.53</v>
      </c>
      <c r="N284" s="2">
        <v>0.46400000000000002</v>
      </c>
      <c r="O284" s="2">
        <v>0.42</v>
      </c>
      <c r="P284" s="2">
        <v>90</v>
      </c>
      <c r="Q284" s="2">
        <v>94</v>
      </c>
      <c r="R284" s="2">
        <v>83</v>
      </c>
      <c r="S284" s="2">
        <v>89</v>
      </c>
      <c r="T284" s="2">
        <v>87</v>
      </c>
      <c r="U284" s="2">
        <v>92</v>
      </c>
      <c r="V284" s="2">
        <v>186</v>
      </c>
      <c r="W284" s="2">
        <v>99</v>
      </c>
      <c r="X284" s="2">
        <v>-13.1</v>
      </c>
      <c r="Y284" s="2">
        <v>-12</v>
      </c>
    </row>
    <row r="285" spans="1:25" x14ac:dyDescent="0.2">
      <c r="A285" t="s">
        <v>423</v>
      </c>
      <c r="B285" s="2">
        <v>24</v>
      </c>
      <c r="C285" t="s">
        <v>77</v>
      </c>
      <c r="D285" s="2" t="s">
        <v>42</v>
      </c>
      <c r="E285" s="2">
        <v>16</v>
      </c>
      <c r="F285" s="2">
        <v>0</v>
      </c>
      <c r="G285" s="2">
        <v>139</v>
      </c>
      <c r="H285" s="2">
        <v>0.75</v>
      </c>
      <c r="I285" s="2">
        <v>0.75</v>
      </c>
      <c r="J285" s="2"/>
      <c r="K285" s="2">
        <v>0.75</v>
      </c>
      <c r="L285" s="2">
        <v>0.7</v>
      </c>
      <c r="M285" s="2">
        <v>0.75800000000000001</v>
      </c>
      <c r="N285" s="2">
        <v>0.5</v>
      </c>
      <c r="O285" s="2">
        <v>0</v>
      </c>
      <c r="P285" s="2">
        <v>161</v>
      </c>
      <c r="Q285" s="2">
        <v>138</v>
      </c>
      <c r="R285" s="2"/>
      <c r="S285" s="2">
        <v>139</v>
      </c>
      <c r="T285" s="2">
        <v>90</v>
      </c>
      <c r="U285" s="2">
        <v>132</v>
      </c>
      <c r="V285" s="2">
        <v>201</v>
      </c>
      <c r="W285" s="2">
        <v>0</v>
      </c>
      <c r="X285" s="2">
        <v>8.4</v>
      </c>
      <c r="Y285" s="2">
        <v>9</v>
      </c>
    </row>
    <row r="286" spans="1:25" x14ac:dyDescent="0.2">
      <c r="A286" t="s">
        <v>55</v>
      </c>
      <c r="B286" s="2">
        <v>29</v>
      </c>
      <c r="C286" t="s">
        <v>44</v>
      </c>
      <c r="D286" s="2" t="s">
        <v>42</v>
      </c>
      <c r="E286" s="2">
        <v>23</v>
      </c>
      <c r="F286" s="2">
        <v>23</v>
      </c>
      <c r="G286" s="2">
        <v>781</v>
      </c>
      <c r="H286" s="2">
        <v>0.52900000000000003</v>
      </c>
      <c r="I286" s="2">
        <v>0.56799999999999995</v>
      </c>
      <c r="J286" s="2">
        <v>0.442</v>
      </c>
      <c r="K286" s="2">
        <v>0.59799999999999998</v>
      </c>
      <c r="L286" s="2">
        <v>0.83699999999999997</v>
      </c>
      <c r="M286" s="2">
        <v>0.64500000000000002</v>
      </c>
      <c r="N286" s="2">
        <v>0.35199999999999998</v>
      </c>
      <c r="O286" s="2">
        <v>0.313</v>
      </c>
      <c r="P286" s="2">
        <v>114</v>
      </c>
      <c r="Q286" s="2">
        <v>105</v>
      </c>
      <c r="R286" s="2">
        <v>123</v>
      </c>
      <c r="S286" s="2">
        <v>111</v>
      </c>
      <c r="T286" s="2">
        <v>108</v>
      </c>
      <c r="U286" s="2">
        <v>112</v>
      </c>
      <c r="V286" s="2">
        <v>141</v>
      </c>
      <c r="W286" s="2">
        <v>74</v>
      </c>
      <c r="X286" s="2">
        <v>43.9</v>
      </c>
      <c r="Y286" s="2">
        <v>62.6</v>
      </c>
    </row>
    <row r="287" spans="1:25" x14ac:dyDescent="0.2">
      <c r="A287" t="s">
        <v>530</v>
      </c>
      <c r="B287" s="2">
        <v>23</v>
      </c>
      <c r="C287" t="s">
        <v>117</v>
      </c>
      <c r="D287" s="2" t="s">
        <v>27</v>
      </c>
      <c r="E287" s="2">
        <v>5</v>
      </c>
      <c r="F287" s="2">
        <v>0</v>
      </c>
      <c r="G287" s="2">
        <v>39</v>
      </c>
      <c r="H287" s="2">
        <v>0.4</v>
      </c>
      <c r="I287" s="2">
        <v>0.4</v>
      </c>
      <c r="J287" s="2"/>
      <c r="K287" s="2">
        <v>0.4</v>
      </c>
      <c r="L287" s="2"/>
      <c r="M287" s="2">
        <v>0.4</v>
      </c>
      <c r="N287" s="2">
        <v>0</v>
      </c>
      <c r="O287" s="2">
        <v>0</v>
      </c>
      <c r="P287" s="2">
        <v>86</v>
      </c>
      <c r="Q287" s="2">
        <v>74</v>
      </c>
      <c r="R287" s="2"/>
      <c r="S287" s="2">
        <v>74</v>
      </c>
      <c r="T287" s="2"/>
      <c r="U287" s="2">
        <v>70</v>
      </c>
      <c r="V287" s="2">
        <v>0</v>
      </c>
      <c r="W287" s="2">
        <v>0</v>
      </c>
      <c r="X287" s="2">
        <v>-1.4</v>
      </c>
      <c r="Y287" s="2">
        <v>-1.7</v>
      </c>
    </row>
    <row r="288" spans="1:25" x14ac:dyDescent="0.2">
      <c r="A288" t="s">
        <v>396</v>
      </c>
      <c r="B288" s="2">
        <v>25</v>
      </c>
      <c r="C288" t="s">
        <v>72</v>
      </c>
      <c r="D288" s="2" t="s">
        <v>33</v>
      </c>
      <c r="E288" s="2">
        <v>12</v>
      </c>
      <c r="F288" s="2">
        <v>1</v>
      </c>
      <c r="G288" s="2">
        <v>194</v>
      </c>
      <c r="H288" s="2">
        <v>0.4</v>
      </c>
      <c r="I288" s="2">
        <v>0.48299999999999998</v>
      </c>
      <c r="J288" s="2">
        <v>0.308</v>
      </c>
      <c r="K288" s="2">
        <v>0.47299999999999998</v>
      </c>
      <c r="L288" s="2">
        <v>1</v>
      </c>
      <c r="M288" s="2">
        <v>0.49299999999999999</v>
      </c>
      <c r="N288" s="2">
        <v>7.2999999999999995E-2</v>
      </c>
      <c r="O288" s="2">
        <v>0.47299999999999998</v>
      </c>
      <c r="P288" s="2">
        <v>86</v>
      </c>
      <c r="Q288" s="2">
        <v>89</v>
      </c>
      <c r="R288" s="2">
        <v>86</v>
      </c>
      <c r="S288" s="2">
        <v>87</v>
      </c>
      <c r="T288" s="2">
        <v>129</v>
      </c>
      <c r="U288" s="2">
        <v>86</v>
      </c>
      <c r="V288" s="2">
        <v>29</v>
      </c>
      <c r="W288" s="2">
        <v>112</v>
      </c>
      <c r="X288" s="2">
        <v>-7.5</v>
      </c>
      <c r="Y288" s="2">
        <v>-9.1999999999999993</v>
      </c>
    </row>
    <row r="289" spans="1:25" x14ac:dyDescent="0.2">
      <c r="A289" t="s">
        <v>147</v>
      </c>
      <c r="B289" s="2">
        <v>24</v>
      </c>
      <c r="C289" t="s">
        <v>37</v>
      </c>
      <c r="D289" s="2" t="s">
        <v>27</v>
      </c>
      <c r="E289" s="2">
        <v>26</v>
      </c>
      <c r="F289" s="2">
        <v>26</v>
      </c>
      <c r="G289" s="2">
        <v>944</v>
      </c>
      <c r="H289" s="2">
        <v>0.42899999999999999</v>
      </c>
      <c r="I289" s="2">
        <v>0.55300000000000005</v>
      </c>
      <c r="J289" s="2">
        <v>0.29899999999999999</v>
      </c>
      <c r="K289" s="2">
        <v>0.502</v>
      </c>
      <c r="L289" s="2">
        <v>0.84399999999999997</v>
      </c>
      <c r="M289" s="2">
        <v>0.52300000000000002</v>
      </c>
      <c r="N289" s="2">
        <v>0.109</v>
      </c>
      <c r="O289" s="2">
        <v>0.49</v>
      </c>
      <c r="P289" s="2">
        <v>92</v>
      </c>
      <c r="Q289" s="2">
        <v>102</v>
      </c>
      <c r="R289" s="2">
        <v>83</v>
      </c>
      <c r="S289" s="2">
        <v>93</v>
      </c>
      <c r="T289" s="2">
        <v>108</v>
      </c>
      <c r="U289" s="2">
        <v>91</v>
      </c>
      <c r="V289" s="2">
        <v>44</v>
      </c>
      <c r="W289" s="2">
        <v>116</v>
      </c>
      <c r="X289" s="2">
        <v>-22.8</v>
      </c>
      <c r="Y289" s="2">
        <v>-32</v>
      </c>
    </row>
    <row r="290" spans="1:25" x14ac:dyDescent="0.2">
      <c r="A290" t="s">
        <v>455</v>
      </c>
      <c r="B290" s="2">
        <v>20</v>
      </c>
      <c r="C290" t="s">
        <v>61</v>
      </c>
      <c r="D290" s="2" t="s">
        <v>42</v>
      </c>
      <c r="E290" s="2">
        <v>10</v>
      </c>
      <c r="F290" s="2">
        <v>0</v>
      </c>
      <c r="G290" s="2">
        <v>69</v>
      </c>
      <c r="H290" s="2">
        <v>0.4</v>
      </c>
      <c r="I290" s="2">
        <v>0.44400000000000001</v>
      </c>
      <c r="J290" s="2">
        <v>0.28599999999999998</v>
      </c>
      <c r="K290" s="2">
        <v>0.44</v>
      </c>
      <c r="L290" s="2">
        <v>1</v>
      </c>
      <c r="M290" s="2">
        <v>0.46400000000000002</v>
      </c>
      <c r="N290" s="2">
        <v>0.08</v>
      </c>
      <c r="O290" s="2">
        <v>0.28000000000000003</v>
      </c>
      <c r="P290" s="2">
        <v>86</v>
      </c>
      <c r="Q290" s="2">
        <v>82</v>
      </c>
      <c r="R290" s="2">
        <v>80</v>
      </c>
      <c r="S290" s="2">
        <v>81</v>
      </c>
      <c r="T290" s="2">
        <v>129</v>
      </c>
      <c r="U290" s="2">
        <v>81</v>
      </c>
      <c r="V290" s="2">
        <v>32</v>
      </c>
      <c r="W290" s="2">
        <v>66</v>
      </c>
      <c r="X290" s="2">
        <v>-5</v>
      </c>
      <c r="Y290" s="2">
        <v>-5.7</v>
      </c>
    </row>
    <row r="291" spans="1:25" x14ac:dyDescent="0.2">
      <c r="A291" t="s">
        <v>164</v>
      </c>
      <c r="B291" s="2">
        <v>25</v>
      </c>
      <c r="C291" t="s">
        <v>93</v>
      </c>
      <c r="D291" s="2" t="s">
        <v>49</v>
      </c>
      <c r="E291" s="2">
        <v>23</v>
      </c>
      <c r="F291" s="2">
        <v>0</v>
      </c>
      <c r="G291" s="2">
        <v>583</v>
      </c>
      <c r="H291" s="2">
        <v>0.44800000000000001</v>
      </c>
      <c r="I291" s="2">
        <v>0.54700000000000004</v>
      </c>
      <c r="J291" s="2">
        <v>0.28599999999999998</v>
      </c>
      <c r="K291" s="2">
        <v>0.502</v>
      </c>
      <c r="L291" s="2">
        <v>0.76100000000000001</v>
      </c>
      <c r="M291" s="2">
        <v>0.54200000000000004</v>
      </c>
      <c r="N291" s="2">
        <v>0.28000000000000003</v>
      </c>
      <c r="O291" s="2">
        <v>0.38100000000000001</v>
      </c>
      <c r="P291" s="2">
        <v>96</v>
      </c>
      <c r="Q291" s="2">
        <v>101</v>
      </c>
      <c r="R291" s="2">
        <v>80</v>
      </c>
      <c r="S291" s="2">
        <v>93</v>
      </c>
      <c r="T291" s="2">
        <v>98</v>
      </c>
      <c r="U291" s="2">
        <v>94</v>
      </c>
      <c r="V291" s="2">
        <v>112</v>
      </c>
      <c r="W291" s="2">
        <v>90</v>
      </c>
      <c r="X291" s="2">
        <v>-18.399999999999999</v>
      </c>
      <c r="Y291" s="2">
        <v>-17.5</v>
      </c>
    </row>
    <row r="292" spans="1:25" x14ac:dyDescent="0.2">
      <c r="A292" t="s">
        <v>472</v>
      </c>
      <c r="B292" s="2">
        <v>33</v>
      </c>
      <c r="C292" t="s">
        <v>66</v>
      </c>
      <c r="D292" s="2" t="s">
        <v>42</v>
      </c>
      <c r="E292" s="2">
        <v>3</v>
      </c>
      <c r="F292" s="2">
        <v>0</v>
      </c>
      <c r="G292" s="2">
        <v>41</v>
      </c>
      <c r="H292" s="2">
        <v>0.35299999999999998</v>
      </c>
      <c r="I292" s="2">
        <v>0.3</v>
      </c>
      <c r="J292" s="2">
        <v>0.42899999999999999</v>
      </c>
      <c r="K292" s="2">
        <v>0.441</v>
      </c>
      <c r="L292" s="2">
        <v>0.66700000000000004</v>
      </c>
      <c r="M292" s="2">
        <v>0.48399999999999999</v>
      </c>
      <c r="N292" s="2">
        <v>0.35299999999999998</v>
      </c>
      <c r="O292" s="2">
        <v>0.41199999999999998</v>
      </c>
      <c r="P292" s="2">
        <v>76</v>
      </c>
      <c r="Q292" s="2">
        <v>55</v>
      </c>
      <c r="R292" s="2">
        <v>119</v>
      </c>
      <c r="S292" s="2">
        <v>82</v>
      </c>
      <c r="T292" s="2">
        <v>86</v>
      </c>
      <c r="U292" s="2">
        <v>84</v>
      </c>
      <c r="V292" s="2">
        <v>142</v>
      </c>
      <c r="W292" s="2">
        <v>97</v>
      </c>
      <c r="X292" s="2">
        <v>-3.4</v>
      </c>
      <c r="Y292" s="2">
        <v>-3.6</v>
      </c>
    </row>
    <row r="293" spans="1:25" x14ac:dyDescent="0.2">
      <c r="A293" t="s">
        <v>170</v>
      </c>
      <c r="B293" s="2">
        <v>29</v>
      </c>
      <c r="C293" t="s">
        <v>122</v>
      </c>
      <c r="D293" s="2" t="s">
        <v>49</v>
      </c>
      <c r="E293" s="2">
        <v>22</v>
      </c>
      <c r="F293" s="2">
        <v>19</v>
      </c>
      <c r="G293" s="2">
        <v>691</v>
      </c>
      <c r="H293" s="2">
        <v>0.44400000000000001</v>
      </c>
      <c r="I293" s="2">
        <v>0.52700000000000002</v>
      </c>
      <c r="J293" s="2">
        <v>0.32</v>
      </c>
      <c r="K293" s="2">
        <v>0.50800000000000001</v>
      </c>
      <c r="L293" s="2">
        <v>0.75</v>
      </c>
      <c r="M293" s="2">
        <v>0.53600000000000003</v>
      </c>
      <c r="N293" s="2">
        <v>0.19800000000000001</v>
      </c>
      <c r="O293" s="2">
        <v>0.39900000000000002</v>
      </c>
      <c r="P293" s="2">
        <v>96</v>
      </c>
      <c r="Q293" s="2">
        <v>97</v>
      </c>
      <c r="R293" s="2">
        <v>89</v>
      </c>
      <c r="S293" s="2">
        <v>94</v>
      </c>
      <c r="T293" s="2">
        <v>96</v>
      </c>
      <c r="U293" s="2">
        <v>93</v>
      </c>
      <c r="V293" s="2">
        <v>79</v>
      </c>
      <c r="W293" s="2">
        <v>94</v>
      </c>
      <c r="X293" s="2">
        <v>-15.7</v>
      </c>
      <c r="Y293" s="2">
        <v>-20.5</v>
      </c>
    </row>
    <row r="294" spans="1:25" x14ac:dyDescent="0.2">
      <c r="A294" t="s">
        <v>364</v>
      </c>
      <c r="B294" s="2">
        <v>30</v>
      </c>
      <c r="C294" t="s">
        <v>32</v>
      </c>
      <c r="D294" s="2" t="s">
        <v>27</v>
      </c>
      <c r="E294" s="2">
        <v>14</v>
      </c>
      <c r="F294" s="2">
        <v>0</v>
      </c>
      <c r="G294" s="2">
        <v>185</v>
      </c>
      <c r="H294" s="2">
        <v>0.55400000000000005</v>
      </c>
      <c r="I294" s="2">
        <v>0.72</v>
      </c>
      <c r="J294" s="2">
        <v>0.41899999999999998</v>
      </c>
      <c r="K294" s="2">
        <v>0.67</v>
      </c>
      <c r="L294" s="2">
        <v>1</v>
      </c>
      <c r="M294" s="2">
        <v>0.69099999999999995</v>
      </c>
      <c r="N294" s="2">
        <v>0.107</v>
      </c>
      <c r="O294" s="2">
        <v>0.55400000000000005</v>
      </c>
      <c r="P294" s="2">
        <v>119</v>
      </c>
      <c r="Q294" s="2">
        <v>133</v>
      </c>
      <c r="R294" s="2">
        <v>117</v>
      </c>
      <c r="S294" s="2">
        <v>124</v>
      </c>
      <c r="T294" s="2">
        <v>129</v>
      </c>
      <c r="U294" s="2">
        <v>120</v>
      </c>
      <c r="V294" s="2">
        <v>43</v>
      </c>
      <c r="W294" s="2">
        <v>131</v>
      </c>
      <c r="X294" s="2">
        <v>14.5</v>
      </c>
      <c r="Y294" s="2">
        <v>13.6</v>
      </c>
    </row>
    <row r="295" spans="1:25" x14ac:dyDescent="0.2">
      <c r="A295" t="s">
        <v>219</v>
      </c>
      <c r="B295" s="2">
        <v>31</v>
      </c>
      <c r="C295" t="s">
        <v>48</v>
      </c>
      <c r="D295" s="2" t="s">
        <v>52</v>
      </c>
      <c r="E295" s="2">
        <v>26</v>
      </c>
      <c r="F295" s="2">
        <v>26</v>
      </c>
      <c r="G295" s="2">
        <v>786</v>
      </c>
      <c r="H295" s="2">
        <v>0.4</v>
      </c>
      <c r="I295" s="2">
        <v>0.60699999999999998</v>
      </c>
      <c r="J295" s="2">
        <v>0.29799999999999999</v>
      </c>
      <c r="K295" s="2">
        <v>0.5</v>
      </c>
      <c r="L295" s="2">
        <v>0.879</v>
      </c>
      <c r="M295" s="2">
        <v>0.53600000000000003</v>
      </c>
      <c r="N295" s="2">
        <v>0.17799999999999999</v>
      </c>
      <c r="O295" s="2">
        <v>0.67</v>
      </c>
      <c r="P295" s="2">
        <v>86</v>
      </c>
      <c r="Q295" s="2">
        <v>112</v>
      </c>
      <c r="R295" s="2">
        <v>83</v>
      </c>
      <c r="S295" s="2">
        <v>93</v>
      </c>
      <c r="T295" s="2">
        <v>113</v>
      </c>
      <c r="U295" s="2">
        <v>93</v>
      </c>
      <c r="V295" s="2">
        <v>72</v>
      </c>
      <c r="W295" s="2">
        <v>159</v>
      </c>
      <c r="X295" s="2">
        <v>-15</v>
      </c>
      <c r="Y295" s="2">
        <v>-15.2</v>
      </c>
    </row>
    <row r="296" spans="1:25" x14ac:dyDescent="0.2">
      <c r="A296" t="s">
        <v>277</v>
      </c>
      <c r="B296" s="2">
        <v>25</v>
      </c>
      <c r="C296" t="s">
        <v>37</v>
      </c>
      <c r="D296" s="2" t="s">
        <v>52</v>
      </c>
      <c r="E296" s="2">
        <v>24</v>
      </c>
      <c r="F296" s="2">
        <v>4</v>
      </c>
      <c r="G296" s="2">
        <v>491</v>
      </c>
      <c r="H296" s="2">
        <v>0.46700000000000003</v>
      </c>
      <c r="I296" s="2">
        <v>0.58599999999999997</v>
      </c>
      <c r="J296" s="2">
        <v>0.42099999999999999</v>
      </c>
      <c r="K296" s="2">
        <v>0.61899999999999999</v>
      </c>
      <c r="L296" s="2">
        <v>0.81499999999999995</v>
      </c>
      <c r="M296" s="2">
        <v>0.65</v>
      </c>
      <c r="N296" s="2">
        <v>0.25700000000000001</v>
      </c>
      <c r="O296" s="2">
        <v>0.72399999999999998</v>
      </c>
      <c r="P296" s="2">
        <v>100</v>
      </c>
      <c r="Q296" s="2">
        <v>108</v>
      </c>
      <c r="R296" s="2">
        <v>117</v>
      </c>
      <c r="S296" s="2">
        <v>115</v>
      </c>
      <c r="T296" s="2">
        <v>105</v>
      </c>
      <c r="U296" s="2">
        <v>113</v>
      </c>
      <c r="V296" s="2">
        <v>103</v>
      </c>
      <c r="W296" s="2">
        <v>171</v>
      </c>
      <c r="X296" s="2">
        <v>16.5</v>
      </c>
      <c r="Y296" s="2">
        <v>17.7</v>
      </c>
    </row>
    <row r="297" spans="1:25" x14ac:dyDescent="0.2">
      <c r="A297" t="s">
        <v>309</v>
      </c>
      <c r="B297" s="2">
        <v>22</v>
      </c>
      <c r="C297" t="s">
        <v>103</v>
      </c>
      <c r="D297" s="2" t="s">
        <v>52</v>
      </c>
      <c r="E297" s="2">
        <v>22</v>
      </c>
      <c r="F297" s="2">
        <v>3</v>
      </c>
      <c r="G297" s="2">
        <v>373</v>
      </c>
      <c r="H297" s="2">
        <v>0.34799999999999998</v>
      </c>
      <c r="I297" s="2">
        <v>0.42899999999999999</v>
      </c>
      <c r="J297" s="2">
        <v>0.30099999999999999</v>
      </c>
      <c r="K297" s="2">
        <v>0.443</v>
      </c>
      <c r="L297" s="2">
        <v>0.72699999999999998</v>
      </c>
      <c r="M297" s="2">
        <v>0.45700000000000002</v>
      </c>
      <c r="N297" s="2">
        <v>8.3000000000000004E-2</v>
      </c>
      <c r="O297" s="2">
        <v>0.629</v>
      </c>
      <c r="P297" s="2">
        <v>75</v>
      </c>
      <c r="Q297" s="2">
        <v>79</v>
      </c>
      <c r="R297" s="2">
        <v>84</v>
      </c>
      <c r="S297" s="2">
        <v>82</v>
      </c>
      <c r="T297" s="2">
        <v>93</v>
      </c>
      <c r="U297" s="2">
        <v>80</v>
      </c>
      <c r="V297" s="2">
        <v>33</v>
      </c>
      <c r="W297" s="2">
        <v>149</v>
      </c>
      <c r="X297" s="2">
        <v>-25.7</v>
      </c>
      <c r="Y297" s="2">
        <v>-32.200000000000003</v>
      </c>
    </row>
    <row r="298" spans="1:25" x14ac:dyDescent="0.2">
      <c r="A298" t="s">
        <v>546</v>
      </c>
      <c r="B298" s="2">
        <v>23</v>
      </c>
      <c r="C298" t="s">
        <v>61</v>
      </c>
      <c r="D298" s="2" t="s">
        <v>49</v>
      </c>
      <c r="E298" s="2">
        <v>2</v>
      </c>
      <c r="F298" s="2">
        <v>0</v>
      </c>
      <c r="G298" s="2">
        <v>12</v>
      </c>
      <c r="H298" s="2">
        <v>0.5</v>
      </c>
      <c r="I298" s="2">
        <v>1</v>
      </c>
      <c r="J298" s="2">
        <v>0</v>
      </c>
      <c r="K298" s="2">
        <v>0.5</v>
      </c>
      <c r="L298" s="2"/>
      <c r="M298" s="2">
        <v>0.5</v>
      </c>
      <c r="N298" s="2">
        <v>0</v>
      </c>
      <c r="O298" s="2">
        <v>0.5</v>
      </c>
      <c r="P298" s="2">
        <v>108</v>
      </c>
      <c r="Q298" s="2">
        <v>185</v>
      </c>
      <c r="R298" s="2">
        <v>0</v>
      </c>
      <c r="S298" s="2">
        <v>93</v>
      </c>
      <c r="T298" s="2"/>
      <c r="U298" s="2">
        <v>87</v>
      </c>
      <c r="V298" s="2">
        <v>0</v>
      </c>
      <c r="W298" s="2">
        <v>118</v>
      </c>
      <c r="X298" s="2">
        <v>-0.2</v>
      </c>
      <c r="Y298" s="2">
        <v>-0.3</v>
      </c>
    </row>
    <row r="299" spans="1:25" x14ac:dyDescent="0.2">
      <c r="A299" t="s">
        <v>557</v>
      </c>
      <c r="B299" s="2">
        <v>24</v>
      </c>
      <c r="C299" t="s">
        <v>63</v>
      </c>
      <c r="D299" s="2" t="s">
        <v>49</v>
      </c>
      <c r="E299" s="2">
        <v>5</v>
      </c>
      <c r="F299" s="2">
        <v>0</v>
      </c>
      <c r="G299" s="2">
        <v>10</v>
      </c>
      <c r="H299" s="2">
        <v>0</v>
      </c>
      <c r="I299" s="2"/>
      <c r="J299" s="2">
        <v>0</v>
      </c>
      <c r="K299" s="2">
        <v>0</v>
      </c>
      <c r="L299" s="2"/>
      <c r="M299" s="2">
        <v>0</v>
      </c>
      <c r="N299" s="2">
        <v>0</v>
      </c>
      <c r="O299" s="2">
        <v>1</v>
      </c>
      <c r="P299" s="2">
        <v>0</v>
      </c>
      <c r="Q299" s="2"/>
      <c r="R299" s="2">
        <v>0</v>
      </c>
      <c r="S299" s="2">
        <v>0</v>
      </c>
      <c r="T299" s="2"/>
      <c r="U299" s="2">
        <v>0</v>
      </c>
      <c r="V299" s="2">
        <v>0</v>
      </c>
      <c r="W299" s="2">
        <v>237</v>
      </c>
      <c r="X299" s="2">
        <v>-2.2000000000000002</v>
      </c>
      <c r="Y299" s="2">
        <v>-2.2999999999999998</v>
      </c>
    </row>
    <row r="300" spans="1:25" x14ac:dyDescent="0.2">
      <c r="A300" t="s">
        <v>140</v>
      </c>
      <c r="B300" s="2">
        <v>36</v>
      </c>
      <c r="C300" t="s">
        <v>54</v>
      </c>
      <c r="D300" s="2" t="s">
        <v>27</v>
      </c>
      <c r="E300" s="2">
        <v>13</v>
      </c>
      <c r="F300" s="2">
        <v>13</v>
      </c>
      <c r="G300" s="2">
        <v>464</v>
      </c>
      <c r="H300" s="2">
        <v>0.53600000000000003</v>
      </c>
      <c r="I300" s="2">
        <v>0.58199999999999996</v>
      </c>
      <c r="J300" s="2">
        <v>0.44900000000000001</v>
      </c>
      <c r="K300" s="2">
        <v>0.61399999999999999</v>
      </c>
      <c r="L300" s="2">
        <v>0.8</v>
      </c>
      <c r="M300" s="2">
        <v>0.65200000000000002</v>
      </c>
      <c r="N300" s="2">
        <v>0.33500000000000002</v>
      </c>
      <c r="O300" s="2">
        <v>0.34799999999999998</v>
      </c>
      <c r="P300" s="2">
        <v>115</v>
      </c>
      <c r="Q300" s="2">
        <v>107</v>
      </c>
      <c r="R300" s="2">
        <v>125</v>
      </c>
      <c r="S300" s="2">
        <v>114</v>
      </c>
      <c r="T300" s="2">
        <v>103</v>
      </c>
      <c r="U300" s="2">
        <v>113</v>
      </c>
      <c r="V300" s="2">
        <v>134</v>
      </c>
      <c r="W300" s="2">
        <v>82</v>
      </c>
      <c r="X300" s="2">
        <v>32.799999999999997</v>
      </c>
      <c r="Y300" s="2">
        <v>39.700000000000003</v>
      </c>
    </row>
    <row r="301" spans="1:25" x14ac:dyDescent="0.2">
      <c r="A301" t="s">
        <v>208</v>
      </c>
      <c r="B301" s="2">
        <v>26</v>
      </c>
      <c r="C301" t="s">
        <v>37</v>
      </c>
      <c r="D301" s="2" t="s">
        <v>52</v>
      </c>
      <c r="E301" s="2">
        <v>23</v>
      </c>
      <c r="F301" s="2">
        <v>15</v>
      </c>
      <c r="G301" s="2">
        <v>589</v>
      </c>
      <c r="H301" s="2">
        <v>0.43099999999999999</v>
      </c>
      <c r="I301" s="2">
        <v>0.67200000000000004</v>
      </c>
      <c r="J301" s="2">
        <v>0.311</v>
      </c>
      <c r="K301" s="2">
        <v>0.53500000000000003</v>
      </c>
      <c r="L301" s="2">
        <v>0.70599999999999996</v>
      </c>
      <c r="M301" s="2">
        <v>0.54400000000000004</v>
      </c>
      <c r="N301" s="2">
        <v>8.4000000000000005E-2</v>
      </c>
      <c r="O301" s="2">
        <v>0.66800000000000004</v>
      </c>
      <c r="P301" s="2">
        <v>93</v>
      </c>
      <c r="Q301" s="2">
        <v>124</v>
      </c>
      <c r="R301" s="2">
        <v>87</v>
      </c>
      <c r="S301" s="2">
        <v>99</v>
      </c>
      <c r="T301" s="2">
        <v>91</v>
      </c>
      <c r="U301" s="2">
        <v>95</v>
      </c>
      <c r="V301" s="2">
        <v>34</v>
      </c>
      <c r="W301" s="2">
        <v>158</v>
      </c>
      <c r="X301" s="2">
        <v>-2.4</v>
      </c>
      <c r="Y301" s="2">
        <v>-12.7</v>
      </c>
    </row>
    <row r="302" spans="1:25" x14ac:dyDescent="0.2">
      <c r="A302" t="s">
        <v>358</v>
      </c>
      <c r="B302" s="2">
        <v>36</v>
      </c>
      <c r="C302" t="s">
        <v>61</v>
      </c>
      <c r="D302" s="2" t="s">
        <v>27</v>
      </c>
      <c r="E302" s="2">
        <v>13</v>
      </c>
      <c r="F302" s="2">
        <v>4</v>
      </c>
      <c r="G302" s="2">
        <v>153</v>
      </c>
      <c r="H302" s="2">
        <v>0.36699999999999999</v>
      </c>
      <c r="I302" s="2">
        <v>0.34399999999999997</v>
      </c>
      <c r="J302" s="2">
        <v>0.38300000000000001</v>
      </c>
      <c r="K302" s="2">
        <v>0.48099999999999998</v>
      </c>
      <c r="L302" s="2">
        <v>0.66700000000000004</v>
      </c>
      <c r="M302" s="2">
        <v>0.502</v>
      </c>
      <c r="N302" s="2">
        <v>0.19</v>
      </c>
      <c r="O302" s="2">
        <v>0.59499999999999997</v>
      </c>
      <c r="P302" s="2">
        <v>79</v>
      </c>
      <c r="Q302" s="2">
        <v>63</v>
      </c>
      <c r="R302" s="2">
        <v>107</v>
      </c>
      <c r="S302" s="2">
        <v>89</v>
      </c>
      <c r="T302" s="2">
        <v>86</v>
      </c>
      <c r="U302" s="2">
        <v>87</v>
      </c>
      <c r="V302" s="2">
        <v>76</v>
      </c>
      <c r="W302" s="2">
        <v>141</v>
      </c>
      <c r="X302" s="2">
        <v>-9.4</v>
      </c>
      <c r="Y302" s="2">
        <v>-12.4</v>
      </c>
    </row>
    <row r="303" spans="1:25" x14ac:dyDescent="0.2">
      <c r="A303" t="s">
        <v>227</v>
      </c>
      <c r="B303" s="2">
        <v>24</v>
      </c>
      <c r="C303" t="s">
        <v>77</v>
      </c>
      <c r="D303" s="2" t="s">
        <v>52</v>
      </c>
      <c r="E303" s="2">
        <v>22</v>
      </c>
      <c r="F303" s="2">
        <v>1</v>
      </c>
      <c r="G303" s="2">
        <v>429</v>
      </c>
      <c r="H303" s="2">
        <v>0.41699999999999998</v>
      </c>
      <c r="I303" s="2">
        <v>0.49299999999999999</v>
      </c>
      <c r="J303" s="2">
        <v>0.20399999999999999</v>
      </c>
      <c r="K303" s="2">
        <v>0.44400000000000001</v>
      </c>
      <c r="L303" s="2">
        <v>0.622</v>
      </c>
      <c r="M303" s="2">
        <v>0.46300000000000002</v>
      </c>
      <c r="N303" s="2">
        <v>0.18099999999999999</v>
      </c>
      <c r="O303" s="2">
        <v>0.26500000000000001</v>
      </c>
      <c r="P303" s="2">
        <v>90</v>
      </c>
      <c r="Q303" s="2">
        <v>91</v>
      </c>
      <c r="R303" s="2">
        <v>57</v>
      </c>
      <c r="S303" s="2">
        <v>82</v>
      </c>
      <c r="T303" s="2">
        <v>80</v>
      </c>
      <c r="U303" s="2">
        <v>81</v>
      </c>
      <c r="V303" s="2">
        <v>73</v>
      </c>
      <c r="W303" s="2">
        <v>63</v>
      </c>
      <c r="X303" s="2">
        <v>-39.5</v>
      </c>
      <c r="Y303" s="2">
        <v>-49.1</v>
      </c>
    </row>
    <row r="304" spans="1:25" x14ac:dyDescent="0.2">
      <c r="A304" t="s">
        <v>315</v>
      </c>
      <c r="B304" s="2">
        <v>28</v>
      </c>
      <c r="C304" t="s">
        <v>100</v>
      </c>
      <c r="D304" s="2" t="s">
        <v>42</v>
      </c>
      <c r="E304" s="2">
        <v>22</v>
      </c>
      <c r="F304" s="2">
        <v>3</v>
      </c>
      <c r="G304" s="2">
        <v>360</v>
      </c>
      <c r="H304" s="2">
        <v>0.53100000000000003</v>
      </c>
      <c r="I304" s="2">
        <v>0.53100000000000003</v>
      </c>
      <c r="J304" s="2"/>
      <c r="K304" s="2">
        <v>0.53100000000000003</v>
      </c>
      <c r="L304" s="2">
        <v>0.45900000000000002</v>
      </c>
      <c r="M304" s="2">
        <v>0.53</v>
      </c>
      <c r="N304" s="2">
        <v>0.38500000000000001</v>
      </c>
      <c r="O304" s="2">
        <v>0</v>
      </c>
      <c r="P304" s="2">
        <v>114</v>
      </c>
      <c r="Q304" s="2">
        <v>98</v>
      </c>
      <c r="R304" s="2"/>
      <c r="S304" s="2">
        <v>98</v>
      </c>
      <c r="T304" s="2">
        <v>59</v>
      </c>
      <c r="U304" s="2">
        <v>92</v>
      </c>
      <c r="V304" s="2">
        <v>155</v>
      </c>
      <c r="W304" s="2">
        <v>0</v>
      </c>
      <c r="X304" s="2">
        <v>-1.8</v>
      </c>
      <c r="Y304" s="2">
        <v>-10</v>
      </c>
    </row>
    <row r="305" spans="1:25" x14ac:dyDescent="0.2">
      <c r="A305" t="s">
        <v>130</v>
      </c>
      <c r="B305" s="2">
        <v>21</v>
      </c>
      <c r="C305" t="s">
        <v>120</v>
      </c>
      <c r="D305" s="2" t="s">
        <v>33</v>
      </c>
      <c r="E305" s="2">
        <v>22</v>
      </c>
      <c r="F305" s="2">
        <v>22</v>
      </c>
      <c r="G305" s="2">
        <v>694</v>
      </c>
      <c r="H305" s="2">
        <v>0.39400000000000002</v>
      </c>
      <c r="I305" s="2">
        <v>0.47</v>
      </c>
      <c r="J305" s="2">
        <v>0.33500000000000002</v>
      </c>
      <c r="K305" s="2">
        <v>0.48799999999999999</v>
      </c>
      <c r="L305" s="2">
        <v>0.82099999999999995</v>
      </c>
      <c r="M305" s="2">
        <v>0.52800000000000002</v>
      </c>
      <c r="N305" s="2">
        <v>0.222</v>
      </c>
      <c r="O305" s="2">
        <v>0.56299999999999994</v>
      </c>
      <c r="P305" s="2">
        <v>85</v>
      </c>
      <c r="Q305" s="2">
        <v>87</v>
      </c>
      <c r="R305" s="2">
        <v>93</v>
      </c>
      <c r="S305" s="2">
        <v>90</v>
      </c>
      <c r="T305" s="2">
        <v>106</v>
      </c>
      <c r="U305" s="2">
        <v>92</v>
      </c>
      <c r="V305" s="2">
        <v>89</v>
      </c>
      <c r="W305" s="2">
        <v>133</v>
      </c>
      <c r="X305" s="2">
        <v>-31.5</v>
      </c>
      <c r="Y305" s="2">
        <v>-30.9</v>
      </c>
    </row>
    <row r="306" spans="1:25" x14ac:dyDescent="0.2">
      <c r="A306" t="s">
        <v>459</v>
      </c>
      <c r="B306" s="2">
        <v>33</v>
      </c>
      <c r="C306" t="s">
        <v>35</v>
      </c>
      <c r="D306" s="2" t="s">
        <v>49</v>
      </c>
      <c r="E306" s="2">
        <v>3</v>
      </c>
      <c r="F306" s="2">
        <v>0</v>
      </c>
      <c r="G306" s="2">
        <v>63</v>
      </c>
      <c r="H306" s="2">
        <v>0.25</v>
      </c>
      <c r="I306" s="2">
        <v>0.23100000000000001</v>
      </c>
      <c r="J306" s="2">
        <v>0.28599999999999998</v>
      </c>
      <c r="K306" s="2">
        <v>0.3</v>
      </c>
      <c r="L306" s="2">
        <v>1</v>
      </c>
      <c r="M306" s="2">
        <v>0.45100000000000001</v>
      </c>
      <c r="N306" s="2">
        <v>0.5</v>
      </c>
      <c r="O306" s="2">
        <v>0.35</v>
      </c>
      <c r="P306" s="2">
        <v>54</v>
      </c>
      <c r="Q306" s="2">
        <v>43</v>
      </c>
      <c r="R306" s="2">
        <v>80</v>
      </c>
      <c r="S306" s="2">
        <v>56</v>
      </c>
      <c r="T306" s="2">
        <v>129</v>
      </c>
      <c r="U306" s="2">
        <v>78</v>
      </c>
      <c r="V306" s="2">
        <v>201</v>
      </c>
      <c r="W306" s="2">
        <v>83</v>
      </c>
      <c r="X306" s="2">
        <v>-9.6</v>
      </c>
      <c r="Y306" s="2">
        <v>-6</v>
      </c>
    </row>
    <row r="307" spans="1:25" x14ac:dyDescent="0.2">
      <c r="A307" t="s">
        <v>306</v>
      </c>
      <c r="B307" s="2">
        <v>24</v>
      </c>
      <c r="C307" t="s">
        <v>122</v>
      </c>
      <c r="D307" s="2" t="s">
        <v>27</v>
      </c>
      <c r="E307" s="2">
        <v>19</v>
      </c>
      <c r="F307" s="2">
        <v>3</v>
      </c>
      <c r="G307" s="2">
        <v>359</v>
      </c>
      <c r="H307" s="2">
        <v>0.64500000000000002</v>
      </c>
      <c r="I307" s="2">
        <v>0.71</v>
      </c>
      <c r="J307" s="2">
        <v>0.35699999999999998</v>
      </c>
      <c r="K307" s="2">
        <v>0.67800000000000005</v>
      </c>
      <c r="L307" s="2">
        <v>0.85199999999999998</v>
      </c>
      <c r="M307" s="2">
        <v>0.71699999999999997</v>
      </c>
      <c r="N307" s="2">
        <v>0.35499999999999998</v>
      </c>
      <c r="O307" s="2">
        <v>0.184</v>
      </c>
      <c r="P307" s="2">
        <v>139</v>
      </c>
      <c r="Q307" s="2">
        <v>131</v>
      </c>
      <c r="R307" s="2">
        <v>99</v>
      </c>
      <c r="S307" s="2">
        <v>125</v>
      </c>
      <c r="T307" s="2">
        <v>109</v>
      </c>
      <c r="U307" s="2">
        <v>125</v>
      </c>
      <c r="V307" s="2">
        <v>142</v>
      </c>
      <c r="W307" s="2">
        <v>44</v>
      </c>
      <c r="X307" s="2">
        <v>20.8</v>
      </c>
      <c r="Y307" s="2">
        <v>25</v>
      </c>
    </row>
    <row r="308" spans="1:25" x14ac:dyDescent="0.2">
      <c r="A308" t="s">
        <v>427</v>
      </c>
      <c r="B308" s="2">
        <v>22</v>
      </c>
      <c r="C308" t="s">
        <v>59</v>
      </c>
      <c r="D308" s="2" t="s">
        <v>33</v>
      </c>
      <c r="E308" s="2">
        <v>8</v>
      </c>
      <c r="F308" s="2">
        <v>0</v>
      </c>
      <c r="G308" s="2">
        <v>116</v>
      </c>
      <c r="H308" s="2">
        <v>0.308</v>
      </c>
      <c r="I308" s="2">
        <v>0.45</v>
      </c>
      <c r="J308" s="2">
        <v>0.158</v>
      </c>
      <c r="K308" s="2">
        <v>0.34599999999999997</v>
      </c>
      <c r="L308" s="2">
        <v>0.8</v>
      </c>
      <c r="M308" s="2">
        <v>0.40300000000000002</v>
      </c>
      <c r="N308" s="2">
        <v>0.25600000000000001</v>
      </c>
      <c r="O308" s="2">
        <v>0.48699999999999999</v>
      </c>
      <c r="P308" s="2">
        <v>66</v>
      </c>
      <c r="Q308" s="2">
        <v>83</v>
      </c>
      <c r="R308" s="2">
        <v>44</v>
      </c>
      <c r="S308" s="2">
        <v>64</v>
      </c>
      <c r="T308" s="2">
        <v>103</v>
      </c>
      <c r="U308" s="2">
        <v>70</v>
      </c>
      <c r="V308" s="2">
        <v>103</v>
      </c>
      <c r="W308" s="2">
        <v>115</v>
      </c>
      <c r="X308" s="2">
        <v>-15.2</v>
      </c>
      <c r="Y308" s="2">
        <v>-14.9</v>
      </c>
    </row>
    <row r="309" spans="1:25" x14ac:dyDescent="0.2">
      <c r="A309" t="s">
        <v>173</v>
      </c>
      <c r="B309" s="2">
        <v>34</v>
      </c>
      <c r="C309" t="s">
        <v>63</v>
      </c>
      <c r="D309" s="2" t="s">
        <v>49</v>
      </c>
      <c r="E309" s="2">
        <v>21</v>
      </c>
      <c r="F309" s="2">
        <v>21</v>
      </c>
      <c r="G309" s="2">
        <v>579</v>
      </c>
      <c r="H309" s="2">
        <v>0.39500000000000002</v>
      </c>
      <c r="I309" s="2">
        <v>0.433</v>
      </c>
      <c r="J309" s="2">
        <v>0.374</v>
      </c>
      <c r="K309" s="2">
        <v>0.51600000000000001</v>
      </c>
      <c r="L309" s="2">
        <v>0.9</v>
      </c>
      <c r="M309" s="2">
        <v>0.53300000000000003</v>
      </c>
      <c r="N309" s="2">
        <v>7.9000000000000001E-2</v>
      </c>
      <c r="O309" s="2">
        <v>0.64400000000000002</v>
      </c>
      <c r="P309" s="2">
        <v>85</v>
      </c>
      <c r="Q309" s="2">
        <v>80</v>
      </c>
      <c r="R309" s="2">
        <v>104</v>
      </c>
      <c r="S309" s="2">
        <v>95</v>
      </c>
      <c r="T309" s="2">
        <v>116</v>
      </c>
      <c r="U309" s="2">
        <v>93</v>
      </c>
      <c r="V309" s="2">
        <v>32</v>
      </c>
      <c r="W309" s="2">
        <v>152</v>
      </c>
      <c r="X309" s="2">
        <v>-12.5</v>
      </c>
      <c r="Y309" s="2">
        <v>-21.8</v>
      </c>
    </row>
    <row r="310" spans="1:25" x14ac:dyDescent="0.2">
      <c r="A310" t="s">
        <v>464</v>
      </c>
      <c r="B310" s="2">
        <v>25</v>
      </c>
      <c r="C310" t="s">
        <v>77</v>
      </c>
      <c r="D310" s="2" t="s">
        <v>27</v>
      </c>
      <c r="E310" s="2">
        <v>7</v>
      </c>
      <c r="F310" s="2">
        <v>0</v>
      </c>
      <c r="G310" s="2">
        <v>47</v>
      </c>
      <c r="H310" s="2">
        <v>0.45</v>
      </c>
      <c r="I310" s="2">
        <v>0.57099999999999995</v>
      </c>
      <c r="J310" s="2">
        <v>0.16700000000000001</v>
      </c>
      <c r="K310" s="2">
        <v>0.47499999999999998</v>
      </c>
      <c r="L310" s="2">
        <v>0.5</v>
      </c>
      <c r="M310" s="2">
        <v>0.47899999999999998</v>
      </c>
      <c r="N310" s="2">
        <v>0.1</v>
      </c>
      <c r="O310" s="2">
        <v>0.3</v>
      </c>
      <c r="P310" s="2">
        <v>97</v>
      </c>
      <c r="Q310" s="2">
        <v>105</v>
      </c>
      <c r="R310" s="2">
        <v>46</v>
      </c>
      <c r="S310" s="2">
        <v>88</v>
      </c>
      <c r="T310" s="2">
        <v>64</v>
      </c>
      <c r="U310" s="2">
        <v>83</v>
      </c>
      <c r="V310" s="2">
        <v>40</v>
      </c>
      <c r="W310" s="2">
        <v>71</v>
      </c>
      <c r="X310" s="2">
        <v>-2.6</v>
      </c>
      <c r="Y310" s="2">
        <v>-4</v>
      </c>
    </row>
    <row r="311" spans="1:25" x14ac:dyDescent="0.2">
      <c r="A311" t="s">
        <v>401</v>
      </c>
      <c r="B311" s="2">
        <v>21</v>
      </c>
      <c r="C311" t="s">
        <v>72</v>
      </c>
      <c r="D311" s="2" t="s">
        <v>52</v>
      </c>
      <c r="E311" s="2">
        <v>10</v>
      </c>
      <c r="F311" s="2">
        <v>0</v>
      </c>
      <c r="G311" s="2">
        <v>124</v>
      </c>
      <c r="H311" s="2">
        <v>0.38300000000000001</v>
      </c>
      <c r="I311" s="2">
        <v>0.5</v>
      </c>
      <c r="J311" s="2">
        <v>0.21099999999999999</v>
      </c>
      <c r="K311" s="2">
        <v>0.42599999999999999</v>
      </c>
      <c r="L311" s="2">
        <v>0.72199999999999998</v>
      </c>
      <c r="M311" s="2">
        <v>0.48299999999999998</v>
      </c>
      <c r="N311" s="2">
        <v>0.38300000000000001</v>
      </c>
      <c r="O311" s="2">
        <v>0.40400000000000003</v>
      </c>
      <c r="P311" s="2">
        <v>82</v>
      </c>
      <c r="Q311" s="2">
        <v>92</v>
      </c>
      <c r="R311" s="2">
        <v>59</v>
      </c>
      <c r="S311" s="2">
        <v>79</v>
      </c>
      <c r="T311" s="2">
        <v>93</v>
      </c>
      <c r="U311" s="2">
        <v>84</v>
      </c>
      <c r="V311" s="2">
        <v>154</v>
      </c>
      <c r="W311" s="2">
        <v>96</v>
      </c>
      <c r="X311" s="2">
        <v>-10.8</v>
      </c>
      <c r="Y311" s="2">
        <v>-10.1</v>
      </c>
    </row>
    <row r="312" spans="1:25" x14ac:dyDescent="0.2">
      <c r="A312" t="s">
        <v>266</v>
      </c>
      <c r="B312" s="2">
        <v>30</v>
      </c>
      <c r="C312" t="s">
        <v>77</v>
      </c>
      <c r="D312" s="2" t="s">
        <v>33</v>
      </c>
      <c r="E312" s="2">
        <v>25</v>
      </c>
      <c r="F312" s="2">
        <v>14</v>
      </c>
      <c r="G312" s="2">
        <v>565</v>
      </c>
      <c r="H312" s="2">
        <v>0.439</v>
      </c>
      <c r="I312" s="2">
        <v>0.55000000000000004</v>
      </c>
      <c r="J312" s="2">
        <v>0.32</v>
      </c>
      <c r="K312" s="2">
        <v>0.51600000000000001</v>
      </c>
      <c r="L312" s="2">
        <v>0.5</v>
      </c>
      <c r="M312" s="2">
        <v>0.51800000000000002</v>
      </c>
      <c r="N312" s="2">
        <v>6.5000000000000002E-2</v>
      </c>
      <c r="O312" s="2">
        <v>0.48399999999999999</v>
      </c>
      <c r="P312" s="2">
        <v>94</v>
      </c>
      <c r="Q312" s="2">
        <v>102</v>
      </c>
      <c r="R312" s="2">
        <v>89</v>
      </c>
      <c r="S312" s="2">
        <v>95</v>
      </c>
      <c r="T312" s="2">
        <v>64</v>
      </c>
      <c r="U312" s="2">
        <v>90</v>
      </c>
      <c r="V312" s="2">
        <v>26</v>
      </c>
      <c r="W312" s="2">
        <v>114</v>
      </c>
      <c r="X312" s="2">
        <v>-7.6</v>
      </c>
      <c r="Y312" s="2">
        <v>-18.100000000000001</v>
      </c>
    </row>
    <row r="313" spans="1:25" x14ac:dyDescent="0.2">
      <c r="A313" t="s">
        <v>345</v>
      </c>
      <c r="B313" s="2">
        <v>24</v>
      </c>
      <c r="C313" t="s">
        <v>135</v>
      </c>
      <c r="D313" s="2" t="s">
        <v>49</v>
      </c>
      <c r="E313" s="2">
        <v>21</v>
      </c>
      <c r="F313" s="2">
        <v>0</v>
      </c>
      <c r="G313" s="2">
        <v>267</v>
      </c>
      <c r="H313" s="2">
        <v>0.47499999999999998</v>
      </c>
      <c r="I313" s="2">
        <v>0.57399999999999995</v>
      </c>
      <c r="J313" s="2">
        <v>0.33300000000000002</v>
      </c>
      <c r="K313" s="2">
        <v>0.54400000000000004</v>
      </c>
      <c r="L313" s="2">
        <v>0.4</v>
      </c>
      <c r="M313" s="2">
        <v>0.53500000000000003</v>
      </c>
      <c r="N313" s="2">
        <v>0.25</v>
      </c>
      <c r="O313" s="2">
        <v>0.41299999999999998</v>
      </c>
      <c r="P313" s="2">
        <v>102</v>
      </c>
      <c r="Q313" s="2">
        <v>106</v>
      </c>
      <c r="R313" s="2">
        <v>93</v>
      </c>
      <c r="S313" s="2">
        <v>101</v>
      </c>
      <c r="T313" s="2">
        <v>51</v>
      </c>
      <c r="U313" s="2">
        <v>93</v>
      </c>
      <c r="V313" s="2">
        <v>100</v>
      </c>
      <c r="W313" s="2">
        <v>98</v>
      </c>
      <c r="X313" s="2">
        <v>0.5</v>
      </c>
      <c r="Y313" s="2">
        <v>-7</v>
      </c>
    </row>
    <row r="314" spans="1:25" x14ac:dyDescent="0.2">
      <c r="A314" t="s">
        <v>313</v>
      </c>
      <c r="B314" s="2">
        <v>29</v>
      </c>
      <c r="C314" t="s">
        <v>39</v>
      </c>
      <c r="D314" s="2" t="s">
        <v>42</v>
      </c>
      <c r="E314" s="2">
        <v>6</v>
      </c>
      <c r="F314" s="2">
        <v>6</v>
      </c>
      <c r="G314" s="2">
        <v>173</v>
      </c>
      <c r="H314" s="2">
        <v>0.45700000000000002</v>
      </c>
      <c r="I314" s="2">
        <v>0.56000000000000005</v>
      </c>
      <c r="J314" s="2">
        <v>0.33300000000000002</v>
      </c>
      <c r="K314" s="2">
        <v>0.53300000000000003</v>
      </c>
      <c r="L314" s="2">
        <v>0.77400000000000002</v>
      </c>
      <c r="M314" s="2">
        <v>0.57699999999999996</v>
      </c>
      <c r="N314" s="2">
        <v>0.33700000000000002</v>
      </c>
      <c r="O314" s="2">
        <v>0.45700000000000002</v>
      </c>
      <c r="P314" s="2">
        <v>98</v>
      </c>
      <c r="Q314" s="2">
        <v>103</v>
      </c>
      <c r="R314" s="2">
        <v>93</v>
      </c>
      <c r="S314" s="2">
        <v>99</v>
      </c>
      <c r="T314" s="2">
        <v>100</v>
      </c>
      <c r="U314" s="2">
        <v>101</v>
      </c>
      <c r="V314" s="2">
        <v>135</v>
      </c>
      <c r="W314" s="2">
        <v>108</v>
      </c>
      <c r="X314" s="2">
        <v>-1.5</v>
      </c>
      <c r="Y314" s="2">
        <v>0.6</v>
      </c>
    </row>
    <row r="315" spans="1:25" x14ac:dyDescent="0.2">
      <c r="A315" t="s">
        <v>322</v>
      </c>
      <c r="B315" s="2">
        <v>31</v>
      </c>
      <c r="C315" t="s">
        <v>100</v>
      </c>
      <c r="D315" s="2" t="s">
        <v>27</v>
      </c>
      <c r="E315" s="2">
        <v>23</v>
      </c>
      <c r="F315" s="2">
        <v>0</v>
      </c>
      <c r="G315" s="2">
        <v>327</v>
      </c>
      <c r="H315" s="2">
        <v>0.41099999999999998</v>
      </c>
      <c r="I315" s="2">
        <v>0.47199999999999998</v>
      </c>
      <c r="J315" s="2">
        <v>0.28599999999999998</v>
      </c>
      <c r="K315" s="2">
        <v>0.45800000000000002</v>
      </c>
      <c r="L315" s="2">
        <v>0.65</v>
      </c>
      <c r="M315" s="2">
        <v>0.47899999999999998</v>
      </c>
      <c r="N315" s="2">
        <v>0.187</v>
      </c>
      <c r="O315" s="2">
        <v>0.32700000000000001</v>
      </c>
      <c r="P315" s="2">
        <v>89</v>
      </c>
      <c r="Q315" s="2">
        <v>87</v>
      </c>
      <c r="R315" s="2">
        <v>80</v>
      </c>
      <c r="S315" s="2">
        <v>85</v>
      </c>
      <c r="T315" s="2">
        <v>84</v>
      </c>
      <c r="U315" s="2">
        <v>83</v>
      </c>
      <c r="V315" s="2">
        <v>75</v>
      </c>
      <c r="W315" s="2">
        <v>77</v>
      </c>
      <c r="X315" s="2">
        <v>-17.7</v>
      </c>
      <c r="Y315" s="2">
        <v>-22</v>
      </c>
    </row>
    <row r="316" spans="1:25" x14ac:dyDescent="0.2">
      <c r="A316" t="s">
        <v>331</v>
      </c>
      <c r="B316" s="2">
        <v>21</v>
      </c>
      <c r="C316" t="s">
        <v>120</v>
      </c>
      <c r="D316" s="2" t="s">
        <v>42</v>
      </c>
      <c r="E316" s="2">
        <v>15</v>
      </c>
      <c r="F316" s="2">
        <v>8</v>
      </c>
      <c r="G316" s="2">
        <v>276</v>
      </c>
      <c r="H316" s="2">
        <v>0.50600000000000001</v>
      </c>
      <c r="I316" s="2">
        <v>0.64600000000000002</v>
      </c>
      <c r="J316" s="2">
        <v>0.28999999999999998</v>
      </c>
      <c r="K316" s="2">
        <v>0.56299999999999994</v>
      </c>
      <c r="L316" s="2">
        <v>0.53300000000000003</v>
      </c>
      <c r="M316" s="2">
        <v>0.56899999999999995</v>
      </c>
      <c r="N316" s="2">
        <v>0.38</v>
      </c>
      <c r="O316" s="2">
        <v>0.39200000000000002</v>
      </c>
      <c r="P316" s="2">
        <v>109</v>
      </c>
      <c r="Q316" s="2">
        <v>119</v>
      </c>
      <c r="R316" s="2">
        <v>81</v>
      </c>
      <c r="S316" s="2">
        <v>104</v>
      </c>
      <c r="T316" s="2">
        <v>69</v>
      </c>
      <c r="U316" s="2">
        <v>99</v>
      </c>
      <c r="V316" s="2">
        <v>152</v>
      </c>
      <c r="W316" s="2">
        <v>93</v>
      </c>
      <c r="X316" s="2">
        <v>3.6</v>
      </c>
      <c r="Y316" s="2">
        <v>-0.9</v>
      </c>
    </row>
    <row r="317" spans="1:25" x14ac:dyDescent="0.2">
      <c r="A317" t="s">
        <v>241</v>
      </c>
      <c r="B317" s="2">
        <v>29</v>
      </c>
      <c r="C317" t="s">
        <v>114</v>
      </c>
      <c r="D317" s="2" t="s">
        <v>27</v>
      </c>
      <c r="E317" s="2">
        <v>12</v>
      </c>
      <c r="F317" s="2">
        <v>12</v>
      </c>
      <c r="G317" s="2">
        <v>330</v>
      </c>
      <c r="H317" s="2">
        <v>0.42</v>
      </c>
      <c r="I317" s="2">
        <v>0.48799999999999999</v>
      </c>
      <c r="J317" s="2">
        <v>0.27600000000000002</v>
      </c>
      <c r="K317" s="2">
        <v>0.46400000000000002</v>
      </c>
      <c r="L317" s="2">
        <v>0.68799999999999994</v>
      </c>
      <c r="M317" s="2">
        <v>0.48699999999999999</v>
      </c>
      <c r="N317" s="2">
        <v>0.17699999999999999</v>
      </c>
      <c r="O317" s="2">
        <v>0.32</v>
      </c>
      <c r="P317" s="2">
        <v>90</v>
      </c>
      <c r="Q317" s="2">
        <v>90</v>
      </c>
      <c r="R317" s="2">
        <v>77</v>
      </c>
      <c r="S317" s="2">
        <v>86</v>
      </c>
      <c r="T317" s="2">
        <v>88</v>
      </c>
      <c r="U317" s="2">
        <v>85</v>
      </c>
      <c r="V317" s="2">
        <v>71</v>
      </c>
      <c r="W317" s="2">
        <v>76</v>
      </c>
      <c r="X317" s="2">
        <v>-27.7</v>
      </c>
      <c r="Y317" s="2">
        <v>-34.1</v>
      </c>
    </row>
    <row r="318" spans="1:25" x14ac:dyDescent="0.2">
      <c r="A318" t="s">
        <v>362</v>
      </c>
      <c r="B318" s="2">
        <v>38</v>
      </c>
      <c r="C318" t="s">
        <v>122</v>
      </c>
      <c r="D318" s="2" t="s">
        <v>33</v>
      </c>
      <c r="E318" s="2">
        <v>16</v>
      </c>
      <c r="F318" s="2">
        <v>10</v>
      </c>
      <c r="G318" s="2">
        <v>350</v>
      </c>
      <c r="H318" s="2">
        <v>0.373</v>
      </c>
      <c r="I318" s="2">
        <v>0.438</v>
      </c>
      <c r="J318" s="2">
        <v>0.35299999999999998</v>
      </c>
      <c r="K318" s="2">
        <v>0.50700000000000001</v>
      </c>
      <c r="L318" s="2">
        <v>0.78900000000000003</v>
      </c>
      <c r="M318" s="2">
        <v>0.55100000000000005</v>
      </c>
      <c r="N318" s="2">
        <v>0.28399999999999997</v>
      </c>
      <c r="O318" s="2">
        <v>0.76100000000000001</v>
      </c>
      <c r="P318" s="2">
        <v>80</v>
      </c>
      <c r="Q318" s="2">
        <v>81</v>
      </c>
      <c r="R318" s="2">
        <v>98</v>
      </c>
      <c r="S318" s="2">
        <v>94</v>
      </c>
      <c r="T318" s="2">
        <v>101</v>
      </c>
      <c r="U318" s="2">
        <v>96</v>
      </c>
      <c r="V318" s="2">
        <v>114</v>
      </c>
      <c r="W318" s="2">
        <v>180</v>
      </c>
      <c r="X318" s="2">
        <v>-4.4000000000000004</v>
      </c>
      <c r="Y318" s="2">
        <v>-3.6</v>
      </c>
    </row>
    <row r="319" spans="1:25" x14ac:dyDescent="0.2">
      <c r="A319" t="s">
        <v>62</v>
      </c>
      <c r="B319" s="2">
        <v>32</v>
      </c>
      <c r="C319" t="s">
        <v>63</v>
      </c>
      <c r="D319" s="2" t="s">
        <v>52</v>
      </c>
      <c r="E319" s="2">
        <v>23</v>
      </c>
      <c r="F319" s="2">
        <v>23</v>
      </c>
      <c r="G319" s="2">
        <v>813</v>
      </c>
      <c r="H319" s="2">
        <v>0.504</v>
      </c>
      <c r="I319" s="2">
        <v>0.52200000000000002</v>
      </c>
      <c r="J319" s="2">
        <v>0.47399999999999998</v>
      </c>
      <c r="K319" s="2">
        <v>0.59299999999999997</v>
      </c>
      <c r="L319" s="2">
        <v>0.88500000000000001</v>
      </c>
      <c r="M319" s="2">
        <v>0.625</v>
      </c>
      <c r="N319" s="2">
        <v>0.192</v>
      </c>
      <c r="O319" s="2">
        <v>0.378</v>
      </c>
      <c r="P319" s="2">
        <v>108</v>
      </c>
      <c r="Q319" s="2">
        <v>96</v>
      </c>
      <c r="R319" s="2">
        <v>132</v>
      </c>
      <c r="S319" s="2">
        <v>110</v>
      </c>
      <c r="T319" s="2">
        <v>114</v>
      </c>
      <c r="U319" s="2">
        <v>109</v>
      </c>
      <c r="V319" s="2">
        <v>77</v>
      </c>
      <c r="W319" s="2">
        <v>90</v>
      </c>
      <c r="X319" s="2">
        <v>43</v>
      </c>
      <c r="Y319" s="2">
        <v>44.9</v>
      </c>
    </row>
    <row r="320" spans="1:25" x14ac:dyDescent="0.2">
      <c r="A320" t="s">
        <v>292</v>
      </c>
      <c r="B320" s="2">
        <v>21</v>
      </c>
      <c r="C320" t="s">
        <v>114</v>
      </c>
      <c r="D320" s="2" t="s">
        <v>52</v>
      </c>
      <c r="E320" s="2">
        <v>19</v>
      </c>
      <c r="F320" s="2">
        <v>6</v>
      </c>
      <c r="G320" s="2">
        <v>497</v>
      </c>
      <c r="H320" s="2">
        <v>0.33600000000000002</v>
      </c>
      <c r="I320" s="2">
        <v>0.5</v>
      </c>
      <c r="J320" s="2">
        <v>0.247</v>
      </c>
      <c r="K320" s="2">
        <v>0.41599999999999998</v>
      </c>
      <c r="L320" s="2">
        <v>0.73099999999999998</v>
      </c>
      <c r="M320" s="2">
        <v>0.44600000000000001</v>
      </c>
      <c r="N320" s="2">
        <v>0.17399999999999999</v>
      </c>
      <c r="O320" s="2">
        <v>0.65100000000000002</v>
      </c>
      <c r="P320" s="2">
        <v>72</v>
      </c>
      <c r="Q320" s="2">
        <v>92</v>
      </c>
      <c r="R320" s="2">
        <v>69</v>
      </c>
      <c r="S320" s="2">
        <v>77</v>
      </c>
      <c r="T320" s="2">
        <v>94</v>
      </c>
      <c r="U320" s="2">
        <v>78</v>
      </c>
      <c r="V320" s="2">
        <v>70</v>
      </c>
      <c r="W320" s="2">
        <v>154</v>
      </c>
      <c r="X320" s="2">
        <v>-37.1</v>
      </c>
      <c r="Y320" s="2">
        <v>-41.3</v>
      </c>
    </row>
    <row r="321" spans="1:25" x14ac:dyDescent="0.2">
      <c r="A321" t="s">
        <v>58</v>
      </c>
      <c r="B321" s="2">
        <v>23</v>
      </c>
      <c r="C321" t="s">
        <v>59</v>
      </c>
      <c r="D321" s="2" t="s">
        <v>33</v>
      </c>
      <c r="E321" s="2">
        <v>18</v>
      </c>
      <c r="F321" s="2">
        <v>18</v>
      </c>
      <c r="G321" s="2">
        <v>614</v>
      </c>
      <c r="H321" s="2">
        <v>0.43</v>
      </c>
      <c r="I321" s="2">
        <v>0.51200000000000001</v>
      </c>
      <c r="J321" s="2">
        <v>0.35599999999999998</v>
      </c>
      <c r="K321" s="2">
        <v>0.52300000000000002</v>
      </c>
      <c r="L321" s="2">
        <v>0.84799999999999998</v>
      </c>
      <c r="M321" s="2">
        <v>0.56399999999999995</v>
      </c>
      <c r="N321" s="2">
        <v>0.23400000000000001</v>
      </c>
      <c r="O321" s="2">
        <v>0.52600000000000002</v>
      </c>
      <c r="P321" s="2">
        <v>93</v>
      </c>
      <c r="Q321" s="2">
        <v>94</v>
      </c>
      <c r="R321" s="2">
        <v>99</v>
      </c>
      <c r="S321" s="2">
        <v>97</v>
      </c>
      <c r="T321" s="2">
        <v>109</v>
      </c>
      <c r="U321" s="2">
        <v>98</v>
      </c>
      <c r="V321" s="2">
        <v>94</v>
      </c>
      <c r="W321" s="2">
        <v>124</v>
      </c>
      <c r="X321" s="2">
        <v>-15.4</v>
      </c>
      <c r="Y321" s="2">
        <v>-10</v>
      </c>
    </row>
    <row r="322" spans="1:25" x14ac:dyDescent="0.2">
      <c r="A322" t="s">
        <v>357</v>
      </c>
      <c r="B322" s="2">
        <v>32</v>
      </c>
      <c r="C322" t="s">
        <v>72</v>
      </c>
      <c r="D322" s="2" t="s">
        <v>27</v>
      </c>
      <c r="E322" s="2">
        <v>10</v>
      </c>
      <c r="F322" s="2">
        <v>2</v>
      </c>
      <c r="G322" s="2">
        <v>165</v>
      </c>
      <c r="H322" s="2">
        <v>0.63</v>
      </c>
      <c r="I322" s="2">
        <v>0.72</v>
      </c>
      <c r="J322" s="2">
        <v>0.55200000000000005</v>
      </c>
      <c r="K322" s="2">
        <v>0.77800000000000002</v>
      </c>
      <c r="L322" s="2">
        <v>0.75</v>
      </c>
      <c r="M322" s="2">
        <v>0.78</v>
      </c>
      <c r="N322" s="2">
        <v>7.3999999999999996E-2</v>
      </c>
      <c r="O322" s="2">
        <v>0.53700000000000003</v>
      </c>
      <c r="P322" s="2">
        <v>136</v>
      </c>
      <c r="Q322" s="2">
        <v>133</v>
      </c>
      <c r="R322" s="2">
        <v>154</v>
      </c>
      <c r="S322" s="2">
        <v>144</v>
      </c>
      <c r="T322" s="2">
        <v>96</v>
      </c>
      <c r="U322" s="2">
        <v>136</v>
      </c>
      <c r="V322" s="2">
        <v>30</v>
      </c>
      <c r="W322" s="2">
        <v>127</v>
      </c>
      <c r="X322" s="2">
        <v>25.6</v>
      </c>
      <c r="Y322" s="2">
        <v>22.9</v>
      </c>
    </row>
    <row r="323" spans="1:25" x14ac:dyDescent="0.2">
      <c r="A323" t="s">
        <v>142</v>
      </c>
      <c r="B323" s="2">
        <v>27</v>
      </c>
      <c r="C323" t="s">
        <v>120</v>
      </c>
      <c r="D323" s="2" t="s">
        <v>27</v>
      </c>
      <c r="E323" s="2">
        <v>18</v>
      </c>
      <c r="F323" s="2">
        <v>18</v>
      </c>
      <c r="G323" s="2">
        <v>572</v>
      </c>
      <c r="H323" s="2">
        <v>0.443</v>
      </c>
      <c r="I323" s="2">
        <v>0.51700000000000002</v>
      </c>
      <c r="J323" s="2">
        <v>0.372</v>
      </c>
      <c r="K323" s="2">
        <v>0.53800000000000003</v>
      </c>
      <c r="L323" s="2">
        <v>0.86</v>
      </c>
      <c r="M323" s="2">
        <v>0.60299999999999998</v>
      </c>
      <c r="N323" s="2">
        <v>0.39200000000000002</v>
      </c>
      <c r="O323" s="2">
        <v>0.51100000000000001</v>
      </c>
      <c r="P323" s="2">
        <v>95</v>
      </c>
      <c r="Q323" s="2">
        <v>95</v>
      </c>
      <c r="R323" s="2">
        <v>104</v>
      </c>
      <c r="S323" s="2">
        <v>100</v>
      </c>
      <c r="T323" s="2">
        <v>111</v>
      </c>
      <c r="U323" s="2">
        <v>105</v>
      </c>
      <c r="V323" s="2">
        <v>157</v>
      </c>
      <c r="W323" s="2">
        <v>121</v>
      </c>
      <c r="X323" s="2">
        <v>-1.2</v>
      </c>
      <c r="Y323" s="2">
        <v>15.7</v>
      </c>
    </row>
    <row r="324" spans="1:25" x14ac:dyDescent="0.2">
      <c r="A324" t="s">
        <v>68</v>
      </c>
      <c r="B324" s="2">
        <v>40</v>
      </c>
      <c r="C324" t="s">
        <v>41</v>
      </c>
      <c r="D324" s="2" t="s">
        <v>49</v>
      </c>
      <c r="E324" s="2">
        <v>23</v>
      </c>
      <c r="F324" s="2">
        <v>23</v>
      </c>
      <c r="G324" s="2">
        <v>806</v>
      </c>
      <c r="H324" s="2">
        <v>0.495</v>
      </c>
      <c r="I324" s="2">
        <v>0.56000000000000005</v>
      </c>
      <c r="J324" s="2">
        <v>0.35899999999999999</v>
      </c>
      <c r="K324" s="2">
        <v>0.55300000000000005</v>
      </c>
      <c r="L324" s="2">
        <v>0.76200000000000001</v>
      </c>
      <c r="M324" s="2">
        <v>0.58499999999999996</v>
      </c>
      <c r="N324" s="2">
        <v>0.25900000000000001</v>
      </c>
      <c r="O324" s="2">
        <v>0.32300000000000001</v>
      </c>
      <c r="P324" s="2">
        <v>107</v>
      </c>
      <c r="Q324" s="2">
        <v>103</v>
      </c>
      <c r="R324" s="2">
        <v>100</v>
      </c>
      <c r="S324" s="2">
        <v>102</v>
      </c>
      <c r="T324" s="2">
        <v>98</v>
      </c>
      <c r="U324" s="2">
        <v>102</v>
      </c>
      <c r="V324" s="2">
        <v>104</v>
      </c>
      <c r="W324" s="2">
        <v>76</v>
      </c>
      <c r="X324" s="2">
        <v>10.1</v>
      </c>
      <c r="Y324" s="2">
        <v>9.4</v>
      </c>
    </row>
    <row r="325" spans="1:25" x14ac:dyDescent="0.2">
      <c r="A325" t="s">
        <v>500</v>
      </c>
      <c r="B325" s="2">
        <v>24</v>
      </c>
      <c r="C325" t="s">
        <v>122</v>
      </c>
      <c r="D325" s="2" t="s">
        <v>52</v>
      </c>
      <c r="E325" s="2">
        <v>4</v>
      </c>
      <c r="F325" s="2">
        <v>0</v>
      </c>
      <c r="G325" s="2">
        <v>17</v>
      </c>
      <c r="H325" s="2">
        <v>0.5</v>
      </c>
      <c r="I325" s="2">
        <v>0.8</v>
      </c>
      <c r="J325" s="2">
        <v>0</v>
      </c>
      <c r="K325" s="2">
        <v>0.5</v>
      </c>
      <c r="L325" s="2">
        <v>1</v>
      </c>
      <c r="M325" s="2">
        <v>0.53300000000000003</v>
      </c>
      <c r="N325" s="2">
        <v>0.125</v>
      </c>
      <c r="O325" s="2">
        <v>0.375</v>
      </c>
      <c r="P325" s="2">
        <v>108</v>
      </c>
      <c r="Q325" s="2">
        <v>148</v>
      </c>
      <c r="R325" s="2">
        <v>0</v>
      </c>
      <c r="S325" s="2">
        <v>93</v>
      </c>
      <c r="T325" s="2">
        <v>129</v>
      </c>
      <c r="U325" s="2">
        <v>93</v>
      </c>
      <c r="V325" s="2">
        <v>50</v>
      </c>
      <c r="W325" s="2">
        <v>89</v>
      </c>
      <c r="X325" s="2">
        <v>-0.6</v>
      </c>
      <c r="Y325" s="2">
        <v>-0.7</v>
      </c>
    </row>
    <row r="326" spans="1:25" x14ac:dyDescent="0.2">
      <c r="A326" t="s">
        <v>520</v>
      </c>
      <c r="B326" s="2">
        <v>25</v>
      </c>
      <c r="C326" t="s">
        <v>35</v>
      </c>
      <c r="D326" s="2" t="s">
        <v>42</v>
      </c>
      <c r="E326" s="2">
        <v>5</v>
      </c>
      <c r="F326" s="2">
        <v>0</v>
      </c>
      <c r="G326" s="2">
        <v>20</v>
      </c>
      <c r="H326" s="2">
        <v>0.66700000000000004</v>
      </c>
      <c r="I326" s="2">
        <v>1</v>
      </c>
      <c r="J326" s="2">
        <v>0</v>
      </c>
      <c r="K326" s="2">
        <v>0.66700000000000004</v>
      </c>
      <c r="L326" s="2">
        <v>0.25</v>
      </c>
      <c r="M326" s="2">
        <v>0.52500000000000002</v>
      </c>
      <c r="N326" s="2">
        <v>1.333</v>
      </c>
      <c r="O326" s="2">
        <v>0.33300000000000002</v>
      </c>
      <c r="P326" s="2">
        <v>143</v>
      </c>
      <c r="Q326" s="2">
        <v>185</v>
      </c>
      <c r="R326" s="2">
        <v>0</v>
      </c>
      <c r="S326" s="2">
        <v>123</v>
      </c>
      <c r="T326" s="2">
        <v>32</v>
      </c>
      <c r="U326" s="2">
        <v>91</v>
      </c>
      <c r="V326" s="2">
        <v>535</v>
      </c>
      <c r="W326" s="2">
        <v>79</v>
      </c>
      <c r="X326" s="2">
        <v>0.8</v>
      </c>
      <c r="Y326" s="2">
        <v>-0.5</v>
      </c>
    </row>
    <row r="327" spans="1:25" x14ac:dyDescent="0.2">
      <c r="A327" t="s">
        <v>319</v>
      </c>
      <c r="B327" s="2">
        <v>27</v>
      </c>
      <c r="C327" t="s">
        <v>100</v>
      </c>
      <c r="D327" s="2" t="s">
        <v>52</v>
      </c>
      <c r="E327" s="2">
        <v>20</v>
      </c>
      <c r="F327" s="2">
        <v>8</v>
      </c>
      <c r="G327" s="2">
        <v>356</v>
      </c>
      <c r="H327" s="2">
        <v>0.38900000000000001</v>
      </c>
      <c r="I327" s="2">
        <v>0.5</v>
      </c>
      <c r="J327" s="2">
        <v>0.34200000000000003</v>
      </c>
      <c r="K327" s="2">
        <v>0.50900000000000001</v>
      </c>
      <c r="L327" s="2">
        <v>0.8</v>
      </c>
      <c r="M327" s="2">
        <v>0.51700000000000002</v>
      </c>
      <c r="N327" s="2">
        <v>4.5999999999999999E-2</v>
      </c>
      <c r="O327" s="2">
        <v>0.70399999999999996</v>
      </c>
      <c r="P327" s="2">
        <v>84</v>
      </c>
      <c r="Q327" s="2">
        <v>92</v>
      </c>
      <c r="R327" s="2">
        <v>95</v>
      </c>
      <c r="S327" s="2">
        <v>94</v>
      </c>
      <c r="T327" s="2">
        <v>103</v>
      </c>
      <c r="U327" s="2">
        <v>90</v>
      </c>
      <c r="V327" s="2">
        <v>19</v>
      </c>
      <c r="W327" s="2">
        <v>166</v>
      </c>
      <c r="X327" s="2">
        <v>-6.8</v>
      </c>
      <c r="Y327" s="2">
        <v>-12.6</v>
      </c>
    </row>
    <row r="328" spans="1:25" x14ac:dyDescent="0.2">
      <c r="A328" t="s">
        <v>421</v>
      </c>
      <c r="B328" s="2">
        <v>27</v>
      </c>
      <c r="C328" t="s">
        <v>70</v>
      </c>
      <c r="D328" s="2" t="s">
        <v>33</v>
      </c>
      <c r="E328" s="2">
        <v>8</v>
      </c>
      <c r="F328" s="2">
        <v>0</v>
      </c>
      <c r="G328" s="2">
        <v>134</v>
      </c>
      <c r="H328" s="2">
        <v>0.36799999999999999</v>
      </c>
      <c r="I328" s="2">
        <v>0.42899999999999999</v>
      </c>
      <c r="J328" s="2">
        <v>0.35499999999999998</v>
      </c>
      <c r="K328" s="2">
        <v>0.51300000000000001</v>
      </c>
      <c r="L328" s="2"/>
      <c r="M328" s="2">
        <v>0.51300000000000001</v>
      </c>
      <c r="N328" s="2">
        <v>0</v>
      </c>
      <c r="O328" s="2">
        <v>0.81599999999999995</v>
      </c>
      <c r="P328" s="2">
        <v>79</v>
      </c>
      <c r="Q328" s="2">
        <v>79</v>
      </c>
      <c r="R328" s="2">
        <v>99</v>
      </c>
      <c r="S328" s="2">
        <v>95</v>
      </c>
      <c r="T328" s="2"/>
      <c r="U328" s="2">
        <v>89</v>
      </c>
      <c r="V328" s="2">
        <v>0</v>
      </c>
      <c r="W328" s="2">
        <v>193</v>
      </c>
      <c r="X328" s="2">
        <v>-2.1</v>
      </c>
      <c r="Y328" s="2">
        <v>-4.7</v>
      </c>
    </row>
    <row r="329" spans="1:25" x14ac:dyDescent="0.2">
      <c r="A329" t="s">
        <v>204</v>
      </c>
      <c r="B329" s="2">
        <v>25</v>
      </c>
      <c r="C329" t="s">
        <v>32</v>
      </c>
      <c r="D329" s="2" t="s">
        <v>49</v>
      </c>
      <c r="E329" s="2">
        <v>24</v>
      </c>
      <c r="F329" s="2">
        <v>24</v>
      </c>
      <c r="G329" s="2">
        <v>705</v>
      </c>
      <c r="H329" s="2">
        <v>0.40899999999999997</v>
      </c>
      <c r="I329" s="2">
        <v>0.441</v>
      </c>
      <c r="J329" s="2">
        <v>0.39200000000000002</v>
      </c>
      <c r="K329" s="2">
        <v>0.53800000000000003</v>
      </c>
      <c r="L329" s="2">
        <v>0.82799999999999996</v>
      </c>
      <c r="M329" s="2">
        <v>0.56200000000000006</v>
      </c>
      <c r="N329" s="2">
        <v>0.14599999999999999</v>
      </c>
      <c r="O329" s="2">
        <v>0.65700000000000003</v>
      </c>
      <c r="P329" s="2">
        <v>88</v>
      </c>
      <c r="Q329" s="2">
        <v>81</v>
      </c>
      <c r="R329" s="2">
        <v>109</v>
      </c>
      <c r="S329" s="2">
        <v>100</v>
      </c>
      <c r="T329" s="2">
        <v>106</v>
      </c>
      <c r="U329" s="2">
        <v>98</v>
      </c>
      <c r="V329" s="2">
        <v>59</v>
      </c>
      <c r="W329" s="2">
        <v>155</v>
      </c>
      <c r="X329" s="2">
        <v>-1</v>
      </c>
      <c r="Y329" s="2">
        <v>-5.2</v>
      </c>
    </row>
    <row r="330" spans="1:25" x14ac:dyDescent="0.2">
      <c r="A330" t="s">
        <v>67</v>
      </c>
      <c r="B330" s="2">
        <v>25</v>
      </c>
      <c r="C330" t="s">
        <v>63</v>
      </c>
      <c r="D330" s="2" t="s">
        <v>33</v>
      </c>
      <c r="E330" s="2">
        <v>19</v>
      </c>
      <c r="F330" s="2">
        <v>19</v>
      </c>
      <c r="G330" s="2">
        <v>701</v>
      </c>
      <c r="H330" s="2">
        <v>0.44600000000000001</v>
      </c>
      <c r="I330" s="2">
        <v>0.53100000000000003</v>
      </c>
      <c r="J330" s="2">
        <v>0.34399999999999997</v>
      </c>
      <c r="K330" s="2">
        <v>0.52400000000000002</v>
      </c>
      <c r="L330" s="2">
        <v>0.76600000000000001</v>
      </c>
      <c r="M330" s="2">
        <v>0.56499999999999995</v>
      </c>
      <c r="N330" s="2">
        <v>0.308</v>
      </c>
      <c r="O330" s="2">
        <v>0.45500000000000002</v>
      </c>
      <c r="P330" s="2">
        <v>96</v>
      </c>
      <c r="Q330" s="2">
        <v>98</v>
      </c>
      <c r="R330" s="2">
        <v>96</v>
      </c>
      <c r="S330" s="2">
        <v>97</v>
      </c>
      <c r="T330" s="2">
        <v>98</v>
      </c>
      <c r="U330" s="2">
        <v>98</v>
      </c>
      <c r="V330" s="2">
        <v>124</v>
      </c>
      <c r="W330" s="2">
        <v>108</v>
      </c>
      <c r="X330" s="2">
        <v>-13.6</v>
      </c>
      <c r="Y330" s="2">
        <v>-8.5</v>
      </c>
    </row>
    <row r="331" spans="1:25" x14ac:dyDescent="0.2">
      <c r="A331" t="s">
        <v>448</v>
      </c>
      <c r="B331" s="2">
        <v>26</v>
      </c>
      <c r="C331" t="s">
        <v>51</v>
      </c>
      <c r="D331" s="2" t="s">
        <v>42</v>
      </c>
      <c r="E331" s="2">
        <v>7</v>
      </c>
      <c r="F331" s="2">
        <v>0</v>
      </c>
      <c r="G331" s="2">
        <v>33</v>
      </c>
      <c r="H331" s="2">
        <v>0.55000000000000004</v>
      </c>
      <c r="I331" s="2">
        <v>0.71399999999999997</v>
      </c>
      <c r="J331" s="2">
        <v>0.16700000000000001</v>
      </c>
      <c r="K331" s="2">
        <v>0.57499999999999996</v>
      </c>
      <c r="L331" s="2">
        <v>0.5</v>
      </c>
      <c r="M331" s="2">
        <v>0.57399999999999995</v>
      </c>
      <c r="N331" s="2">
        <v>0.3</v>
      </c>
      <c r="O331" s="2">
        <v>0.3</v>
      </c>
      <c r="P331" s="2">
        <v>118</v>
      </c>
      <c r="Q331" s="2">
        <v>132</v>
      </c>
      <c r="R331" s="2">
        <v>46</v>
      </c>
      <c r="S331" s="2">
        <v>106</v>
      </c>
      <c r="T331" s="2">
        <v>64</v>
      </c>
      <c r="U331" s="2">
        <v>100</v>
      </c>
      <c r="V331" s="2">
        <v>120</v>
      </c>
      <c r="W331" s="2">
        <v>71</v>
      </c>
      <c r="X331" s="2">
        <v>1.4</v>
      </c>
      <c r="Y331" s="2">
        <v>0</v>
      </c>
    </row>
    <row r="332" spans="1:25" x14ac:dyDescent="0.2">
      <c r="A332" t="s">
        <v>346</v>
      </c>
      <c r="B332" s="2">
        <v>28</v>
      </c>
      <c r="C332" t="s">
        <v>80</v>
      </c>
      <c r="D332" s="2" t="s">
        <v>52</v>
      </c>
      <c r="E332" s="2">
        <v>14</v>
      </c>
      <c r="F332" s="2">
        <v>0</v>
      </c>
      <c r="G332" s="2">
        <v>276</v>
      </c>
      <c r="H332" s="2">
        <v>0.43099999999999999</v>
      </c>
      <c r="I332" s="2">
        <v>0.5</v>
      </c>
      <c r="J332" s="2">
        <v>0.40400000000000003</v>
      </c>
      <c r="K332" s="2">
        <v>0.57599999999999996</v>
      </c>
      <c r="L332" s="2">
        <v>0.78600000000000003</v>
      </c>
      <c r="M332" s="2">
        <v>0.60099999999999998</v>
      </c>
      <c r="N332" s="2">
        <v>0.19400000000000001</v>
      </c>
      <c r="O332" s="2">
        <v>0.72199999999999998</v>
      </c>
      <c r="P332" s="2">
        <v>93</v>
      </c>
      <c r="Q332" s="2">
        <v>92</v>
      </c>
      <c r="R332" s="2">
        <v>112</v>
      </c>
      <c r="S332" s="2">
        <v>107</v>
      </c>
      <c r="T332" s="2">
        <v>101</v>
      </c>
      <c r="U332" s="2">
        <v>105</v>
      </c>
      <c r="V332" s="2">
        <v>78</v>
      </c>
      <c r="W332" s="2">
        <v>171</v>
      </c>
      <c r="X332" s="2">
        <v>5.2</v>
      </c>
      <c r="Y332" s="2">
        <v>4.2</v>
      </c>
    </row>
    <row r="333" spans="1:25" x14ac:dyDescent="0.2">
      <c r="A333" t="s">
        <v>350</v>
      </c>
      <c r="B333" s="2">
        <v>29</v>
      </c>
      <c r="C333" t="s">
        <v>39</v>
      </c>
      <c r="D333" s="2" t="s">
        <v>42</v>
      </c>
      <c r="E333" s="2">
        <v>19</v>
      </c>
      <c r="F333" s="2">
        <v>3</v>
      </c>
      <c r="G333" s="2">
        <v>320</v>
      </c>
      <c r="H333" s="2">
        <v>0.66</v>
      </c>
      <c r="I333" s="2">
        <v>0.66</v>
      </c>
      <c r="J333" s="2"/>
      <c r="K333" s="2">
        <v>0.66</v>
      </c>
      <c r="L333" s="2">
        <v>0.84599999999999997</v>
      </c>
      <c r="M333" s="2">
        <v>0.71399999999999997</v>
      </c>
      <c r="N333" s="2">
        <v>0.49099999999999999</v>
      </c>
      <c r="O333" s="2">
        <v>0</v>
      </c>
      <c r="P333" s="2">
        <v>142</v>
      </c>
      <c r="Q333" s="2">
        <v>122</v>
      </c>
      <c r="R333" s="2"/>
      <c r="S333" s="2">
        <v>122</v>
      </c>
      <c r="T333" s="2">
        <v>109</v>
      </c>
      <c r="U333" s="2">
        <v>124</v>
      </c>
      <c r="V333" s="2">
        <v>197</v>
      </c>
      <c r="W333" s="2">
        <v>0</v>
      </c>
      <c r="X333" s="2">
        <v>12.7</v>
      </c>
      <c r="Y333" s="2">
        <v>18</v>
      </c>
    </row>
    <row r="334" spans="1:25" x14ac:dyDescent="0.2">
      <c r="A334" t="s">
        <v>504</v>
      </c>
      <c r="B334" s="2">
        <v>23</v>
      </c>
      <c r="C334" t="s">
        <v>57</v>
      </c>
      <c r="D334" s="2" t="s">
        <v>52</v>
      </c>
      <c r="E334" s="2">
        <v>6</v>
      </c>
      <c r="F334" s="2">
        <v>0</v>
      </c>
      <c r="G334" s="2">
        <v>42</v>
      </c>
      <c r="H334" s="2">
        <v>0.42899999999999999</v>
      </c>
      <c r="I334" s="2">
        <v>0.75</v>
      </c>
      <c r="J334" s="2">
        <v>0</v>
      </c>
      <c r="K334" s="2">
        <v>0.42899999999999999</v>
      </c>
      <c r="L334" s="2">
        <v>1</v>
      </c>
      <c r="M334" s="2">
        <v>0.50800000000000001</v>
      </c>
      <c r="N334" s="2">
        <v>0.28599999999999998</v>
      </c>
      <c r="O334" s="2">
        <v>0.42899999999999999</v>
      </c>
      <c r="P334" s="2">
        <v>92</v>
      </c>
      <c r="Q334" s="2">
        <v>138</v>
      </c>
      <c r="R334" s="2">
        <v>0</v>
      </c>
      <c r="S334" s="2">
        <v>79</v>
      </c>
      <c r="T334" s="2">
        <v>129</v>
      </c>
      <c r="U334" s="2">
        <v>88</v>
      </c>
      <c r="V334" s="2">
        <v>115</v>
      </c>
      <c r="W334" s="2">
        <v>101</v>
      </c>
      <c r="X334" s="2">
        <v>-1.6</v>
      </c>
      <c r="Y334" s="2">
        <v>-1.1000000000000001</v>
      </c>
    </row>
    <row r="335" spans="1:25" x14ac:dyDescent="0.2">
      <c r="A335" t="s">
        <v>563</v>
      </c>
      <c r="B335" s="2">
        <v>26</v>
      </c>
      <c r="C335" t="s">
        <v>48</v>
      </c>
      <c r="D335" s="2" t="s">
        <v>52</v>
      </c>
      <c r="E335" s="2">
        <v>1</v>
      </c>
      <c r="F335" s="2">
        <v>0</v>
      </c>
      <c r="G335" s="2">
        <v>5</v>
      </c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>
        <v>0</v>
      </c>
      <c r="Y335" s="2">
        <v>0</v>
      </c>
    </row>
    <row r="336" spans="1:25" x14ac:dyDescent="0.2">
      <c r="A336" t="s">
        <v>314</v>
      </c>
      <c r="B336" s="2">
        <v>21</v>
      </c>
      <c r="C336" t="s">
        <v>93</v>
      </c>
      <c r="D336" s="2" t="s">
        <v>52</v>
      </c>
      <c r="E336" s="2">
        <v>18</v>
      </c>
      <c r="F336" s="2">
        <v>0</v>
      </c>
      <c r="G336" s="2">
        <v>233</v>
      </c>
      <c r="H336" s="2">
        <v>0.44800000000000001</v>
      </c>
      <c r="I336" s="2">
        <v>0.47299999999999998</v>
      </c>
      <c r="J336" s="2">
        <v>0.41499999999999998</v>
      </c>
      <c r="K336" s="2">
        <v>0.53600000000000003</v>
      </c>
      <c r="L336" s="2">
        <v>0.85</v>
      </c>
      <c r="M336" s="2">
        <v>0.57299999999999995</v>
      </c>
      <c r="N336" s="2">
        <v>0.20799999999999999</v>
      </c>
      <c r="O336" s="2">
        <v>0.42699999999999999</v>
      </c>
      <c r="P336" s="2">
        <v>96</v>
      </c>
      <c r="Q336" s="2">
        <v>87</v>
      </c>
      <c r="R336" s="2">
        <v>115</v>
      </c>
      <c r="S336" s="2">
        <v>99</v>
      </c>
      <c r="T336" s="2">
        <v>109</v>
      </c>
      <c r="U336" s="2">
        <v>100</v>
      </c>
      <c r="V336" s="2">
        <v>84</v>
      </c>
      <c r="W336" s="2">
        <v>101</v>
      </c>
      <c r="X336" s="2">
        <v>-0.8</v>
      </c>
      <c r="Y336" s="2">
        <v>-0.4</v>
      </c>
    </row>
    <row r="337" spans="1:25" x14ac:dyDescent="0.2">
      <c r="A337" t="s">
        <v>310</v>
      </c>
      <c r="B337" s="2">
        <v>32</v>
      </c>
      <c r="C337" t="s">
        <v>114</v>
      </c>
      <c r="D337" s="2" t="s">
        <v>33</v>
      </c>
      <c r="E337" s="2">
        <v>9</v>
      </c>
      <c r="F337" s="2">
        <v>8</v>
      </c>
      <c r="G337" s="2">
        <v>214</v>
      </c>
      <c r="H337" s="2">
        <v>0.495</v>
      </c>
      <c r="I337" s="2">
        <v>0.54300000000000004</v>
      </c>
      <c r="J337" s="2">
        <v>0.33300000000000002</v>
      </c>
      <c r="K337" s="2">
        <v>0.53300000000000003</v>
      </c>
      <c r="L337" s="2">
        <v>0.84399999999999997</v>
      </c>
      <c r="M337" s="2">
        <v>0.59</v>
      </c>
      <c r="N337" s="2">
        <v>0.35199999999999998</v>
      </c>
      <c r="O337" s="2">
        <v>0.23100000000000001</v>
      </c>
      <c r="P337" s="2">
        <v>106</v>
      </c>
      <c r="Q337" s="2">
        <v>100</v>
      </c>
      <c r="R337" s="2">
        <v>93</v>
      </c>
      <c r="S337" s="2">
        <v>99</v>
      </c>
      <c r="T337" s="2">
        <v>108</v>
      </c>
      <c r="U337" s="2">
        <v>103</v>
      </c>
      <c r="V337" s="2">
        <v>141</v>
      </c>
      <c r="W337" s="2">
        <v>55</v>
      </c>
      <c r="X337" s="2">
        <v>-1.4</v>
      </c>
      <c r="Y337" s="2">
        <v>3.3</v>
      </c>
    </row>
    <row r="338" spans="1:25" x14ac:dyDescent="0.2">
      <c r="A338" t="s">
        <v>547</v>
      </c>
      <c r="B338" s="2">
        <v>25</v>
      </c>
      <c r="C338" t="s">
        <v>32</v>
      </c>
      <c r="D338" s="2" t="s">
        <v>49</v>
      </c>
      <c r="E338" s="2">
        <v>6</v>
      </c>
      <c r="F338" s="2">
        <v>0</v>
      </c>
      <c r="G338" s="2">
        <v>21</v>
      </c>
      <c r="H338" s="2">
        <v>0</v>
      </c>
      <c r="I338" s="2">
        <v>0</v>
      </c>
      <c r="J338" s="2">
        <v>0</v>
      </c>
      <c r="K338" s="2">
        <v>0</v>
      </c>
      <c r="L338" s="2">
        <v>0.5</v>
      </c>
      <c r="M338" s="2">
        <v>0.26600000000000001</v>
      </c>
      <c r="N338" s="2">
        <v>2</v>
      </c>
      <c r="O338" s="2">
        <v>0.5</v>
      </c>
      <c r="P338" s="2">
        <v>0</v>
      </c>
      <c r="Q338" s="2">
        <v>0</v>
      </c>
      <c r="R338" s="2">
        <v>0</v>
      </c>
      <c r="S338" s="2">
        <v>0</v>
      </c>
      <c r="T338" s="2">
        <v>64</v>
      </c>
      <c r="U338" s="2">
        <v>46</v>
      </c>
      <c r="V338" s="2">
        <v>802</v>
      </c>
      <c r="W338" s="2">
        <v>118</v>
      </c>
      <c r="X338" s="2">
        <v>-2.2000000000000002</v>
      </c>
      <c r="Y338" s="2">
        <v>-2.2999999999999998</v>
      </c>
    </row>
    <row r="339" spans="1:25" x14ac:dyDescent="0.2">
      <c r="A339" t="s">
        <v>115</v>
      </c>
      <c r="B339" s="2">
        <v>28</v>
      </c>
      <c r="C339" t="s">
        <v>75</v>
      </c>
      <c r="D339" s="2" t="s">
        <v>52</v>
      </c>
      <c r="E339" s="2">
        <v>26</v>
      </c>
      <c r="F339" s="2">
        <v>7</v>
      </c>
      <c r="G339" s="2">
        <v>727</v>
      </c>
      <c r="H339" s="2">
        <v>0.433</v>
      </c>
      <c r="I339" s="2">
        <v>0.49</v>
      </c>
      <c r="J339" s="2">
        <v>0.40699999999999997</v>
      </c>
      <c r="K339" s="2">
        <v>0.57299999999999995</v>
      </c>
      <c r="L339" s="2">
        <v>0.72199999999999998</v>
      </c>
      <c r="M339" s="2">
        <v>0.58399999999999996</v>
      </c>
      <c r="N339" s="2">
        <v>0.109</v>
      </c>
      <c r="O339" s="2">
        <v>0.68500000000000005</v>
      </c>
      <c r="P339" s="2">
        <v>93</v>
      </c>
      <c r="Q339" s="2">
        <v>90</v>
      </c>
      <c r="R339" s="2">
        <v>113</v>
      </c>
      <c r="S339" s="2">
        <v>106</v>
      </c>
      <c r="T339" s="2">
        <v>93</v>
      </c>
      <c r="U339" s="2">
        <v>102</v>
      </c>
      <c r="V339" s="2">
        <v>44</v>
      </c>
      <c r="W339" s="2">
        <v>162</v>
      </c>
      <c r="X339" s="2">
        <v>21.3</v>
      </c>
      <c r="Y339" s="2">
        <v>6.6</v>
      </c>
    </row>
    <row r="340" spans="1:25" x14ac:dyDescent="0.2">
      <c r="A340" t="s">
        <v>156</v>
      </c>
      <c r="B340" s="2">
        <v>26</v>
      </c>
      <c r="C340" t="s">
        <v>37</v>
      </c>
      <c r="D340" s="2" t="s">
        <v>52</v>
      </c>
      <c r="E340" s="2">
        <v>19</v>
      </c>
      <c r="F340" s="2">
        <v>6</v>
      </c>
      <c r="G340" s="2">
        <v>545</v>
      </c>
      <c r="H340" s="2">
        <v>0.45300000000000001</v>
      </c>
      <c r="I340" s="2">
        <v>0.53</v>
      </c>
      <c r="J340" s="2">
        <v>0.376</v>
      </c>
      <c r="K340" s="2">
        <v>0.54700000000000004</v>
      </c>
      <c r="L340" s="2">
        <v>0.84</v>
      </c>
      <c r="M340" s="2">
        <v>0.58199999999999996</v>
      </c>
      <c r="N340" s="2">
        <v>0.214</v>
      </c>
      <c r="O340" s="2">
        <v>0.5</v>
      </c>
      <c r="P340" s="2">
        <v>97</v>
      </c>
      <c r="Q340" s="2">
        <v>98</v>
      </c>
      <c r="R340" s="2">
        <v>105</v>
      </c>
      <c r="S340" s="2">
        <v>101</v>
      </c>
      <c r="T340" s="2">
        <v>108</v>
      </c>
      <c r="U340" s="2">
        <v>101</v>
      </c>
      <c r="V340" s="2">
        <v>86</v>
      </c>
      <c r="W340" s="2">
        <v>118</v>
      </c>
      <c r="X340" s="2">
        <v>3</v>
      </c>
      <c r="Y340" s="2">
        <v>3.9</v>
      </c>
    </row>
    <row r="341" spans="1:25" x14ac:dyDescent="0.2">
      <c r="A341" t="s">
        <v>326</v>
      </c>
      <c r="B341" s="2">
        <v>24</v>
      </c>
      <c r="C341" t="s">
        <v>75</v>
      </c>
      <c r="D341" s="2" t="s">
        <v>33</v>
      </c>
      <c r="E341" s="2">
        <v>17</v>
      </c>
      <c r="F341" s="2">
        <v>0</v>
      </c>
      <c r="G341" s="2">
        <v>227</v>
      </c>
      <c r="H341" s="2">
        <v>0.54200000000000004</v>
      </c>
      <c r="I341" s="2">
        <v>0.66</v>
      </c>
      <c r="J341" s="2">
        <v>0.38900000000000001</v>
      </c>
      <c r="K341" s="2">
        <v>0.627</v>
      </c>
      <c r="L341" s="2">
        <v>1</v>
      </c>
      <c r="M341" s="2">
        <v>0.64200000000000002</v>
      </c>
      <c r="N341" s="2">
        <v>7.1999999999999995E-2</v>
      </c>
      <c r="O341" s="2">
        <v>0.434</v>
      </c>
      <c r="P341" s="2">
        <v>117</v>
      </c>
      <c r="Q341" s="2">
        <v>122</v>
      </c>
      <c r="R341" s="2">
        <v>108</v>
      </c>
      <c r="S341" s="2">
        <v>116</v>
      </c>
      <c r="T341" s="2">
        <v>129</v>
      </c>
      <c r="U341" s="2">
        <v>112</v>
      </c>
      <c r="V341" s="2">
        <v>29</v>
      </c>
      <c r="W341" s="2">
        <v>103</v>
      </c>
      <c r="X341" s="2">
        <v>14.3</v>
      </c>
      <c r="Y341" s="2">
        <v>11.6</v>
      </c>
    </row>
    <row r="342" spans="1:25" x14ac:dyDescent="0.2">
      <c r="A342" t="s">
        <v>291</v>
      </c>
      <c r="B342" s="2">
        <v>30</v>
      </c>
      <c r="C342" t="s">
        <v>80</v>
      </c>
      <c r="D342" s="2" t="s">
        <v>33</v>
      </c>
      <c r="E342" s="2">
        <v>15</v>
      </c>
      <c r="F342" s="2">
        <v>6</v>
      </c>
      <c r="G342" s="2">
        <v>320</v>
      </c>
      <c r="H342" s="2">
        <v>0.36899999999999999</v>
      </c>
      <c r="I342" s="2">
        <v>0.44400000000000001</v>
      </c>
      <c r="J342" s="2">
        <v>0.32500000000000001</v>
      </c>
      <c r="K342" s="2">
        <v>0.47099999999999997</v>
      </c>
      <c r="L342" s="2">
        <v>0.82899999999999996</v>
      </c>
      <c r="M342" s="2">
        <v>0.52400000000000002</v>
      </c>
      <c r="N342" s="2">
        <v>0.28699999999999998</v>
      </c>
      <c r="O342" s="2">
        <v>0.63100000000000001</v>
      </c>
      <c r="P342" s="2">
        <v>79</v>
      </c>
      <c r="Q342" s="2">
        <v>82</v>
      </c>
      <c r="R342" s="2">
        <v>90</v>
      </c>
      <c r="S342" s="2">
        <v>87</v>
      </c>
      <c r="T342" s="2">
        <v>107</v>
      </c>
      <c r="U342" s="2">
        <v>91</v>
      </c>
      <c r="V342" s="2">
        <v>115</v>
      </c>
      <c r="W342" s="2">
        <v>149</v>
      </c>
      <c r="X342" s="2">
        <v>-16.899999999999999</v>
      </c>
      <c r="Y342" s="2">
        <v>-13.9</v>
      </c>
    </row>
    <row r="343" spans="1:25" x14ac:dyDescent="0.2">
      <c r="A343" t="s">
        <v>474</v>
      </c>
      <c r="B343" s="2">
        <v>24</v>
      </c>
      <c r="C343" t="s">
        <v>35</v>
      </c>
      <c r="D343" s="2" t="s">
        <v>49</v>
      </c>
      <c r="E343" s="2">
        <v>11</v>
      </c>
      <c r="F343" s="2">
        <v>0</v>
      </c>
      <c r="G343" s="2">
        <v>35</v>
      </c>
      <c r="H343" s="2">
        <v>0.375</v>
      </c>
      <c r="I343" s="2">
        <v>0.5</v>
      </c>
      <c r="J343" s="2">
        <v>0.25</v>
      </c>
      <c r="K343" s="2">
        <v>0.438</v>
      </c>
      <c r="L343" s="2">
        <v>1</v>
      </c>
      <c r="M343" s="2">
        <v>0.50700000000000001</v>
      </c>
      <c r="N343" s="2">
        <v>0.25</v>
      </c>
      <c r="O343" s="2">
        <v>0.5</v>
      </c>
      <c r="P343" s="2">
        <v>81</v>
      </c>
      <c r="Q343" s="2">
        <v>92</v>
      </c>
      <c r="R343" s="2">
        <v>70</v>
      </c>
      <c r="S343" s="2">
        <v>81</v>
      </c>
      <c r="T343" s="2">
        <v>129</v>
      </c>
      <c r="U343" s="2">
        <v>88</v>
      </c>
      <c r="V343" s="2">
        <v>100</v>
      </c>
      <c r="W343" s="2">
        <v>118</v>
      </c>
      <c r="X343" s="2">
        <v>-3.3</v>
      </c>
      <c r="Y343" s="2">
        <v>-2.4</v>
      </c>
    </row>
    <row r="344" spans="1:25" x14ac:dyDescent="0.2">
      <c r="A344" t="s">
        <v>460</v>
      </c>
      <c r="B344" s="2">
        <v>23</v>
      </c>
      <c r="C344" t="s">
        <v>59</v>
      </c>
      <c r="D344" s="2" t="s">
        <v>42</v>
      </c>
      <c r="E344" s="2">
        <v>3</v>
      </c>
      <c r="F344" s="2">
        <v>0</v>
      </c>
      <c r="G344" s="2">
        <v>30</v>
      </c>
      <c r="H344" s="2">
        <v>0.6</v>
      </c>
      <c r="I344" s="2">
        <v>0.6</v>
      </c>
      <c r="J344" s="2"/>
      <c r="K344" s="2">
        <v>0.6</v>
      </c>
      <c r="L344" s="2">
        <v>0.8</v>
      </c>
      <c r="M344" s="2">
        <v>0.64</v>
      </c>
      <c r="N344" s="2">
        <v>0.33300000000000002</v>
      </c>
      <c r="O344" s="2">
        <v>0</v>
      </c>
      <c r="P344" s="2">
        <v>129</v>
      </c>
      <c r="Q344" s="2">
        <v>111</v>
      </c>
      <c r="R344" s="2"/>
      <c r="S344" s="2">
        <v>111</v>
      </c>
      <c r="T344" s="2">
        <v>103</v>
      </c>
      <c r="U344" s="2">
        <v>111</v>
      </c>
      <c r="V344" s="2">
        <v>134</v>
      </c>
      <c r="W344" s="2">
        <v>0</v>
      </c>
      <c r="X344" s="2">
        <v>1.8</v>
      </c>
      <c r="Y344" s="2">
        <v>2.2000000000000002</v>
      </c>
    </row>
    <row r="345" spans="1:25" x14ac:dyDescent="0.2">
      <c r="A345" t="s">
        <v>518</v>
      </c>
      <c r="B345" s="2">
        <v>35</v>
      </c>
      <c r="C345" t="s">
        <v>63</v>
      </c>
      <c r="D345" s="2" t="s">
        <v>27</v>
      </c>
      <c r="E345" s="2">
        <v>3</v>
      </c>
      <c r="F345" s="2">
        <v>0</v>
      </c>
      <c r="G345" s="2">
        <v>18</v>
      </c>
      <c r="H345" s="2">
        <v>0.222</v>
      </c>
      <c r="I345" s="2">
        <v>0.16700000000000001</v>
      </c>
      <c r="J345" s="2">
        <v>0.33300000000000002</v>
      </c>
      <c r="K345" s="2">
        <v>0.27800000000000002</v>
      </c>
      <c r="L345" s="2"/>
      <c r="M345" s="2">
        <v>0.27800000000000002</v>
      </c>
      <c r="N345" s="2">
        <v>0</v>
      </c>
      <c r="O345" s="2">
        <v>0.33300000000000002</v>
      </c>
      <c r="P345" s="2">
        <v>48</v>
      </c>
      <c r="Q345" s="2">
        <v>31</v>
      </c>
      <c r="R345" s="2">
        <v>93</v>
      </c>
      <c r="S345" s="2">
        <v>51</v>
      </c>
      <c r="T345" s="2"/>
      <c r="U345" s="2">
        <v>48</v>
      </c>
      <c r="V345" s="2">
        <v>0</v>
      </c>
      <c r="W345" s="2">
        <v>79</v>
      </c>
      <c r="X345" s="2">
        <v>-4.7</v>
      </c>
      <c r="Y345" s="2">
        <v>-5.3</v>
      </c>
    </row>
    <row r="346" spans="1:25" x14ac:dyDescent="0.2">
      <c r="A346" t="s">
        <v>366</v>
      </c>
      <c r="B346" s="2">
        <v>25</v>
      </c>
      <c r="C346" t="s">
        <v>114</v>
      </c>
      <c r="D346" s="2" t="s">
        <v>42</v>
      </c>
      <c r="E346" s="2">
        <v>16</v>
      </c>
      <c r="F346" s="2">
        <v>1</v>
      </c>
      <c r="G346" s="2">
        <v>135</v>
      </c>
      <c r="H346" s="2">
        <v>0.54100000000000004</v>
      </c>
      <c r="I346" s="2">
        <v>0.60799999999999998</v>
      </c>
      <c r="J346" s="2">
        <v>0.2</v>
      </c>
      <c r="K346" s="2">
        <v>0.55700000000000005</v>
      </c>
      <c r="L346" s="2">
        <v>0.66700000000000004</v>
      </c>
      <c r="M346" s="2">
        <v>0.57699999999999996</v>
      </c>
      <c r="N346" s="2">
        <v>0.246</v>
      </c>
      <c r="O346" s="2">
        <v>0.16400000000000001</v>
      </c>
      <c r="P346" s="2">
        <v>116</v>
      </c>
      <c r="Q346" s="2">
        <v>112</v>
      </c>
      <c r="R346" s="2">
        <v>56</v>
      </c>
      <c r="S346" s="2">
        <v>103</v>
      </c>
      <c r="T346" s="2">
        <v>86</v>
      </c>
      <c r="U346" s="2">
        <v>100</v>
      </c>
      <c r="V346" s="2">
        <v>99</v>
      </c>
      <c r="W346" s="2">
        <v>39</v>
      </c>
      <c r="X346" s="2">
        <v>2.1</v>
      </c>
      <c r="Y346" s="2">
        <v>0.3</v>
      </c>
    </row>
    <row r="347" spans="1:25" x14ac:dyDescent="0.2">
      <c r="A347" t="s">
        <v>561</v>
      </c>
      <c r="B347" s="2">
        <v>26</v>
      </c>
      <c r="C347" t="s">
        <v>37</v>
      </c>
      <c r="D347" s="2" t="s">
        <v>52</v>
      </c>
      <c r="E347" s="2">
        <v>3</v>
      </c>
      <c r="F347" s="2">
        <v>0</v>
      </c>
      <c r="G347" s="2">
        <v>13</v>
      </c>
      <c r="H347" s="2">
        <v>0</v>
      </c>
      <c r="I347" s="2"/>
      <c r="J347" s="2">
        <v>0</v>
      </c>
      <c r="K347" s="2">
        <v>0</v>
      </c>
      <c r="L347" s="2"/>
      <c r="M347" s="2">
        <v>0</v>
      </c>
      <c r="N347" s="2">
        <v>0</v>
      </c>
      <c r="O347" s="2">
        <v>1</v>
      </c>
      <c r="P347" s="2">
        <v>0</v>
      </c>
      <c r="Q347" s="2"/>
      <c r="R347" s="2">
        <v>0</v>
      </c>
      <c r="S347" s="2">
        <v>0</v>
      </c>
      <c r="T347" s="2"/>
      <c r="U347" s="2">
        <v>0</v>
      </c>
      <c r="V347" s="2">
        <v>0</v>
      </c>
      <c r="W347" s="2">
        <v>237</v>
      </c>
      <c r="X347" s="2">
        <v>-2.2000000000000002</v>
      </c>
      <c r="Y347" s="2">
        <v>-2.2999999999999998</v>
      </c>
    </row>
    <row r="348" spans="1:25" x14ac:dyDescent="0.2">
      <c r="A348" t="s">
        <v>335</v>
      </c>
      <c r="B348" s="2">
        <v>34</v>
      </c>
      <c r="C348" t="s">
        <v>54</v>
      </c>
      <c r="D348" s="2" t="s">
        <v>42</v>
      </c>
      <c r="E348" s="2">
        <v>22</v>
      </c>
      <c r="F348" s="2">
        <v>7</v>
      </c>
      <c r="G348" s="2">
        <v>397</v>
      </c>
      <c r="H348" s="2">
        <v>0.55700000000000005</v>
      </c>
      <c r="I348" s="2">
        <v>0.55700000000000005</v>
      </c>
      <c r="J348" s="2"/>
      <c r="K348" s="2">
        <v>0.55700000000000005</v>
      </c>
      <c r="L348" s="2">
        <v>0.54800000000000004</v>
      </c>
      <c r="M348" s="2">
        <v>0.57099999999999995</v>
      </c>
      <c r="N348" s="2">
        <v>0.6</v>
      </c>
      <c r="O348" s="2">
        <v>0</v>
      </c>
      <c r="P348" s="2">
        <v>120</v>
      </c>
      <c r="Q348" s="2">
        <v>103</v>
      </c>
      <c r="R348" s="2"/>
      <c r="S348" s="2">
        <v>103</v>
      </c>
      <c r="T348" s="2">
        <v>70</v>
      </c>
      <c r="U348" s="2">
        <v>99</v>
      </c>
      <c r="V348" s="2">
        <v>241</v>
      </c>
      <c r="W348" s="2">
        <v>0</v>
      </c>
      <c r="X348" s="2">
        <v>2.2999999999999998</v>
      </c>
      <c r="Y348" s="2">
        <v>-0.7</v>
      </c>
    </row>
    <row r="349" spans="1:25" x14ac:dyDescent="0.2">
      <c r="A349" t="s">
        <v>304</v>
      </c>
      <c r="B349" s="2">
        <v>20</v>
      </c>
      <c r="C349" t="s">
        <v>70</v>
      </c>
      <c r="D349" s="2" t="s">
        <v>49</v>
      </c>
      <c r="E349" s="2">
        <v>24</v>
      </c>
      <c r="F349" s="2">
        <v>0</v>
      </c>
      <c r="G349" s="2">
        <v>304</v>
      </c>
      <c r="H349" s="2">
        <v>0.4</v>
      </c>
      <c r="I349" s="2">
        <v>0.442</v>
      </c>
      <c r="J349" s="2">
        <v>0.36199999999999999</v>
      </c>
      <c r="K349" s="2">
        <v>0.495</v>
      </c>
      <c r="L349" s="2">
        <v>0.79200000000000004</v>
      </c>
      <c r="M349" s="2">
        <v>0.53100000000000003</v>
      </c>
      <c r="N349" s="2">
        <v>0.218</v>
      </c>
      <c r="O349" s="2">
        <v>0.52700000000000002</v>
      </c>
      <c r="P349" s="2">
        <v>86</v>
      </c>
      <c r="Q349" s="2">
        <v>82</v>
      </c>
      <c r="R349" s="2">
        <v>101</v>
      </c>
      <c r="S349" s="2">
        <v>92</v>
      </c>
      <c r="T349" s="2">
        <v>102</v>
      </c>
      <c r="U349" s="2">
        <v>92</v>
      </c>
      <c r="V349" s="2">
        <v>87</v>
      </c>
      <c r="W349" s="2">
        <v>125</v>
      </c>
      <c r="X349" s="2">
        <v>-9.9</v>
      </c>
      <c r="Y349" s="2">
        <v>-10.5</v>
      </c>
    </row>
    <row r="350" spans="1:25" x14ac:dyDescent="0.2">
      <c r="A350" t="s">
        <v>495</v>
      </c>
      <c r="B350" s="2">
        <v>27</v>
      </c>
      <c r="C350" t="s">
        <v>44</v>
      </c>
      <c r="D350" s="2" t="s">
        <v>49</v>
      </c>
      <c r="E350" s="2">
        <v>8</v>
      </c>
      <c r="F350" s="2">
        <v>0</v>
      </c>
      <c r="G350" s="2">
        <v>41</v>
      </c>
      <c r="H350" s="2">
        <v>0.25</v>
      </c>
      <c r="I350" s="2">
        <v>0.25</v>
      </c>
      <c r="J350" s="2">
        <v>0.25</v>
      </c>
      <c r="K350" s="2">
        <v>0.34399999999999997</v>
      </c>
      <c r="L350" s="2"/>
      <c r="M350" s="2">
        <v>0.34399999999999997</v>
      </c>
      <c r="N350" s="2">
        <v>0</v>
      </c>
      <c r="O350" s="2">
        <v>0.75</v>
      </c>
      <c r="P350" s="2">
        <v>54</v>
      </c>
      <c r="Q350" s="2">
        <v>46</v>
      </c>
      <c r="R350" s="2">
        <v>70</v>
      </c>
      <c r="S350" s="2">
        <v>64</v>
      </c>
      <c r="T350" s="2"/>
      <c r="U350" s="2">
        <v>60</v>
      </c>
      <c r="V350" s="2">
        <v>0</v>
      </c>
      <c r="W350" s="2">
        <v>177</v>
      </c>
      <c r="X350" s="2">
        <v>-6.3</v>
      </c>
      <c r="Y350" s="2">
        <v>-7.4</v>
      </c>
    </row>
    <row r="351" spans="1:25" x14ac:dyDescent="0.2">
      <c r="A351" t="s">
        <v>302</v>
      </c>
      <c r="B351" s="2">
        <v>21</v>
      </c>
      <c r="C351" t="s">
        <v>41</v>
      </c>
      <c r="D351" s="2" t="s">
        <v>52</v>
      </c>
      <c r="E351" s="2">
        <v>23</v>
      </c>
      <c r="F351" s="2">
        <v>2</v>
      </c>
      <c r="G351" s="2">
        <v>442</v>
      </c>
      <c r="H351" s="2">
        <v>0.40799999999999997</v>
      </c>
      <c r="I351" s="2">
        <v>0.50900000000000001</v>
      </c>
      <c r="J351" s="2">
        <v>0.29199999999999998</v>
      </c>
      <c r="K351" s="2">
        <v>0.47599999999999998</v>
      </c>
      <c r="L351" s="2">
        <v>0.82899999999999996</v>
      </c>
      <c r="M351" s="2">
        <v>0.54500000000000004</v>
      </c>
      <c r="N351" s="2">
        <v>0.39800000000000002</v>
      </c>
      <c r="O351" s="2">
        <v>0.46600000000000003</v>
      </c>
      <c r="P351" s="2">
        <v>88</v>
      </c>
      <c r="Q351" s="2">
        <v>94</v>
      </c>
      <c r="R351" s="2">
        <v>81</v>
      </c>
      <c r="S351" s="2">
        <v>88</v>
      </c>
      <c r="T351" s="2">
        <v>107</v>
      </c>
      <c r="U351" s="2">
        <v>95</v>
      </c>
      <c r="V351" s="2">
        <v>160</v>
      </c>
      <c r="W351" s="2">
        <v>110</v>
      </c>
      <c r="X351" s="2">
        <v>-13.3</v>
      </c>
      <c r="Y351" s="2">
        <v>-7.1</v>
      </c>
    </row>
    <row r="352" spans="1:25" x14ac:dyDescent="0.2">
      <c r="A352" t="s">
        <v>453</v>
      </c>
      <c r="B352" s="2">
        <v>33</v>
      </c>
      <c r="C352" t="s">
        <v>63</v>
      </c>
      <c r="D352" s="2" t="s">
        <v>27</v>
      </c>
      <c r="E352" s="2">
        <v>14</v>
      </c>
      <c r="F352" s="2">
        <v>2</v>
      </c>
      <c r="G352" s="2">
        <v>238</v>
      </c>
      <c r="H352" s="2">
        <v>0.34599999999999997</v>
      </c>
      <c r="I352" s="2">
        <v>0.41199999999999998</v>
      </c>
      <c r="J352" s="2">
        <v>0.222</v>
      </c>
      <c r="K352" s="2">
        <v>0.38500000000000001</v>
      </c>
      <c r="L352" s="2">
        <v>0.66700000000000004</v>
      </c>
      <c r="M352" s="2">
        <v>0.41899999999999998</v>
      </c>
      <c r="N352" s="2">
        <v>0.23100000000000001</v>
      </c>
      <c r="O352" s="2">
        <v>0.34599999999999997</v>
      </c>
      <c r="P352" s="2">
        <v>75</v>
      </c>
      <c r="Q352" s="2">
        <v>76</v>
      </c>
      <c r="R352" s="2">
        <v>62</v>
      </c>
      <c r="S352" s="2">
        <v>71</v>
      </c>
      <c r="T352" s="2">
        <v>86</v>
      </c>
      <c r="U352" s="2">
        <v>73</v>
      </c>
      <c r="V352" s="2">
        <v>93</v>
      </c>
      <c r="W352" s="2">
        <v>82</v>
      </c>
      <c r="X352" s="2">
        <v>-8.1</v>
      </c>
      <c r="Y352" s="2">
        <v>-8.9</v>
      </c>
    </row>
    <row r="353" spans="1:25" x14ac:dyDescent="0.2">
      <c r="A353" t="s">
        <v>529</v>
      </c>
      <c r="B353" s="2">
        <v>22</v>
      </c>
      <c r="C353" t="s">
        <v>41</v>
      </c>
      <c r="D353" s="2" t="s">
        <v>49</v>
      </c>
      <c r="E353" s="2">
        <v>7</v>
      </c>
      <c r="F353" s="2">
        <v>0</v>
      </c>
      <c r="G353" s="2">
        <v>29</v>
      </c>
      <c r="H353" s="2">
        <v>0.33300000000000002</v>
      </c>
      <c r="I353" s="2">
        <v>0.33300000000000002</v>
      </c>
      <c r="J353" s="2"/>
      <c r="K353" s="2">
        <v>0.33300000000000002</v>
      </c>
      <c r="L353" s="2"/>
      <c r="M353" s="2">
        <v>0.33300000000000002</v>
      </c>
      <c r="N353" s="2">
        <v>0</v>
      </c>
      <c r="O353" s="2">
        <v>0</v>
      </c>
      <c r="P353" s="2">
        <v>72</v>
      </c>
      <c r="Q353" s="2">
        <v>62</v>
      </c>
      <c r="R353" s="2"/>
      <c r="S353" s="2">
        <v>62</v>
      </c>
      <c r="T353" s="2"/>
      <c r="U353" s="2">
        <v>58</v>
      </c>
      <c r="V353" s="2">
        <v>0</v>
      </c>
      <c r="W353" s="2">
        <v>0</v>
      </c>
      <c r="X353" s="2">
        <v>-2.5</v>
      </c>
      <c r="Y353" s="2">
        <v>-2.9</v>
      </c>
    </row>
    <row r="354" spans="1:25" x14ac:dyDescent="0.2">
      <c r="A354" t="s">
        <v>468</v>
      </c>
      <c r="B354" s="2">
        <v>26</v>
      </c>
      <c r="C354" t="s">
        <v>120</v>
      </c>
      <c r="D354" s="2" t="s">
        <v>42</v>
      </c>
      <c r="E354" s="2">
        <v>5</v>
      </c>
      <c r="F354" s="2">
        <v>1</v>
      </c>
      <c r="G354" s="2">
        <v>101</v>
      </c>
      <c r="H354" s="2">
        <v>0.36799999999999999</v>
      </c>
      <c r="I354" s="2">
        <v>0.33300000000000002</v>
      </c>
      <c r="J354" s="2">
        <v>0.375</v>
      </c>
      <c r="K354" s="2">
        <v>0.52600000000000002</v>
      </c>
      <c r="L354" s="2"/>
      <c r="M354" s="2">
        <v>0.52600000000000002</v>
      </c>
      <c r="N354" s="2">
        <v>0</v>
      </c>
      <c r="O354" s="2">
        <v>0.84199999999999997</v>
      </c>
      <c r="P354" s="2">
        <v>79</v>
      </c>
      <c r="Q354" s="2">
        <v>62</v>
      </c>
      <c r="R354" s="2">
        <v>104</v>
      </c>
      <c r="S354" s="2">
        <v>97</v>
      </c>
      <c r="T354" s="2"/>
      <c r="U354" s="2">
        <v>92</v>
      </c>
      <c r="V354" s="2">
        <v>0</v>
      </c>
      <c r="W354" s="2">
        <v>199</v>
      </c>
      <c r="X354" s="2">
        <v>-0.5</v>
      </c>
      <c r="Y354" s="2">
        <v>-1.8</v>
      </c>
    </row>
    <row r="355" spans="1:25" x14ac:dyDescent="0.2">
      <c r="A355" t="s">
        <v>109</v>
      </c>
      <c r="B355" s="2">
        <v>26</v>
      </c>
      <c r="C355" t="s">
        <v>46</v>
      </c>
      <c r="D355" s="2" t="s">
        <v>49</v>
      </c>
      <c r="E355" s="2">
        <v>22</v>
      </c>
      <c r="F355" s="2">
        <v>22</v>
      </c>
      <c r="G355" s="2">
        <v>784</v>
      </c>
      <c r="H355" s="2">
        <v>0.51200000000000001</v>
      </c>
      <c r="I355" s="2">
        <v>0.60099999999999998</v>
      </c>
      <c r="J355" s="2">
        <v>0.38800000000000001</v>
      </c>
      <c r="K355" s="2">
        <v>0.59299999999999997</v>
      </c>
      <c r="L355" s="2">
        <v>0.67300000000000004</v>
      </c>
      <c r="M355" s="2">
        <v>0.60499999999999998</v>
      </c>
      <c r="N355" s="2">
        <v>0.161</v>
      </c>
      <c r="O355" s="2">
        <v>0.41599999999999998</v>
      </c>
      <c r="P355" s="2">
        <v>110</v>
      </c>
      <c r="Q355" s="2">
        <v>111</v>
      </c>
      <c r="R355" s="2">
        <v>108</v>
      </c>
      <c r="S355" s="2">
        <v>110</v>
      </c>
      <c r="T355" s="2">
        <v>87</v>
      </c>
      <c r="U355" s="2">
        <v>105</v>
      </c>
      <c r="V355" s="2">
        <v>65</v>
      </c>
      <c r="W355" s="2">
        <v>98</v>
      </c>
      <c r="X355" s="2">
        <v>33.9</v>
      </c>
      <c r="Y355" s="2">
        <v>20.7</v>
      </c>
    </row>
    <row r="356" spans="1:25" x14ac:dyDescent="0.2">
      <c r="A356" t="s">
        <v>105</v>
      </c>
      <c r="B356" s="2">
        <v>28</v>
      </c>
      <c r="C356" t="s">
        <v>44</v>
      </c>
      <c r="D356" s="2" t="s">
        <v>49</v>
      </c>
      <c r="E356" s="2">
        <v>25</v>
      </c>
      <c r="F356" s="2">
        <v>25</v>
      </c>
      <c r="G356" s="2">
        <v>958</v>
      </c>
      <c r="H356" s="2">
        <v>0.48099999999999998</v>
      </c>
      <c r="I356" s="2">
        <v>0.60399999999999998</v>
      </c>
      <c r="J356" s="2">
        <v>0.33900000000000002</v>
      </c>
      <c r="K356" s="2">
        <v>0.56000000000000005</v>
      </c>
      <c r="L356" s="2">
        <v>0.61899999999999999</v>
      </c>
      <c r="M356" s="2">
        <v>0.56299999999999994</v>
      </c>
      <c r="N356" s="2">
        <v>5.7000000000000002E-2</v>
      </c>
      <c r="O356" s="2">
        <v>0.46500000000000002</v>
      </c>
      <c r="P356" s="2">
        <v>104</v>
      </c>
      <c r="Q356" s="2">
        <v>111</v>
      </c>
      <c r="R356" s="2">
        <v>94</v>
      </c>
      <c r="S356" s="2">
        <v>104</v>
      </c>
      <c r="T356" s="2">
        <v>80</v>
      </c>
      <c r="U356" s="2">
        <v>98</v>
      </c>
      <c r="V356" s="2">
        <v>23</v>
      </c>
      <c r="W356" s="2">
        <v>110</v>
      </c>
      <c r="X356" s="2">
        <v>14.2</v>
      </c>
      <c r="Y356" s="2">
        <v>-8.4</v>
      </c>
    </row>
    <row r="357" spans="1:25" x14ac:dyDescent="0.2">
      <c r="A357" t="s">
        <v>258</v>
      </c>
      <c r="B357" s="2">
        <v>37</v>
      </c>
      <c r="C357" t="s">
        <v>51</v>
      </c>
      <c r="D357" s="2" t="s">
        <v>33</v>
      </c>
      <c r="E357" s="2">
        <v>19</v>
      </c>
      <c r="F357" s="2">
        <v>19</v>
      </c>
      <c r="G357" s="2">
        <v>485</v>
      </c>
      <c r="H357" s="2">
        <v>0.36299999999999999</v>
      </c>
      <c r="I357" s="2">
        <v>0.34899999999999998</v>
      </c>
      <c r="J357" s="2">
        <v>0.36899999999999999</v>
      </c>
      <c r="K357" s="2">
        <v>0.49299999999999999</v>
      </c>
      <c r="L357" s="2">
        <v>0.90300000000000002</v>
      </c>
      <c r="M357" s="2">
        <v>0.53900000000000003</v>
      </c>
      <c r="N357" s="2">
        <v>0.21199999999999999</v>
      </c>
      <c r="O357" s="2">
        <v>0.70499999999999996</v>
      </c>
      <c r="P357" s="2">
        <v>78</v>
      </c>
      <c r="Q357" s="2">
        <v>64</v>
      </c>
      <c r="R357" s="2">
        <v>103</v>
      </c>
      <c r="S357" s="2">
        <v>91</v>
      </c>
      <c r="T357" s="2">
        <v>116</v>
      </c>
      <c r="U357" s="2">
        <v>94</v>
      </c>
      <c r="V357" s="2">
        <v>85</v>
      </c>
      <c r="W357" s="2">
        <v>167</v>
      </c>
      <c r="X357" s="2">
        <v>-13.8</v>
      </c>
      <c r="Y357" s="2">
        <v>-11.4</v>
      </c>
    </row>
    <row r="358" spans="1:25" x14ac:dyDescent="0.2">
      <c r="A358" t="s">
        <v>252</v>
      </c>
      <c r="B358" s="2">
        <v>26</v>
      </c>
      <c r="C358" t="s">
        <v>59</v>
      </c>
      <c r="D358" s="2" t="s">
        <v>27</v>
      </c>
      <c r="E358" s="2">
        <v>11</v>
      </c>
      <c r="F358" s="2">
        <v>11</v>
      </c>
      <c r="G358" s="2">
        <v>331</v>
      </c>
      <c r="H358" s="2">
        <v>0.42499999999999999</v>
      </c>
      <c r="I358" s="2">
        <v>0.49399999999999999</v>
      </c>
      <c r="J358" s="2">
        <v>0.34799999999999998</v>
      </c>
      <c r="K358" s="2">
        <v>0.50700000000000001</v>
      </c>
      <c r="L358" s="2">
        <v>0.84799999999999998</v>
      </c>
      <c r="M358" s="2">
        <v>0.54800000000000004</v>
      </c>
      <c r="N358" s="2">
        <v>0.22600000000000001</v>
      </c>
      <c r="O358" s="2">
        <v>0.47299999999999998</v>
      </c>
      <c r="P358" s="2">
        <v>91</v>
      </c>
      <c r="Q358" s="2">
        <v>91</v>
      </c>
      <c r="R358" s="2">
        <v>97</v>
      </c>
      <c r="S358" s="2">
        <v>94</v>
      </c>
      <c r="T358" s="2">
        <v>109</v>
      </c>
      <c r="U358" s="2">
        <v>95</v>
      </c>
      <c r="V358" s="2">
        <v>91</v>
      </c>
      <c r="W358" s="2">
        <v>112</v>
      </c>
      <c r="X358" s="2">
        <v>-9.8000000000000007</v>
      </c>
      <c r="Y358" s="2">
        <v>-8.4</v>
      </c>
    </row>
    <row r="359" spans="1:25" x14ac:dyDescent="0.2">
      <c r="A359" t="s">
        <v>220</v>
      </c>
      <c r="B359" s="2">
        <v>24</v>
      </c>
      <c r="C359" t="s">
        <v>44</v>
      </c>
      <c r="D359" s="2" t="s">
        <v>33</v>
      </c>
      <c r="E359" s="2">
        <v>20</v>
      </c>
      <c r="F359" s="2">
        <v>0</v>
      </c>
      <c r="G359" s="2">
        <v>508</v>
      </c>
      <c r="H359" s="2">
        <v>0.45200000000000001</v>
      </c>
      <c r="I359" s="2">
        <v>0.51500000000000001</v>
      </c>
      <c r="J359" s="2">
        <v>0.41</v>
      </c>
      <c r="K359" s="2">
        <v>0.57499999999999996</v>
      </c>
      <c r="L359" s="2">
        <v>0.875</v>
      </c>
      <c r="M359" s="2">
        <v>0.6</v>
      </c>
      <c r="N359" s="2">
        <v>0.14499999999999999</v>
      </c>
      <c r="O359" s="2">
        <v>0.60199999999999998</v>
      </c>
      <c r="P359" s="2">
        <v>97</v>
      </c>
      <c r="Q359" s="2">
        <v>95</v>
      </c>
      <c r="R359" s="2">
        <v>114</v>
      </c>
      <c r="S359" s="2">
        <v>106</v>
      </c>
      <c r="T359" s="2">
        <v>112</v>
      </c>
      <c r="U359" s="2">
        <v>105</v>
      </c>
      <c r="V359" s="2">
        <v>58</v>
      </c>
      <c r="W359" s="2">
        <v>143</v>
      </c>
      <c r="X359" s="2">
        <v>11.5</v>
      </c>
      <c r="Y359" s="2">
        <v>9.1</v>
      </c>
    </row>
    <row r="360" spans="1:25" x14ac:dyDescent="0.2">
      <c r="A360" t="s">
        <v>405</v>
      </c>
      <c r="B360" s="2">
        <v>26</v>
      </c>
      <c r="C360" t="s">
        <v>77</v>
      </c>
      <c r="D360" s="2" t="s">
        <v>42</v>
      </c>
      <c r="E360" s="2">
        <v>10</v>
      </c>
      <c r="F360" s="2">
        <v>0</v>
      </c>
      <c r="G360" s="2">
        <v>136</v>
      </c>
      <c r="H360" s="2">
        <v>0.442</v>
      </c>
      <c r="I360" s="2">
        <v>0.60899999999999999</v>
      </c>
      <c r="J360" s="2">
        <v>0.25</v>
      </c>
      <c r="K360" s="2">
        <v>0.5</v>
      </c>
      <c r="L360" s="2">
        <v>0.66700000000000004</v>
      </c>
      <c r="M360" s="2">
        <v>0.52200000000000002</v>
      </c>
      <c r="N360" s="2">
        <v>0.20899999999999999</v>
      </c>
      <c r="O360" s="2">
        <v>0.46500000000000002</v>
      </c>
      <c r="P360" s="2">
        <v>95</v>
      </c>
      <c r="Q360" s="2">
        <v>112</v>
      </c>
      <c r="R360" s="2">
        <v>70</v>
      </c>
      <c r="S360" s="2">
        <v>93</v>
      </c>
      <c r="T360" s="2">
        <v>86</v>
      </c>
      <c r="U360" s="2">
        <v>91</v>
      </c>
      <c r="V360" s="2">
        <v>84</v>
      </c>
      <c r="W360" s="2">
        <v>110</v>
      </c>
      <c r="X360" s="2">
        <v>-3.5</v>
      </c>
      <c r="Y360" s="2">
        <v>-5</v>
      </c>
    </row>
    <row r="361" spans="1:25" x14ac:dyDescent="0.2">
      <c r="A361" t="s">
        <v>341</v>
      </c>
      <c r="B361" s="2">
        <v>29</v>
      </c>
      <c r="C361" t="s">
        <v>54</v>
      </c>
      <c r="D361" s="2" t="s">
        <v>33</v>
      </c>
      <c r="E361" s="2">
        <v>18</v>
      </c>
      <c r="F361" s="2">
        <v>0</v>
      </c>
      <c r="G361" s="2">
        <v>214</v>
      </c>
      <c r="H361" s="2">
        <v>0.46700000000000003</v>
      </c>
      <c r="I361" s="2">
        <v>0.56799999999999995</v>
      </c>
      <c r="J361" s="2">
        <v>0.36799999999999999</v>
      </c>
      <c r="K361" s="2">
        <v>0.56000000000000005</v>
      </c>
      <c r="L361" s="2">
        <v>0.875</v>
      </c>
      <c r="M361" s="2">
        <v>0.59699999999999998</v>
      </c>
      <c r="N361" s="2">
        <v>0.21299999999999999</v>
      </c>
      <c r="O361" s="2">
        <v>0.50700000000000001</v>
      </c>
      <c r="P361" s="2">
        <v>100</v>
      </c>
      <c r="Q361" s="2">
        <v>105</v>
      </c>
      <c r="R361" s="2">
        <v>103</v>
      </c>
      <c r="S361" s="2">
        <v>104</v>
      </c>
      <c r="T361" s="2">
        <v>112</v>
      </c>
      <c r="U361" s="2">
        <v>104</v>
      </c>
      <c r="V361" s="2">
        <v>86</v>
      </c>
      <c r="W361" s="2">
        <v>120</v>
      </c>
      <c r="X361" s="2">
        <v>2.9</v>
      </c>
      <c r="Y361" s="2">
        <v>3.7</v>
      </c>
    </row>
    <row r="362" spans="1:25" x14ac:dyDescent="0.2">
      <c r="A362" t="s">
        <v>136</v>
      </c>
      <c r="B362" s="2">
        <v>27</v>
      </c>
      <c r="C362" t="s">
        <v>48</v>
      </c>
      <c r="D362" s="2" t="s">
        <v>42</v>
      </c>
      <c r="E362" s="4">
        <v>27</v>
      </c>
      <c r="F362" s="2">
        <v>1</v>
      </c>
      <c r="G362" s="2">
        <v>518</v>
      </c>
      <c r="H362" s="2">
        <v>0.55500000000000005</v>
      </c>
      <c r="I362" s="2">
        <v>0.64400000000000002</v>
      </c>
      <c r="J362" s="2">
        <v>0.34300000000000003</v>
      </c>
      <c r="K362" s="2">
        <v>0.60599999999999998</v>
      </c>
      <c r="L362" s="2">
        <v>0.72599999999999998</v>
      </c>
      <c r="M362" s="2">
        <v>0.64</v>
      </c>
      <c r="N362" s="2">
        <v>0.41899999999999998</v>
      </c>
      <c r="O362" s="2">
        <v>0.29499999999999998</v>
      </c>
      <c r="P362" s="2">
        <v>119</v>
      </c>
      <c r="Q362" s="2">
        <v>119</v>
      </c>
      <c r="R362" s="2">
        <v>96</v>
      </c>
      <c r="S362" s="2">
        <v>112</v>
      </c>
      <c r="T362" s="2">
        <v>93</v>
      </c>
      <c r="U362" s="2">
        <v>111</v>
      </c>
      <c r="V362" s="2">
        <v>168</v>
      </c>
      <c r="W362" s="2">
        <v>70</v>
      </c>
      <c r="X362" s="2">
        <v>29.6</v>
      </c>
      <c r="Y362" s="2">
        <v>35.200000000000003</v>
      </c>
    </row>
    <row r="363" spans="1:25" x14ac:dyDescent="0.2">
      <c r="A363" t="s">
        <v>444</v>
      </c>
      <c r="B363" s="2">
        <v>25</v>
      </c>
      <c r="C363" t="s">
        <v>82</v>
      </c>
      <c r="D363" s="2" t="s">
        <v>42</v>
      </c>
      <c r="E363" s="2">
        <v>9</v>
      </c>
      <c r="F363" s="2">
        <v>0</v>
      </c>
      <c r="G363" s="2">
        <v>46</v>
      </c>
      <c r="H363" s="2">
        <v>0.65</v>
      </c>
      <c r="I363" s="2">
        <v>0.65</v>
      </c>
      <c r="J363" s="2"/>
      <c r="K363" s="2">
        <v>0.65</v>
      </c>
      <c r="L363" s="2">
        <v>0.6</v>
      </c>
      <c r="M363" s="2">
        <v>0.65300000000000002</v>
      </c>
      <c r="N363" s="2">
        <v>0.25</v>
      </c>
      <c r="O363" s="2">
        <v>0</v>
      </c>
      <c r="P363" s="2">
        <v>140</v>
      </c>
      <c r="Q363" s="2">
        <v>120</v>
      </c>
      <c r="R363" s="2"/>
      <c r="S363" s="2">
        <v>120</v>
      </c>
      <c r="T363" s="2">
        <v>77</v>
      </c>
      <c r="U363" s="2">
        <v>114</v>
      </c>
      <c r="V363" s="2">
        <v>100</v>
      </c>
      <c r="W363" s="2">
        <v>0</v>
      </c>
      <c r="X363" s="2">
        <v>4.4000000000000004</v>
      </c>
      <c r="Y363" s="2">
        <v>3.5</v>
      </c>
    </row>
    <row r="364" spans="1:25" x14ac:dyDescent="0.2">
      <c r="A364" t="s">
        <v>260</v>
      </c>
      <c r="B364" s="2">
        <v>22</v>
      </c>
      <c r="C364" t="s">
        <v>100</v>
      </c>
      <c r="D364" s="2" t="s">
        <v>52</v>
      </c>
      <c r="E364" s="2">
        <v>23</v>
      </c>
      <c r="F364" s="2">
        <v>4</v>
      </c>
      <c r="G364" s="2">
        <v>358</v>
      </c>
      <c r="H364" s="2">
        <v>0.42</v>
      </c>
      <c r="I364" s="2">
        <v>0.5</v>
      </c>
      <c r="J364" s="2">
        <v>0.36599999999999999</v>
      </c>
      <c r="K364" s="2">
        <v>0.52900000000000003</v>
      </c>
      <c r="L364" s="2">
        <v>0.71399999999999997</v>
      </c>
      <c r="M364" s="2">
        <v>0.55700000000000005</v>
      </c>
      <c r="N364" s="2">
        <v>0.254</v>
      </c>
      <c r="O364" s="2">
        <v>0.59399999999999997</v>
      </c>
      <c r="P364" s="2">
        <v>90</v>
      </c>
      <c r="Q364" s="2">
        <v>92</v>
      </c>
      <c r="R364" s="2">
        <v>102</v>
      </c>
      <c r="S364" s="2">
        <v>98</v>
      </c>
      <c r="T364" s="2">
        <v>92</v>
      </c>
      <c r="U364" s="2">
        <v>97</v>
      </c>
      <c r="V364" s="2">
        <v>102</v>
      </c>
      <c r="W364" s="2">
        <v>141</v>
      </c>
      <c r="X364" s="2">
        <v>-3.2</v>
      </c>
      <c r="Y364" s="2">
        <v>-5.2</v>
      </c>
    </row>
    <row r="365" spans="1:25" x14ac:dyDescent="0.2">
      <c r="A365" t="s">
        <v>545</v>
      </c>
      <c r="B365" s="2">
        <v>22</v>
      </c>
      <c r="C365" t="s">
        <v>72</v>
      </c>
      <c r="D365" s="2" t="s">
        <v>27</v>
      </c>
      <c r="E365" s="2">
        <v>2</v>
      </c>
      <c r="F365" s="2">
        <v>0</v>
      </c>
      <c r="G365" s="2">
        <v>11</v>
      </c>
      <c r="H365" s="2">
        <v>0.25</v>
      </c>
      <c r="I365" s="2">
        <v>0.5</v>
      </c>
      <c r="J365" s="2">
        <v>0</v>
      </c>
      <c r="K365" s="2">
        <v>0.25</v>
      </c>
      <c r="L365" s="2"/>
      <c r="M365" s="2">
        <v>0.25</v>
      </c>
      <c r="N365" s="2">
        <v>0</v>
      </c>
      <c r="O365" s="2">
        <v>0.5</v>
      </c>
      <c r="P365" s="2">
        <v>54</v>
      </c>
      <c r="Q365" s="2">
        <v>92</v>
      </c>
      <c r="R365" s="2">
        <v>0</v>
      </c>
      <c r="S365" s="2">
        <v>46</v>
      </c>
      <c r="T365" s="2"/>
      <c r="U365" s="2">
        <v>44</v>
      </c>
      <c r="V365" s="2">
        <v>0</v>
      </c>
      <c r="W365" s="2">
        <v>118</v>
      </c>
      <c r="X365" s="2">
        <v>-2.2999999999999998</v>
      </c>
      <c r="Y365" s="2">
        <v>-2.6</v>
      </c>
    </row>
    <row r="366" spans="1:25" x14ac:dyDescent="0.2">
      <c r="A366" t="s">
        <v>377</v>
      </c>
      <c r="B366" s="2">
        <v>23</v>
      </c>
      <c r="C366" t="s">
        <v>59</v>
      </c>
      <c r="D366" s="2" t="s">
        <v>42</v>
      </c>
      <c r="E366" s="2">
        <v>22</v>
      </c>
      <c r="F366" s="2">
        <v>4</v>
      </c>
      <c r="G366" s="2">
        <v>439</v>
      </c>
      <c r="H366" s="2">
        <v>0.55200000000000005</v>
      </c>
      <c r="I366" s="2">
        <v>0.55200000000000005</v>
      </c>
      <c r="J366" s="2"/>
      <c r="K366" s="2">
        <v>0.55200000000000005</v>
      </c>
      <c r="L366" s="2">
        <v>0.33300000000000002</v>
      </c>
      <c r="M366" s="2">
        <v>0.53400000000000003</v>
      </c>
      <c r="N366" s="2">
        <v>0.25900000000000001</v>
      </c>
      <c r="O366" s="2">
        <v>0</v>
      </c>
      <c r="P366" s="2">
        <v>119</v>
      </c>
      <c r="Q366" s="2">
        <v>102</v>
      </c>
      <c r="R366" s="2"/>
      <c r="S366" s="2">
        <v>102</v>
      </c>
      <c r="T366" s="2">
        <v>43</v>
      </c>
      <c r="U366" s="2">
        <v>93</v>
      </c>
      <c r="V366" s="2">
        <v>104</v>
      </c>
      <c r="W366" s="2">
        <v>0</v>
      </c>
      <c r="X366" s="2">
        <v>1.3</v>
      </c>
      <c r="Y366" s="2">
        <v>-5.2</v>
      </c>
    </row>
    <row r="367" spans="1:25" x14ac:dyDescent="0.2">
      <c r="A367" t="s">
        <v>129</v>
      </c>
      <c r="B367" s="2">
        <v>28</v>
      </c>
      <c r="C367" t="s">
        <v>82</v>
      </c>
      <c r="D367" s="2" t="s">
        <v>42</v>
      </c>
      <c r="E367" s="2">
        <v>23</v>
      </c>
      <c r="F367" s="2">
        <v>23</v>
      </c>
      <c r="G367" s="2">
        <v>734</v>
      </c>
      <c r="H367" s="2">
        <v>0.47399999999999998</v>
      </c>
      <c r="I367" s="2">
        <v>0.51700000000000002</v>
      </c>
      <c r="J367" s="2">
        <v>0.41899999999999998</v>
      </c>
      <c r="K367" s="2">
        <v>0.56499999999999995</v>
      </c>
      <c r="L367" s="2">
        <v>0.71599999999999997</v>
      </c>
      <c r="M367" s="2">
        <v>0.59</v>
      </c>
      <c r="N367" s="2">
        <v>0.25</v>
      </c>
      <c r="O367" s="2">
        <v>0.437</v>
      </c>
      <c r="P367" s="2">
        <v>102</v>
      </c>
      <c r="Q367" s="2">
        <v>95</v>
      </c>
      <c r="R367" s="2">
        <v>117</v>
      </c>
      <c r="S367" s="2">
        <v>105</v>
      </c>
      <c r="T367" s="2">
        <v>92</v>
      </c>
      <c r="U367" s="2">
        <v>103</v>
      </c>
      <c r="V367" s="2">
        <v>100</v>
      </c>
      <c r="W367" s="2">
        <v>103</v>
      </c>
      <c r="X367" s="2">
        <v>13.3</v>
      </c>
      <c r="Y367" s="2">
        <v>9.1999999999999993</v>
      </c>
    </row>
    <row r="368" spans="1:25" x14ac:dyDescent="0.2">
      <c r="A368" t="s">
        <v>189</v>
      </c>
      <c r="B368" s="2">
        <v>27</v>
      </c>
      <c r="C368" t="s">
        <v>63</v>
      </c>
      <c r="D368" s="2" t="s">
        <v>49</v>
      </c>
      <c r="E368" s="2">
        <v>21</v>
      </c>
      <c r="F368" s="2">
        <v>7</v>
      </c>
      <c r="G368" s="2">
        <v>511</v>
      </c>
      <c r="H368" s="2">
        <v>0.54900000000000004</v>
      </c>
      <c r="I368" s="2">
        <v>0.65400000000000003</v>
      </c>
      <c r="J368" s="2">
        <v>0.309</v>
      </c>
      <c r="K368" s="2">
        <v>0.59599999999999997</v>
      </c>
      <c r="L368" s="2">
        <v>0.86799999999999999</v>
      </c>
      <c r="M368" s="2">
        <v>0.629</v>
      </c>
      <c r="N368" s="2">
        <v>0.20899999999999999</v>
      </c>
      <c r="O368" s="2">
        <v>0.30199999999999999</v>
      </c>
      <c r="P368" s="2">
        <v>118</v>
      </c>
      <c r="Q368" s="2">
        <v>121</v>
      </c>
      <c r="R368" s="2">
        <v>86</v>
      </c>
      <c r="S368" s="2">
        <v>110</v>
      </c>
      <c r="T368" s="2">
        <v>112</v>
      </c>
      <c r="U368" s="2">
        <v>109</v>
      </c>
      <c r="V368" s="2">
        <v>84</v>
      </c>
      <c r="W368" s="2">
        <v>71</v>
      </c>
      <c r="X368" s="2">
        <v>20.3</v>
      </c>
      <c r="Y368" s="2">
        <v>21.7</v>
      </c>
    </row>
    <row r="369" spans="1:25" x14ac:dyDescent="0.2">
      <c r="A369" t="s">
        <v>162</v>
      </c>
      <c r="B369" s="2">
        <v>25</v>
      </c>
      <c r="C369" t="s">
        <v>51</v>
      </c>
      <c r="D369" s="2" t="s">
        <v>42</v>
      </c>
      <c r="E369" s="2">
        <v>23</v>
      </c>
      <c r="F369" s="2">
        <v>0</v>
      </c>
      <c r="G369" s="2">
        <v>568</v>
      </c>
      <c r="H369" s="2">
        <v>0.47299999999999998</v>
      </c>
      <c r="I369" s="2">
        <v>0.60699999999999998</v>
      </c>
      <c r="J369" s="2">
        <v>0.35</v>
      </c>
      <c r="K369" s="2">
        <v>0.56499999999999995</v>
      </c>
      <c r="L369" s="2">
        <v>0.86699999999999999</v>
      </c>
      <c r="M369" s="2">
        <v>0.59899999999999998</v>
      </c>
      <c r="N369" s="2">
        <v>0.20100000000000001</v>
      </c>
      <c r="O369" s="2">
        <v>0.52200000000000002</v>
      </c>
      <c r="P369" s="2">
        <v>102</v>
      </c>
      <c r="Q369" s="2">
        <v>112</v>
      </c>
      <c r="R369" s="2">
        <v>98</v>
      </c>
      <c r="S369" s="2">
        <v>104</v>
      </c>
      <c r="T369" s="2">
        <v>111</v>
      </c>
      <c r="U369" s="2">
        <v>104</v>
      </c>
      <c r="V369" s="2">
        <v>81</v>
      </c>
      <c r="W369" s="2">
        <v>124</v>
      </c>
      <c r="X369" s="2">
        <v>10.8</v>
      </c>
      <c r="Y369" s="2">
        <v>11.9</v>
      </c>
    </row>
    <row r="370" spans="1:25" x14ac:dyDescent="0.2">
      <c r="A370" t="s">
        <v>311</v>
      </c>
      <c r="B370" s="2">
        <v>25</v>
      </c>
      <c r="C370" t="s">
        <v>39</v>
      </c>
      <c r="D370" s="2" t="s">
        <v>42</v>
      </c>
      <c r="E370" s="2">
        <v>21</v>
      </c>
      <c r="F370" s="2">
        <v>5</v>
      </c>
      <c r="G370" s="2">
        <v>375</v>
      </c>
      <c r="H370" s="2">
        <v>0.64600000000000002</v>
      </c>
      <c r="I370" s="2">
        <v>0.66300000000000003</v>
      </c>
      <c r="J370" s="2">
        <v>0</v>
      </c>
      <c r="K370" s="2">
        <v>0.64600000000000002</v>
      </c>
      <c r="L370" s="2">
        <v>0.75</v>
      </c>
      <c r="M370" s="2">
        <v>0.67</v>
      </c>
      <c r="N370" s="2">
        <v>0.29299999999999998</v>
      </c>
      <c r="O370" s="2">
        <v>2.4E-2</v>
      </c>
      <c r="P370" s="2">
        <v>139</v>
      </c>
      <c r="Q370" s="2">
        <v>122</v>
      </c>
      <c r="R370" s="2">
        <v>0</v>
      </c>
      <c r="S370" s="2">
        <v>120</v>
      </c>
      <c r="T370" s="2">
        <v>96</v>
      </c>
      <c r="U370" s="2">
        <v>117</v>
      </c>
      <c r="V370" s="2">
        <v>117</v>
      </c>
      <c r="W370" s="2">
        <v>6</v>
      </c>
      <c r="X370" s="2">
        <v>17.399999999999999</v>
      </c>
      <c r="Y370" s="2">
        <v>17.7</v>
      </c>
    </row>
    <row r="371" spans="1:25" x14ac:dyDescent="0.2">
      <c r="A371" t="s">
        <v>253</v>
      </c>
      <c r="B371" s="2">
        <v>25</v>
      </c>
      <c r="C371" t="s">
        <v>103</v>
      </c>
      <c r="D371" s="2" t="s">
        <v>42</v>
      </c>
      <c r="E371" s="2">
        <v>18</v>
      </c>
      <c r="F371" s="2">
        <v>10</v>
      </c>
      <c r="G371" s="2">
        <v>455</v>
      </c>
      <c r="H371" s="2">
        <v>0.65</v>
      </c>
      <c r="I371" s="2">
        <v>0.65800000000000003</v>
      </c>
      <c r="J371" s="2">
        <v>0.33300000000000002</v>
      </c>
      <c r="K371" s="2">
        <v>0.65400000000000003</v>
      </c>
      <c r="L371" s="2">
        <v>0.46300000000000002</v>
      </c>
      <c r="M371" s="2">
        <v>0.63700000000000001</v>
      </c>
      <c r="N371" s="2">
        <v>0.34200000000000003</v>
      </c>
      <c r="O371" s="2">
        <v>2.5000000000000001E-2</v>
      </c>
      <c r="P371" s="2">
        <v>140</v>
      </c>
      <c r="Q371" s="2">
        <v>121</v>
      </c>
      <c r="R371" s="2">
        <v>93</v>
      </c>
      <c r="S371" s="2">
        <v>121</v>
      </c>
      <c r="T371" s="2">
        <v>60</v>
      </c>
      <c r="U371" s="2">
        <v>111</v>
      </c>
      <c r="V371" s="2">
        <v>137</v>
      </c>
      <c r="W371" s="2">
        <v>6</v>
      </c>
      <c r="X371" s="2">
        <v>27.3</v>
      </c>
      <c r="Y371" s="2">
        <v>17.399999999999999</v>
      </c>
    </row>
    <row r="372" spans="1:25" x14ac:dyDescent="0.2">
      <c r="A372" t="s">
        <v>334</v>
      </c>
      <c r="B372" s="2">
        <v>27</v>
      </c>
      <c r="C372" t="s">
        <v>59</v>
      </c>
      <c r="D372" s="2" t="s">
        <v>42</v>
      </c>
      <c r="E372" s="2">
        <v>9</v>
      </c>
      <c r="F372" s="2">
        <v>8</v>
      </c>
      <c r="G372" s="2">
        <v>241</v>
      </c>
      <c r="H372" s="2">
        <v>0.621</v>
      </c>
      <c r="I372" s="2">
        <v>0.63200000000000001</v>
      </c>
      <c r="J372" s="2">
        <v>0</v>
      </c>
      <c r="K372" s="2">
        <v>0.621</v>
      </c>
      <c r="L372" s="2">
        <v>0.69599999999999995</v>
      </c>
      <c r="M372" s="2">
        <v>0.66500000000000004</v>
      </c>
      <c r="N372" s="2">
        <v>0.79300000000000004</v>
      </c>
      <c r="O372" s="2">
        <v>1.7000000000000001E-2</v>
      </c>
      <c r="P372" s="2">
        <v>134</v>
      </c>
      <c r="Q372" s="2">
        <v>117</v>
      </c>
      <c r="R372" s="2">
        <v>0</v>
      </c>
      <c r="S372" s="2">
        <v>115</v>
      </c>
      <c r="T372" s="2">
        <v>89</v>
      </c>
      <c r="U372" s="2">
        <v>116</v>
      </c>
      <c r="V372" s="2">
        <v>318</v>
      </c>
      <c r="W372" s="2">
        <v>4</v>
      </c>
      <c r="X372" s="2">
        <v>9.3000000000000007</v>
      </c>
      <c r="Y372" s="2">
        <v>14.1</v>
      </c>
    </row>
    <row r="373" spans="1:25" x14ac:dyDescent="0.2">
      <c r="A373" t="s">
        <v>420</v>
      </c>
      <c r="B373" s="2">
        <v>20</v>
      </c>
      <c r="C373" t="s">
        <v>59</v>
      </c>
      <c r="D373" s="2" t="s">
        <v>52</v>
      </c>
      <c r="E373" s="2">
        <v>13</v>
      </c>
      <c r="F373" s="2">
        <v>0</v>
      </c>
      <c r="G373" s="2">
        <v>121</v>
      </c>
      <c r="H373" s="2">
        <v>0.33300000000000002</v>
      </c>
      <c r="I373" s="2">
        <v>0.36399999999999999</v>
      </c>
      <c r="J373" s="2">
        <v>0.308</v>
      </c>
      <c r="K373" s="2">
        <v>0.41699999999999998</v>
      </c>
      <c r="L373" s="2"/>
      <c r="M373" s="2">
        <v>0.41699999999999998</v>
      </c>
      <c r="N373" s="2">
        <v>0</v>
      </c>
      <c r="O373" s="2">
        <v>0.54200000000000004</v>
      </c>
      <c r="P373" s="2">
        <v>72</v>
      </c>
      <c r="Q373" s="2">
        <v>67</v>
      </c>
      <c r="R373" s="2">
        <v>86</v>
      </c>
      <c r="S373" s="2">
        <v>77</v>
      </c>
      <c r="T373" s="2"/>
      <c r="U373" s="2">
        <v>73</v>
      </c>
      <c r="V373" s="2">
        <v>0</v>
      </c>
      <c r="W373" s="2">
        <v>128</v>
      </c>
      <c r="X373" s="2">
        <v>-11.9</v>
      </c>
      <c r="Y373" s="2">
        <v>-15.1</v>
      </c>
    </row>
    <row r="374" spans="1:25" x14ac:dyDescent="0.2">
      <c r="A374" t="s">
        <v>213</v>
      </c>
      <c r="B374" s="2">
        <v>26</v>
      </c>
      <c r="C374" t="s">
        <v>51</v>
      </c>
      <c r="D374" s="2" t="s">
        <v>52</v>
      </c>
      <c r="E374" s="2">
        <v>23</v>
      </c>
      <c r="F374" s="2">
        <v>2</v>
      </c>
      <c r="G374" s="2">
        <v>553</v>
      </c>
      <c r="H374" s="2">
        <v>0.51600000000000001</v>
      </c>
      <c r="I374" s="2">
        <v>0.58799999999999997</v>
      </c>
      <c r="J374" s="2">
        <v>0.46</v>
      </c>
      <c r="K374" s="2">
        <v>0.64500000000000002</v>
      </c>
      <c r="L374" s="2">
        <v>0.73299999999999998</v>
      </c>
      <c r="M374" s="2">
        <v>0.66</v>
      </c>
      <c r="N374" s="2">
        <v>0.19400000000000001</v>
      </c>
      <c r="O374" s="2">
        <v>0.56100000000000005</v>
      </c>
      <c r="P374" s="2">
        <v>111</v>
      </c>
      <c r="Q374" s="2">
        <v>109</v>
      </c>
      <c r="R374" s="2">
        <v>128</v>
      </c>
      <c r="S374" s="2">
        <v>119</v>
      </c>
      <c r="T374" s="2">
        <v>94</v>
      </c>
      <c r="U374" s="2">
        <v>115</v>
      </c>
      <c r="V374" s="2">
        <v>78</v>
      </c>
      <c r="W374" s="2">
        <v>133</v>
      </c>
      <c r="X374" s="2">
        <v>32.4</v>
      </c>
      <c r="Y374" s="2">
        <v>28.7</v>
      </c>
    </row>
    <row r="375" spans="1:25" x14ac:dyDescent="0.2">
      <c r="A375" t="s">
        <v>355</v>
      </c>
      <c r="B375" s="2">
        <v>36</v>
      </c>
      <c r="C375" t="s">
        <v>77</v>
      </c>
      <c r="D375" s="2" t="s">
        <v>27</v>
      </c>
      <c r="E375" s="2">
        <v>25</v>
      </c>
      <c r="F375" s="2">
        <v>0</v>
      </c>
      <c r="G375" s="2">
        <v>449</v>
      </c>
      <c r="H375" s="2">
        <v>0.36599999999999999</v>
      </c>
      <c r="I375" s="2">
        <v>0.38900000000000001</v>
      </c>
      <c r="J375" s="2">
        <v>0.35899999999999999</v>
      </c>
      <c r="K375" s="2">
        <v>0.50600000000000001</v>
      </c>
      <c r="L375" s="2">
        <v>0.75</v>
      </c>
      <c r="M375" s="2">
        <v>0.52</v>
      </c>
      <c r="N375" s="2">
        <v>9.8000000000000004E-2</v>
      </c>
      <c r="O375" s="2">
        <v>0.78</v>
      </c>
      <c r="P375" s="2">
        <v>79</v>
      </c>
      <c r="Q375" s="2">
        <v>72</v>
      </c>
      <c r="R375" s="2">
        <v>100</v>
      </c>
      <c r="S375" s="2">
        <v>94</v>
      </c>
      <c r="T375" s="2">
        <v>96</v>
      </c>
      <c r="U375" s="2">
        <v>91</v>
      </c>
      <c r="V375" s="2">
        <v>39</v>
      </c>
      <c r="W375" s="2">
        <v>185</v>
      </c>
      <c r="X375" s="2">
        <v>-5.6</v>
      </c>
      <c r="Y375" s="2">
        <v>-9.3000000000000007</v>
      </c>
    </row>
    <row r="376" spans="1:25" x14ac:dyDescent="0.2">
      <c r="A376" t="s">
        <v>45</v>
      </c>
      <c r="B376" s="2">
        <v>29</v>
      </c>
      <c r="C376" t="s">
        <v>46</v>
      </c>
      <c r="D376" s="2" t="s">
        <v>42</v>
      </c>
      <c r="E376" s="2">
        <v>19</v>
      </c>
      <c r="F376" s="2">
        <v>19</v>
      </c>
      <c r="G376" s="2">
        <v>714</v>
      </c>
      <c r="H376" s="2">
        <v>0.56100000000000005</v>
      </c>
      <c r="I376" s="2">
        <v>0.57699999999999996</v>
      </c>
      <c r="J376" s="2">
        <v>0.5</v>
      </c>
      <c r="K376" s="2">
        <v>0.61199999999999999</v>
      </c>
      <c r="L376" s="2">
        <v>0.80800000000000005</v>
      </c>
      <c r="M376" s="2">
        <v>0.64900000000000002</v>
      </c>
      <c r="N376" s="2">
        <v>0.313</v>
      </c>
      <c r="O376" s="2">
        <v>0.20200000000000001</v>
      </c>
      <c r="P376" s="2">
        <v>121</v>
      </c>
      <c r="Q376" s="2">
        <v>106</v>
      </c>
      <c r="R376" s="2">
        <v>139</v>
      </c>
      <c r="S376" s="2">
        <v>113</v>
      </c>
      <c r="T376" s="2">
        <v>104</v>
      </c>
      <c r="U376" s="2">
        <v>113</v>
      </c>
      <c r="V376" s="2">
        <v>126</v>
      </c>
      <c r="W376" s="2">
        <v>48</v>
      </c>
      <c r="X376" s="2">
        <v>59.4</v>
      </c>
      <c r="Y376" s="2">
        <v>70.5</v>
      </c>
    </row>
    <row r="377" spans="1:25" x14ac:dyDescent="0.2">
      <c r="A377" t="s">
        <v>312</v>
      </c>
      <c r="B377" s="2">
        <v>21</v>
      </c>
      <c r="C377" t="s">
        <v>61</v>
      </c>
      <c r="D377" s="2" t="s">
        <v>27</v>
      </c>
      <c r="E377" s="2">
        <v>15</v>
      </c>
      <c r="F377" s="2">
        <v>8</v>
      </c>
      <c r="G377" s="2">
        <v>279</v>
      </c>
      <c r="H377" s="2">
        <v>0.46700000000000003</v>
      </c>
      <c r="I377" s="2">
        <v>0.58699999999999997</v>
      </c>
      <c r="J377" s="2">
        <v>0.34799999999999998</v>
      </c>
      <c r="K377" s="2">
        <v>0.55400000000000005</v>
      </c>
      <c r="L377" s="2">
        <v>0.74099999999999999</v>
      </c>
      <c r="M377" s="2">
        <v>0.58699999999999997</v>
      </c>
      <c r="N377" s="2">
        <v>0.29299999999999998</v>
      </c>
      <c r="O377" s="2">
        <v>0.5</v>
      </c>
      <c r="P377" s="2">
        <v>101</v>
      </c>
      <c r="Q377" s="2">
        <v>108</v>
      </c>
      <c r="R377" s="2">
        <v>97</v>
      </c>
      <c r="S377" s="2">
        <v>103</v>
      </c>
      <c r="T377" s="2">
        <v>95</v>
      </c>
      <c r="U377" s="2">
        <v>102</v>
      </c>
      <c r="V377" s="2">
        <v>118</v>
      </c>
      <c r="W377" s="2">
        <v>118</v>
      </c>
      <c r="X377" s="2">
        <v>2.5</v>
      </c>
      <c r="Y377" s="2">
        <v>2.6</v>
      </c>
    </row>
    <row r="378" spans="1:25" x14ac:dyDescent="0.2">
      <c r="A378" t="s">
        <v>69</v>
      </c>
      <c r="B378" s="2">
        <v>34</v>
      </c>
      <c r="C378" t="s">
        <v>70</v>
      </c>
      <c r="D378" s="2" t="s">
        <v>42</v>
      </c>
      <c r="E378" s="2">
        <v>25</v>
      </c>
      <c r="F378" s="2">
        <v>25</v>
      </c>
      <c r="G378" s="2">
        <v>793</v>
      </c>
      <c r="H378" s="2">
        <v>0.58699999999999997</v>
      </c>
      <c r="I378" s="2">
        <v>0.64200000000000002</v>
      </c>
      <c r="J378" s="2">
        <v>0.47399999999999998</v>
      </c>
      <c r="K378" s="2">
        <v>0.66400000000000003</v>
      </c>
      <c r="L378" s="2">
        <v>0.85199999999999998</v>
      </c>
      <c r="M378" s="2">
        <v>0.68600000000000005</v>
      </c>
      <c r="N378" s="2">
        <v>0.17100000000000001</v>
      </c>
      <c r="O378" s="2">
        <v>0.32600000000000001</v>
      </c>
      <c r="P378" s="2">
        <v>126</v>
      </c>
      <c r="Q378" s="2">
        <v>118</v>
      </c>
      <c r="R378" s="2">
        <v>132</v>
      </c>
      <c r="S378" s="2">
        <v>123</v>
      </c>
      <c r="T378" s="2">
        <v>110</v>
      </c>
      <c r="U378" s="2">
        <v>119</v>
      </c>
      <c r="V378" s="2">
        <v>69</v>
      </c>
      <c r="W378" s="2">
        <v>77</v>
      </c>
      <c r="X378" s="2">
        <v>88.2</v>
      </c>
      <c r="Y378" s="2">
        <v>85.1</v>
      </c>
    </row>
    <row r="379" spans="1:25" x14ac:dyDescent="0.2">
      <c r="A379" t="s">
        <v>320</v>
      </c>
      <c r="B379" s="2">
        <v>20</v>
      </c>
      <c r="C379" t="s">
        <v>103</v>
      </c>
      <c r="D379" s="2" t="s">
        <v>27</v>
      </c>
      <c r="E379" s="2">
        <v>15</v>
      </c>
      <c r="F379" s="2">
        <v>1</v>
      </c>
      <c r="G379" s="2">
        <v>248</v>
      </c>
      <c r="H379" s="2">
        <v>0.39400000000000002</v>
      </c>
      <c r="I379" s="2">
        <v>0.42399999999999999</v>
      </c>
      <c r="J379" s="2">
        <v>0.377</v>
      </c>
      <c r="K379" s="2">
        <v>0.51600000000000001</v>
      </c>
      <c r="L379" s="2">
        <v>0.71399999999999997</v>
      </c>
      <c r="M379" s="2">
        <v>0.54200000000000004</v>
      </c>
      <c r="N379" s="2">
        <v>0.223</v>
      </c>
      <c r="O379" s="2">
        <v>0.64900000000000002</v>
      </c>
      <c r="P379" s="2">
        <v>85</v>
      </c>
      <c r="Q379" s="2">
        <v>78</v>
      </c>
      <c r="R379" s="2">
        <v>105</v>
      </c>
      <c r="S379" s="2">
        <v>95</v>
      </c>
      <c r="T379" s="2">
        <v>92</v>
      </c>
      <c r="U379" s="2">
        <v>94</v>
      </c>
      <c r="V379" s="2">
        <v>90</v>
      </c>
      <c r="W379" s="2">
        <v>154</v>
      </c>
      <c r="X379" s="2">
        <v>-4.5999999999999996</v>
      </c>
      <c r="Y379" s="2">
        <v>-6.6</v>
      </c>
    </row>
    <row r="380" spans="1:25" x14ac:dyDescent="0.2">
      <c r="A380" t="s">
        <v>106</v>
      </c>
      <c r="B380" s="2">
        <v>31</v>
      </c>
      <c r="C380" t="s">
        <v>77</v>
      </c>
      <c r="D380" s="2" t="s">
        <v>52</v>
      </c>
      <c r="E380" s="2">
        <v>18</v>
      </c>
      <c r="F380" s="2">
        <v>18</v>
      </c>
      <c r="G380" s="2">
        <v>586</v>
      </c>
      <c r="H380" s="2">
        <v>0.49199999999999999</v>
      </c>
      <c r="I380" s="2">
        <v>0.497</v>
      </c>
      <c r="J380" s="2">
        <v>0.48599999999999999</v>
      </c>
      <c r="K380" s="2">
        <v>0.60799999999999998</v>
      </c>
      <c r="L380" s="2">
        <v>0.84</v>
      </c>
      <c r="M380" s="2">
        <v>0.64200000000000002</v>
      </c>
      <c r="N380" s="2">
        <v>0.253</v>
      </c>
      <c r="O380" s="2">
        <v>0.47799999999999998</v>
      </c>
      <c r="P380" s="2">
        <v>106</v>
      </c>
      <c r="Q380" s="2">
        <v>92</v>
      </c>
      <c r="R380" s="2">
        <v>135</v>
      </c>
      <c r="S380" s="2">
        <v>112</v>
      </c>
      <c r="T380" s="2">
        <v>108</v>
      </c>
      <c r="U380" s="2">
        <v>112</v>
      </c>
      <c r="V380" s="2">
        <v>101</v>
      </c>
      <c r="W380" s="2">
        <v>113</v>
      </c>
      <c r="X380" s="2">
        <v>39.9</v>
      </c>
      <c r="Y380" s="2">
        <v>44.8</v>
      </c>
    </row>
    <row r="381" spans="1:25" x14ac:dyDescent="0.2">
      <c r="A381" t="s">
        <v>200</v>
      </c>
      <c r="B381" s="2">
        <v>26</v>
      </c>
      <c r="C381" t="s">
        <v>82</v>
      </c>
      <c r="D381" s="2" t="s">
        <v>27</v>
      </c>
      <c r="E381" s="2">
        <v>24</v>
      </c>
      <c r="F381" s="2">
        <v>0</v>
      </c>
      <c r="G381" s="2">
        <v>483</v>
      </c>
      <c r="H381" s="2">
        <v>0.53300000000000003</v>
      </c>
      <c r="I381" s="2">
        <v>0.71599999999999997</v>
      </c>
      <c r="J381" s="2">
        <v>0.32900000000000001</v>
      </c>
      <c r="K381" s="2">
        <v>0.61099999999999999</v>
      </c>
      <c r="L381" s="2">
        <v>0.88</v>
      </c>
      <c r="M381" s="2">
        <v>0.63400000000000001</v>
      </c>
      <c r="N381" s="2">
        <v>0.13900000000000001</v>
      </c>
      <c r="O381" s="2">
        <v>0.47199999999999998</v>
      </c>
      <c r="P381" s="2">
        <v>115</v>
      </c>
      <c r="Q381" s="2">
        <v>132</v>
      </c>
      <c r="R381" s="2">
        <v>92</v>
      </c>
      <c r="S381" s="2">
        <v>113</v>
      </c>
      <c r="T381" s="2">
        <v>113</v>
      </c>
      <c r="U381" s="2">
        <v>110</v>
      </c>
      <c r="V381" s="2">
        <v>56</v>
      </c>
      <c r="W381" s="2">
        <v>112</v>
      </c>
      <c r="X381" s="2">
        <v>25.4</v>
      </c>
      <c r="Y381" s="2">
        <v>22.5</v>
      </c>
    </row>
    <row r="382" spans="1:25" x14ac:dyDescent="0.2">
      <c r="A382" t="s">
        <v>159</v>
      </c>
      <c r="B382" s="2">
        <v>24</v>
      </c>
      <c r="C382" t="s">
        <v>66</v>
      </c>
      <c r="D382" s="2" t="s">
        <v>52</v>
      </c>
      <c r="E382" s="2">
        <v>26</v>
      </c>
      <c r="F382" s="2">
        <v>24</v>
      </c>
      <c r="G382" s="2">
        <v>801</v>
      </c>
      <c r="H382" s="2">
        <v>0.52700000000000002</v>
      </c>
      <c r="I382" s="2">
        <v>0.58699999999999997</v>
      </c>
      <c r="J382" s="2">
        <v>0.45500000000000002</v>
      </c>
      <c r="K382" s="2">
        <v>0.63100000000000001</v>
      </c>
      <c r="L382" s="2">
        <v>0.7</v>
      </c>
      <c r="M382" s="2">
        <v>0.63700000000000001</v>
      </c>
      <c r="N382" s="2">
        <v>0.09</v>
      </c>
      <c r="O382" s="2">
        <v>0.45500000000000002</v>
      </c>
      <c r="P382" s="2">
        <v>113</v>
      </c>
      <c r="Q382" s="2">
        <v>108</v>
      </c>
      <c r="R382" s="2">
        <v>127</v>
      </c>
      <c r="S382" s="2">
        <v>117</v>
      </c>
      <c r="T382" s="2">
        <v>90</v>
      </c>
      <c r="U382" s="2">
        <v>111</v>
      </c>
      <c r="V382" s="2">
        <v>36</v>
      </c>
      <c r="W382" s="2">
        <v>108</v>
      </c>
      <c r="X382" s="2">
        <v>40</v>
      </c>
      <c r="Y382" s="2">
        <v>28.8</v>
      </c>
    </row>
    <row r="383" spans="1:25" x14ac:dyDescent="0.2">
      <c r="A383" t="s">
        <v>98</v>
      </c>
      <c r="B383" s="2">
        <v>27</v>
      </c>
      <c r="C383" t="s">
        <v>44</v>
      </c>
      <c r="D383" s="2" t="s">
        <v>27</v>
      </c>
      <c r="E383" s="2">
        <v>25</v>
      </c>
      <c r="F383" s="2">
        <v>25</v>
      </c>
      <c r="G383" s="2">
        <v>920</v>
      </c>
      <c r="H383" s="2">
        <v>0.47799999999999998</v>
      </c>
      <c r="I383" s="2">
        <v>0.57799999999999996</v>
      </c>
      <c r="J383" s="2">
        <v>0.35699999999999998</v>
      </c>
      <c r="K383" s="2">
        <v>0.55900000000000005</v>
      </c>
      <c r="L383" s="2">
        <v>0.80300000000000005</v>
      </c>
      <c r="M383" s="2">
        <v>0.58599999999999997</v>
      </c>
      <c r="N383" s="2">
        <v>0.19400000000000001</v>
      </c>
      <c r="O383" s="2">
        <v>0.45200000000000001</v>
      </c>
      <c r="P383" s="2">
        <v>103</v>
      </c>
      <c r="Q383" s="2">
        <v>107</v>
      </c>
      <c r="R383" s="2">
        <v>99</v>
      </c>
      <c r="S383" s="2">
        <v>103</v>
      </c>
      <c r="T383" s="2">
        <v>103</v>
      </c>
      <c r="U383" s="2">
        <v>102</v>
      </c>
      <c r="V383" s="2">
        <v>78</v>
      </c>
      <c r="W383" s="2">
        <v>107</v>
      </c>
      <c r="X383" s="2">
        <v>12.4</v>
      </c>
      <c r="Y383" s="2">
        <v>8.8000000000000007</v>
      </c>
    </row>
    <row r="384" spans="1:25" x14ac:dyDescent="0.2">
      <c r="A384" t="s">
        <v>442</v>
      </c>
      <c r="B384" s="2">
        <v>22</v>
      </c>
      <c r="C384" t="s">
        <v>63</v>
      </c>
      <c r="D384" s="2" t="s">
        <v>27</v>
      </c>
      <c r="E384" s="2">
        <v>15</v>
      </c>
      <c r="F384" s="2">
        <v>0</v>
      </c>
      <c r="G384" s="2">
        <v>97</v>
      </c>
      <c r="H384" s="2">
        <v>0.379</v>
      </c>
      <c r="I384" s="2">
        <v>0.4</v>
      </c>
      <c r="J384" s="2">
        <v>0.33300000000000002</v>
      </c>
      <c r="K384" s="2">
        <v>0.43099999999999999</v>
      </c>
      <c r="L384" s="2">
        <v>0.55600000000000005</v>
      </c>
      <c r="M384" s="2">
        <v>0.45500000000000002</v>
      </c>
      <c r="N384" s="2">
        <v>0.31</v>
      </c>
      <c r="O384" s="2">
        <v>0.31</v>
      </c>
      <c r="P384" s="2">
        <v>82</v>
      </c>
      <c r="Q384" s="2">
        <v>74</v>
      </c>
      <c r="R384" s="2">
        <v>93</v>
      </c>
      <c r="S384" s="2">
        <v>80</v>
      </c>
      <c r="T384" s="2">
        <v>71</v>
      </c>
      <c r="U384" s="2">
        <v>79</v>
      </c>
      <c r="V384" s="2">
        <v>124</v>
      </c>
      <c r="W384" s="2">
        <v>73</v>
      </c>
      <c r="X384" s="2">
        <v>-6.3</v>
      </c>
      <c r="Y384" s="2">
        <v>-7.9</v>
      </c>
    </row>
    <row r="385" spans="1:25" x14ac:dyDescent="0.2">
      <c r="A385" t="s">
        <v>179</v>
      </c>
      <c r="B385" s="2">
        <v>24</v>
      </c>
      <c r="C385" t="s">
        <v>72</v>
      </c>
      <c r="D385" s="2" t="s">
        <v>42</v>
      </c>
      <c r="E385" s="2">
        <v>24</v>
      </c>
      <c r="F385" s="2">
        <v>0</v>
      </c>
      <c r="G385" s="2">
        <v>574</v>
      </c>
      <c r="H385" s="2">
        <v>0.54500000000000004</v>
      </c>
      <c r="I385" s="2">
        <v>0.629</v>
      </c>
      <c r="J385" s="2">
        <v>0.20499999999999999</v>
      </c>
      <c r="K385" s="2">
        <v>0.56599999999999995</v>
      </c>
      <c r="L385" s="2">
        <v>0.77300000000000002</v>
      </c>
      <c r="M385" s="2">
        <v>0.60599999999999998</v>
      </c>
      <c r="N385" s="2">
        <v>0.33300000000000002</v>
      </c>
      <c r="O385" s="2">
        <v>0.19700000000000001</v>
      </c>
      <c r="P385" s="2">
        <v>117</v>
      </c>
      <c r="Q385" s="2">
        <v>116</v>
      </c>
      <c r="R385" s="2">
        <v>57</v>
      </c>
      <c r="S385" s="2">
        <v>105</v>
      </c>
      <c r="T385" s="2">
        <v>99</v>
      </c>
      <c r="U385" s="2">
        <v>105</v>
      </c>
      <c r="V385" s="2">
        <v>134</v>
      </c>
      <c r="W385" s="2">
        <v>47</v>
      </c>
      <c r="X385" s="2">
        <v>10</v>
      </c>
      <c r="Y385" s="2">
        <v>14.1</v>
      </c>
    </row>
    <row r="386" spans="1:25" x14ac:dyDescent="0.2">
      <c r="A386" t="s">
        <v>491</v>
      </c>
      <c r="B386" s="2">
        <v>24</v>
      </c>
      <c r="C386" t="s">
        <v>37</v>
      </c>
      <c r="D386" s="2" t="s">
        <v>42</v>
      </c>
      <c r="E386" s="2">
        <v>6</v>
      </c>
      <c r="F386" s="2">
        <v>0</v>
      </c>
      <c r="G386" s="2">
        <v>45</v>
      </c>
      <c r="H386" s="2">
        <v>0.45500000000000002</v>
      </c>
      <c r="I386" s="2">
        <v>0.57099999999999995</v>
      </c>
      <c r="J386" s="2">
        <v>0.25</v>
      </c>
      <c r="K386" s="2">
        <v>0.5</v>
      </c>
      <c r="L386" s="2">
        <v>0.5</v>
      </c>
      <c r="M386" s="2">
        <v>0.51300000000000001</v>
      </c>
      <c r="N386" s="2">
        <v>0.54500000000000004</v>
      </c>
      <c r="O386" s="2">
        <v>0.36399999999999999</v>
      </c>
      <c r="P386" s="2">
        <v>98</v>
      </c>
      <c r="Q386" s="2">
        <v>105</v>
      </c>
      <c r="R386" s="2">
        <v>70</v>
      </c>
      <c r="S386" s="2">
        <v>93</v>
      </c>
      <c r="T386" s="2">
        <v>64</v>
      </c>
      <c r="U386" s="2">
        <v>89</v>
      </c>
      <c r="V386" s="2">
        <v>219</v>
      </c>
      <c r="W386" s="2">
        <v>86</v>
      </c>
      <c r="X386" s="2">
        <v>-0.9</v>
      </c>
      <c r="Y386" s="2">
        <v>-1.7</v>
      </c>
    </row>
    <row r="387" spans="1:25" x14ac:dyDescent="0.2">
      <c r="A387" t="s">
        <v>541</v>
      </c>
      <c r="B387" s="2">
        <v>25</v>
      </c>
      <c r="C387" t="s">
        <v>120</v>
      </c>
      <c r="D387" s="2" t="s">
        <v>27</v>
      </c>
      <c r="E387" s="2">
        <v>1</v>
      </c>
      <c r="F387" s="2">
        <v>0</v>
      </c>
      <c r="G387" s="2">
        <v>16</v>
      </c>
      <c r="H387" s="2"/>
      <c r="I387" s="2"/>
      <c r="J387" s="2"/>
      <c r="K387" s="2"/>
      <c r="L387" s="2">
        <v>0.75</v>
      </c>
      <c r="M387" s="2">
        <v>0.85199999999999998</v>
      </c>
      <c r="N387" s="2"/>
      <c r="O387" s="2"/>
      <c r="P387" s="2"/>
      <c r="Q387" s="2"/>
      <c r="R387" s="2"/>
      <c r="S387" s="2"/>
      <c r="T387" s="2">
        <v>96</v>
      </c>
      <c r="U387" s="2">
        <v>148</v>
      </c>
      <c r="V387" s="2"/>
      <c r="W387" s="2"/>
      <c r="X387" s="2">
        <v>0</v>
      </c>
      <c r="Y387" s="2">
        <v>1</v>
      </c>
    </row>
    <row r="388" spans="1:25" x14ac:dyDescent="0.2">
      <c r="A388" t="s">
        <v>365</v>
      </c>
      <c r="B388" s="2">
        <v>22</v>
      </c>
      <c r="C388" t="s">
        <v>54</v>
      </c>
      <c r="D388" s="2" t="s">
        <v>27</v>
      </c>
      <c r="E388" s="2">
        <v>18</v>
      </c>
      <c r="F388" s="2">
        <v>2</v>
      </c>
      <c r="G388" s="2">
        <v>319</v>
      </c>
      <c r="H388" s="2">
        <v>0.61399999999999999</v>
      </c>
      <c r="I388" s="2">
        <v>0.61399999999999999</v>
      </c>
      <c r="J388" s="2"/>
      <c r="K388" s="2">
        <v>0.61399999999999999</v>
      </c>
      <c r="L388" s="2">
        <v>0.76900000000000002</v>
      </c>
      <c r="M388" s="2">
        <v>0.63800000000000001</v>
      </c>
      <c r="N388" s="2">
        <v>0.22800000000000001</v>
      </c>
      <c r="O388" s="2">
        <v>0</v>
      </c>
      <c r="P388" s="2">
        <v>132</v>
      </c>
      <c r="Q388" s="2">
        <v>113</v>
      </c>
      <c r="R388" s="2"/>
      <c r="S388" s="2">
        <v>114</v>
      </c>
      <c r="T388" s="2">
        <v>99</v>
      </c>
      <c r="U388" s="2">
        <v>111</v>
      </c>
      <c r="V388" s="2">
        <v>91</v>
      </c>
      <c r="W388" s="2">
        <v>0</v>
      </c>
      <c r="X388" s="2">
        <v>8.4</v>
      </c>
      <c r="Y388" s="2">
        <v>7.9</v>
      </c>
    </row>
    <row r="389" spans="1:25" x14ac:dyDescent="0.2">
      <c r="A389" t="s">
        <v>395</v>
      </c>
      <c r="B389" s="2">
        <v>21</v>
      </c>
      <c r="C389" t="s">
        <v>32</v>
      </c>
      <c r="D389" s="2" t="s">
        <v>27</v>
      </c>
      <c r="E389" s="2">
        <v>16</v>
      </c>
      <c r="F389" s="2">
        <v>0</v>
      </c>
      <c r="G389" s="2">
        <v>186</v>
      </c>
      <c r="H389" s="2">
        <v>0.33900000000000002</v>
      </c>
      <c r="I389" s="2">
        <v>0.47799999999999998</v>
      </c>
      <c r="J389" s="2">
        <v>0.25</v>
      </c>
      <c r="K389" s="2">
        <v>0.41499999999999998</v>
      </c>
      <c r="L389" s="2">
        <v>0.63600000000000001</v>
      </c>
      <c r="M389" s="2">
        <v>0.439</v>
      </c>
      <c r="N389" s="2">
        <v>0.186</v>
      </c>
      <c r="O389" s="2">
        <v>0.61</v>
      </c>
      <c r="P389" s="2">
        <v>73</v>
      </c>
      <c r="Q389" s="2">
        <v>88</v>
      </c>
      <c r="R389" s="2">
        <v>70</v>
      </c>
      <c r="S389" s="2">
        <v>77</v>
      </c>
      <c r="T389" s="2">
        <v>82</v>
      </c>
      <c r="U389" s="2">
        <v>76</v>
      </c>
      <c r="V389" s="2">
        <v>75</v>
      </c>
      <c r="W389" s="2">
        <v>144</v>
      </c>
      <c r="X389" s="2">
        <v>-14.8</v>
      </c>
      <c r="Y389" s="2">
        <v>-17.3</v>
      </c>
    </row>
    <row r="390" spans="1:25" x14ac:dyDescent="0.2">
      <c r="A390" t="s">
        <v>201</v>
      </c>
      <c r="B390" s="2">
        <v>26</v>
      </c>
      <c r="C390" t="s">
        <v>63</v>
      </c>
      <c r="D390" s="2" t="s">
        <v>27</v>
      </c>
      <c r="E390" s="2">
        <v>19</v>
      </c>
      <c r="F390" s="2">
        <v>18</v>
      </c>
      <c r="G390" s="2">
        <v>619</v>
      </c>
      <c r="H390" s="2">
        <v>0.45100000000000001</v>
      </c>
      <c r="I390" s="2">
        <v>0.50800000000000001</v>
      </c>
      <c r="J390" s="2">
        <v>0.36</v>
      </c>
      <c r="K390" s="2">
        <v>0.52100000000000002</v>
      </c>
      <c r="L390" s="2">
        <v>0.76</v>
      </c>
      <c r="M390" s="2">
        <v>0.55500000000000005</v>
      </c>
      <c r="N390" s="2">
        <v>0.25600000000000001</v>
      </c>
      <c r="O390" s="2">
        <v>0.38500000000000001</v>
      </c>
      <c r="P390" s="2">
        <v>97</v>
      </c>
      <c r="Q390" s="2">
        <v>94</v>
      </c>
      <c r="R390" s="2">
        <v>100</v>
      </c>
      <c r="S390" s="2">
        <v>96</v>
      </c>
      <c r="T390" s="2">
        <v>98</v>
      </c>
      <c r="U390" s="2">
        <v>97</v>
      </c>
      <c r="V390" s="2">
        <v>103</v>
      </c>
      <c r="W390" s="2">
        <v>91</v>
      </c>
      <c r="X390" s="2">
        <v>-7.8</v>
      </c>
      <c r="Y390" s="2">
        <v>-8.3000000000000007</v>
      </c>
    </row>
    <row r="391" spans="1:25" x14ac:dyDescent="0.2">
      <c r="A391" t="s">
        <v>470</v>
      </c>
      <c r="B391" s="2">
        <v>19</v>
      </c>
      <c r="C391" t="s">
        <v>44</v>
      </c>
      <c r="D391" s="2" t="s">
        <v>52</v>
      </c>
      <c r="E391" s="2">
        <v>11</v>
      </c>
      <c r="F391" s="2">
        <v>0</v>
      </c>
      <c r="G391" s="2">
        <v>77</v>
      </c>
      <c r="H391" s="2">
        <v>0.33300000000000002</v>
      </c>
      <c r="I391" s="2">
        <v>0.16700000000000001</v>
      </c>
      <c r="J391" s="2">
        <v>0.41699999999999998</v>
      </c>
      <c r="K391" s="2">
        <v>0.47199999999999998</v>
      </c>
      <c r="L391" s="2">
        <v>1</v>
      </c>
      <c r="M391" s="2">
        <v>0.503</v>
      </c>
      <c r="N391" s="2">
        <v>0.111</v>
      </c>
      <c r="O391" s="2">
        <v>0.66700000000000004</v>
      </c>
      <c r="P391" s="2">
        <v>72</v>
      </c>
      <c r="Q391" s="2">
        <v>31</v>
      </c>
      <c r="R391" s="2">
        <v>116</v>
      </c>
      <c r="S391" s="2">
        <v>87</v>
      </c>
      <c r="T391" s="2">
        <v>129</v>
      </c>
      <c r="U391" s="2">
        <v>88</v>
      </c>
      <c r="V391" s="2">
        <v>45</v>
      </c>
      <c r="W391" s="2">
        <v>158</v>
      </c>
      <c r="X391" s="2">
        <v>-2.5</v>
      </c>
      <c r="Y391" s="2">
        <v>-2.7</v>
      </c>
    </row>
    <row r="392" spans="1:25" x14ac:dyDescent="0.2">
      <c r="A392" t="s">
        <v>286</v>
      </c>
      <c r="B392" s="2">
        <v>22</v>
      </c>
      <c r="C392" t="s">
        <v>48</v>
      </c>
      <c r="D392" s="2" t="s">
        <v>27</v>
      </c>
      <c r="E392" s="2">
        <v>5</v>
      </c>
      <c r="F392" s="2">
        <v>5</v>
      </c>
      <c r="G392" s="2">
        <v>182</v>
      </c>
      <c r="H392" s="2">
        <v>0.495</v>
      </c>
      <c r="I392" s="2">
        <v>0.56899999999999995</v>
      </c>
      <c r="J392" s="2">
        <v>0.34399999999999997</v>
      </c>
      <c r="K392" s="2">
        <v>0.55200000000000005</v>
      </c>
      <c r="L392" s="2">
        <v>0.64400000000000002</v>
      </c>
      <c r="M392" s="2">
        <v>0.59</v>
      </c>
      <c r="N392" s="2">
        <v>0.60799999999999998</v>
      </c>
      <c r="O392" s="2">
        <v>0.33</v>
      </c>
      <c r="P392" s="2">
        <v>107</v>
      </c>
      <c r="Q392" s="2">
        <v>105</v>
      </c>
      <c r="R392" s="2">
        <v>96</v>
      </c>
      <c r="S392" s="2">
        <v>102</v>
      </c>
      <c r="T392" s="2">
        <v>83</v>
      </c>
      <c r="U392" s="2">
        <v>103</v>
      </c>
      <c r="V392" s="2">
        <v>244</v>
      </c>
      <c r="W392" s="2">
        <v>78</v>
      </c>
      <c r="X392" s="2">
        <v>2.1</v>
      </c>
      <c r="Y392" s="2">
        <v>3.7</v>
      </c>
    </row>
    <row r="393" spans="1:25" x14ac:dyDescent="0.2">
      <c r="A393" t="s">
        <v>81</v>
      </c>
      <c r="B393" s="2">
        <v>30</v>
      </c>
      <c r="C393" t="s">
        <v>82</v>
      </c>
      <c r="D393" s="2" t="s">
        <v>27</v>
      </c>
      <c r="E393" s="2">
        <v>25</v>
      </c>
      <c r="F393" s="2">
        <v>25</v>
      </c>
      <c r="G393" s="2">
        <v>861</v>
      </c>
      <c r="H393" s="2">
        <v>0.52500000000000002</v>
      </c>
      <c r="I393" s="2">
        <v>0.57299999999999995</v>
      </c>
      <c r="J393" s="2">
        <v>0.41099999999999998</v>
      </c>
      <c r="K393" s="2">
        <v>0.58599999999999997</v>
      </c>
      <c r="L393" s="2">
        <v>0.79800000000000004</v>
      </c>
      <c r="M393" s="2">
        <v>0.61799999999999999</v>
      </c>
      <c r="N393" s="2">
        <v>0.247</v>
      </c>
      <c r="O393" s="2">
        <v>0.29699999999999999</v>
      </c>
      <c r="P393" s="2">
        <v>113</v>
      </c>
      <c r="Q393" s="2">
        <v>106</v>
      </c>
      <c r="R393" s="2">
        <v>115</v>
      </c>
      <c r="S393" s="2">
        <v>108</v>
      </c>
      <c r="T393" s="2">
        <v>103</v>
      </c>
      <c r="U393" s="2">
        <v>107</v>
      </c>
      <c r="V393" s="2">
        <v>99</v>
      </c>
      <c r="W393" s="2">
        <v>70</v>
      </c>
      <c r="X393" s="2">
        <v>32.799999999999997</v>
      </c>
      <c r="Y393" s="2">
        <v>34.4</v>
      </c>
    </row>
    <row r="394" spans="1:25" x14ac:dyDescent="0.2">
      <c r="A394" t="s">
        <v>373</v>
      </c>
      <c r="B394" s="2">
        <v>32</v>
      </c>
      <c r="C394" t="s">
        <v>35</v>
      </c>
      <c r="D394" s="2" t="s">
        <v>52</v>
      </c>
      <c r="E394" s="2">
        <v>15</v>
      </c>
      <c r="F394" s="2">
        <v>0</v>
      </c>
      <c r="G394" s="2">
        <v>255</v>
      </c>
      <c r="H394" s="2">
        <v>0.371</v>
      </c>
      <c r="I394" s="2">
        <v>0.5</v>
      </c>
      <c r="J394" s="2">
        <v>0.29499999999999998</v>
      </c>
      <c r="K394" s="2">
        <v>0.46400000000000002</v>
      </c>
      <c r="L394" s="2">
        <v>0.75</v>
      </c>
      <c r="M394" s="2">
        <v>0.49099999999999999</v>
      </c>
      <c r="N394" s="2">
        <v>0.17100000000000001</v>
      </c>
      <c r="O394" s="2">
        <v>0.629</v>
      </c>
      <c r="P394" s="2">
        <v>80</v>
      </c>
      <c r="Q394" s="2">
        <v>92</v>
      </c>
      <c r="R394" s="2">
        <v>82</v>
      </c>
      <c r="S394" s="2">
        <v>86</v>
      </c>
      <c r="T394" s="2">
        <v>96</v>
      </c>
      <c r="U394" s="2">
        <v>86</v>
      </c>
      <c r="V394" s="2">
        <v>69</v>
      </c>
      <c r="W394" s="2">
        <v>149</v>
      </c>
      <c r="X394" s="2">
        <v>-10.7</v>
      </c>
      <c r="Y394" s="2">
        <v>-12.5</v>
      </c>
    </row>
    <row r="395" spans="1:25" x14ac:dyDescent="0.2">
      <c r="A395" t="s">
        <v>492</v>
      </c>
      <c r="B395" s="2">
        <v>28</v>
      </c>
      <c r="C395" t="s">
        <v>100</v>
      </c>
      <c r="D395" s="2" t="s">
        <v>33</v>
      </c>
      <c r="E395" s="2">
        <v>8</v>
      </c>
      <c r="F395" s="2">
        <v>0</v>
      </c>
      <c r="G395" s="2">
        <v>44</v>
      </c>
      <c r="H395" s="2">
        <v>0.375</v>
      </c>
      <c r="I395" s="2">
        <v>0.46200000000000002</v>
      </c>
      <c r="J395" s="2">
        <v>0</v>
      </c>
      <c r="K395" s="2">
        <v>0.375</v>
      </c>
      <c r="L395" s="2">
        <v>1</v>
      </c>
      <c r="M395" s="2">
        <v>0.41499999999999998</v>
      </c>
      <c r="N395" s="2">
        <v>0.125</v>
      </c>
      <c r="O395" s="2">
        <v>0.188</v>
      </c>
      <c r="P395" s="2">
        <v>81</v>
      </c>
      <c r="Q395" s="2">
        <v>85</v>
      </c>
      <c r="R395" s="2">
        <v>0</v>
      </c>
      <c r="S395" s="2">
        <v>69</v>
      </c>
      <c r="T395" s="2">
        <v>129</v>
      </c>
      <c r="U395" s="2">
        <v>72</v>
      </c>
      <c r="V395" s="2">
        <v>50</v>
      </c>
      <c r="W395" s="2">
        <v>44</v>
      </c>
      <c r="X395" s="2">
        <v>-5.3</v>
      </c>
      <c r="Y395" s="2">
        <v>-5.4</v>
      </c>
    </row>
    <row r="396" spans="1:25" x14ac:dyDescent="0.2">
      <c r="A396" t="s">
        <v>452</v>
      </c>
      <c r="B396" s="2">
        <v>22</v>
      </c>
      <c r="C396" t="s">
        <v>114</v>
      </c>
      <c r="D396" s="2" t="s">
        <v>49</v>
      </c>
      <c r="E396" s="2">
        <v>11</v>
      </c>
      <c r="F396" s="2">
        <v>0</v>
      </c>
      <c r="G396" s="2">
        <v>56</v>
      </c>
      <c r="H396" s="2">
        <v>0.47399999999999998</v>
      </c>
      <c r="I396" s="2">
        <v>0.5</v>
      </c>
      <c r="J396" s="2">
        <v>0.45500000000000002</v>
      </c>
      <c r="K396" s="2">
        <v>0.60499999999999998</v>
      </c>
      <c r="L396" s="2">
        <v>0.5</v>
      </c>
      <c r="M396" s="2">
        <v>0.60199999999999998</v>
      </c>
      <c r="N396" s="2">
        <v>0.21099999999999999</v>
      </c>
      <c r="O396" s="2">
        <v>0.57899999999999996</v>
      </c>
      <c r="P396" s="2">
        <v>102</v>
      </c>
      <c r="Q396" s="2">
        <v>92</v>
      </c>
      <c r="R396" s="2">
        <v>127</v>
      </c>
      <c r="S396" s="2">
        <v>112</v>
      </c>
      <c r="T396" s="2">
        <v>64</v>
      </c>
      <c r="U396" s="2">
        <v>105</v>
      </c>
      <c r="V396" s="2">
        <v>84</v>
      </c>
      <c r="W396" s="2">
        <v>137</v>
      </c>
      <c r="X396" s="2">
        <v>2.5</v>
      </c>
      <c r="Y396" s="2">
        <v>1.1000000000000001</v>
      </c>
    </row>
    <row r="397" spans="1:25" x14ac:dyDescent="0.2">
      <c r="A397" t="s">
        <v>283</v>
      </c>
      <c r="B397" s="2">
        <v>23</v>
      </c>
      <c r="C397" t="s">
        <v>70</v>
      </c>
      <c r="D397" s="2" t="s">
        <v>27</v>
      </c>
      <c r="E397" s="2">
        <v>15</v>
      </c>
      <c r="F397" s="2">
        <v>15</v>
      </c>
      <c r="G397" s="2">
        <v>433</v>
      </c>
      <c r="H397" s="2">
        <v>0.376</v>
      </c>
      <c r="I397" s="2">
        <v>0.35499999999999998</v>
      </c>
      <c r="J397" s="2">
        <v>0.39400000000000002</v>
      </c>
      <c r="K397" s="2">
        <v>0.48099999999999998</v>
      </c>
      <c r="L397" s="2">
        <v>0.84</v>
      </c>
      <c r="M397" s="2">
        <v>0.51700000000000002</v>
      </c>
      <c r="N397" s="2">
        <v>0.188</v>
      </c>
      <c r="O397" s="2">
        <v>0.53400000000000003</v>
      </c>
      <c r="P397" s="2">
        <v>81</v>
      </c>
      <c r="Q397" s="2">
        <v>65</v>
      </c>
      <c r="R397" s="2">
        <v>110</v>
      </c>
      <c r="S397" s="2">
        <v>89</v>
      </c>
      <c r="T397" s="2">
        <v>108</v>
      </c>
      <c r="U397" s="2">
        <v>90</v>
      </c>
      <c r="V397" s="2">
        <v>75</v>
      </c>
      <c r="W397" s="2">
        <v>126</v>
      </c>
      <c r="X397" s="2">
        <v>-15.8</v>
      </c>
      <c r="Y397" s="2">
        <v>-16.399999999999999</v>
      </c>
    </row>
    <row r="398" spans="1:25" x14ac:dyDescent="0.2">
      <c r="A398" t="s">
        <v>436</v>
      </c>
      <c r="B398" s="2">
        <v>36</v>
      </c>
      <c r="C398" t="s">
        <v>120</v>
      </c>
      <c r="D398" s="2" t="s">
        <v>33</v>
      </c>
      <c r="E398" s="2">
        <v>9</v>
      </c>
      <c r="F398" s="2">
        <v>0</v>
      </c>
      <c r="G398" s="2">
        <v>138</v>
      </c>
      <c r="H398" s="2">
        <v>0.35499999999999998</v>
      </c>
      <c r="I398" s="2">
        <v>0.57099999999999995</v>
      </c>
      <c r="J398" s="2">
        <v>0.29199999999999998</v>
      </c>
      <c r="K398" s="2">
        <v>0.46800000000000003</v>
      </c>
      <c r="L398" s="2">
        <v>1</v>
      </c>
      <c r="M398" s="2">
        <v>0.495</v>
      </c>
      <c r="N398" s="2">
        <v>9.7000000000000003E-2</v>
      </c>
      <c r="O398" s="2">
        <v>0.77400000000000002</v>
      </c>
      <c r="P398" s="2">
        <v>76</v>
      </c>
      <c r="Q398" s="2">
        <v>105</v>
      </c>
      <c r="R398" s="2">
        <v>81</v>
      </c>
      <c r="S398" s="2">
        <v>87</v>
      </c>
      <c r="T398" s="2">
        <v>129</v>
      </c>
      <c r="U398" s="2">
        <v>86</v>
      </c>
      <c r="V398" s="2">
        <v>39</v>
      </c>
      <c r="W398" s="2">
        <v>183</v>
      </c>
      <c r="X398" s="2">
        <v>-4.5</v>
      </c>
      <c r="Y398" s="2">
        <v>-5.0999999999999996</v>
      </c>
    </row>
    <row r="399" spans="1:25" x14ac:dyDescent="0.2">
      <c r="A399" t="s">
        <v>239</v>
      </c>
      <c r="B399" s="2">
        <v>34</v>
      </c>
      <c r="C399" t="s">
        <v>122</v>
      </c>
      <c r="D399" s="2" t="s">
        <v>27</v>
      </c>
      <c r="E399" s="2">
        <v>12</v>
      </c>
      <c r="F399" s="2">
        <v>12</v>
      </c>
      <c r="G399" s="2">
        <v>367</v>
      </c>
      <c r="H399" s="2">
        <v>0.41299999999999998</v>
      </c>
      <c r="I399" s="2">
        <v>0.5</v>
      </c>
      <c r="J399" s="2">
        <v>0.312</v>
      </c>
      <c r="K399" s="2">
        <v>0.48499999999999999</v>
      </c>
      <c r="L399" s="2">
        <v>0.81100000000000005</v>
      </c>
      <c r="M399" s="2">
        <v>0.52400000000000002</v>
      </c>
      <c r="N399" s="2">
        <v>0.222</v>
      </c>
      <c r="O399" s="2">
        <v>0.46100000000000002</v>
      </c>
      <c r="P399" s="2">
        <v>89</v>
      </c>
      <c r="Q399" s="2">
        <v>92</v>
      </c>
      <c r="R399" s="2">
        <v>87</v>
      </c>
      <c r="S399" s="2">
        <v>90</v>
      </c>
      <c r="T399" s="2">
        <v>104</v>
      </c>
      <c r="U399" s="2">
        <v>91</v>
      </c>
      <c r="V399" s="2">
        <v>89</v>
      </c>
      <c r="W399" s="2">
        <v>109</v>
      </c>
      <c r="X399" s="2">
        <v>-18.5</v>
      </c>
      <c r="Y399" s="2">
        <v>-18.600000000000001</v>
      </c>
    </row>
    <row r="400" spans="1:25" x14ac:dyDescent="0.2">
      <c r="A400" t="s">
        <v>392</v>
      </c>
      <c r="B400" s="2">
        <v>25</v>
      </c>
      <c r="C400" t="s">
        <v>75</v>
      </c>
      <c r="D400" s="2" t="s">
        <v>42</v>
      </c>
      <c r="E400" s="2">
        <v>12</v>
      </c>
      <c r="F400" s="2">
        <v>0</v>
      </c>
      <c r="G400" s="2">
        <v>125</v>
      </c>
      <c r="H400" s="2">
        <v>0.53800000000000003</v>
      </c>
      <c r="I400" s="2">
        <v>0.60699999999999998</v>
      </c>
      <c r="J400" s="2">
        <v>0.36399999999999999</v>
      </c>
      <c r="K400" s="2">
        <v>0.59</v>
      </c>
      <c r="L400" s="2">
        <v>0.8</v>
      </c>
      <c r="M400" s="2">
        <v>0.63600000000000001</v>
      </c>
      <c r="N400" s="2">
        <v>0.38500000000000001</v>
      </c>
      <c r="O400" s="2">
        <v>0.28199999999999997</v>
      </c>
      <c r="P400" s="2">
        <v>116</v>
      </c>
      <c r="Q400" s="2">
        <v>112</v>
      </c>
      <c r="R400" s="2">
        <v>101</v>
      </c>
      <c r="S400" s="2">
        <v>109</v>
      </c>
      <c r="T400" s="2">
        <v>103</v>
      </c>
      <c r="U400" s="2">
        <v>111</v>
      </c>
      <c r="V400" s="2">
        <v>154</v>
      </c>
      <c r="W400" s="2">
        <v>67</v>
      </c>
      <c r="X400" s="2">
        <v>3.8</v>
      </c>
      <c r="Y400" s="2">
        <v>5.6</v>
      </c>
    </row>
    <row r="401" spans="1:25" x14ac:dyDescent="0.2">
      <c r="A401" t="s">
        <v>111</v>
      </c>
      <c r="B401" s="2">
        <v>27</v>
      </c>
      <c r="C401" t="s">
        <v>39</v>
      </c>
      <c r="D401" s="2" t="s">
        <v>33</v>
      </c>
      <c r="E401" s="2">
        <v>25</v>
      </c>
      <c r="F401" s="2">
        <v>0</v>
      </c>
      <c r="G401" s="2">
        <v>709</v>
      </c>
      <c r="H401" s="2">
        <v>0.48799999999999999</v>
      </c>
      <c r="I401" s="2">
        <v>0.67700000000000005</v>
      </c>
      <c r="J401" s="2">
        <v>0.432</v>
      </c>
      <c r="K401" s="2">
        <v>0.65500000000000003</v>
      </c>
      <c r="L401" s="2">
        <v>0.84099999999999997</v>
      </c>
      <c r="M401" s="2">
        <v>0.67400000000000004</v>
      </c>
      <c r="N401" s="2">
        <v>0.153</v>
      </c>
      <c r="O401" s="2">
        <v>0.77400000000000002</v>
      </c>
      <c r="P401" s="2">
        <v>105</v>
      </c>
      <c r="Q401" s="2">
        <v>125</v>
      </c>
      <c r="R401" s="2">
        <v>120</v>
      </c>
      <c r="S401" s="2">
        <v>121</v>
      </c>
      <c r="T401" s="2">
        <v>108</v>
      </c>
      <c r="U401" s="2">
        <v>117</v>
      </c>
      <c r="V401" s="2">
        <v>61</v>
      </c>
      <c r="W401" s="2">
        <v>183</v>
      </c>
      <c r="X401" s="2">
        <v>65.7</v>
      </c>
      <c r="Y401" s="2">
        <v>61</v>
      </c>
    </row>
    <row r="402" spans="1:25" x14ac:dyDescent="0.2">
      <c r="A402" t="s">
        <v>354</v>
      </c>
      <c r="B402" s="2">
        <v>23</v>
      </c>
      <c r="C402" t="s">
        <v>61</v>
      </c>
      <c r="D402" s="2" t="s">
        <v>52</v>
      </c>
      <c r="E402" s="2">
        <v>15</v>
      </c>
      <c r="F402" s="2">
        <v>0</v>
      </c>
      <c r="G402" s="2">
        <v>245</v>
      </c>
      <c r="H402" s="2">
        <v>0.54</v>
      </c>
      <c r="I402" s="2">
        <v>0.67600000000000005</v>
      </c>
      <c r="J402" s="2">
        <v>0.379</v>
      </c>
      <c r="K402" s="2">
        <v>0.627</v>
      </c>
      <c r="L402" s="2">
        <v>0.55000000000000004</v>
      </c>
      <c r="M402" s="2">
        <v>0.627</v>
      </c>
      <c r="N402" s="2">
        <v>0.317</v>
      </c>
      <c r="O402" s="2">
        <v>0.46</v>
      </c>
      <c r="P402" s="2">
        <v>116</v>
      </c>
      <c r="Q402" s="2">
        <v>125</v>
      </c>
      <c r="R402" s="2">
        <v>106</v>
      </c>
      <c r="S402" s="2">
        <v>116</v>
      </c>
      <c r="T402" s="2">
        <v>71</v>
      </c>
      <c r="U402" s="2">
        <v>109</v>
      </c>
      <c r="V402" s="2">
        <v>127</v>
      </c>
      <c r="W402" s="2">
        <v>109</v>
      </c>
      <c r="X402" s="2">
        <v>10.9</v>
      </c>
      <c r="Y402" s="2">
        <v>7.5</v>
      </c>
    </row>
    <row r="403" spans="1:25" x14ac:dyDescent="0.2">
      <c r="A403" t="s">
        <v>238</v>
      </c>
      <c r="B403" s="2">
        <v>22</v>
      </c>
      <c r="C403" t="s">
        <v>46</v>
      </c>
      <c r="D403" s="2" t="s">
        <v>49</v>
      </c>
      <c r="E403" s="2">
        <v>22</v>
      </c>
      <c r="F403" s="2">
        <v>12</v>
      </c>
      <c r="G403" s="2">
        <v>547</v>
      </c>
      <c r="H403" s="2">
        <v>0.48299999999999998</v>
      </c>
      <c r="I403" s="2">
        <v>0.54500000000000004</v>
      </c>
      <c r="J403" s="2">
        <v>0.36</v>
      </c>
      <c r="K403" s="2">
        <v>0.54400000000000004</v>
      </c>
      <c r="L403" s="2">
        <v>0.76700000000000002</v>
      </c>
      <c r="M403" s="2">
        <v>0.58099999999999996</v>
      </c>
      <c r="N403" s="2">
        <v>0.28899999999999998</v>
      </c>
      <c r="O403" s="2">
        <v>0.33600000000000002</v>
      </c>
      <c r="P403" s="2">
        <v>104</v>
      </c>
      <c r="Q403" s="2">
        <v>101</v>
      </c>
      <c r="R403" s="2">
        <v>100</v>
      </c>
      <c r="S403" s="2">
        <v>101</v>
      </c>
      <c r="T403" s="2">
        <v>99</v>
      </c>
      <c r="U403" s="2">
        <v>101</v>
      </c>
      <c r="V403" s="2">
        <v>116</v>
      </c>
      <c r="W403" s="2">
        <v>79</v>
      </c>
      <c r="X403" s="2">
        <v>0.9</v>
      </c>
      <c r="Y403" s="2">
        <v>2.1</v>
      </c>
    </row>
    <row r="404" spans="1:25" x14ac:dyDescent="0.2">
      <c r="A404" t="s">
        <v>506</v>
      </c>
      <c r="B404" s="2">
        <v>28</v>
      </c>
      <c r="C404" t="s">
        <v>51</v>
      </c>
      <c r="D404" s="2" t="s">
        <v>52</v>
      </c>
      <c r="E404" s="2">
        <v>7</v>
      </c>
      <c r="F404" s="2">
        <v>0</v>
      </c>
      <c r="G404" s="2">
        <v>30</v>
      </c>
      <c r="H404" s="2">
        <v>0.66700000000000004</v>
      </c>
      <c r="I404" s="2"/>
      <c r="J404" s="2">
        <v>0.66700000000000004</v>
      </c>
      <c r="K404" s="2">
        <v>1</v>
      </c>
      <c r="L404" s="2">
        <v>0.16700000000000001</v>
      </c>
      <c r="M404" s="2">
        <v>0.621</v>
      </c>
      <c r="N404" s="2">
        <v>2</v>
      </c>
      <c r="O404" s="2">
        <v>1</v>
      </c>
      <c r="P404" s="2">
        <v>143</v>
      </c>
      <c r="Q404" s="2"/>
      <c r="R404" s="2">
        <v>186</v>
      </c>
      <c r="S404" s="2">
        <v>185</v>
      </c>
      <c r="T404" s="2">
        <v>21</v>
      </c>
      <c r="U404" s="2">
        <v>108</v>
      </c>
      <c r="V404" s="2">
        <v>802</v>
      </c>
      <c r="W404" s="2">
        <v>237</v>
      </c>
      <c r="X404" s="2">
        <v>2.8</v>
      </c>
      <c r="Y404" s="2">
        <v>0.5</v>
      </c>
    </row>
    <row r="405" spans="1:25" x14ac:dyDescent="0.2">
      <c r="A405" t="s">
        <v>525</v>
      </c>
      <c r="B405" s="2">
        <v>22</v>
      </c>
      <c r="C405" t="s">
        <v>46</v>
      </c>
      <c r="D405" s="2" t="s">
        <v>42</v>
      </c>
      <c r="E405" s="2">
        <v>5</v>
      </c>
      <c r="F405" s="2">
        <v>0</v>
      </c>
      <c r="G405" s="2">
        <v>11</v>
      </c>
      <c r="H405" s="2">
        <v>0.4</v>
      </c>
      <c r="I405" s="2">
        <v>0.66700000000000004</v>
      </c>
      <c r="J405" s="2">
        <v>0</v>
      </c>
      <c r="K405" s="2">
        <v>0.4</v>
      </c>
      <c r="L405" s="2"/>
      <c r="M405" s="2">
        <v>0.4</v>
      </c>
      <c r="N405" s="2">
        <v>0</v>
      </c>
      <c r="O405" s="2">
        <v>0.4</v>
      </c>
      <c r="P405" s="2">
        <v>86</v>
      </c>
      <c r="Q405" s="2">
        <v>123</v>
      </c>
      <c r="R405" s="2">
        <v>0</v>
      </c>
      <c r="S405" s="2">
        <v>74</v>
      </c>
      <c r="T405" s="2"/>
      <c r="U405" s="2">
        <v>70</v>
      </c>
      <c r="V405" s="2">
        <v>0</v>
      </c>
      <c r="W405" s="2">
        <v>95</v>
      </c>
      <c r="X405" s="2">
        <v>-1.4</v>
      </c>
      <c r="Y405" s="2">
        <v>-1.7</v>
      </c>
    </row>
    <row r="406" spans="1:25" x14ac:dyDescent="0.2">
      <c r="A406" t="s">
        <v>479</v>
      </c>
      <c r="B406" s="2">
        <v>25</v>
      </c>
      <c r="C406" t="s">
        <v>44</v>
      </c>
      <c r="D406" s="2" t="s">
        <v>27</v>
      </c>
      <c r="E406" s="2">
        <v>4</v>
      </c>
      <c r="F406" s="2">
        <v>0</v>
      </c>
      <c r="G406" s="2">
        <v>75</v>
      </c>
      <c r="H406" s="2">
        <v>0.438</v>
      </c>
      <c r="I406" s="2">
        <v>0.5</v>
      </c>
      <c r="J406" s="2">
        <v>0</v>
      </c>
      <c r="K406" s="2">
        <v>0.438</v>
      </c>
      <c r="L406" s="2">
        <v>0.375</v>
      </c>
      <c r="M406" s="2">
        <v>0.435</v>
      </c>
      <c r="N406" s="2">
        <v>0.5</v>
      </c>
      <c r="O406" s="2">
        <v>0.125</v>
      </c>
      <c r="P406" s="2">
        <v>94</v>
      </c>
      <c r="Q406" s="2">
        <v>92</v>
      </c>
      <c r="R406" s="2">
        <v>0</v>
      </c>
      <c r="S406" s="2">
        <v>81</v>
      </c>
      <c r="T406" s="2">
        <v>48</v>
      </c>
      <c r="U406" s="2">
        <v>76</v>
      </c>
      <c r="V406" s="2">
        <v>201</v>
      </c>
      <c r="W406" s="2">
        <v>30</v>
      </c>
      <c r="X406" s="2">
        <v>-3.3</v>
      </c>
      <c r="Y406" s="2">
        <v>-5.4</v>
      </c>
    </row>
    <row r="407" spans="1:25" x14ac:dyDescent="0.2">
      <c r="A407" t="s">
        <v>237</v>
      </c>
      <c r="B407" s="2">
        <v>24</v>
      </c>
      <c r="C407" t="s">
        <v>63</v>
      </c>
      <c r="D407" s="2" t="s">
        <v>52</v>
      </c>
      <c r="E407" s="2">
        <v>23</v>
      </c>
      <c r="F407" s="2">
        <v>8</v>
      </c>
      <c r="G407" s="2">
        <v>468</v>
      </c>
      <c r="H407" s="2">
        <v>0.47899999999999998</v>
      </c>
      <c r="I407" s="2">
        <v>0.57599999999999996</v>
      </c>
      <c r="J407" s="2">
        <v>0.40699999999999997</v>
      </c>
      <c r="K407" s="2">
        <v>0.59599999999999997</v>
      </c>
      <c r="L407" s="2">
        <v>0.7</v>
      </c>
      <c r="M407" s="2">
        <v>0.61899999999999999</v>
      </c>
      <c r="N407" s="2">
        <v>0.28599999999999998</v>
      </c>
      <c r="O407" s="2">
        <v>0.57899999999999996</v>
      </c>
      <c r="P407" s="2">
        <v>103</v>
      </c>
      <c r="Q407" s="2">
        <v>106</v>
      </c>
      <c r="R407" s="2">
        <v>113</v>
      </c>
      <c r="S407" s="2">
        <v>110</v>
      </c>
      <c r="T407" s="2">
        <v>90</v>
      </c>
      <c r="U407" s="2">
        <v>108</v>
      </c>
      <c r="V407" s="2">
        <v>115</v>
      </c>
      <c r="W407" s="2">
        <v>137</v>
      </c>
      <c r="X407" s="2">
        <v>15.7</v>
      </c>
      <c r="Y407" s="2">
        <v>13.9</v>
      </c>
    </row>
    <row r="408" spans="1:25" x14ac:dyDescent="0.2">
      <c r="A408" t="s">
        <v>344</v>
      </c>
      <c r="B408" s="2">
        <v>26</v>
      </c>
      <c r="C408" t="s">
        <v>82</v>
      </c>
      <c r="D408" s="2" t="s">
        <v>33</v>
      </c>
      <c r="E408" s="2">
        <v>14</v>
      </c>
      <c r="F408" s="2">
        <v>7</v>
      </c>
      <c r="G408" s="2">
        <v>240</v>
      </c>
      <c r="H408" s="2">
        <v>0.52100000000000002</v>
      </c>
      <c r="I408" s="2">
        <v>0.57999999999999996</v>
      </c>
      <c r="J408" s="2">
        <v>0.39100000000000001</v>
      </c>
      <c r="K408" s="2">
        <v>0.58199999999999996</v>
      </c>
      <c r="L408" s="2">
        <v>0.70599999999999996</v>
      </c>
      <c r="M408" s="2">
        <v>0.60299999999999998</v>
      </c>
      <c r="N408" s="2">
        <v>0.23300000000000001</v>
      </c>
      <c r="O408" s="2">
        <v>0.315</v>
      </c>
      <c r="P408" s="2">
        <v>112</v>
      </c>
      <c r="Q408" s="2">
        <v>107</v>
      </c>
      <c r="R408" s="2">
        <v>109</v>
      </c>
      <c r="S408" s="2">
        <v>108</v>
      </c>
      <c r="T408" s="2">
        <v>91</v>
      </c>
      <c r="U408" s="2">
        <v>105</v>
      </c>
      <c r="V408" s="2">
        <v>93</v>
      </c>
      <c r="W408" s="2">
        <v>75</v>
      </c>
      <c r="X408" s="2">
        <v>6.1</v>
      </c>
      <c r="Y408" s="2">
        <v>4.5</v>
      </c>
    </row>
    <row r="409" spans="1:25" x14ac:dyDescent="0.2">
      <c r="A409" t="s">
        <v>539</v>
      </c>
      <c r="B409" s="2">
        <v>23</v>
      </c>
      <c r="C409" t="s">
        <v>41</v>
      </c>
      <c r="D409" s="2" t="s">
        <v>33</v>
      </c>
      <c r="E409" s="2">
        <v>1</v>
      </c>
      <c r="F409" s="2">
        <v>0</v>
      </c>
      <c r="G409" s="2">
        <v>8</v>
      </c>
      <c r="H409" s="2">
        <v>0.33300000000000002</v>
      </c>
      <c r="I409" s="2"/>
      <c r="J409" s="2">
        <v>0.33300000000000002</v>
      </c>
      <c r="K409" s="2">
        <v>0.5</v>
      </c>
      <c r="L409" s="2"/>
      <c r="M409" s="2">
        <v>0.5</v>
      </c>
      <c r="N409" s="2">
        <v>0</v>
      </c>
      <c r="O409" s="2">
        <v>1</v>
      </c>
      <c r="P409" s="2">
        <v>72</v>
      </c>
      <c r="Q409" s="2"/>
      <c r="R409" s="2">
        <v>93</v>
      </c>
      <c r="S409" s="2">
        <v>93</v>
      </c>
      <c r="T409" s="2"/>
      <c r="U409" s="2">
        <v>87</v>
      </c>
      <c r="V409" s="2">
        <v>0</v>
      </c>
      <c r="W409" s="2">
        <v>237</v>
      </c>
      <c r="X409" s="2">
        <v>-0.2</v>
      </c>
      <c r="Y409" s="2">
        <v>-0.4</v>
      </c>
    </row>
    <row r="410" spans="1:25" x14ac:dyDescent="0.2">
      <c r="A410" t="s">
        <v>374</v>
      </c>
      <c r="B410" s="2">
        <v>20</v>
      </c>
      <c r="C410" t="s">
        <v>135</v>
      </c>
      <c r="D410" s="2" t="s">
        <v>52</v>
      </c>
      <c r="E410" s="2">
        <v>21</v>
      </c>
      <c r="F410" s="2">
        <v>0</v>
      </c>
      <c r="G410" s="2">
        <v>223</v>
      </c>
      <c r="H410" s="2">
        <v>0.438</v>
      </c>
      <c r="I410" s="2">
        <v>0.54300000000000004</v>
      </c>
      <c r="J410" s="2">
        <v>0.31</v>
      </c>
      <c r="K410" s="2">
        <v>0.50800000000000001</v>
      </c>
      <c r="L410" s="2">
        <v>0.66700000000000004</v>
      </c>
      <c r="M410" s="2">
        <v>0.52700000000000002</v>
      </c>
      <c r="N410" s="2">
        <v>0.188</v>
      </c>
      <c r="O410" s="2">
        <v>0.45300000000000001</v>
      </c>
      <c r="P410" s="2">
        <v>94</v>
      </c>
      <c r="Q410" s="2">
        <v>100</v>
      </c>
      <c r="R410" s="2">
        <v>86</v>
      </c>
      <c r="S410" s="2">
        <v>94</v>
      </c>
      <c r="T410" s="2">
        <v>86</v>
      </c>
      <c r="U410" s="2">
        <v>92</v>
      </c>
      <c r="V410" s="2">
        <v>75</v>
      </c>
      <c r="W410" s="2">
        <v>107</v>
      </c>
      <c r="X410" s="2">
        <v>-4.2</v>
      </c>
      <c r="Y410" s="2">
        <v>-6.6</v>
      </c>
    </row>
    <row r="411" spans="1:25" x14ac:dyDescent="0.2">
      <c r="A411" t="s">
        <v>543</v>
      </c>
      <c r="B411" s="2">
        <v>23</v>
      </c>
      <c r="C411" t="s">
        <v>100</v>
      </c>
      <c r="D411" s="2" t="s">
        <v>33</v>
      </c>
      <c r="E411" s="2">
        <v>2</v>
      </c>
      <c r="F411" s="2">
        <v>0</v>
      </c>
      <c r="G411" s="2">
        <v>4</v>
      </c>
      <c r="H411" s="2">
        <v>1</v>
      </c>
      <c r="I411" s="2">
        <v>1</v>
      </c>
      <c r="J411" s="2"/>
      <c r="K411" s="2">
        <v>1</v>
      </c>
      <c r="L411" s="2"/>
      <c r="M411" s="2">
        <v>1</v>
      </c>
      <c r="N411" s="2">
        <v>0</v>
      </c>
      <c r="O411" s="2">
        <v>0</v>
      </c>
      <c r="P411" s="2">
        <v>215</v>
      </c>
      <c r="Q411" s="2">
        <v>185</v>
      </c>
      <c r="R411" s="2"/>
      <c r="S411" s="2">
        <v>185</v>
      </c>
      <c r="T411" s="2"/>
      <c r="U411" s="2">
        <v>174</v>
      </c>
      <c r="V411" s="2">
        <v>0</v>
      </c>
      <c r="W411" s="2">
        <v>0</v>
      </c>
      <c r="X411" s="2">
        <v>0.9</v>
      </c>
      <c r="Y411" s="2">
        <v>0.9</v>
      </c>
    </row>
    <row r="412" spans="1:25" x14ac:dyDescent="0.2">
      <c r="A412" t="s">
        <v>352</v>
      </c>
      <c r="B412" s="2">
        <v>20</v>
      </c>
      <c r="C412" t="s">
        <v>87</v>
      </c>
      <c r="D412" s="2" t="s">
        <v>33</v>
      </c>
      <c r="E412" s="2">
        <v>24</v>
      </c>
      <c r="F412" s="2">
        <v>0</v>
      </c>
      <c r="G412" s="2">
        <v>282</v>
      </c>
      <c r="H412" s="2">
        <v>0.35699999999999998</v>
      </c>
      <c r="I412" s="2">
        <v>0.42899999999999999</v>
      </c>
      <c r="J412" s="2">
        <v>0.30399999999999999</v>
      </c>
      <c r="K412" s="2">
        <v>0.44400000000000001</v>
      </c>
      <c r="L412" s="2">
        <v>1</v>
      </c>
      <c r="M412" s="2">
        <v>0.45600000000000002</v>
      </c>
      <c r="N412" s="2">
        <v>4.1000000000000002E-2</v>
      </c>
      <c r="O412" s="2">
        <v>0.57099999999999995</v>
      </c>
      <c r="P412" s="2">
        <v>77</v>
      </c>
      <c r="Q412" s="2">
        <v>79</v>
      </c>
      <c r="R412" s="2">
        <v>85</v>
      </c>
      <c r="S412" s="2">
        <v>82</v>
      </c>
      <c r="T412" s="2">
        <v>129</v>
      </c>
      <c r="U412" s="2">
        <v>79</v>
      </c>
      <c r="V412" s="2">
        <v>16</v>
      </c>
      <c r="W412" s="2">
        <v>135</v>
      </c>
      <c r="X412" s="2">
        <v>-18.899999999999999</v>
      </c>
      <c r="Y412" s="2">
        <v>-23.6</v>
      </c>
    </row>
    <row r="413" spans="1:25" x14ac:dyDescent="0.2">
      <c r="A413" t="s">
        <v>416</v>
      </c>
      <c r="B413" s="2">
        <v>34</v>
      </c>
      <c r="C413" t="s">
        <v>122</v>
      </c>
      <c r="D413" s="2" t="s">
        <v>33</v>
      </c>
      <c r="E413" s="2">
        <v>10</v>
      </c>
      <c r="F413" s="2">
        <v>0</v>
      </c>
      <c r="G413" s="2">
        <v>119</v>
      </c>
      <c r="H413" s="2">
        <v>0.41</v>
      </c>
      <c r="I413" s="2">
        <v>0.35699999999999998</v>
      </c>
      <c r="J413" s="2">
        <v>0.44</v>
      </c>
      <c r="K413" s="2">
        <v>0.55100000000000005</v>
      </c>
      <c r="L413" s="2"/>
      <c r="M413" s="2">
        <v>0.55100000000000005</v>
      </c>
      <c r="N413" s="2">
        <v>0</v>
      </c>
      <c r="O413" s="2">
        <v>0.64100000000000001</v>
      </c>
      <c r="P413" s="2">
        <v>88</v>
      </c>
      <c r="Q413" s="2">
        <v>66</v>
      </c>
      <c r="R413" s="2">
        <v>123</v>
      </c>
      <c r="S413" s="2">
        <v>102</v>
      </c>
      <c r="T413" s="2"/>
      <c r="U413" s="2">
        <v>96</v>
      </c>
      <c r="V413" s="2">
        <v>0</v>
      </c>
      <c r="W413" s="2">
        <v>152</v>
      </c>
      <c r="X413" s="2">
        <v>0.8</v>
      </c>
      <c r="Y413" s="2">
        <v>-1.8</v>
      </c>
    </row>
    <row r="414" spans="1:25" x14ac:dyDescent="0.2">
      <c r="A414" t="s">
        <v>493</v>
      </c>
      <c r="B414" s="2">
        <v>31</v>
      </c>
      <c r="C414" t="s">
        <v>114</v>
      </c>
      <c r="D414" s="2" t="s">
        <v>27</v>
      </c>
      <c r="E414" s="2">
        <v>3</v>
      </c>
      <c r="F414" s="2">
        <v>0</v>
      </c>
      <c r="G414" s="2">
        <v>20</v>
      </c>
      <c r="H414" s="2">
        <v>0.5</v>
      </c>
      <c r="I414" s="2">
        <v>0.55600000000000005</v>
      </c>
      <c r="J414" s="2">
        <v>0</v>
      </c>
      <c r="K414" s="2">
        <v>0.5</v>
      </c>
      <c r="L414" s="2">
        <v>1</v>
      </c>
      <c r="M414" s="2">
        <v>0.55100000000000005</v>
      </c>
      <c r="N414" s="2">
        <v>0.2</v>
      </c>
      <c r="O414" s="2">
        <v>0.1</v>
      </c>
      <c r="P414" s="2">
        <v>108</v>
      </c>
      <c r="Q414" s="2">
        <v>103</v>
      </c>
      <c r="R414" s="2">
        <v>0</v>
      </c>
      <c r="S414" s="2">
        <v>93</v>
      </c>
      <c r="T414" s="2">
        <v>129</v>
      </c>
      <c r="U414" s="2">
        <v>96</v>
      </c>
      <c r="V414" s="2">
        <v>80</v>
      </c>
      <c r="W414" s="2">
        <v>24</v>
      </c>
      <c r="X414" s="2">
        <v>-0.8</v>
      </c>
      <c r="Y414" s="2">
        <v>-0.5</v>
      </c>
    </row>
    <row r="415" spans="1:25" x14ac:dyDescent="0.2">
      <c r="A415" t="s">
        <v>369</v>
      </c>
      <c r="B415" s="2">
        <v>23</v>
      </c>
      <c r="C415" t="s">
        <v>122</v>
      </c>
      <c r="D415" s="2" t="s">
        <v>49</v>
      </c>
      <c r="E415" s="2">
        <v>17</v>
      </c>
      <c r="F415" s="2">
        <v>0</v>
      </c>
      <c r="G415" s="2">
        <v>200</v>
      </c>
      <c r="H415" s="2">
        <v>0.41</v>
      </c>
      <c r="I415" s="2">
        <v>0.52900000000000003</v>
      </c>
      <c r="J415" s="2">
        <v>0.25900000000000001</v>
      </c>
      <c r="K415" s="2">
        <v>0.46700000000000003</v>
      </c>
      <c r="L415" s="2">
        <v>0.85699999999999998</v>
      </c>
      <c r="M415" s="2">
        <v>0.53400000000000003</v>
      </c>
      <c r="N415" s="2">
        <v>0.34399999999999997</v>
      </c>
      <c r="O415" s="2">
        <v>0.443</v>
      </c>
      <c r="P415" s="2">
        <v>88</v>
      </c>
      <c r="Q415" s="2">
        <v>98</v>
      </c>
      <c r="R415" s="2">
        <v>72</v>
      </c>
      <c r="S415" s="2">
        <v>86</v>
      </c>
      <c r="T415" s="2">
        <v>110</v>
      </c>
      <c r="U415" s="2">
        <v>93</v>
      </c>
      <c r="V415" s="2">
        <v>138</v>
      </c>
      <c r="W415" s="2">
        <v>105</v>
      </c>
      <c r="X415" s="2">
        <v>-8.9</v>
      </c>
      <c r="Y415" s="2">
        <v>-5.7</v>
      </c>
    </row>
    <row r="416" spans="1:25" x14ac:dyDescent="0.2">
      <c r="A416" t="s">
        <v>565</v>
      </c>
      <c r="B416" s="2">
        <v>24</v>
      </c>
      <c r="C416" t="s">
        <v>93</v>
      </c>
      <c r="D416" s="2" t="s">
        <v>49</v>
      </c>
      <c r="E416" s="2">
        <v>1</v>
      </c>
      <c r="F416" s="2">
        <v>0</v>
      </c>
      <c r="G416" s="2">
        <v>7</v>
      </c>
      <c r="H416" s="2">
        <v>0</v>
      </c>
      <c r="I416" s="2"/>
      <c r="J416" s="2">
        <v>0</v>
      </c>
      <c r="K416" s="2">
        <v>0</v>
      </c>
      <c r="L416" s="2"/>
      <c r="M416" s="2">
        <v>0</v>
      </c>
      <c r="N416" s="2">
        <v>0</v>
      </c>
      <c r="O416" s="2">
        <v>1</v>
      </c>
      <c r="P416" s="2">
        <v>0</v>
      </c>
      <c r="Q416" s="2"/>
      <c r="R416" s="2">
        <v>0</v>
      </c>
      <c r="S416" s="2">
        <v>0</v>
      </c>
      <c r="T416" s="2"/>
      <c r="U416" s="2">
        <v>0</v>
      </c>
      <c r="V416" s="2">
        <v>0</v>
      </c>
      <c r="W416" s="2">
        <v>237</v>
      </c>
      <c r="X416" s="2">
        <v>-1.1000000000000001</v>
      </c>
      <c r="Y416" s="2">
        <v>-1.1000000000000001</v>
      </c>
    </row>
    <row r="417" spans="1:25" x14ac:dyDescent="0.2">
      <c r="A417" t="s">
        <v>65</v>
      </c>
      <c r="B417" s="2">
        <v>24</v>
      </c>
      <c r="C417" t="s">
        <v>66</v>
      </c>
      <c r="D417" s="2" t="s">
        <v>52</v>
      </c>
      <c r="E417" s="2">
        <v>23</v>
      </c>
      <c r="F417" s="2">
        <v>23</v>
      </c>
      <c r="G417" s="2">
        <v>787</v>
      </c>
      <c r="H417" s="2">
        <v>0.45500000000000002</v>
      </c>
      <c r="I417" s="2">
        <v>0.503</v>
      </c>
      <c r="J417" s="2">
        <v>0.34599999999999997</v>
      </c>
      <c r="K417" s="2">
        <v>0.50800000000000001</v>
      </c>
      <c r="L417" s="2">
        <v>0.71399999999999997</v>
      </c>
      <c r="M417" s="2">
        <v>0.54400000000000004</v>
      </c>
      <c r="N417" s="2">
        <v>0.309</v>
      </c>
      <c r="O417" s="2">
        <v>0.309</v>
      </c>
      <c r="P417" s="2">
        <v>98</v>
      </c>
      <c r="Q417" s="2">
        <v>93</v>
      </c>
      <c r="R417" s="2">
        <v>96</v>
      </c>
      <c r="S417" s="2">
        <v>94</v>
      </c>
      <c r="T417" s="2">
        <v>92</v>
      </c>
      <c r="U417" s="2">
        <v>95</v>
      </c>
      <c r="V417" s="2">
        <v>124</v>
      </c>
      <c r="W417" s="2">
        <v>73</v>
      </c>
      <c r="X417" s="2">
        <v>-27.9</v>
      </c>
      <c r="Y417" s="2">
        <v>-29.4</v>
      </c>
    </row>
    <row r="418" spans="1:25" x14ac:dyDescent="0.2">
      <c r="A418" t="s">
        <v>417</v>
      </c>
      <c r="B418" s="2">
        <v>20</v>
      </c>
      <c r="C418" t="s">
        <v>51</v>
      </c>
      <c r="D418" s="2" t="s">
        <v>33</v>
      </c>
      <c r="E418" s="2">
        <v>11</v>
      </c>
      <c r="F418" s="2">
        <v>0</v>
      </c>
      <c r="G418" s="2">
        <v>92</v>
      </c>
      <c r="H418" s="2">
        <v>0.5</v>
      </c>
      <c r="I418" s="2">
        <v>0.5</v>
      </c>
      <c r="J418" s="2">
        <v>0.5</v>
      </c>
      <c r="K418" s="2">
        <v>0.58299999999999996</v>
      </c>
      <c r="L418" s="2"/>
      <c r="M418" s="2">
        <v>0.58299999999999996</v>
      </c>
      <c r="N418" s="2">
        <v>0</v>
      </c>
      <c r="O418" s="2">
        <v>0.33300000000000002</v>
      </c>
      <c r="P418" s="2">
        <v>108</v>
      </c>
      <c r="Q418" s="2">
        <v>92</v>
      </c>
      <c r="R418" s="2">
        <v>139</v>
      </c>
      <c r="S418" s="2">
        <v>108</v>
      </c>
      <c r="T418" s="2"/>
      <c r="U418" s="2">
        <v>102</v>
      </c>
      <c r="V418" s="2">
        <v>0</v>
      </c>
      <c r="W418" s="2">
        <v>79</v>
      </c>
      <c r="X418" s="2">
        <v>3.1</v>
      </c>
      <c r="Y418" s="2">
        <v>0.6</v>
      </c>
    </row>
    <row r="419" spans="1:25" x14ac:dyDescent="0.2">
      <c r="A419" t="s">
        <v>381</v>
      </c>
      <c r="B419" s="2">
        <v>27</v>
      </c>
      <c r="C419" t="s">
        <v>135</v>
      </c>
      <c r="D419" s="2" t="s">
        <v>42</v>
      </c>
      <c r="E419" s="2">
        <v>7</v>
      </c>
      <c r="F419" s="2">
        <v>1</v>
      </c>
      <c r="G419" s="2">
        <v>131</v>
      </c>
      <c r="H419" s="2">
        <v>0.71099999999999997</v>
      </c>
      <c r="I419" s="2">
        <v>0.72199999999999998</v>
      </c>
      <c r="J419" s="2">
        <v>0.5</v>
      </c>
      <c r="K419" s="2">
        <v>0.72399999999999998</v>
      </c>
      <c r="L419" s="2">
        <v>0.92300000000000004</v>
      </c>
      <c r="M419" s="2">
        <v>0.76600000000000001</v>
      </c>
      <c r="N419" s="2">
        <v>0.34200000000000003</v>
      </c>
      <c r="O419" s="2">
        <v>5.2999999999999999E-2</v>
      </c>
      <c r="P419" s="2">
        <v>153</v>
      </c>
      <c r="Q419" s="2">
        <v>133</v>
      </c>
      <c r="R419" s="2">
        <v>139</v>
      </c>
      <c r="S419" s="2">
        <v>134</v>
      </c>
      <c r="T419" s="2">
        <v>119</v>
      </c>
      <c r="U419" s="2">
        <v>133</v>
      </c>
      <c r="V419" s="2">
        <v>137</v>
      </c>
      <c r="W419" s="2">
        <v>12</v>
      </c>
      <c r="X419" s="2">
        <v>13.9</v>
      </c>
      <c r="Y419" s="2">
        <v>16.8</v>
      </c>
    </row>
    <row r="420" spans="1:25" x14ac:dyDescent="0.2">
      <c r="A420" t="s">
        <v>267</v>
      </c>
      <c r="B420" s="2">
        <v>19</v>
      </c>
      <c r="C420" t="s">
        <v>75</v>
      </c>
      <c r="D420" s="2" t="s">
        <v>49</v>
      </c>
      <c r="E420" s="2">
        <v>26</v>
      </c>
      <c r="F420" s="2">
        <v>1</v>
      </c>
      <c r="G420" s="2">
        <v>418</v>
      </c>
      <c r="H420" s="2">
        <v>0.46100000000000002</v>
      </c>
      <c r="I420" s="2">
        <v>0.628</v>
      </c>
      <c r="J420" s="2">
        <v>0.2</v>
      </c>
      <c r="K420" s="2">
        <v>0.5</v>
      </c>
      <c r="L420" s="2">
        <v>0.8</v>
      </c>
      <c r="M420" s="2">
        <v>0.53500000000000003</v>
      </c>
      <c r="N420" s="2">
        <v>0.21299999999999999</v>
      </c>
      <c r="O420" s="2">
        <v>0.39</v>
      </c>
      <c r="P420" s="2">
        <v>99</v>
      </c>
      <c r="Q420" s="2">
        <v>116</v>
      </c>
      <c r="R420" s="2">
        <v>56</v>
      </c>
      <c r="S420" s="2">
        <v>93</v>
      </c>
      <c r="T420" s="2">
        <v>103</v>
      </c>
      <c r="U420" s="2">
        <v>93</v>
      </c>
      <c r="V420" s="2">
        <v>85</v>
      </c>
      <c r="W420" s="2">
        <v>92</v>
      </c>
      <c r="X420" s="2">
        <v>-11.4</v>
      </c>
      <c r="Y420" s="2">
        <v>-12.2</v>
      </c>
    </row>
    <row r="421" spans="1:25" x14ac:dyDescent="0.2">
      <c r="A421" t="s">
        <v>190</v>
      </c>
      <c r="B421" s="2">
        <v>31</v>
      </c>
      <c r="C421" t="s">
        <v>54</v>
      </c>
      <c r="D421" s="2" t="s">
        <v>49</v>
      </c>
      <c r="E421" s="2">
        <v>23</v>
      </c>
      <c r="F421" s="2">
        <v>5</v>
      </c>
      <c r="G421" s="2">
        <v>595</v>
      </c>
      <c r="H421" s="2">
        <v>0.44900000000000001</v>
      </c>
      <c r="I421" s="2">
        <v>0.44900000000000001</v>
      </c>
      <c r="J421" s="2">
        <v>0.44900000000000001</v>
      </c>
      <c r="K421" s="2">
        <v>0.59399999999999997</v>
      </c>
      <c r="L421" s="2">
        <v>0.76200000000000001</v>
      </c>
      <c r="M421" s="2">
        <v>0.60699999999999998</v>
      </c>
      <c r="N421" s="2">
        <v>0.107</v>
      </c>
      <c r="O421" s="2">
        <v>0.64800000000000002</v>
      </c>
      <c r="P421" s="2">
        <v>97</v>
      </c>
      <c r="Q421" s="2">
        <v>83</v>
      </c>
      <c r="R421" s="2">
        <v>125</v>
      </c>
      <c r="S421" s="2">
        <v>110</v>
      </c>
      <c r="T421" s="2">
        <v>98</v>
      </c>
      <c r="U421" s="2">
        <v>106</v>
      </c>
      <c r="V421" s="2">
        <v>43</v>
      </c>
      <c r="W421" s="2">
        <v>153</v>
      </c>
      <c r="X421" s="2">
        <v>21.1</v>
      </c>
      <c r="Y421" s="2">
        <v>13.2</v>
      </c>
    </row>
    <row r="422" spans="1:25" x14ac:dyDescent="0.2">
      <c r="A422" t="s">
        <v>197</v>
      </c>
      <c r="B422" s="2">
        <v>32</v>
      </c>
      <c r="C422" t="s">
        <v>51</v>
      </c>
      <c r="D422" s="2" t="s">
        <v>42</v>
      </c>
      <c r="E422" s="2">
        <v>23</v>
      </c>
      <c r="F422" s="2">
        <v>23</v>
      </c>
      <c r="G422" s="2">
        <v>788</v>
      </c>
      <c r="H422" s="2">
        <v>0.64700000000000002</v>
      </c>
      <c r="I422" s="2">
        <v>0.64700000000000002</v>
      </c>
      <c r="J422" s="2"/>
      <c r="K422" s="2">
        <v>0.64700000000000002</v>
      </c>
      <c r="L422" s="2">
        <v>0.78800000000000003</v>
      </c>
      <c r="M422" s="2">
        <v>0.69699999999999995</v>
      </c>
      <c r="N422" s="2">
        <v>0.57599999999999996</v>
      </c>
      <c r="O422" s="2">
        <v>0</v>
      </c>
      <c r="P422" s="2">
        <v>139</v>
      </c>
      <c r="Q422" s="2">
        <v>119</v>
      </c>
      <c r="R422" s="2"/>
      <c r="S422" s="2">
        <v>120</v>
      </c>
      <c r="T422" s="2">
        <v>101</v>
      </c>
      <c r="U422" s="2">
        <v>121</v>
      </c>
      <c r="V422" s="2">
        <v>231</v>
      </c>
      <c r="W422" s="2">
        <v>0</v>
      </c>
      <c r="X422" s="2">
        <v>29.7</v>
      </c>
      <c r="Y422" s="2">
        <v>42.9</v>
      </c>
    </row>
    <row r="423" spans="1:25" x14ac:dyDescent="0.2">
      <c r="A423" t="s">
        <v>202</v>
      </c>
      <c r="B423" s="2">
        <v>26</v>
      </c>
      <c r="C423" t="s">
        <v>41</v>
      </c>
      <c r="D423" s="2" t="s">
        <v>27</v>
      </c>
      <c r="E423" s="2">
        <v>19</v>
      </c>
      <c r="F423" s="2">
        <v>19</v>
      </c>
      <c r="G423" s="2">
        <v>616</v>
      </c>
      <c r="H423" s="2">
        <v>0.5</v>
      </c>
      <c r="I423" s="2">
        <v>0.52200000000000002</v>
      </c>
      <c r="J423" s="2">
        <v>0.46300000000000002</v>
      </c>
      <c r="K423" s="2">
        <v>0.58599999999999997</v>
      </c>
      <c r="L423" s="2">
        <v>0.85299999999999998</v>
      </c>
      <c r="M423" s="2">
        <v>0.61599999999999999</v>
      </c>
      <c r="N423" s="2">
        <v>0.189</v>
      </c>
      <c r="O423" s="2">
        <v>0.372</v>
      </c>
      <c r="P423" s="2">
        <v>108</v>
      </c>
      <c r="Q423" s="2">
        <v>96</v>
      </c>
      <c r="R423" s="2">
        <v>129</v>
      </c>
      <c r="S423" s="2">
        <v>108</v>
      </c>
      <c r="T423" s="2">
        <v>110</v>
      </c>
      <c r="U423" s="2">
        <v>107</v>
      </c>
      <c r="V423" s="2">
        <v>76</v>
      </c>
      <c r="W423" s="2">
        <v>88</v>
      </c>
      <c r="X423" s="2">
        <v>16.399999999999999</v>
      </c>
      <c r="Y423" s="2">
        <v>16</v>
      </c>
    </row>
    <row r="424" spans="1:25" x14ac:dyDescent="0.2">
      <c r="A424" t="s">
        <v>191</v>
      </c>
      <c r="B424" s="2">
        <v>36</v>
      </c>
      <c r="C424" t="s">
        <v>46</v>
      </c>
      <c r="D424" s="2" t="s">
        <v>33</v>
      </c>
      <c r="E424" s="2">
        <v>22</v>
      </c>
      <c r="F424" s="2">
        <v>5</v>
      </c>
      <c r="G424" s="2">
        <v>545</v>
      </c>
      <c r="H424" s="2">
        <v>0.39900000000000002</v>
      </c>
      <c r="I424" s="2">
        <v>0.42899999999999999</v>
      </c>
      <c r="J424" s="2">
        <v>0.35</v>
      </c>
      <c r="K424" s="2">
        <v>0.46500000000000002</v>
      </c>
      <c r="L424" s="2">
        <v>0.63800000000000001</v>
      </c>
      <c r="M424" s="2">
        <v>0.502</v>
      </c>
      <c r="N424" s="2">
        <v>0.376</v>
      </c>
      <c r="O424" s="2">
        <v>0.376</v>
      </c>
      <c r="P424" s="2">
        <v>86</v>
      </c>
      <c r="Q424" s="2">
        <v>79</v>
      </c>
      <c r="R424" s="2">
        <v>97</v>
      </c>
      <c r="S424" s="2">
        <v>86</v>
      </c>
      <c r="T424" s="2">
        <v>82</v>
      </c>
      <c r="U424" s="2">
        <v>87</v>
      </c>
      <c r="V424" s="2">
        <v>151</v>
      </c>
      <c r="W424" s="2">
        <v>89</v>
      </c>
      <c r="X424" s="2">
        <v>-32.299999999999997</v>
      </c>
      <c r="Y424" s="2">
        <v>-36.200000000000003</v>
      </c>
    </row>
    <row r="425" spans="1:25" x14ac:dyDescent="0.2">
      <c r="A425" t="s">
        <v>318</v>
      </c>
      <c r="B425" s="2">
        <v>22</v>
      </c>
      <c r="C425" t="s">
        <v>54</v>
      </c>
      <c r="D425" s="2" t="s">
        <v>49</v>
      </c>
      <c r="E425" s="2">
        <v>19</v>
      </c>
      <c r="F425" s="2">
        <v>9</v>
      </c>
      <c r="G425" s="2">
        <v>339</v>
      </c>
      <c r="H425" s="2">
        <v>0.40899999999999997</v>
      </c>
      <c r="I425" s="2">
        <v>0.59</v>
      </c>
      <c r="J425" s="2">
        <v>0.31</v>
      </c>
      <c r="K425" s="2">
        <v>0.50900000000000001</v>
      </c>
      <c r="L425" s="2">
        <v>0.25</v>
      </c>
      <c r="M425" s="2">
        <v>0.502</v>
      </c>
      <c r="N425" s="2">
        <v>7.2999999999999995E-2</v>
      </c>
      <c r="O425" s="2">
        <v>0.64500000000000002</v>
      </c>
      <c r="P425" s="2">
        <v>88</v>
      </c>
      <c r="Q425" s="2">
        <v>109</v>
      </c>
      <c r="R425" s="2">
        <v>86</v>
      </c>
      <c r="S425" s="2">
        <v>94</v>
      </c>
      <c r="T425" s="2">
        <v>32</v>
      </c>
      <c r="U425" s="2">
        <v>87</v>
      </c>
      <c r="V425" s="2">
        <v>29</v>
      </c>
      <c r="W425" s="2">
        <v>153</v>
      </c>
      <c r="X425" s="2">
        <v>-6.9</v>
      </c>
      <c r="Y425" s="2">
        <v>-16.399999999999999</v>
      </c>
    </row>
    <row r="426" spans="1:25" x14ac:dyDescent="0.2">
      <c r="A426" t="s">
        <v>439</v>
      </c>
      <c r="B426" s="2">
        <v>22</v>
      </c>
      <c r="C426" t="s">
        <v>35</v>
      </c>
      <c r="D426" s="2" t="s">
        <v>33</v>
      </c>
      <c r="E426" s="2">
        <v>11</v>
      </c>
      <c r="F426" s="2">
        <v>1</v>
      </c>
      <c r="G426" s="2">
        <v>72</v>
      </c>
      <c r="H426" s="2">
        <v>0.4</v>
      </c>
      <c r="I426" s="2">
        <v>0.308</v>
      </c>
      <c r="J426" s="2">
        <v>0.5</v>
      </c>
      <c r="K426" s="2">
        <v>0.52</v>
      </c>
      <c r="L426" s="2">
        <v>0.83299999999999996</v>
      </c>
      <c r="M426" s="2">
        <v>0.56100000000000005</v>
      </c>
      <c r="N426" s="2">
        <v>0.24</v>
      </c>
      <c r="O426" s="2">
        <v>0.48</v>
      </c>
      <c r="P426" s="2">
        <v>86</v>
      </c>
      <c r="Q426" s="2">
        <v>57</v>
      </c>
      <c r="R426" s="2">
        <v>139</v>
      </c>
      <c r="S426" s="2">
        <v>96</v>
      </c>
      <c r="T426" s="2">
        <v>107</v>
      </c>
      <c r="U426" s="2">
        <v>98</v>
      </c>
      <c r="V426" s="2">
        <v>96</v>
      </c>
      <c r="W426" s="2">
        <v>114</v>
      </c>
      <c r="X426" s="2">
        <v>-1</v>
      </c>
      <c r="Y426" s="2">
        <v>-0.8</v>
      </c>
    </row>
    <row r="427" spans="1:25" x14ac:dyDescent="0.2">
      <c r="A427" t="s">
        <v>262</v>
      </c>
      <c r="B427" s="2">
        <v>27</v>
      </c>
      <c r="C427" t="s">
        <v>39</v>
      </c>
      <c r="D427" s="2" t="s">
        <v>27</v>
      </c>
      <c r="E427" s="2">
        <v>20</v>
      </c>
      <c r="F427" s="2">
        <v>2</v>
      </c>
      <c r="G427" s="2">
        <v>443</v>
      </c>
      <c r="H427" s="2">
        <v>0.44</v>
      </c>
      <c r="I427" s="2">
        <v>0.79200000000000004</v>
      </c>
      <c r="J427" s="2">
        <v>0.36799999999999999</v>
      </c>
      <c r="K427" s="2">
        <v>0.59199999999999997</v>
      </c>
      <c r="L427" s="2">
        <v>1</v>
      </c>
      <c r="M427" s="2">
        <v>0.59599999999999997</v>
      </c>
      <c r="N427" s="2">
        <v>1.4E-2</v>
      </c>
      <c r="O427" s="2">
        <v>0.83</v>
      </c>
      <c r="P427" s="2">
        <v>95</v>
      </c>
      <c r="Q427" s="2">
        <v>146</v>
      </c>
      <c r="R427" s="2">
        <v>102</v>
      </c>
      <c r="S427" s="2">
        <v>110</v>
      </c>
      <c r="T427" s="2">
        <v>129</v>
      </c>
      <c r="U427" s="2">
        <v>104</v>
      </c>
      <c r="V427" s="2">
        <v>6</v>
      </c>
      <c r="W427" s="2">
        <v>196</v>
      </c>
      <c r="X427" s="2">
        <v>14.6</v>
      </c>
      <c r="Y427" s="2">
        <v>6</v>
      </c>
    </row>
    <row r="428" spans="1:25" x14ac:dyDescent="0.2">
      <c r="A428" t="s">
        <v>281</v>
      </c>
      <c r="B428" s="2">
        <v>28</v>
      </c>
      <c r="C428" t="s">
        <v>57</v>
      </c>
      <c r="D428" s="2" t="s">
        <v>52</v>
      </c>
      <c r="E428" s="2">
        <v>21</v>
      </c>
      <c r="F428" s="2">
        <v>1</v>
      </c>
      <c r="G428" s="2">
        <v>417</v>
      </c>
      <c r="H428" s="2">
        <v>0.39700000000000002</v>
      </c>
      <c r="I428" s="2">
        <v>0.70599999999999996</v>
      </c>
      <c r="J428" s="2">
        <v>0.34899999999999998</v>
      </c>
      <c r="K428" s="2">
        <v>0.54800000000000004</v>
      </c>
      <c r="L428" s="2">
        <v>0.91700000000000004</v>
      </c>
      <c r="M428" s="2">
        <v>0.56699999999999995</v>
      </c>
      <c r="N428" s="2">
        <v>9.5000000000000001E-2</v>
      </c>
      <c r="O428" s="2">
        <v>0.86499999999999999</v>
      </c>
      <c r="P428" s="2">
        <v>85</v>
      </c>
      <c r="Q428" s="2">
        <v>130</v>
      </c>
      <c r="R428" s="2">
        <v>97</v>
      </c>
      <c r="S428" s="2">
        <v>101</v>
      </c>
      <c r="T428" s="2">
        <v>118</v>
      </c>
      <c r="U428" s="2">
        <v>99</v>
      </c>
      <c r="V428" s="2">
        <v>38</v>
      </c>
      <c r="W428" s="2">
        <v>205</v>
      </c>
      <c r="X428" s="2">
        <v>1.8</v>
      </c>
      <c r="Y428" s="2">
        <v>-1.8</v>
      </c>
    </row>
    <row r="429" spans="1:25" x14ac:dyDescent="0.2">
      <c r="A429" t="s">
        <v>360</v>
      </c>
      <c r="B429" s="2">
        <v>25</v>
      </c>
      <c r="C429" t="s">
        <v>93</v>
      </c>
      <c r="D429" s="2" t="s">
        <v>27</v>
      </c>
      <c r="E429" s="2">
        <v>17</v>
      </c>
      <c r="F429" s="2">
        <v>0</v>
      </c>
      <c r="G429" s="2">
        <v>160</v>
      </c>
      <c r="H429" s="2">
        <v>0.56899999999999995</v>
      </c>
      <c r="I429" s="2">
        <v>0.81299999999999994</v>
      </c>
      <c r="J429" s="2">
        <v>0.45700000000000002</v>
      </c>
      <c r="K429" s="2">
        <v>0.72499999999999998</v>
      </c>
      <c r="L429" s="2">
        <v>0.73299999999999998</v>
      </c>
      <c r="M429" s="2">
        <v>0.73799999999999999</v>
      </c>
      <c r="N429" s="2">
        <v>0.29399999999999998</v>
      </c>
      <c r="O429" s="2">
        <v>0.68600000000000005</v>
      </c>
      <c r="P429" s="2">
        <v>122</v>
      </c>
      <c r="Q429" s="2">
        <v>150</v>
      </c>
      <c r="R429" s="2">
        <v>127</v>
      </c>
      <c r="S429" s="2">
        <v>134</v>
      </c>
      <c r="T429" s="2">
        <v>94</v>
      </c>
      <c r="U429" s="2">
        <v>128</v>
      </c>
      <c r="V429" s="2">
        <v>118</v>
      </c>
      <c r="W429" s="2">
        <v>162</v>
      </c>
      <c r="X429" s="2">
        <v>18.899999999999999</v>
      </c>
      <c r="Y429" s="2">
        <v>18.8</v>
      </c>
    </row>
    <row r="430" spans="1:25" x14ac:dyDescent="0.2">
      <c r="A430" t="s">
        <v>145</v>
      </c>
      <c r="B430" s="2">
        <v>24</v>
      </c>
      <c r="C430" t="s">
        <v>80</v>
      </c>
      <c r="D430" s="2" t="s">
        <v>27</v>
      </c>
      <c r="E430" s="2">
        <v>25</v>
      </c>
      <c r="F430" s="2">
        <v>11</v>
      </c>
      <c r="G430" s="2">
        <v>672</v>
      </c>
      <c r="H430" s="2">
        <v>0.52500000000000002</v>
      </c>
      <c r="I430" s="2">
        <v>0.629</v>
      </c>
      <c r="J430" s="2">
        <v>0.375</v>
      </c>
      <c r="K430" s="2">
        <v>0.60199999999999998</v>
      </c>
      <c r="L430" s="2">
        <v>0.77400000000000002</v>
      </c>
      <c r="M430" s="2">
        <v>0.61599999999999999</v>
      </c>
      <c r="N430" s="2">
        <v>0.122</v>
      </c>
      <c r="O430" s="2">
        <v>0.40799999999999997</v>
      </c>
      <c r="P430" s="2">
        <v>113</v>
      </c>
      <c r="Q430" s="2">
        <v>116</v>
      </c>
      <c r="R430" s="2">
        <v>104</v>
      </c>
      <c r="S430" s="2">
        <v>111</v>
      </c>
      <c r="T430" s="2">
        <v>100</v>
      </c>
      <c r="U430" s="2">
        <v>107</v>
      </c>
      <c r="V430" s="2">
        <v>49</v>
      </c>
      <c r="W430" s="2">
        <v>96</v>
      </c>
      <c r="X430" s="2">
        <v>31.3</v>
      </c>
      <c r="Y430" s="2">
        <v>22.3</v>
      </c>
    </row>
    <row r="431" spans="1:25" x14ac:dyDescent="0.2">
      <c r="A431" t="s">
        <v>231</v>
      </c>
      <c r="B431" s="2">
        <v>20</v>
      </c>
      <c r="C431" t="s">
        <v>135</v>
      </c>
      <c r="D431" s="2" t="s">
        <v>33</v>
      </c>
      <c r="E431" s="2">
        <v>17</v>
      </c>
      <c r="F431" s="2">
        <v>3</v>
      </c>
      <c r="G431" s="2">
        <v>445</v>
      </c>
      <c r="H431" s="2">
        <v>0.41899999999999998</v>
      </c>
      <c r="I431" s="2">
        <v>0.46200000000000002</v>
      </c>
      <c r="J431" s="2">
        <v>0.32100000000000001</v>
      </c>
      <c r="K431" s="2">
        <v>0.46800000000000003</v>
      </c>
      <c r="L431" s="2">
        <v>0.78</v>
      </c>
      <c r="M431" s="2">
        <v>0.51500000000000001</v>
      </c>
      <c r="N431" s="2">
        <v>0.29099999999999998</v>
      </c>
      <c r="O431" s="2">
        <v>0.308</v>
      </c>
      <c r="P431" s="2">
        <v>90</v>
      </c>
      <c r="Q431" s="2">
        <v>85</v>
      </c>
      <c r="R431" s="2">
        <v>89</v>
      </c>
      <c r="S431" s="2">
        <v>87</v>
      </c>
      <c r="T431" s="2">
        <v>100</v>
      </c>
      <c r="U431" s="2">
        <v>90</v>
      </c>
      <c r="V431" s="2">
        <v>117</v>
      </c>
      <c r="W431" s="2">
        <v>73</v>
      </c>
      <c r="X431" s="2">
        <v>-24.9</v>
      </c>
      <c r="Y431" s="2">
        <v>-22.9</v>
      </c>
    </row>
    <row r="432" spans="1:25" x14ac:dyDescent="0.2">
      <c r="A432" t="s">
        <v>167</v>
      </c>
      <c r="B432" s="2">
        <v>23</v>
      </c>
      <c r="C432" t="s">
        <v>66</v>
      </c>
      <c r="D432" s="2" t="s">
        <v>27</v>
      </c>
      <c r="E432" s="2">
        <v>14</v>
      </c>
      <c r="F432" s="2">
        <v>14</v>
      </c>
      <c r="G432" s="2">
        <v>465</v>
      </c>
      <c r="H432" s="2">
        <v>0.46100000000000002</v>
      </c>
      <c r="I432" s="2">
        <v>0.54800000000000004</v>
      </c>
      <c r="J432" s="2">
        <v>0.31</v>
      </c>
      <c r="K432" s="2">
        <v>0.51700000000000002</v>
      </c>
      <c r="L432" s="2">
        <v>0.72499999999999998</v>
      </c>
      <c r="M432" s="2">
        <v>0.55300000000000005</v>
      </c>
      <c r="N432" s="2">
        <v>0.3</v>
      </c>
      <c r="O432" s="2">
        <v>0.36499999999999999</v>
      </c>
      <c r="P432" s="2">
        <v>99</v>
      </c>
      <c r="Q432" s="2">
        <v>101</v>
      </c>
      <c r="R432" s="2">
        <v>86</v>
      </c>
      <c r="S432" s="2">
        <v>96</v>
      </c>
      <c r="T432" s="2">
        <v>93</v>
      </c>
      <c r="U432" s="2">
        <v>96</v>
      </c>
      <c r="V432" s="2">
        <v>120</v>
      </c>
      <c r="W432" s="2">
        <v>86</v>
      </c>
      <c r="X432" s="2">
        <v>-10.6</v>
      </c>
      <c r="Y432" s="2">
        <v>-11.1</v>
      </c>
    </row>
    <row r="433" spans="1:25" x14ac:dyDescent="0.2">
      <c r="A433" t="s">
        <v>181</v>
      </c>
      <c r="B433" s="2">
        <v>24</v>
      </c>
      <c r="C433" t="s">
        <v>80</v>
      </c>
      <c r="D433" s="2" t="s">
        <v>33</v>
      </c>
      <c r="E433" s="2">
        <v>25</v>
      </c>
      <c r="F433" s="2">
        <v>10</v>
      </c>
      <c r="G433" s="2">
        <v>583</v>
      </c>
      <c r="H433" s="2">
        <v>0.47199999999999998</v>
      </c>
      <c r="I433" s="2">
        <v>0.54100000000000004</v>
      </c>
      <c r="J433" s="2">
        <v>0.33300000000000002</v>
      </c>
      <c r="K433" s="2">
        <v>0.52800000000000002</v>
      </c>
      <c r="L433" s="2">
        <v>0.71699999999999997</v>
      </c>
      <c r="M433" s="2">
        <v>0.55500000000000005</v>
      </c>
      <c r="N433" s="2">
        <v>0.24299999999999999</v>
      </c>
      <c r="O433" s="2">
        <v>0.33</v>
      </c>
      <c r="P433" s="2">
        <v>102</v>
      </c>
      <c r="Q433" s="2">
        <v>100</v>
      </c>
      <c r="R433" s="2">
        <v>93</v>
      </c>
      <c r="S433" s="2">
        <v>98</v>
      </c>
      <c r="T433" s="2">
        <v>92</v>
      </c>
      <c r="U433" s="2">
        <v>97</v>
      </c>
      <c r="V433" s="2">
        <v>97</v>
      </c>
      <c r="W433" s="2">
        <v>78</v>
      </c>
      <c r="X433" s="2">
        <v>-5.7</v>
      </c>
      <c r="Y433" s="2">
        <v>-9.3000000000000007</v>
      </c>
    </row>
    <row r="434" spans="1:25" x14ac:dyDescent="0.2">
      <c r="A434" t="s">
        <v>323</v>
      </c>
      <c r="B434" s="2">
        <v>34</v>
      </c>
      <c r="C434" t="s">
        <v>59</v>
      </c>
      <c r="D434" s="2" t="s">
        <v>52</v>
      </c>
      <c r="E434" s="2">
        <v>23</v>
      </c>
      <c r="F434" s="2">
        <v>4</v>
      </c>
      <c r="G434" s="2">
        <v>285</v>
      </c>
      <c r="H434" s="2">
        <v>0.47699999999999998</v>
      </c>
      <c r="I434" s="2">
        <v>0.51200000000000001</v>
      </c>
      <c r="J434" s="2">
        <v>0.44400000000000001</v>
      </c>
      <c r="K434" s="2">
        <v>0.59299999999999997</v>
      </c>
      <c r="L434" s="2">
        <v>0.81799999999999995</v>
      </c>
      <c r="M434" s="2">
        <v>0.61099999999999999</v>
      </c>
      <c r="N434" s="2">
        <v>0.128</v>
      </c>
      <c r="O434" s="2">
        <v>0.52300000000000002</v>
      </c>
      <c r="P434" s="2">
        <v>103</v>
      </c>
      <c r="Q434" s="2">
        <v>95</v>
      </c>
      <c r="R434" s="2">
        <v>124</v>
      </c>
      <c r="S434" s="2">
        <v>110</v>
      </c>
      <c r="T434" s="2">
        <v>105</v>
      </c>
      <c r="U434" s="2">
        <v>106</v>
      </c>
      <c r="V434" s="2">
        <v>51</v>
      </c>
      <c r="W434" s="2">
        <v>124</v>
      </c>
      <c r="X434" s="2">
        <v>9</v>
      </c>
      <c r="Y434" s="2">
        <v>6.6</v>
      </c>
    </row>
    <row r="435" spans="1:25" x14ac:dyDescent="0.2">
      <c r="A435" t="s">
        <v>174</v>
      </c>
      <c r="B435" s="2">
        <v>21</v>
      </c>
      <c r="C435" t="s">
        <v>135</v>
      </c>
      <c r="D435" s="2" t="s">
        <v>52</v>
      </c>
      <c r="E435" s="2">
        <v>16</v>
      </c>
      <c r="F435" s="2">
        <v>14</v>
      </c>
      <c r="G435" s="2">
        <v>489</v>
      </c>
      <c r="H435" s="2">
        <v>0.432</v>
      </c>
      <c r="I435" s="2">
        <v>0.54600000000000004</v>
      </c>
      <c r="J435" s="2">
        <v>0.28299999999999997</v>
      </c>
      <c r="K435" s="2">
        <v>0.49299999999999999</v>
      </c>
      <c r="L435" s="2">
        <v>0.8</v>
      </c>
      <c r="M435" s="2">
        <v>0.54</v>
      </c>
      <c r="N435" s="2">
        <v>0.28399999999999997</v>
      </c>
      <c r="O435" s="2">
        <v>0.432</v>
      </c>
      <c r="P435" s="2">
        <v>93</v>
      </c>
      <c r="Q435" s="2">
        <v>101</v>
      </c>
      <c r="R435" s="2">
        <v>79</v>
      </c>
      <c r="S435" s="2">
        <v>91</v>
      </c>
      <c r="T435" s="2">
        <v>103</v>
      </c>
      <c r="U435" s="2">
        <v>94</v>
      </c>
      <c r="V435" s="2">
        <v>114</v>
      </c>
      <c r="W435" s="2">
        <v>102</v>
      </c>
      <c r="X435" s="2">
        <v>-21.6</v>
      </c>
      <c r="Y435" s="2">
        <v>-18</v>
      </c>
    </row>
    <row r="436" spans="1:25" x14ac:dyDescent="0.2">
      <c r="A436" t="s">
        <v>31</v>
      </c>
      <c r="B436" s="2">
        <v>26</v>
      </c>
      <c r="C436" t="s">
        <v>32</v>
      </c>
      <c r="D436" s="2" t="s">
        <v>33</v>
      </c>
      <c r="E436" s="2">
        <v>24</v>
      </c>
      <c r="F436" s="2">
        <v>24</v>
      </c>
      <c r="G436" s="2">
        <v>823</v>
      </c>
      <c r="H436" s="2">
        <v>0.51500000000000001</v>
      </c>
      <c r="I436" s="2">
        <v>0.59099999999999997</v>
      </c>
      <c r="J436" s="2">
        <v>0.34</v>
      </c>
      <c r="K436" s="2">
        <v>0.56699999999999995</v>
      </c>
      <c r="L436" s="2">
        <v>0.85899999999999999</v>
      </c>
      <c r="M436" s="2">
        <v>0.626</v>
      </c>
      <c r="N436" s="2">
        <v>0.38600000000000001</v>
      </c>
      <c r="O436" s="2">
        <v>0.30299999999999999</v>
      </c>
      <c r="P436" s="2">
        <v>111</v>
      </c>
      <c r="Q436" s="2">
        <v>109</v>
      </c>
      <c r="R436" s="2">
        <v>95</v>
      </c>
      <c r="S436" s="2">
        <v>105</v>
      </c>
      <c r="T436" s="2">
        <v>110</v>
      </c>
      <c r="U436" s="2">
        <v>109</v>
      </c>
      <c r="V436" s="2">
        <v>155</v>
      </c>
      <c r="W436" s="2">
        <v>72</v>
      </c>
      <c r="X436" s="2">
        <v>25.9</v>
      </c>
      <c r="Y436" s="2">
        <v>59.7</v>
      </c>
    </row>
    <row r="437" spans="1:25" x14ac:dyDescent="0.2">
      <c r="A437" t="s">
        <v>316</v>
      </c>
      <c r="B437" s="2">
        <v>28</v>
      </c>
      <c r="C437" t="s">
        <v>103</v>
      </c>
      <c r="D437" s="2" t="s">
        <v>52</v>
      </c>
      <c r="E437" s="2">
        <v>20</v>
      </c>
      <c r="F437" s="2">
        <v>0</v>
      </c>
      <c r="G437" s="2">
        <v>327</v>
      </c>
      <c r="H437" s="2">
        <v>0.47299999999999998</v>
      </c>
      <c r="I437" s="2">
        <v>0.52100000000000002</v>
      </c>
      <c r="J437" s="2">
        <v>0.42199999999999999</v>
      </c>
      <c r="K437" s="2">
        <v>0.57499999999999996</v>
      </c>
      <c r="L437" s="2">
        <v>0.70599999999999996</v>
      </c>
      <c r="M437" s="2">
        <v>0.59199999999999997</v>
      </c>
      <c r="N437" s="2">
        <v>0.183</v>
      </c>
      <c r="O437" s="2">
        <v>0.48399999999999999</v>
      </c>
      <c r="P437" s="2">
        <v>102</v>
      </c>
      <c r="Q437" s="2">
        <v>96</v>
      </c>
      <c r="R437" s="2">
        <v>118</v>
      </c>
      <c r="S437" s="2">
        <v>106</v>
      </c>
      <c r="T437" s="2">
        <v>91</v>
      </c>
      <c r="U437" s="2">
        <v>103</v>
      </c>
      <c r="V437" s="2">
        <v>73</v>
      </c>
      <c r="W437" s="2">
        <v>114</v>
      </c>
      <c r="X437" s="2">
        <v>6.5</v>
      </c>
      <c r="Y437" s="2">
        <v>3.6</v>
      </c>
    </row>
    <row r="438" spans="1:25" x14ac:dyDescent="0.2">
      <c r="A438" t="s">
        <v>517</v>
      </c>
      <c r="B438" s="2">
        <v>20</v>
      </c>
      <c r="C438" t="s">
        <v>93</v>
      </c>
      <c r="D438" s="2" t="s">
        <v>49</v>
      </c>
      <c r="E438" s="2">
        <v>10</v>
      </c>
      <c r="F438" s="2">
        <v>0</v>
      </c>
      <c r="G438" s="2">
        <v>30</v>
      </c>
      <c r="H438" s="2">
        <v>0.28599999999999998</v>
      </c>
      <c r="I438" s="2">
        <v>0.2</v>
      </c>
      <c r="J438" s="2">
        <v>0.5</v>
      </c>
      <c r="K438" s="2">
        <v>0.35699999999999998</v>
      </c>
      <c r="L438" s="2">
        <v>0</v>
      </c>
      <c r="M438" s="2">
        <v>0.28499999999999998</v>
      </c>
      <c r="N438" s="2">
        <v>0.57099999999999995</v>
      </c>
      <c r="O438" s="2">
        <v>0.28599999999999998</v>
      </c>
      <c r="P438" s="2">
        <v>61</v>
      </c>
      <c r="Q438" s="2">
        <v>37</v>
      </c>
      <c r="R438" s="2">
        <v>139</v>
      </c>
      <c r="S438" s="2">
        <v>66</v>
      </c>
      <c r="T438" s="2">
        <v>0</v>
      </c>
      <c r="U438" s="2">
        <v>50</v>
      </c>
      <c r="V438" s="2">
        <v>229</v>
      </c>
      <c r="W438" s="2">
        <v>68</v>
      </c>
      <c r="X438" s="2">
        <v>-2.6</v>
      </c>
      <c r="Y438" s="2">
        <v>-5.0999999999999996</v>
      </c>
    </row>
    <row r="439" spans="1:25" x14ac:dyDescent="0.2">
      <c r="A439" t="s">
        <v>278</v>
      </c>
      <c r="B439" s="2">
        <v>29</v>
      </c>
      <c r="C439" t="s">
        <v>75</v>
      </c>
      <c r="D439" s="2" t="s">
        <v>49</v>
      </c>
      <c r="E439" s="2">
        <v>24</v>
      </c>
      <c r="F439" s="2">
        <v>0</v>
      </c>
      <c r="G439" s="2">
        <v>432</v>
      </c>
      <c r="H439" s="2">
        <v>0.39500000000000002</v>
      </c>
      <c r="I439" s="2">
        <v>0.5</v>
      </c>
      <c r="J439" s="2">
        <v>0.34499999999999997</v>
      </c>
      <c r="K439" s="2">
        <v>0.51200000000000001</v>
      </c>
      <c r="L439" s="2">
        <v>0.78100000000000003</v>
      </c>
      <c r="M439" s="2">
        <v>0.55000000000000004</v>
      </c>
      <c r="N439" s="2">
        <v>0.25800000000000001</v>
      </c>
      <c r="O439" s="2">
        <v>0.67700000000000005</v>
      </c>
      <c r="P439" s="2">
        <v>85</v>
      </c>
      <c r="Q439" s="2">
        <v>92</v>
      </c>
      <c r="R439" s="2">
        <v>96</v>
      </c>
      <c r="S439" s="2">
        <v>95</v>
      </c>
      <c r="T439" s="2">
        <v>100</v>
      </c>
      <c r="U439" s="2">
        <v>96</v>
      </c>
      <c r="V439" s="2">
        <v>103</v>
      </c>
      <c r="W439" s="2">
        <v>160</v>
      </c>
      <c r="X439" s="2">
        <v>-7</v>
      </c>
      <c r="Y439" s="2">
        <v>-6.6</v>
      </c>
    </row>
    <row r="440" spans="1:25" x14ac:dyDescent="0.2">
      <c r="A440" t="s">
        <v>243</v>
      </c>
      <c r="B440" s="2">
        <v>31</v>
      </c>
      <c r="C440" t="s">
        <v>63</v>
      </c>
      <c r="D440" s="2" t="s">
        <v>33</v>
      </c>
      <c r="E440" s="2">
        <v>23</v>
      </c>
      <c r="F440" s="2">
        <v>0</v>
      </c>
      <c r="G440" s="2">
        <v>492</v>
      </c>
      <c r="H440" s="2">
        <v>0.40100000000000002</v>
      </c>
      <c r="I440" s="2">
        <v>0.434</v>
      </c>
      <c r="J440" s="2">
        <v>0.38100000000000001</v>
      </c>
      <c r="K440" s="2">
        <v>0.51800000000000002</v>
      </c>
      <c r="L440" s="2">
        <v>0.86799999999999999</v>
      </c>
      <c r="M440" s="2">
        <v>0.58599999999999997</v>
      </c>
      <c r="N440" s="2">
        <v>0.38700000000000001</v>
      </c>
      <c r="O440" s="2">
        <v>0.61299999999999999</v>
      </c>
      <c r="P440" s="2">
        <v>86</v>
      </c>
      <c r="Q440" s="2">
        <v>80</v>
      </c>
      <c r="R440" s="2">
        <v>106</v>
      </c>
      <c r="S440" s="2">
        <v>96</v>
      </c>
      <c r="T440" s="2">
        <v>112</v>
      </c>
      <c r="U440" s="2">
        <v>102</v>
      </c>
      <c r="V440" s="2">
        <v>155</v>
      </c>
      <c r="W440" s="2">
        <v>145</v>
      </c>
      <c r="X440" s="2">
        <v>-6.1</v>
      </c>
      <c r="Y440" s="2">
        <v>3.8</v>
      </c>
    </row>
    <row r="441" spans="1:25" x14ac:dyDescent="0.2">
      <c r="A441" t="s">
        <v>562</v>
      </c>
      <c r="B441" s="2">
        <v>23</v>
      </c>
      <c r="C441" t="s">
        <v>46</v>
      </c>
      <c r="D441" s="2" t="s">
        <v>49</v>
      </c>
      <c r="E441" s="2">
        <v>2</v>
      </c>
      <c r="F441" s="2">
        <v>0</v>
      </c>
      <c r="G441" s="2">
        <v>4</v>
      </c>
      <c r="H441" s="2">
        <v>0</v>
      </c>
      <c r="I441" s="2"/>
      <c r="J441" s="2">
        <v>0</v>
      </c>
      <c r="K441" s="2">
        <v>0</v>
      </c>
      <c r="L441" s="2"/>
      <c r="M441" s="2">
        <v>0</v>
      </c>
      <c r="N441" s="2">
        <v>0</v>
      </c>
      <c r="O441" s="2">
        <v>1</v>
      </c>
      <c r="P441" s="2">
        <v>0</v>
      </c>
      <c r="Q441" s="2"/>
      <c r="R441" s="2">
        <v>0</v>
      </c>
      <c r="S441" s="2">
        <v>0</v>
      </c>
      <c r="T441" s="2"/>
      <c r="U441" s="2">
        <v>0</v>
      </c>
      <c r="V441" s="2">
        <v>0</v>
      </c>
      <c r="W441" s="2">
        <v>237</v>
      </c>
      <c r="X441" s="2">
        <v>-1.1000000000000001</v>
      </c>
      <c r="Y441" s="2">
        <v>-1.1000000000000001</v>
      </c>
    </row>
    <row r="442" spans="1:25" x14ac:dyDescent="0.2">
      <c r="A442" t="s">
        <v>542</v>
      </c>
      <c r="B442" s="2">
        <v>25</v>
      </c>
      <c r="C442" t="s">
        <v>35</v>
      </c>
      <c r="D442" s="2" t="s">
        <v>52</v>
      </c>
      <c r="E442" s="2">
        <v>6</v>
      </c>
      <c r="F442" s="2">
        <v>0</v>
      </c>
      <c r="G442" s="2">
        <v>17</v>
      </c>
      <c r="H442" s="2">
        <v>0.33300000000000002</v>
      </c>
      <c r="I442" s="2"/>
      <c r="J442" s="2">
        <v>0.33300000000000002</v>
      </c>
      <c r="K442" s="2">
        <v>0.5</v>
      </c>
      <c r="L442" s="2">
        <v>0</v>
      </c>
      <c r="M442" s="2">
        <v>0.38700000000000001</v>
      </c>
      <c r="N442" s="2">
        <v>0.66700000000000004</v>
      </c>
      <c r="O442" s="2">
        <v>1</v>
      </c>
      <c r="P442" s="2">
        <v>72</v>
      </c>
      <c r="Q442" s="2"/>
      <c r="R442" s="2">
        <v>93</v>
      </c>
      <c r="S442" s="2">
        <v>93</v>
      </c>
      <c r="T442" s="2">
        <v>0</v>
      </c>
      <c r="U442" s="2">
        <v>67</v>
      </c>
      <c r="V442" s="2">
        <v>267</v>
      </c>
      <c r="W442" s="2">
        <v>237</v>
      </c>
      <c r="X442" s="2">
        <v>-0.2</v>
      </c>
      <c r="Y442" s="2">
        <v>-1.5</v>
      </c>
    </row>
    <row r="443" spans="1:25" x14ac:dyDescent="0.2">
      <c r="A443" t="s">
        <v>99</v>
      </c>
      <c r="B443" s="2">
        <v>36</v>
      </c>
      <c r="C443" t="s">
        <v>100</v>
      </c>
      <c r="D443" s="2" t="s">
        <v>33</v>
      </c>
      <c r="E443" s="2">
        <v>19</v>
      </c>
      <c r="F443" s="2">
        <v>19</v>
      </c>
      <c r="G443" s="2">
        <v>583</v>
      </c>
      <c r="H443" s="2">
        <v>0.45100000000000001</v>
      </c>
      <c r="I443" s="2">
        <v>0.50800000000000001</v>
      </c>
      <c r="J443" s="2">
        <v>0.41299999999999998</v>
      </c>
      <c r="K443" s="2">
        <v>0.57499999999999996</v>
      </c>
      <c r="L443" s="2">
        <v>0.92200000000000004</v>
      </c>
      <c r="M443" s="2">
        <v>0.621</v>
      </c>
      <c r="N443" s="2">
        <v>0.24399999999999999</v>
      </c>
      <c r="O443" s="2">
        <v>0.6</v>
      </c>
      <c r="P443" s="2">
        <v>97</v>
      </c>
      <c r="Q443" s="2">
        <v>94</v>
      </c>
      <c r="R443" s="2">
        <v>115</v>
      </c>
      <c r="S443" s="2">
        <v>106</v>
      </c>
      <c r="T443" s="2">
        <v>119</v>
      </c>
      <c r="U443" s="2">
        <v>108</v>
      </c>
      <c r="V443" s="2">
        <v>98</v>
      </c>
      <c r="W443" s="2">
        <v>142</v>
      </c>
      <c r="X443" s="2">
        <v>21.5</v>
      </c>
      <c r="Y443" s="2">
        <v>32.200000000000003</v>
      </c>
    </row>
    <row r="444" spans="1:25" x14ac:dyDescent="0.2">
      <c r="A444" t="s">
        <v>163</v>
      </c>
      <c r="B444" s="2">
        <v>20</v>
      </c>
      <c r="C444" t="s">
        <v>93</v>
      </c>
      <c r="D444" s="2" t="s">
        <v>33</v>
      </c>
      <c r="E444" s="2">
        <v>24</v>
      </c>
      <c r="F444" s="2">
        <v>17</v>
      </c>
      <c r="G444" s="2">
        <v>658</v>
      </c>
      <c r="H444" s="2">
        <v>0.38600000000000001</v>
      </c>
      <c r="I444" s="2">
        <v>0.45500000000000002</v>
      </c>
      <c r="J444" s="2">
        <v>0.28199999999999997</v>
      </c>
      <c r="K444" s="2">
        <v>0.442</v>
      </c>
      <c r="L444" s="2">
        <v>0.73799999999999999</v>
      </c>
      <c r="M444" s="2">
        <v>0.49199999999999999</v>
      </c>
      <c r="N444" s="2">
        <v>0.32400000000000001</v>
      </c>
      <c r="O444" s="2">
        <v>0.39800000000000002</v>
      </c>
      <c r="P444" s="2">
        <v>83</v>
      </c>
      <c r="Q444" s="2">
        <v>84</v>
      </c>
      <c r="R444" s="2">
        <v>78</v>
      </c>
      <c r="S444" s="2">
        <v>82</v>
      </c>
      <c r="T444" s="2">
        <v>95</v>
      </c>
      <c r="U444" s="2">
        <v>86</v>
      </c>
      <c r="V444" s="2">
        <v>130</v>
      </c>
      <c r="W444" s="2">
        <v>94</v>
      </c>
      <c r="X444" s="2">
        <v>-51</v>
      </c>
      <c r="Y444" s="2">
        <v>-49</v>
      </c>
    </row>
    <row r="445" spans="1:25" x14ac:dyDescent="0.2">
      <c r="A445" t="s">
        <v>428</v>
      </c>
      <c r="B445" s="2">
        <v>31</v>
      </c>
      <c r="C445" t="s">
        <v>87</v>
      </c>
      <c r="D445" s="2" t="s">
        <v>42</v>
      </c>
      <c r="E445" s="2">
        <v>13</v>
      </c>
      <c r="F445" s="2">
        <v>0</v>
      </c>
      <c r="G445" s="2">
        <v>144</v>
      </c>
      <c r="H445" s="2">
        <v>0.59099999999999997</v>
      </c>
      <c r="I445" s="2">
        <v>0.59099999999999997</v>
      </c>
      <c r="J445" s="2"/>
      <c r="K445" s="2">
        <v>0.59099999999999997</v>
      </c>
      <c r="L445" s="2">
        <v>0.4</v>
      </c>
      <c r="M445" s="2">
        <v>0.55200000000000005</v>
      </c>
      <c r="N445" s="2">
        <v>0.90900000000000003</v>
      </c>
      <c r="O445" s="2">
        <v>0</v>
      </c>
      <c r="P445" s="2">
        <v>127</v>
      </c>
      <c r="Q445" s="2">
        <v>109</v>
      </c>
      <c r="R445" s="2"/>
      <c r="S445" s="2">
        <v>109</v>
      </c>
      <c r="T445" s="2">
        <v>51</v>
      </c>
      <c r="U445" s="2">
        <v>96</v>
      </c>
      <c r="V445" s="2">
        <v>365</v>
      </c>
      <c r="W445" s="2">
        <v>0</v>
      </c>
      <c r="X445" s="2">
        <v>2.2000000000000002</v>
      </c>
      <c r="Y445" s="2">
        <v>-1.4</v>
      </c>
    </row>
    <row r="446" spans="1:25" x14ac:dyDescent="0.2">
      <c r="A446" t="s">
        <v>441</v>
      </c>
      <c r="B446" s="2">
        <v>27</v>
      </c>
      <c r="C446" t="s">
        <v>120</v>
      </c>
      <c r="D446" s="2" t="s">
        <v>49</v>
      </c>
      <c r="E446" s="2">
        <v>6</v>
      </c>
      <c r="F446" s="2">
        <v>2</v>
      </c>
      <c r="G446" s="2">
        <v>81</v>
      </c>
      <c r="H446" s="2">
        <v>0.37</v>
      </c>
      <c r="I446" s="2">
        <v>0.6</v>
      </c>
      <c r="J446" s="2">
        <v>0.318</v>
      </c>
      <c r="K446" s="2">
        <v>0.5</v>
      </c>
      <c r="L446" s="2">
        <v>0.75</v>
      </c>
      <c r="M446" s="2">
        <v>0.52200000000000002</v>
      </c>
      <c r="N446" s="2">
        <v>0.14799999999999999</v>
      </c>
      <c r="O446" s="2">
        <v>0.81499999999999995</v>
      </c>
      <c r="P446" s="2">
        <v>80</v>
      </c>
      <c r="Q446" s="2">
        <v>111</v>
      </c>
      <c r="R446" s="2">
        <v>89</v>
      </c>
      <c r="S446" s="2">
        <v>93</v>
      </c>
      <c r="T446" s="2">
        <v>96</v>
      </c>
      <c r="U446" s="2">
        <v>91</v>
      </c>
      <c r="V446" s="2">
        <v>59</v>
      </c>
      <c r="W446" s="2">
        <v>193</v>
      </c>
      <c r="X446" s="2">
        <v>-2.2000000000000002</v>
      </c>
      <c r="Y446" s="2">
        <v>-3</v>
      </c>
    </row>
    <row r="447" spans="1:25" x14ac:dyDescent="0.2">
      <c r="A447" t="s">
        <v>178</v>
      </c>
      <c r="B447" s="2">
        <v>32</v>
      </c>
      <c r="C447" t="s">
        <v>82</v>
      </c>
      <c r="D447" s="2" t="s">
        <v>33</v>
      </c>
      <c r="E447" s="2">
        <v>24</v>
      </c>
      <c r="F447" s="2">
        <v>0</v>
      </c>
      <c r="G447" s="2">
        <v>480</v>
      </c>
      <c r="H447" s="2">
        <v>0.57699999999999996</v>
      </c>
      <c r="I447" s="2">
        <v>0.59599999999999997</v>
      </c>
      <c r="J447" s="2">
        <v>0.25</v>
      </c>
      <c r="K447" s="2">
        <v>0.58399999999999996</v>
      </c>
      <c r="L447" s="2">
        <v>0.73099999999999998</v>
      </c>
      <c r="M447" s="2">
        <v>0.59599999999999997</v>
      </c>
      <c r="N447" s="2">
        <v>0.11799999999999999</v>
      </c>
      <c r="O447" s="2">
        <v>5.5E-2</v>
      </c>
      <c r="P447" s="2">
        <v>124</v>
      </c>
      <c r="Q447" s="2">
        <v>110</v>
      </c>
      <c r="R447" s="2">
        <v>70</v>
      </c>
      <c r="S447" s="2">
        <v>108</v>
      </c>
      <c r="T447" s="2">
        <v>94</v>
      </c>
      <c r="U447" s="2">
        <v>104</v>
      </c>
      <c r="V447" s="2">
        <v>47</v>
      </c>
      <c r="W447" s="2">
        <v>13</v>
      </c>
      <c r="X447" s="2">
        <v>19.2</v>
      </c>
      <c r="Y447" s="2">
        <v>10.1</v>
      </c>
    </row>
    <row r="448" spans="1:25" x14ac:dyDescent="0.2">
      <c r="A448" t="s">
        <v>422</v>
      </c>
      <c r="B448" s="2">
        <v>39</v>
      </c>
      <c r="C448" t="s">
        <v>59</v>
      </c>
      <c r="D448" s="2" t="s">
        <v>42</v>
      </c>
      <c r="E448" s="2">
        <v>13</v>
      </c>
      <c r="F448" s="2">
        <v>8</v>
      </c>
      <c r="G448" s="2">
        <v>150</v>
      </c>
      <c r="H448" s="2">
        <v>0.47099999999999997</v>
      </c>
      <c r="I448" s="2">
        <v>0.46899999999999997</v>
      </c>
      <c r="J448" s="2">
        <v>0.5</v>
      </c>
      <c r="K448" s="2">
        <v>0.48499999999999999</v>
      </c>
      <c r="L448" s="2">
        <v>0.66700000000000004</v>
      </c>
      <c r="M448" s="2">
        <v>0.505</v>
      </c>
      <c r="N448" s="2">
        <v>0.17599999999999999</v>
      </c>
      <c r="O448" s="2">
        <v>5.8999999999999997E-2</v>
      </c>
      <c r="P448" s="2">
        <v>101</v>
      </c>
      <c r="Q448" s="2">
        <v>87</v>
      </c>
      <c r="R448" s="2">
        <v>139</v>
      </c>
      <c r="S448" s="2">
        <v>90</v>
      </c>
      <c r="T448" s="2">
        <v>86</v>
      </c>
      <c r="U448" s="2">
        <v>88</v>
      </c>
      <c r="V448" s="2">
        <v>71</v>
      </c>
      <c r="W448" s="2">
        <v>14</v>
      </c>
      <c r="X448" s="2">
        <v>-3.8</v>
      </c>
      <c r="Y448" s="2">
        <v>-5.0999999999999996</v>
      </c>
    </row>
    <row r="449" spans="1:25" x14ac:dyDescent="0.2">
      <c r="A449" t="s">
        <v>298</v>
      </c>
      <c r="B449" s="2">
        <v>24</v>
      </c>
      <c r="C449" t="s">
        <v>70</v>
      </c>
      <c r="D449" s="2" t="s">
        <v>52</v>
      </c>
      <c r="E449" s="2">
        <v>19</v>
      </c>
      <c r="F449" s="2">
        <v>0</v>
      </c>
      <c r="G449" s="2">
        <v>208</v>
      </c>
      <c r="H449" s="2">
        <v>0.55200000000000005</v>
      </c>
      <c r="I449" s="2">
        <v>0.57999999999999996</v>
      </c>
      <c r="J449" s="2">
        <v>0.51400000000000001</v>
      </c>
      <c r="K449" s="2">
        <v>0.66100000000000003</v>
      </c>
      <c r="L449" s="2">
        <v>0.72399999999999998</v>
      </c>
      <c r="M449" s="2">
        <v>0.68200000000000005</v>
      </c>
      <c r="N449" s="2">
        <v>0.33300000000000002</v>
      </c>
      <c r="O449" s="2">
        <v>0.42499999999999999</v>
      </c>
      <c r="P449" s="2">
        <v>119</v>
      </c>
      <c r="Q449" s="2">
        <v>107</v>
      </c>
      <c r="R449" s="2">
        <v>143</v>
      </c>
      <c r="S449" s="2">
        <v>122</v>
      </c>
      <c r="T449" s="2">
        <v>93</v>
      </c>
      <c r="U449" s="2">
        <v>119</v>
      </c>
      <c r="V449" s="2">
        <v>134</v>
      </c>
      <c r="W449" s="2">
        <v>101</v>
      </c>
      <c r="X449" s="2">
        <v>21</v>
      </c>
      <c r="Y449" s="2">
        <v>21.4</v>
      </c>
    </row>
    <row r="450" spans="1:25" x14ac:dyDescent="0.2">
      <c r="A450" t="s">
        <v>187</v>
      </c>
      <c r="B450" s="2">
        <v>23</v>
      </c>
      <c r="C450" t="s">
        <v>87</v>
      </c>
      <c r="D450" s="2" t="s">
        <v>27</v>
      </c>
      <c r="E450" s="2">
        <v>23</v>
      </c>
      <c r="F450" s="2">
        <v>0</v>
      </c>
      <c r="G450" s="2">
        <v>529</v>
      </c>
      <c r="H450" s="2">
        <v>0.47899999999999998</v>
      </c>
      <c r="I450" s="2">
        <v>0.55500000000000005</v>
      </c>
      <c r="J450" s="2">
        <v>0.313</v>
      </c>
      <c r="K450" s="2">
        <v>0.52800000000000002</v>
      </c>
      <c r="L450" s="2">
        <v>0.76700000000000002</v>
      </c>
      <c r="M450" s="2">
        <v>0.55600000000000005</v>
      </c>
      <c r="N450" s="2">
        <v>0.20200000000000001</v>
      </c>
      <c r="O450" s="2">
        <v>0.315</v>
      </c>
      <c r="P450" s="2">
        <v>103</v>
      </c>
      <c r="Q450" s="2">
        <v>102</v>
      </c>
      <c r="R450" s="2">
        <v>87</v>
      </c>
      <c r="S450" s="2">
        <v>98</v>
      </c>
      <c r="T450" s="2">
        <v>99</v>
      </c>
      <c r="U450" s="2">
        <v>97</v>
      </c>
      <c r="V450" s="2">
        <v>81</v>
      </c>
      <c r="W450" s="2">
        <v>74</v>
      </c>
      <c r="X450" s="2">
        <v>-5.3</v>
      </c>
      <c r="Y450" s="2">
        <v>-8.5</v>
      </c>
    </row>
    <row r="451" spans="1:25" x14ac:dyDescent="0.2">
      <c r="A451" t="s">
        <v>242</v>
      </c>
      <c r="B451" s="2">
        <v>30</v>
      </c>
      <c r="C451" t="s">
        <v>35</v>
      </c>
      <c r="D451" s="2" t="s">
        <v>49</v>
      </c>
      <c r="E451" s="2">
        <v>24</v>
      </c>
      <c r="F451" s="2">
        <v>24</v>
      </c>
      <c r="G451" s="2">
        <v>644</v>
      </c>
      <c r="H451" s="2">
        <v>0.49299999999999999</v>
      </c>
      <c r="I451" s="2">
        <v>0.42299999999999999</v>
      </c>
      <c r="J451" s="4">
        <v>0.53600000000000003</v>
      </c>
      <c r="K451" s="2">
        <v>0.65800000000000003</v>
      </c>
      <c r="L451" s="2">
        <v>0.84599999999999997</v>
      </c>
      <c r="M451" s="2">
        <v>0.67</v>
      </c>
      <c r="N451" s="2">
        <v>9.6000000000000002E-2</v>
      </c>
      <c r="O451" s="2">
        <v>0.61799999999999999</v>
      </c>
      <c r="P451" s="2">
        <v>106</v>
      </c>
      <c r="Q451" s="2">
        <v>78</v>
      </c>
      <c r="R451" s="2">
        <v>149</v>
      </c>
      <c r="S451" s="2">
        <v>122</v>
      </c>
      <c r="T451" s="2">
        <v>109</v>
      </c>
      <c r="U451" s="2">
        <v>117</v>
      </c>
      <c r="V451" s="2">
        <v>38</v>
      </c>
      <c r="W451" s="2">
        <v>146</v>
      </c>
      <c r="X451" s="2">
        <v>32</v>
      </c>
      <c r="Y451" s="2">
        <v>27.2</v>
      </c>
    </row>
    <row r="452" spans="1:25" x14ac:dyDescent="0.2">
      <c r="A452" t="s">
        <v>489</v>
      </c>
      <c r="B452" s="2">
        <v>21</v>
      </c>
      <c r="C452" t="s">
        <v>120</v>
      </c>
      <c r="D452" s="2" t="s">
        <v>27</v>
      </c>
      <c r="E452" s="2">
        <v>3</v>
      </c>
      <c r="F452" s="2">
        <v>3</v>
      </c>
      <c r="G452" s="2">
        <v>75</v>
      </c>
      <c r="H452" s="2">
        <v>0.222</v>
      </c>
      <c r="I452" s="2">
        <v>0.16700000000000001</v>
      </c>
      <c r="J452" s="2">
        <v>0.25</v>
      </c>
      <c r="K452" s="2">
        <v>0.30599999999999999</v>
      </c>
      <c r="L452" s="2">
        <v>0.75</v>
      </c>
      <c r="M452" s="2">
        <v>0.35399999999999998</v>
      </c>
      <c r="N452" s="2">
        <v>0.222</v>
      </c>
      <c r="O452" s="2">
        <v>0.66700000000000004</v>
      </c>
      <c r="P452" s="2">
        <v>48</v>
      </c>
      <c r="Q452" s="2">
        <v>31</v>
      </c>
      <c r="R452" s="2">
        <v>70</v>
      </c>
      <c r="S452" s="2">
        <v>57</v>
      </c>
      <c r="T452" s="2">
        <v>96</v>
      </c>
      <c r="U452" s="2">
        <v>62</v>
      </c>
      <c r="V452" s="2">
        <v>89</v>
      </c>
      <c r="W452" s="2">
        <v>158</v>
      </c>
      <c r="X452" s="2">
        <v>-8.5</v>
      </c>
      <c r="Y452" s="2">
        <v>-8.6999999999999993</v>
      </c>
    </row>
    <row r="453" spans="1:25" x14ac:dyDescent="0.2">
      <c r="A453" t="s">
        <v>510</v>
      </c>
      <c r="B453" s="2">
        <v>26</v>
      </c>
      <c r="C453" t="s">
        <v>135</v>
      </c>
      <c r="D453" s="2" t="s">
        <v>52</v>
      </c>
      <c r="E453" s="2">
        <v>2</v>
      </c>
      <c r="F453" s="2">
        <v>0</v>
      </c>
      <c r="G453" s="2">
        <v>20</v>
      </c>
      <c r="H453" s="2">
        <v>0.2</v>
      </c>
      <c r="I453" s="2">
        <v>0.16700000000000001</v>
      </c>
      <c r="J453" s="2">
        <v>0.25</v>
      </c>
      <c r="K453" s="2">
        <v>0.25</v>
      </c>
      <c r="L453" s="2">
        <v>0.5</v>
      </c>
      <c r="M453" s="2">
        <v>0.27600000000000002</v>
      </c>
      <c r="N453" s="2">
        <v>0.2</v>
      </c>
      <c r="O453" s="2">
        <v>0.4</v>
      </c>
      <c r="P453" s="2">
        <v>43</v>
      </c>
      <c r="Q453" s="2">
        <v>31</v>
      </c>
      <c r="R453" s="2">
        <v>70</v>
      </c>
      <c r="S453" s="2">
        <v>46</v>
      </c>
      <c r="T453" s="2">
        <v>64</v>
      </c>
      <c r="U453" s="2">
        <v>48</v>
      </c>
      <c r="V453" s="2">
        <v>80</v>
      </c>
      <c r="W453" s="2">
        <v>95</v>
      </c>
      <c r="X453" s="2">
        <v>-5.8</v>
      </c>
      <c r="Y453" s="2">
        <v>-6.5</v>
      </c>
    </row>
    <row r="454" spans="1:25" x14ac:dyDescent="0.2">
      <c r="A454" t="s">
        <v>290</v>
      </c>
      <c r="B454" s="2">
        <v>28</v>
      </c>
      <c r="C454" t="s">
        <v>77</v>
      </c>
      <c r="D454" s="2" t="s">
        <v>52</v>
      </c>
      <c r="E454" s="2">
        <v>23</v>
      </c>
      <c r="F454" s="2">
        <v>11</v>
      </c>
      <c r="G454" s="2">
        <v>484</v>
      </c>
      <c r="H454" s="2">
        <v>0.438</v>
      </c>
      <c r="I454" s="2">
        <v>0.49399999999999999</v>
      </c>
      <c r="J454" s="2">
        <v>0.34</v>
      </c>
      <c r="K454" s="2">
        <v>0.5</v>
      </c>
      <c r="L454" s="2">
        <v>0.66700000000000004</v>
      </c>
      <c r="M454" s="2">
        <v>0.52</v>
      </c>
      <c r="N454" s="2">
        <v>0.188</v>
      </c>
      <c r="O454" s="2">
        <v>0.36699999999999999</v>
      </c>
      <c r="P454" s="2">
        <v>94</v>
      </c>
      <c r="Q454" s="2">
        <v>91</v>
      </c>
      <c r="R454" s="2">
        <v>95</v>
      </c>
      <c r="S454" s="2">
        <v>93</v>
      </c>
      <c r="T454" s="2">
        <v>86</v>
      </c>
      <c r="U454" s="2">
        <v>90</v>
      </c>
      <c r="V454" s="2">
        <v>75</v>
      </c>
      <c r="W454" s="2">
        <v>87</v>
      </c>
      <c r="X454" s="2">
        <v>-10.4</v>
      </c>
      <c r="Y454" s="2">
        <v>-15.2</v>
      </c>
    </row>
    <row r="455" spans="1:25" x14ac:dyDescent="0.2">
      <c r="A455" t="s">
        <v>501</v>
      </c>
      <c r="B455" s="2">
        <v>24</v>
      </c>
      <c r="C455" t="s">
        <v>51</v>
      </c>
      <c r="D455" s="2" t="s">
        <v>52</v>
      </c>
      <c r="E455" s="2">
        <v>7</v>
      </c>
      <c r="F455" s="2">
        <v>0</v>
      </c>
      <c r="G455" s="2">
        <v>30</v>
      </c>
      <c r="H455" s="2">
        <v>0.44400000000000001</v>
      </c>
      <c r="I455" s="2">
        <v>0.5</v>
      </c>
      <c r="J455" s="2">
        <v>0.33300000000000002</v>
      </c>
      <c r="K455" s="2">
        <v>0.5</v>
      </c>
      <c r="L455" s="2"/>
      <c r="M455" s="2">
        <v>0.5</v>
      </c>
      <c r="N455" s="2">
        <v>0</v>
      </c>
      <c r="O455" s="2">
        <v>0.33300000000000002</v>
      </c>
      <c r="P455" s="2">
        <v>96</v>
      </c>
      <c r="Q455" s="2">
        <v>92</v>
      </c>
      <c r="R455" s="2">
        <v>93</v>
      </c>
      <c r="S455" s="2">
        <v>93</v>
      </c>
      <c r="T455" s="2"/>
      <c r="U455" s="2">
        <v>87</v>
      </c>
      <c r="V455" s="2">
        <v>0</v>
      </c>
      <c r="W455" s="2">
        <v>79</v>
      </c>
      <c r="X455" s="2">
        <v>-0.7</v>
      </c>
      <c r="Y455" s="2">
        <v>-1.3</v>
      </c>
    </row>
    <row r="456" spans="1:25" x14ac:dyDescent="0.2">
      <c r="A456" t="s">
        <v>193</v>
      </c>
      <c r="B456" s="2">
        <v>30</v>
      </c>
      <c r="C456" t="s">
        <v>61</v>
      </c>
      <c r="D456" s="2" t="s">
        <v>33</v>
      </c>
      <c r="E456" s="2">
        <v>21</v>
      </c>
      <c r="F456" s="2">
        <v>12</v>
      </c>
      <c r="G456" s="2">
        <v>597</v>
      </c>
      <c r="H456" s="2">
        <v>0.39900000000000002</v>
      </c>
      <c r="I456" s="2">
        <v>0.44800000000000001</v>
      </c>
      <c r="J456" s="2">
        <v>0.35399999999999998</v>
      </c>
      <c r="K456" s="2">
        <v>0.49099999999999999</v>
      </c>
      <c r="L456" s="2">
        <v>0.89200000000000002</v>
      </c>
      <c r="M456" s="2">
        <v>0.52700000000000002</v>
      </c>
      <c r="N456" s="2">
        <v>0.17</v>
      </c>
      <c r="O456" s="2">
        <v>0.51800000000000002</v>
      </c>
      <c r="P456" s="2">
        <v>86</v>
      </c>
      <c r="Q456" s="2">
        <v>83</v>
      </c>
      <c r="R456" s="2">
        <v>99</v>
      </c>
      <c r="S456" s="2">
        <v>91</v>
      </c>
      <c r="T456" s="2">
        <v>115</v>
      </c>
      <c r="U456" s="2">
        <v>92</v>
      </c>
      <c r="V456" s="2">
        <v>68</v>
      </c>
      <c r="W456" s="2">
        <v>123</v>
      </c>
      <c r="X456" s="2">
        <v>-21.7</v>
      </c>
      <c r="Y456" s="2">
        <v>-22.2</v>
      </c>
    </row>
    <row r="457" spans="1:25" x14ac:dyDescent="0.2">
      <c r="A457" t="s">
        <v>419</v>
      </c>
      <c r="B457" s="2">
        <v>27</v>
      </c>
      <c r="C457" t="s">
        <v>61</v>
      </c>
      <c r="D457" s="2" t="s">
        <v>42</v>
      </c>
      <c r="E457" s="2">
        <v>10</v>
      </c>
      <c r="F457" s="2">
        <v>0</v>
      </c>
      <c r="G457" s="2">
        <v>115</v>
      </c>
      <c r="H457" s="2">
        <v>0.42899999999999999</v>
      </c>
      <c r="I457" s="2">
        <v>0.54500000000000004</v>
      </c>
      <c r="J457" s="2">
        <v>0.35299999999999998</v>
      </c>
      <c r="K457" s="2">
        <v>0.53600000000000003</v>
      </c>
      <c r="L457" s="2">
        <v>1</v>
      </c>
      <c r="M457" s="2">
        <v>0.624</v>
      </c>
      <c r="N457" s="2">
        <v>0.39300000000000002</v>
      </c>
      <c r="O457" s="2">
        <v>0.60699999999999998</v>
      </c>
      <c r="P457" s="2">
        <v>92</v>
      </c>
      <c r="Q457" s="2">
        <v>101</v>
      </c>
      <c r="R457" s="2">
        <v>98</v>
      </c>
      <c r="S457" s="2">
        <v>99</v>
      </c>
      <c r="T457" s="2">
        <v>129</v>
      </c>
      <c r="U457" s="2">
        <v>109</v>
      </c>
      <c r="V457" s="2">
        <v>158</v>
      </c>
      <c r="W457" s="2">
        <v>144</v>
      </c>
      <c r="X457" s="2">
        <v>-0.3</v>
      </c>
      <c r="Y457" s="2">
        <v>3.3</v>
      </c>
    </row>
    <row r="458" spans="1:25" x14ac:dyDescent="0.2">
      <c r="A458" t="s">
        <v>337</v>
      </c>
      <c r="B458" s="2">
        <v>19</v>
      </c>
      <c r="C458" t="s">
        <v>59</v>
      </c>
      <c r="D458" s="2" t="s">
        <v>27</v>
      </c>
      <c r="E458" s="2">
        <v>20</v>
      </c>
      <c r="F458" s="2">
        <v>8</v>
      </c>
      <c r="G458" s="2">
        <v>376</v>
      </c>
      <c r="H458" s="2">
        <v>0.32700000000000001</v>
      </c>
      <c r="I458" s="2">
        <v>0.39400000000000002</v>
      </c>
      <c r="J458" s="2">
        <v>0.29399999999999998</v>
      </c>
      <c r="K458" s="2">
        <v>0.42599999999999999</v>
      </c>
      <c r="L458" s="2">
        <v>0.73699999999999999</v>
      </c>
      <c r="M458" s="2">
        <v>0.45700000000000002</v>
      </c>
      <c r="N458" s="2">
        <v>0.188</v>
      </c>
      <c r="O458" s="2">
        <v>0.67300000000000004</v>
      </c>
      <c r="P458" s="2">
        <v>70</v>
      </c>
      <c r="Q458" s="2">
        <v>73</v>
      </c>
      <c r="R458" s="2">
        <v>82</v>
      </c>
      <c r="S458" s="2">
        <v>79</v>
      </c>
      <c r="T458" s="2">
        <v>95</v>
      </c>
      <c r="U458" s="2">
        <v>80</v>
      </c>
      <c r="V458" s="2">
        <v>75</v>
      </c>
      <c r="W458" s="2">
        <v>159</v>
      </c>
      <c r="X458" s="2">
        <v>-23.2</v>
      </c>
      <c r="Y458" s="2">
        <v>-25.6</v>
      </c>
    </row>
    <row r="459" spans="1:25" x14ac:dyDescent="0.2">
      <c r="A459" t="s">
        <v>214</v>
      </c>
      <c r="B459" s="2">
        <v>32</v>
      </c>
      <c r="C459" t="s">
        <v>75</v>
      </c>
      <c r="D459" s="2" t="s">
        <v>52</v>
      </c>
      <c r="E459" s="2">
        <v>23</v>
      </c>
      <c r="F459" s="2">
        <v>23</v>
      </c>
      <c r="G459" s="2">
        <v>627</v>
      </c>
      <c r="H459" s="2">
        <v>0.41</v>
      </c>
      <c r="I459" s="2">
        <v>0.54100000000000004</v>
      </c>
      <c r="J459" s="2">
        <v>0.34200000000000003</v>
      </c>
      <c r="K459" s="2">
        <v>0.52200000000000002</v>
      </c>
      <c r="L459" s="2">
        <v>0.89700000000000002</v>
      </c>
      <c r="M459" s="2">
        <v>0.56599999999999995</v>
      </c>
      <c r="N459" s="2">
        <v>0.219</v>
      </c>
      <c r="O459" s="2">
        <v>0.65700000000000003</v>
      </c>
      <c r="P459" s="2">
        <v>88</v>
      </c>
      <c r="Q459" s="2">
        <v>100</v>
      </c>
      <c r="R459" s="2">
        <v>95</v>
      </c>
      <c r="S459" s="2">
        <v>97</v>
      </c>
      <c r="T459" s="2">
        <v>115</v>
      </c>
      <c r="U459" s="2">
        <v>99</v>
      </c>
      <c r="V459" s="2">
        <v>88</v>
      </c>
      <c r="W459" s="2">
        <v>155</v>
      </c>
      <c r="X459" s="2">
        <v>-6.4</v>
      </c>
      <c r="Y459" s="2">
        <v>-3.2</v>
      </c>
    </row>
    <row r="460" spans="1:25" x14ac:dyDescent="0.2">
      <c r="A460" t="s">
        <v>132</v>
      </c>
      <c r="B460" s="2">
        <v>32</v>
      </c>
      <c r="C460" t="s">
        <v>75</v>
      </c>
      <c r="D460" s="2" t="s">
        <v>27</v>
      </c>
      <c r="E460" s="2">
        <v>25</v>
      </c>
      <c r="F460" s="2">
        <v>25</v>
      </c>
      <c r="G460" s="2">
        <v>807</v>
      </c>
      <c r="H460" s="2">
        <v>0.44900000000000001</v>
      </c>
      <c r="I460" s="2">
        <v>0.51400000000000001</v>
      </c>
      <c r="J460" s="2">
        <v>0.34200000000000003</v>
      </c>
      <c r="K460" s="2">
        <v>0.51400000000000001</v>
      </c>
      <c r="L460" s="2">
        <v>0.83899999999999997</v>
      </c>
      <c r="M460" s="2">
        <v>0.54800000000000004</v>
      </c>
      <c r="N460" s="2">
        <v>0.192</v>
      </c>
      <c r="O460" s="2">
        <v>0.38</v>
      </c>
      <c r="P460" s="2">
        <v>97</v>
      </c>
      <c r="Q460" s="2">
        <v>95</v>
      </c>
      <c r="R460" s="2">
        <v>95</v>
      </c>
      <c r="S460" s="2">
        <v>95</v>
      </c>
      <c r="T460" s="2">
        <v>108</v>
      </c>
      <c r="U460" s="2">
        <v>95</v>
      </c>
      <c r="V460" s="2">
        <v>77</v>
      </c>
      <c r="W460" s="2">
        <v>90</v>
      </c>
      <c r="X460" s="2">
        <v>-15.7</v>
      </c>
      <c r="Y460" s="2">
        <v>-16.8</v>
      </c>
    </row>
    <row r="461" spans="1:25" x14ac:dyDescent="0.2">
      <c r="A461" t="s">
        <v>438</v>
      </c>
      <c r="B461" s="2">
        <v>34</v>
      </c>
      <c r="C461" t="s">
        <v>70</v>
      </c>
      <c r="D461" s="2" t="s">
        <v>49</v>
      </c>
      <c r="E461" s="2">
        <v>6</v>
      </c>
      <c r="F461" s="2">
        <v>1</v>
      </c>
      <c r="G461" s="2">
        <v>67</v>
      </c>
      <c r="H461" s="2">
        <v>0.5</v>
      </c>
      <c r="I461" s="2">
        <v>1</v>
      </c>
      <c r="J461" s="2">
        <v>0.38900000000000001</v>
      </c>
      <c r="K461" s="2">
        <v>0.65900000000000003</v>
      </c>
      <c r="L461" s="2">
        <v>1</v>
      </c>
      <c r="M461" s="2">
        <v>0.67700000000000005</v>
      </c>
      <c r="N461" s="2">
        <v>9.0999999999999998E-2</v>
      </c>
      <c r="O461" s="2">
        <v>0.81799999999999995</v>
      </c>
      <c r="P461" s="2">
        <v>108</v>
      </c>
      <c r="Q461" s="2">
        <v>185</v>
      </c>
      <c r="R461" s="2">
        <v>108</v>
      </c>
      <c r="S461" s="2">
        <v>122</v>
      </c>
      <c r="T461" s="2">
        <v>129</v>
      </c>
      <c r="U461" s="2">
        <v>118</v>
      </c>
      <c r="V461" s="2">
        <v>36</v>
      </c>
      <c r="W461" s="2">
        <v>194</v>
      </c>
      <c r="X461" s="2">
        <v>5.2</v>
      </c>
      <c r="Y461" s="2">
        <v>4.7</v>
      </c>
    </row>
    <row r="462" spans="1:25" x14ac:dyDescent="0.2">
      <c r="A462" t="s">
        <v>217</v>
      </c>
      <c r="B462" s="2">
        <v>24</v>
      </c>
      <c r="C462" t="s">
        <v>135</v>
      </c>
      <c r="D462" s="2" t="s">
        <v>27</v>
      </c>
      <c r="E462" s="2">
        <v>24</v>
      </c>
      <c r="F462" s="2">
        <v>24</v>
      </c>
      <c r="G462" s="2">
        <v>720</v>
      </c>
      <c r="H462" s="2">
        <v>0.41899999999999998</v>
      </c>
      <c r="I462" s="2">
        <v>0.47299999999999998</v>
      </c>
      <c r="J462" s="2">
        <v>0.37</v>
      </c>
      <c r="K462" s="2">
        <v>0.51600000000000001</v>
      </c>
      <c r="L462" s="2">
        <v>0.69199999999999995</v>
      </c>
      <c r="M462" s="2">
        <v>0.53100000000000003</v>
      </c>
      <c r="N462" s="2">
        <v>0.13600000000000001</v>
      </c>
      <c r="O462" s="2">
        <v>0.52400000000000002</v>
      </c>
      <c r="P462" s="2">
        <v>90</v>
      </c>
      <c r="Q462" s="2">
        <v>87</v>
      </c>
      <c r="R462" s="2">
        <v>103</v>
      </c>
      <c r="S462" s="2">
        <v>95</v>
      </c>
      <c r="T462" s="2">
        <v>89</v>
      </c>
      <c r="U462" s="2">
        <v>92</v>
      </c>
      <c r="V462" s="2">
        <v>55</v>
      </c>
      <c r="W462" s="2">
        <v>124</v>
      </c>
      <c r="X462" s="2">
        <v>-9.5</v>
      </c>
      <c r="Y462" s="2">
        <v>-17.600000000000001</v>
      </c>
    </row>
    <row r="463" spans="1:25" x14ac:dyDescent="0.2">
      <c r="A463" t="s">
        <v>71</v>
      </c>
      <c r="B463" s="2">
        <v>26</v>
      </c>
      <c r="C463" t="s">
        <v>72</v>
      </c>
      <c r="D463" s="2" t="s">
        <v>33</v>
      </c>
      <c r="E463" s="2">
        <v>25</v>
      </c>
      <c r="F463" s="2">
        <v>25</v>
      </c>
      <c r="G463" s="2">
        <v>899</v>
      </c>
      <c r="H463" s="2">
        <v>0.38400000000000001</v>
      </c>
      <c r="I463" s="2">
        <v>0.46</v>
      </c>
      <c r="J463" s="2">
        <v>0.308</v>
      </c>
      <c r="K463" s="2">
        <v>0.46100000000000002</v>
      </c>
      <c r="L463" s="2">
        <v>0.89400000000000002</v>
      </c>
      <c r="M463" s="2">
        <v>0.53600000000000003</v>
      </c>
      <c r="N463" s="2">
        <v>0.35799999999999998</v>
      </c>
      <c r="O463" s="2">
        <v>0.5</v>
      </c>
      <c r="P463" s="2">
        <v>83</v>
      </c>
      <c r="Q463" s="2">
        <v>85</v>
      </c>
      <c r="R463" s="2">
        <v>86</v>
      </c>
      <c r="S463" s="2">
        <v>85</v>
      </c>
      <c r="T463" s="2">
        <v>115</v>
      </c>
      <c r="U463" s="2">
        <v>93</v>
      </c>
      <c r="V463" s="2">
        <v>143</v>
      </c>
      <c r="W463" s="2">
        <v>118</v>
      </c>
      <c r="X463" s="2">
        <v>-67.2</v>
      </c>
      <c r="Y463" s="2">
        <v>-37.200000000000003</v>
      </c>
    </row>
    <row r="464" spans="1:25" x14ac:dyDescent="0.2">
      <c r="A464" t="s">
        <v>259</v>
      </c>
      <c r="B464" s="2">
        <v>24</v>
      </c>
      <c r="C464" t="s">
        <v>100</v>
      </c>
      <c r="D464" s="2" t="s">
        <v>42</v>
      </c>
      <c r="E464" s="2">
        <v>23</v>
      </c>
      <c r="F464" s="2">
        <v>18</v>
      </c>
      <c r="G464" s="2">
        <v>388</v>
      </c>
      <c r="H464" s="2">
        <v>0.59799999999999998</v>
      </c>
      <c r="I464" s="2">
        <v>0.60299999999999998</v>
      </c>
      <c r="J464" s="2">
        <v>0</v>
      </c>
      <c r="K464" s="2">
        <v>0.59799999999999998</v>
      </c>
      <c r="L464" s="2">
        <v>0.59399999999999997</v>
      </c>
      <c r="M464" s="2">
        <v>0.60599999999999998</v>
      </c>
      <c r="N464" s="2">
        <v>0.252</v>
      </c>
      <c r="O464" s="2">
        <v>8.0000000000000002E-3</v>
      </c>
      <c r="P464" s="2">
        <v>129</v>
      </c>
      <c r="Q464" s="2">
        <v>111</v>
      </c>
      <c r="R464" s="2">
        <v>0</v>
      </c>
      <c r="S464" s="2">
        <v>111</v>
      </c>
      <c r="T464" s="2">
        <v>76</v>
      </c>
      <c r="U464" s="2">
        <v>105</v>
      </c>
      <c r="V464" s="2">
        <v>101</v>
      </c>
      <c r="W464" s="2">
        <v>2</v>
      </c>
      <c r="X464" s="2">
        <v>14.7</v>
      </c>
      <c r="Y464" s="2">
        <v>8.9</v>
      </c>
    </row>
    <row r="465" spans="1:25" x14ac:dyDescent="0.2">
      <c r="A465" t="s">
        <v>432</v>
      </c>
      <c r="B465" s="2">
        <v>25</v>
      </c>
      <c r="C465" t="s">
        <v>93</v>
      </c>
      <c r="D465" s="2" t="s">
        <v>33</v>
      </c>
      <c r="E465" s="2">
        <v>8</v>
      </c>
      <c r="F465" s="2">
        <v>0</v>
      </c>
      <c r="G465" s="2">
        <v>140</v>
      </c>
      <c r="H465" s="2">
        <v>0.33300000000000002</v>
      </c>
      <c r="I465" s="2">
        <v>0.38900000000000001</v>
      </c>
      <c r="J465" s="2">
        <v>0.25</v>
      </c>
      <c r="K465" s="2">
        <v>0.38300000000000001</v>
      </c>
      <c r="L465" s="2">
        <v>0.71399999999999997</v>
      </c>
      <c r="M465" s="2">
        <v>0.45600000000000002</v>
      </c>
      <c r="N465" s="2">
        <v>0.46700000000000003</v>
      </c>
      <c r="O465" s="2">
        <v>0.4</v>
      </c>
      <c r="P465" s="2">
        <v>72</v>
      </c>
      <c r="Q465" s="2">
        <v>72</v>
      </c>
      <c r="R465" s="2">
        <v>70</v>
      </c>
      <c r="S465" s="2">
        <v>71</v>
      </c>
      <c r="T465" s="2">
        <v>92</v>
      </c>
      <c r="U465" s="2">
        <v>79</v>
      </c>
      <c r="V465" s="2">
        <v>187</v>
      </c>
      <c r="W465" s="2">
        <v>95</v>
      </c>
      <c r="X465" s="2">
        <v>-9.4</v>
      </c>
      <c r="Y465" s="2">
        <v>-8.5</v>
      </c>
    </row>
    <row r="466" spans="1:25" x14ac:dyDescent="0.2">
      <c r="A466" t="s">
        <v>246</v>
      </c>
      <c r="B466" s="2">
        <v>23</v>
      </c>
      <c r="C466" t="s">
        <v>59</v>
      </c>
      <c r="D466" s="2" t="s">
        <v>33</v>
      </c>
      <c r="E466" s="2">
        <v>13</v>
      </c>
      <c r="F466" s="2">
        <v>0</v>
      </c>
      <c r="G466" s="2">
        <v>319</v>
      </c>
      <c r="H466" s="2">
        <v>0.435</v>
      </c>
      <c r="I466" s="2">
        <v>0.45500000000000002</v>
      </c>
      <c r="J466" s="2">
        <v>0.4</v>
      </c>
      <c r="K466" s="2">
        <v>0.50900000000000001</v>
      </c>
      <c r="L466" s="2">
        <v>0.90500000000000003</v>
      </c>
      <c r="M466" s="2">
        <v>0.53700000000000003</v>
      </c>
      <c r="N466" s="2">
        <v>0.13</v>
      </c>
      <c r="O466" s="2">
        <v>0.373</v>
      </c>
      <c r="P466" s="2">
        <v>94</v>
      </c>
      <c r="Q466" s="2">
        <v>84</v>
      </c>
      <c r="R466" s="2">
        <v>111</v>
      </c>
      <c r="S466" s="2">
        <v>94</v>
      </c>
      <c r="T466" s="2">
        <v>116</v>
      </c>
      <c r="U466" s="2">
        <v>94</v>
      </c>
      <c r="V466" s="2">
        <v>52</v>
      </c>
      <c r="W466" s="2">
        <v>88</v>
      </c>
      <c r="X466" s="2">
        <v>-10</v>
      </c>
      <c r="Y466" s="2">
        <v>-12.6</v>
      </c>
    </row>
    <row r="467" spans="1:25" x14ac:dyDescent="0.2">
      <c r="A467" t="s">
        <v>338</v>
      </c>
      <c r="B467" s="2">
        <v>24</v>
      </c>
      <c r="C467" t="s">
        <v>103</v>
      </c>
      <c r="D467" s="2" t="s">
        <v>27</v>
      </c>
      <c r="E467" s="2">
        <v>11</v>
      </c>
      <c r="F467" s="2">
        <v>0</v>
      </c>
      <c r="G467" s="2">
        <v>199</v>
      </c>
      <c r="H467" s="2">
        <v>0.434</v>
      </c>
      <c r="I467" s="2">
        <v>0.51</v>
      </c>
      <c r="J467" s="2">
        <v>0.28000000000000003</v>
      </c>
      <c r="K467" s="2">
        <v>0.48</v>
      </c>
      <c r="L467" s="2">
        <v>0.84399999999999997</v>
      </c>
      <c r="M467" s="2">
        <v>0.55500000000000005</v>
      </c>
      <c r="N467" s="2">
        <v>0.42099999999999999</v>
      </c>
      <c r="O467" s="2">
        <v>0.32900000000000001</v>
      </c>
      <c r="P467" s="2">
        <v>93</v>
      </c>
      <c r="Q467" s="2">
        <v>94</v>
      </c>
      <c r="R467" s="2">
        <v>78</v>
      </c>
      <c r="S467" s="2">
        <v>89</v>
      </c>
      <c r="T467" s="2">
        <v>108</v>
      </c>
      <c r="U467" s="2">
        <v>97</v>
      </c>
      <c r="V467" s="2">
        <v>169</v>
      </c>
      <c r="W467" s="2">
        <v>78</v>
      </c>
      <c r="X467" s="2">
        <v>-9.1999999999999993</v>
      </c>
      <c r="Y467" s="2">
        <v>-3.5</v>
      </c>
    </row>
    <row r="468" spans="1:25" x14ac:dyDescent="0.2">
      <c r="A468" t="s">
        <v>499</v>
      </c>
      <c r="B468" s="2">
        <v>19</v>
      </c>
      <c r="C468" t="s">
        <v>77</v>
      </c>
      <c r="D468" s="2" t="s">
        <v>49</v>
      </c>
      <c r="E468" s="2">
        <v>1</v>
      </c>
      <c r="F468" s="2">
        <v>0</v>
      </c>
      <c r="G468" s="2">
        <v>14</v>
      </c>
      <c r="H468" s="2">
        <v>0.44400000000000001</v>
      </c>
      <c r="I468" s="2">
        <v>0.57099999999999995</v>
      </c>
      <c r="J468" s="2">
        <v>0</v>
      </c>
      <c r="K468" s="2">
        <v>0.44400000000000001</v>
      </c>
      <c r="L468" s="2">
        <v>1</v>
      </c>
      <c r="M468" s="2">
        <v>0.47699999999999998</v>
      </c>
      <c r="N468" s="2">
        <v>0.111</v>
      </c>
      <c r="O468" s="2">
        <v>0.222</v>
      </c>
      <c r="P468" s="2">
        <v>96</v>
      </c>
      <c r="Q468" s="2">
        <v>105</v>
      </c>
      <c r="R468" s="2">
        <v>0</v>
      </c>
      <c r="S468" s="2">
        <v>82</v>
      </c>
      <c r="T468" s="2">
        <v>129</v>
      </c>
      <c r="U468" s="2">
        <v>83</v>
      </c>
      <c r="V468" s="2">
        <v>45</v>
      </c>
      <c r="W468" s="2">
        <v>53</v>
      </c>
      <c r="X468" s="2">
        <v>-1.7</v>
      </c>
      <c r="Y468" s="2">
        <v>-1.8</v>
      </c>
    </row>
    <row r="469" spans="1:25" x14ac:dyDescent="0.2">
      <c r="A469" t="s">
        <v>540</v>
      </c>
      <c r="B469" s="2">
        <v>27</v>
      </c>
      <c r="C469" t="s">
        <v>48</v>
      </c>
      <c r="D469" s="2" t="s">
        <v>52</v>
      </c>
      <c r="E469" s="2">
        <v>2</v>
      </c>
      <c r="F469" s="2">
        <v>0</v>
      </c>
      <c r="G469" s="2">
        <v>5</v>
      </c>
      <c r="H469" s="2">
        <v>0.33300000000000002</v>
      </c>
      <c r="I469" s="2">
        <v>0</v>
      </c>
      <c r="J469" s="2">
        <v>1</v>
      </c>
      <c r="K469" s="2">
        <v>0.5</v>
      </c>
      <c r="L469" s="2"/>
      <c r="M469" s="2">
        <v>0.5</v>
      </c>
      <c r="N469" s="2">
        <v>0</v>
      </c>
      <c r="O469" s="2">
        <v>0.33300000000000002</v>
      </c>
      <c r="P469" s="2">
        <v>72</v>
      </c>
      <c r="Q469" s="2">
        <v>0</v>
      </c>
      <c r="R469" s="2">
        <v>278</v>
      </c>
      <c r="S469" s="2">
        <v>93</v>
      </c>
      <c r="T469" s="2"/>
      <c r="U469" s="2">
        <v>87</v>
      </c>
      <c r="V469" s="2">
        <v>0</v>
      </c>
      <c r="W469" s="2">
        <v>79</v>
      </c>
      <c r="X469" s="2">
        <v>-0.2</v>
      </c>
      <c r="Y469" s="2">
        <v>-0.4</v>
      </c>
    </row>
    <row r="470" spans="1:25" x14ac:dyDescent="0.2">
      <c r="A470" t="s">
        <v>497</v>
      </c>
      <c r="B470" s="2">
        <v>21</v>
      </c>
      <c r="C470" t="s">
        <v>46</v>
      </c>
      <c r="D470" s="2" t="s">
        <v>52</v>
      </c>
      <c r="E470" s="2">
        <v>9</v>
      </c>
      <c r="F470" s="2">
        <v>0</v>
      </c>
      <c r="G470" s="2">
        <v>44</v>
      </c>
      <c r="H470" s="2">
        <v>0.25</v>
      </c>
      <c r="I470" s="2">
        <v>0.33300000000000002</v>
      </c>
      <c r="J470" s="2">
        <v>0.16700000000000001</v>
      </c>
      <c r="K470" s="2">
        <v>0.29199999999999998</v>
      </c>
      <c r="L470" s="2">
        <v>1</v>
      </c>
      <c r="M470" s="2">
        <v>0.34899999999999998</v>
      </c>
      <c r="N470" s="2">
        <v>0.16700000000000001</v>
      </c>
      <c r="O470" s="2">
        <v>0.5</v>
      </c>
      <c r="P470" s="2">
        <v>54</v>
      </c>
      <c r="Q470" s="2">
        <v>62</v>
      </c>
      <c r="R470" s="2">
        <v>46</v>
      </c>
      <c r="S470" s="2">
        <v>54</v>
      </c>
      <c r="T470" s="2">
        <v>129</v>
      </c>
      <c r="U470" s="2">
        <v>61</v>
      </c>
      <c r="V470" s="2">
        <v>67</v>
      </c>
      <c r="W470" s="2">
        <v>118</v>
      </c>
      <c r="X470" s="2">
        <v>-6</v>
      </c>
      <c r="Y470" s="2">
        <v>-5.8</v>
      </c>
    </row>
    <row r="471" spans="1:25" x14ac:dyDescent="0.2">
      <c r="A471" t="s">
        <v>426</v>
      </c>
      <c r="B471" s="2">
        <v>25</v>
      </c>
      <c r="C471" t="s">
        <v>117</v>
      </c>
      <c r="D471" s="2" t="s">
        <v>42</v>
      </c>
      <c r="E471" s="2">
        <v>15</v>
      </c>
      <c r="F471" s="2">
        <v>0</v>
      </c>
      <c r="G471" s="2">
        <v>152</v>
      </c>
      <c r="H471" s="2">
        <v>0.48299999999999998</v>
      </c>
      <c r="I471" s="2">
        <v>0.48299999999999998</v>
      </c>
      <c r="J471" s="2"/>
      <c r="K471" s="2">
        <v>0.48299999999999998</v>
      </c>
      <c r="L471" s="2">
        <v>0.41199999999999998</v>
      </c>
      <c r="M471" s="2">
        <v>0.48</v>
      </c>
      <c r="N471" s="2">
        <v>0.58599999999999997</v>
      </c>
      <c r="O471" s="2">
        <v>0</v>
      </c>
      <c r="P471" s="2">
        <v>104</v>
      </c>
      <c r="Q471" s="2">
        <v>89</v>
      </c>
      <c r="R471" s="2"/>
      <c r="S471" s="2">
        <v>89</v>
      </c>
      <c r="T471" s="2">
        <v>53</v>
      </c>
      <c r="U471" s="2">
        <v>84</v>
      </c>
      <c r="V471" s="2">
        <v>235</v>
      </c>
      <c r="W471" s="2">
        <v>0</v>
      </c>
      <c r="X471" s="2">
        <v>-3.3</v>
      </c>
      <c r="Y471" s="2">
        <v>-6.9</v>
      </c>
    </row>
    <row r="472" spans="1:25" x14ac:dyDescent="0.2">
      <c r="A472" t="s">
        <v>340</v>
      </c>
      <c r="B472" s="2">
        <v>29</v>
      </c>
      <c r="C472" t="s">
        <v>37</v>
      </c>
      <c r="D472" s="2" t="s">
        <v>27</v>
      </c>
      <c r="E472" s="2">
        <v>18</v>
      </c>
      <c r="F472" s="2">
        <v>2</v>
      </c>
      <c r="G472" s="2">
        <v>353</v>
      </c>
      <c r="H472" s="2">
        <v>0.36299999999999999</v>
      </c>
      <c r="I472" s="2">
        <v>0.44</v>
      </c>
      <c r="J472" s="2">
        <v>0.33300000000000002</v>
      </c>
      <c r="K472" s="2">
        <v>0.48399999999999999</v>
      </c>
      <c r="L472" s="2">
        <v>0.71399999999999997</v>
      </c>
      <c r="M472" s="2">
        <v>0.504</v>
      </c>
      <c r="N472" s="2">
        <v>0.154</v>
      </c>
      <c r="O472" s="2">
        <v>0.72499999999999998</v>
      </c>
      <c r="P472" s="2">
        <v>78</v>
      </c>
      <c r="Q472" s="2">
        <v>81</v>
      </c>
      <c r="R472" s="2">
        <v>93</v>
      </c>
      <c r="S472" s="2">
        <v>89</v>
      </c>
      <c r="T472" s="2">
        <v>92</v>
      </c>
      <c r="U472" s="2">
        <v>88</v>
      </c>
      <c r="V472" s="2">
        <v>62</v>
      </c>
      <c r="W472" s="2">
        <v>172</v>
      </c>
      <c r="X472" s="2">
        <v>-10.4</v>
      </c>
      <c r="Y472" s="2">
        <v>-13.6</v>
      </c>
    </row>
    <row r="473" spans="1:25" x14ac:dyDescent="0.2">
      <c r="A473" t="s">
        <v>205</v>
      </c>
      <c r="B473" s="2">
        <v>24</v>
      </c>
      <c r="C473" t="s">
        <v>117</v>
      </c>
      <c r="D473" s="2" t="s">
        <v>49</v>
      </c>
      <c r="E473" s="2">
        <v>13</v>
      </c>
      <c r="F473" s="2">
        <v>11</v>
      </c>
      <c r="G473" s="2">
        <v>438</v>
      </c>
      <c r="H473" s="2">
        <v>0.42599999999999999</v>
      </c>
      <c r="I473" s="2">
        <v>0.53700000000000003</v>
      </c>
      <c r="J473" s="2">
        <v>0.34</v>
      </c>
      <c r="K473" s="2">
        <v>0.52100000000000002</v>
      </c>
      <c r="L473" s="2">
        <v>0.872</v>
      </c>
      <c r="M473" s="2">
        <v>0.56799999999999995</v>
      </c>
      <c r="N473" s="2">
        <v>0.25</v>
      </c>
      <c r="O473" s="2">
        <v>0.56399999999999995</v>
      </c>
      <c r="P473" s="2">
        <v>92</v>
      </c>
      <c r="Q473" s="2">
        <v>99</v>
      </c>
      <c r="R473" s="2">
        <v>95</v>
      </c>
      <c r="S473" s="2">
        <v>96</v>
      </c>
      <c r="T473" s="2">
        <v>112</v>
      </c>
      <c r="U473" s="2">
        <v>99</v>
      </c>
      <c r="V473" s="2">
        <v>100</v>
      </c>
      <c r="W473" s="2">
        <v>133</v>
      </c>
      <c r="X473" s="2">
        <v>-7.2</v>
      </c>
      <c r="Y473" s="2">
        <v>-2.8</v>
      </c>
    </row>
    <row r="474" spans="1:25" x14ac:dyDescent="0.2">
      <c r="A474" t="s">
        <v>268</v>
      </c>
      <c r="B474" s="2">
        <v>23</v>
      </c>
      <c r="C474" t="s">
        <v>48</v>
      </c>
      <c r="D474" s="2" t="s">
        <v>49</v>
      </c>
      <c r="E474" s="2">
        <v>23</v>
      </c>
      <c r="F474" s="2">
        <v>16</v>
      </c>
      <c r="G474" s="2">
        <v>523</v>
      </c>
      <c r="H474" s="2">
        <v>0.40699999999999997</v>
      </c>
      <c r="I474" s="2">
        <v>0.48599999999999999</v>
      </c>
      <c r="J474" s="2">
        <v>0.32900000000000001</v>
      </c>
      <c r="K474" s="2">
        <v>0.49</v>
      </c>
      <c r="L474" s="2">
        <v>0.70799999999999996</v>
      </c>
      <c r="M474" s="2">
        <v>0.51100000000000001</v>
      </c>
      <c r="N474" s="2">
        <v>0.16</v>
      </c>
      <c r="O474" s="2">
        <v>0.50700000000000001</v>
      </c>
      <c r="P474" s="2">
        <v>88</v>
      </c>
      <c r="Q474" s="2">
        <v>90</v>
      </c>
      <c r="R474" s="2">
        <v>92</v>
      </c>
      <c r="S474" s="2">
        <v>91</v>
      </c>
      <c r="T474" s="2">
        <v>91</v>
      </c>
      <c r="U474" s="2">
        <v>89</v>
      </c>
      <c r="V474" s="2">
        <v>64</v>
      </c>
      <c r="W474" s="2">
        <v>120</v>
      </c>
      <c r="X474" s="2">
        <v>-15.2</v>
      </c>
      <c r="Y474" s="2">
        <v>-20.5</v>
      </c>
    </row>
    <row r="475" spans="1:25" x14ac:dyDescent="0.2">
      <c r="A475" t="s">
        <v>451</v>
      </c>
      <c r="B475" s="2">
        <v>33</v>
      </c>
      <c r="C475" t="s">
        <v>57</v>
      </c>
      <c r="D475" s="2" t="s">
        <v>27</v>
      </c>
      <c r="E475" s="2">
        <v>8</v>
      </c>
      <c r="F475" s="2">
        <v>0</v>
      </c>
      <c r="G475" s="2">
        <v>58</v>
      </c>
      <c r="H475" s="2">
        <v>0.68400000000000005</v>
      </c>
      <c r="I475" s="2">
        <v>0.72199999999999998</v>
      </c>
      <c r="J475" s="2">
        <v>0</v>
      </c>
      <c r="K475" s="2">
        <v>0.68400000000000005</v>
      </c>
      <c r="L475" s="2">
        <v>0</v>
      </c>
      <c r="M475" s="2">
        <v>0.60099999999999998</v>
      </c>
      <c r="N475" s="2">
        <v>0.316</v>
      </c>
      <c r="O475" s="2">
        <v>5.2999999999999999E-2</v>
      </c>
      <c r="P475" s="2">
        <v>147</v>
      </c>
      <c r="Q475" s="2">
        <v>133</v>
      </c>
      <c r="R475" s="2">
        <v>0</v>
      </c>
      <c r="S475" s="2">
        <v>127</v>
      </c>
      <c r="T475" s="2">
        <v>0</v>
      </c>
      <c r="U475" s="2">
        <v>105</v>
      </c>
      <c r="V475" s="2">
        <v>127</v>
      </c>
      <c r="W475" s="2">
        <v>12</v>
      </c>
      <c r="X475" s="2">
        <v>5.5</v>
      </c>
      <c r="Y475" s="2">
        <v>1.1000000000000001</v>
      </c>
    </row>
    <row r="476" spans="1:25" x14ac:dyDescent="0.2">
      <c r="A476" t="s">
        <v>538</v>
      </c>
      <c r="B476" s="2">
        <v>23</v>
      </c>
      <c r="C476" t="s">
        <v>82</v>
      </c>
      <c r="D476" s="2" t="s">
        <v>52</v>
      </c>
      <c r="E476" s="2">
        <v>5</v>
      </c>
      <c r="F476" s="2">
        <v>0</v>
      </c>
      <c r="G476" s="2">
        <v>8</v>
      </c>
      <c r="H476" s="2">
        <v>0.16700000000000001</v>
      </c>
      <c r="I476" s="2">
        <v>0.33300000000000002</v>
      </c>
      <c r="J476" s="2">
        <v>0</v>
      </c>
      <c r="K476" s="2">
        <v>0.16700000000000001</v>
      </c>
      <c r="L476" s="2">
        <v>1</v>
      </c>
      <c r="M476" s="2">
        <v>0.23300000000000001</v>
      </c>
      <c r="N476" s="2">
        <v>0.16700000000000001</v>
      </c>
      <c r="O476" s="2">
        <v>0.5</v>
      </c>
      <c r="P476" s="2">
        <v>36</v>
      </c>
      <c r="Q476" s="2">
        <v>62</v>
      </c>
      <c r="R476" s="2">
        <v>0</v>
      </c>
      <c r="S476" s="2">
        <v>31</v>
      </c>
      <c r="T476" s="2">
        <v>129</v>
      </c>
      <c r="U476" s="2">
        <v>41</v>
      </c>
      <c r="V476" s="2">
        <v>67</v>
      </c>
      <c r="W476" s="2">
        <v>118</v>
      </c>
      <c r="X476" s="2">
        <v>-4.5</v>
      </c>
      <c r="Y476" s="2">
        <v>-4.4000000000000004</v>
      </c>
    </row>
    <row r="477" spans="1:25" x14ac:dyDescent="0.2">
      <c r="A477" t="s">
        <v>180</v>
      </c>
      <c r="B477" s="2">
        <v>27</v>
      </c>
      <c r="C477" t="s">
        <v>57</v>
      </c>
      <c r="D477" s="2" t="s">
        <v>52</v>
      </c>
      <c r="E477" s="2">
        <v>24</v>
      </c>
      <c r="F477" s="2">
        <v>2</v>
      </c>
      <c r="G477" s="2">
        <v>441</v>
      </c>
      <c r="H477" s="2">
        <v>0.55100000000000005</v>
      </c>
      <c r="I477" s="2">
        <v>0.60199999999999998</v>
      </c>
      <c r="J477" s="2">
        <v>0.47099999999999997</v>
      </c>
      <c r="K477" s="2">
        <v>0.64300000000000002</v>
      </c>
      <c r="L477" s="2">
        <v>0.91100000000000003</v>
      </c>
      <c r="M477" s="2">
        <v>0.68300000000000005</v>
      </c>
      <c r="N477" s="2">
        <v>0.253</v>
      </c>
      <c r="O477" s="2">
        <v>0.39300000000000002</v>
      </c>
      <c r="P477" s="2">
        <v>118</v>
      </c>
      <c r="Q477" s="2">
        <v>111</v>
      </c>
      <c r="R477" s="2">
        <v>131</v>
      </c>
      <c r="S477" s="2">
        <v>119</v>
      </c>
      <c r="T477" s="2">
        <v>117</v>
      </c>
      <c r="U477" s="2">
        <v>119</v>
      </c>
      <c r="V477" s="2">
        <v>101</v>
      </c>
      <c r="W477" s="2">
        <v>93</v>
      </c>
      <c r="X477" s="2">
        <v>36.6</v>
      </c>
      <c r="Y477" s="2">
        <v>42.7</v>
      </c>
    </row>
    <row r="478" spans="1:25" x14ac:dyDescent="0.2">
      <c r="A478" t="s">
        <v>60</v>
      </c>
      <c r="B478" s="2">
        <v>25</v>
      </c>
      <c r="C478" t="s">
        <v>61</v>
      </c>
      <c r="D478" s="2" t="s">
        <v>52</v>
      </c>
      <c r="E478" s="2">
        <v>23</v>
      </c>
      <c r="F478" s="2">
        <v>23</v>
      </c>
      <c r="G478" s="2">
        <v>797</v>
      </c>
      <c r="H478" s="2">
        <v>0.48399999999999999</v>
      </c>
      <c r="I478" s="2">
        <v>0.55800000000000005</v>
      </c>
      <c r="J478" s="2">
        <v>0.42699999999999999</v>
      </c>
      <c r="K478" s="2">
        <v>0.60499999999999998</v>
      </c>
      <c r="L478" s="2">
        <v>0.874</v>
      </c>
      <c r="M478" s="2">
        <v>0.63900000000000001</v>
      </c>
      <c r="N478" s="2">
        <v>0.219</v>
      </c>
      <c r="O478" s="2">
        <v>0.56699999999999995</v>
      </c>
      <c r="P478" s="2">
        <v>104</v>
      </c>
      <c r="Q478" s="2">
        <v>103</v>
      </c>
      <c r="R478" s="2">
        <v>119</v>
      </c>
      <c r="S478" s="2">
        <v>112</v>
      </c>
      <c r="T478" s="2">
        <v>112</v>
      </c>
      <c r="U478" s="2">
        <v>111</v>
      </c>
      <c r="V478" s="2">
        <v>88</v>
      </c>
      <c r="W478" s="2">
        <v>134</v>
      </c>
      <c r="X478" s="2">
        <v>50.8</v>
      </c>
      <c r="Y478" s="2">
        <v>55.9</v>
      </c>
    </row>
    <row r="479" spans="1:25" x14ac:dyDescent="0.2">
      <c r="A479" t="s">
        <v>411</v>
      </c>
      <c r="B479" s="2">
        <v>23</v>
      </c>
      <c r="C479" t="s">
        <v>44</v>
      </c>
      <c r="D479" s="2" t="s">
        <v>33</v>
      </c>
      <c r="E479" s="2">
        <v>16</v>
      </c>
      <c r="F479" s="2">
        <v>0</v>
      </c>
      <c r="G479" s="2">
        <v>110</v>
      </c>
      <c r="H479" s="2">
        <v>0.432</v>
      </c>
      <c r="I479" s="2">
        <v>0.4</v>
      </c>
      <c r="J479" s="2">
        <v>0.45500000000000002</v>
      </c>
      <c r="K479" s="2">
        <v>0.56799999999999995</v>
      </c>
      <c r="L479" s="2">
        <v>1</v>
      </c>
      <c r="M479" s="2">
        <v>0.59299999999999997</v>
      </c>
      <c r="N479" s="2">
        <v>0.108</v>
      </c>
      <c r="O479" s="2">
        <v>0.59499999999999997</v>
      </c>
      <c r="P479" s="2">
        <v>93</v>
      </c>
      <c r="Q479" s="2">
        <v>74</v>
      </c>
      <c r="R479" s="2">
        <v>127</v>
      </c>
      <c r="S479" s="2">
        <v>105</v>
      </c>
      <c r="T479" s="2">
        <v>129</v>
      </c>
      <c r="U479" s="2">
        <v>103</v>
      </c>
      <c r="V479" s="2">
        <v>43</v>
      </c>
      <c r="W479" s="2">
        <v>141</v>
      </c>
      <c r="X479" s="2">
        <v>2</v>
      </c>
      <c r="Y479" s="2">
        <v>1.5</v>
      </c>
    </row>
    <row r="480" spans="1:25" x14ac:dyDescent="0.2">
      <c r="A480" t="s">
        <v>469</v>
      </c>
      <c r="B480" s="2">
        <v>20</v>
      </c>
      <c r="C480" t="s">
        <v>35</v>
      </c>
      <c r="D480" s="2" t="s">
        <v>27</v>
      </c>
      <c r="E480" s="2">
        <v>10</v>
      </c>
      <c r="F480" s="2">
        <v>0</v>
      </c>
      <c r="G480" s="2">
        <v>34</v>
      </c>
      <c r="H480" s="2">
        <v>0.61499999999999999</v>
      </c>
      <c r="I480" s="2">
        <v>1</v>
      </c>
      <c r="J480" s="2">
        <v>0.375</v>
      </c>
      <c r="K480" s="2">
        <v>0.73099999999999998</v>
      </c>
      <c r="L480" s="2">
        <v>0.5</v>
      </c>
      <c r="M480" s="2">
        <v>0.72</v>
      </c>
      <c r="N480" s="2">
        <v>0.154</v>
      </c>
      <c r="O480" s="2">
        <v>0.61499999999999999</v>
      </c>
      <c r="P480" s="2">
        <v>132</v>
      </c>
      <c r="Q480" s="2">
        <v>185</v>
      </c>
      <c r="R480" s="2">
        <v>104</v>
      </c>
      <c r="S480" s="2">
        <v>135</v>
      </c>
      <c r="T480" s="2">
        <v>64</v>
      </c>
      <c r="U480" s="2">
        <v>125</v>
      </c>
      <c r="V480" s="2">
        <v>62</v>
      </c>
      <c r="W480" s="2">
        <v>146</v>
      </c>
      <c r="X480" s="2">
        <v>4.9000000000000004</v>
      </c>
      <c r="Y480" s="2">
        <v>4.0999999999999996</v>
      </c>
    </row>
    <row r="481" spans="1:25" x14ac:dyDescent="0.2">
      <c r="A481" t="s">
        <v>97</v>
      </c>
      <c r="B481" s="2">
        <v>24</v>
      </c>
      <c r="C481" t="s">
        <v>82</v>
      </c>
      <c r="D481" s="2" t="s">
        <v>33</v>
      </c>
      <c r="E481" s="2">
        <v>25</v>
      </c>
      <c r="F481" s="2">
        <v>25</v>
      </c>
      <c r="G481" s="2">
        <v>884</v>
      </c>
      <c r="H481" s="2">
        <v>0.42</v>
      </c>
      <c r="I481" s="2">
        <v>0.54100000000000004</v>
      </c>
      <c r="J481" s="2">
        <v>0.33600000000000002</v>
      </c>
      <c r="K481" s="2">
        <v>0.52</v>
      </c>
      <c r="L481" s="2">
        <v>0.84599999999999997</v>
      </c>
      <c r="M481" s="2">
        <v>0.55800000000000005</v>
      </c>
      <c r="N481" s="2">
        <v>0.218</v>
      </c>
      <c r="O481" s="2">
        <v>0.59099999999999997</v>
      </c>
      <c r="P481" s="2">
        <v>90</v>
      </c>
      <c r="Q481" s="2">
        <v>100</v>
      </c>
      <c r="R481" s="2">
        <v>94</v>
      </c>
      <c r="S481" s="2">
        <v>96</v>
      </c>
      <c r="T481" s="2">
        <v>109</v>
      </c>
      <c r="U481" s="2">
        <v>97</v>
      </c>
      <c r="V481" s="2">
        <v>88</v>
      </c>
      <c r="W481" s="2">
        <v>140</v>
      </c>
      <c r="X481" s="2">
        <v>-14.9</v>
      </c>
      <c r="Y481" s="2">
        <v>-12.6</v>
      </c>
    </row>
    <row r="482" spans="1:25" x14ac:dyDescent="0.2">
      <c r="A482" t="s">
        <v>383</v>
      </c>
      <c r="B482" s="2">
        <v>25</v>
      </c>
      <c r="C482" t="s">
        <v>103</v>
      </c>
      <c r="D482" s="2" t="s">
        <v>52</v>
      </c>
      <c r="E482" s="2">
        <v>9</v>
      </c>
      <c r="F482" s="2">
        <v>2</v>
      </c>
      <c r="G482" s="2">
        <v>132</v>
      </c>
      <c r="H482" s="2">
        <v>0.5</v>
      </c>
      <c r="I482" s="2">
        <v>0.45500000000000002</v>
      </c>
      <c r="J482" s="2">
        <v>0.51500000000000001</v>
      </c>
      <c r="K482" s="2">
        <v>0.69299999999999995</v>
      </c>
      <c r="L482" s="2">
        <v>0.8</v>
      </c>
      <c r="M482" s="2">
        <v>0.70299999999999996</v>
      </c>
      <c r="N482" s="2">
        <v>0.114</v>
      </c>
      <c r="O482" s="2">
        <v>0.75</v>
      </c>
      <c r="P482" s="2">
        <v>108</v>
      </c>
      <c r="Q482" s="2">
        <v>84</v>
      </c>
      <c r="R482" s="2">
        <v>143</v>
      </c>
      <c r="S482" s="2">
        <v>128</v>
      </c>
      <c r="T482" s="2">
        <v>103</v>
      </c>
      <c r="U482" s="2">
        <v>122</v>
      </c>
      <c r="V482" s="2">
        <v>46</v>
      </c>
      <c r="W482" s="2">
        <v>177</v>
      </c>
      <c r="X482" s="2">
        <v>13.4</v>
      </c>
      <c r="Y482" s="2">
        <v>11.9</v>
      </c>
    </row>
    <row r="483" spans="1:25" x14ac:dyDescent="0.2">
      <c r="A483" t="s">
        <v>121</v>
      </c>
      <c r="B483" s="2">
        <v>24</v>
      </c>
      <c r="C483" t="s">
        <v>122</v>
      </c>
      <c r="D483" s="2" t="s">
        <v>33</v>
      </c>
      <c r="E483" s="2">
        <v>16</v>
      </c>
      <c r="F483" s="2">
        <v>16</v>
      </c>
      <c r="G483" s="2">
        <v>587</v>
      </c>
      <c r="H483" s="2">
        <v>0.40600000000000003</v>
      </c>
      <c r="I483" s="2">
        <v>0.495</v>
      </c>
      <c r="J483" s="2">
        <v>0.29299999999999998</v>
      </c>
      <c r="K483" s="2">
        <v>0.47099999999999997</v>
      </c>
      <c r="L483" s="2">
        <v>0.85199999999999998</v>
      </c>
      <c r="M483" s="2">
        <v>0.51800000000000002</v>
      </c>
      <c r="N483" s="2">
        <v>0.23799999999999999</v>
      </c>
      <c r="O483" s="2">
        <v>0.441</v>
      </c>
      <c r="P483" s="2">
        <v>87</v>
      </c>
      <c r="Q483" s="2">
        <v>91</v>
      </c>
      <c r="R483" s="2">
        <v>82</v>
      </c>
      <c r="S483" s="2">
        <v>87</v>
      </c>
      <c r="T483" s="2">
        <v>109</v>
      </c>
      <c r="U483" s="2">
        <v>90</v>
      </c>
      <c r="V483" s="2">
        <v>96</v>
      </c>
      <c r="W483" s="2">
        <v>104</v>
      </c>
      <c r="X483" s="2">
        <v>-47.5</v>
      </c>
      <c r="Y483" s="2">
        <v>-42.6</v>
      </c>
    </row>
    <row r="484" spans="1:25" x14ac:dyDescent="0.2">
      <c r="A484" t="s">
        <v>505</v>
      </c>
      <c r="B484" s="2">
        <v>23</v>
      </c>
      <c r="C484" t="s">
        <v>54</v>
      </c>
      <c r="D484" s="2" t="s">
        <v>33</v>
      </c>
      <c r="E484" s="2">
        <v>3</v>
      </c>
      <c r="F484" s="2">
        <v>0</v>
      </c>
      <c r="G484" s="2">
        <v>27</v>
      </c>
      <c r="H484" s="2">
        <v>0.5</v>
      </c>
      <c r="I484" s="2">
        <v>0.33300000000000002</v>
      </c>
      <c r="J484" s="2">
        <v>0.66700000000000004</v>
      </c>
      <c r="K484" s="2">
        <v>0.66700000000000004</v>
      </c>
      <c r="L484" s="2"/>
      <c r="M484" s="2">
        <v>0.66700000000000004</v>
      </c>
      <c r="N484" s="2">
        <v>0</v>
      </c>
      <c r="O484" s="2">
        <v>0.5</v>
      </c>
      <c r="P484" s="2">
        <v>108</v>
      </c>
      <c r="Q484" s="2">
        <v>62</v>
      </c>
      <c r="R484" s="2">
        <v>186</v>
      </c>
      <c r="S484" s="2">
        <v>123</v>
      </c>
      <c r="T484" s="2"/>
      <c r="U484" s="2">
        <v>116</v>
      </c>
      <c r="V484" s="2">
        <v>0</v>
      </c>
      <c r="W484" s="2">
        <v>118</v>
      </c>
      <c r="X484" s="2">
        <v>1.5</v>
      </c>
      <c r="Y484" s="2">
        <v>1.1000000000000001</v>
      </c>
    </row>
    <row r="485" spans="1:25" x14ac:dyDescent="0.2">
      <c r="A485" t="s">
        <v>171</v>
      </c>
      <c r="B485" s="2">
        <v>28</v>
      </c>
      <c r="C485" t="s">
        <v>54</v>
      </c>
      <c r="D485" s="2" t="s">
        <v>33</v>
      </c>
      <c r="E485" s="2">
        <v>23</v>
      </c>
      <c r="F485" s="2">
        <v>23</v>
      </c>
      <c r="G485" s="2">
        <v>742</v>
      </c>
      <c r="H485" s="2">
        <v>0.47099999999999997</v>
      </c>
      <c r="I485" s="2">
        <v>0.54500000000000004</v>
      </c>
      <c r="J485" s="2">
        <v>0.41299999999999998</v>
      </c>
      <c r="K485" s="2">
        <v>0.58599999999999997</v>
      </c>
      <c r="L485" s="2">
        <v>0.83299999999999996</v>
      </c>
      <c r="M485" s="2">
        <v>0.59799999999999998</v>
      </c>
      <c r="N485" s="2">
        <v>7.9000000000000001E-2</v>
      </c>
      <c r="O485" s="2">
        <v>0.55500000000000005</v>
      </c>
      <c r="P485" s="2">
        <v>101</v>
      </c>
      <c r="Q485" s="2">
        <v>100</v>
      </c>
      <c r="R485" s="2">
        <v>115</v>
      </c>
      <c r="S485" s="2">
        <v>108</v>
      </c>
      <c r="T485" s="2">
        <v>107</v>
      </c>
      <c r="U485" s="2">
        <v>104</v>
      </c>
      <c r="V485" s="2">
        <v>32</v>
      </c>
      <c r="W485" s="2">
        <v>131</v>
      </c>
      <c r="X485" s="2">
        <v>20.6</v>
      </c>
      <c r="Y485" s="2">
        <v>11.1</v>
      </c>
    </row>
    <row r="486" spans="1:25" x14ac:dyDescent="0.2">
      <c r="A486" t="s">
        <v>544</v>
      </c>
      <c r="B486" s="2">
        <v>19</v>
      </c>
      <c r="C486" t="s">
        <v>66</v>
      </c>
      <c r="D486" s="2" t="s">
        <v>27</v>
      </c>
      <c r="E486" s="2">
        <v>1</v>
      </c>
      <c r="F486" s="2">
        <v>0</v>
      </c>
      <c r="G486" s="2">
        <v>5</v>
      </c>
      <c r="H486" s="2">
        <v>1</v>
      </c>
      <c r="I486" s="2">
        <v>1</v>
      </c>
      <c r="J486" s="2"/>
      <c r="K486" s="2">
        <v>1</v>
      </c>
      <c r="L486" s="2"/>
      <c r="M486" s="2">
        <v>1</v>
      </c>
      <c r="N486" s="2">
        <v>0</v>
      </c>
      <c r="O486" s="2">
        <v>0</v>
      </c>
      <c r="P486" s="2">
        <v>215</v>
      </c>
      <c r="Q486" s="2">
        <v>185</v>
      </c>
      <c r="R486" s="2"/>
      <c r="S486" s="2">
        <v>185</v>
      </c>
      <c r="T486" s="2"/>
      <c r="U486" s="2">
        <v>174</v>
      </c>
      <c r="V486" s="2">
        <v>0</v>
      </c>
      <c r="W486" s="2">
        <v>0</v>
      </c>
      <c r="X486" s="2">
        <v>0.9</v>
      </c>
      <c r="Y486" s="2">
        <v>0.9</v>
      </c>
    </row>
    <row r="487" spans="1:25" x14ac:dyDescent="0.2">
      <c r="A487" t="s">
        <v>336</v>
      </c>
      <c r="B487" s="2">
        <v>31</v>
      </c>
      <c r="C487" t="s">
        <v>59</v>
      </c>
      <c r="D487" s="2" t="s">
        <v>33</v>
      </c>
      <c r="E487" s="2">
        <v>13</v>
      </c>
      <c r="F487" s="2">
        <v>6</v>
      </c>
      <c r="G487" s="2">
        <v>283</v>
      </c>
      <c r="H487" s="2">
        <v>0.36899999999999999</v>
      </c>
      <c r="I487" s="2">
        <v>0.35</v>
      </c>
      <c r="J487" s="2">
        <v>0.39500000000000002</v>
      </c>
      <c r="K487" s="2">
        <v>0.45100000000000001</v>
      </c>
      <c r="L487" s="2">
        <v>0.7</v>
      </c>
      <c r="M487" s="2">
        <v>0.46600000000000003</v>
      </c>
      <c r="N487" s="2">
        <v>9.7000000000000003E-2</v>
      </c>
      <c r="O487" s="2">
        <v>0.41699999999999998</v>
      </c>
      <c r="P487" s="2">
        <v>79</v>
      </c>
      <c r="Q487" s="2">
        <v>65</v>
      </c>
      <c r="R487" s="2">
        <v>110</v>
      </c>
      <c r="S487" s="2">
        <v>84</v>
      </c>
      <c r="T487" s="2">
        <v>90</v>
      </c>
      <c r="U487" s="2">
        <v>81</v>
      </c>
      <c r="V487" s="2">
        <v>39</v>
      </c>
      <c r="W487" s="2">
        <v>99</v>
      </c>
      <c r="X487" s="2">
        <v>-18.3</v>
      </c>
      <c r="Y487" s="2">
        <v>-23.4</v>
      </c>
    </row>
    <row r="488" spans="1:25" x14ac:dyDescent="0.2">
      <c r="A488" t="s">
        <v>92</v>
      </c>
      <c r="B488" s="2">
        <v>21</v>
      </c>
      <c r="C488" t="s">
        <v>93</v>
      </c>
      <c r="D488" s="2" t="s">
        <v>42</v>
      </c>
      <c r="E488" s="2">
        <v>19</v>
      </c>
      <c r="F488" s="2">
        <v>19</v>
      </c>
      <c r="G488" s="2">
        <v>611</v>
      </c>
      <c r="H488" s="2">
        <v>0.48</v>
      </c>
      <c r="I488" s="2">
        <v>0.62</v>
      </c>
      <c r="J488" s="2">
        <v>0.34100000000000003</v>
      </c>
      <c r="K488" s="2">
        <v>0.56499999999999995</v>
      </c>
      <c r="L488" s="2">
        <v>0.86799999999999999</v>
      </c>
      <c r="M488" s="2">
        <v>0.59899999999999998</v>
      </c>
      <c r="N488" s="2">
        <v>0.19800000000000001</v>
      </c>
      <c r="O488" s="2">
        <v>0.503</v>
      </c>
      <c r="P488" s="2">
        <v>103</v>
      </c>
      <c r="Q488" s="2">
        <v>114</v>
      </c>
      <c r="R488" s="2">
        <v>95</v>
      </c>
      <c r="S488" s="2">
        <v>105</v>
      </c>
      <c r="T488" s="2">
        <v>112</v>
      </c>
      <c r="U488" s="2">
        <v>104</v>
      </c>
      <c r="V488" s="2">
        <v>79</v>
      </c>
      <c r="W488" s="2">
        <v>119</v>
      </c>
      <c r="X488" s="2">
        <v>17.100000000000001</v>
      </c>
      <c r="Y488" s="2">
        <v>18.399999999999999</v>
      </c>
    </row>
    <row r="489" spans="1:25" x14ac:dyDescent="0.2">
      <c r="A489" t="s">
        <v>483</v>
      </c>
      <c r="B489" s="2">
        <v>24</v>
      </c>
      <c r="C489" t="s">
        <v>80</v>
      </c>
      <c r="D489" s="2" t="s">
        <v>52</v>
      </c>
      <c r="E489" s="2">
        <v>3</v>
      </c>
      <c r="F489" s="2">
        <v>0</v>
      </c>
      <c r="G489" s="2">
        <v>45</v>
      </c>
      <c r="H489" s="2">
        <v>0.36799999999999999</v>
      </c>
      <c r="I489" s="2">
        <v>0.54500000000000004</v>
      </c>
      <c r="J489" s="2">
        <v>0.125</v>
      </c>
      <c r="K489" s="2">
        <v>0.39500000000000002</v>
      </c>
      <c r="L489" s="2">
        <v>0.25</v>
      </c>
      <c r="M489" s="2">
        <v>0.38500000000000001</v>
      </c>
      <c r="N489" s="2">
        <v>0.21099999999999999</v>
      </c>
      <c r="O489" s="2">
        <v>0.42099999999999999</v>
      </c>
      <c r="P489" s="2">
        <v>79</v>
      </c>
      <c r="Q489" s="2">
        <v>101</v>
      </c>
      <c r="R489" s="2">
        <v>35</v>
      </c>
      <c r="S489" s="2">
        <v>73</v>
      </c>
      <c r="T489" s="2">
        <v>32</v>
      </c>
      <c r="U489" s="2">
        <v>67</v>
      </c>
      <c r="V489" s="2">
        <v>84</v>
      </c>
      <c r="W489" s="2">
        <v>100</v>
      </c>
      <c r="X489" s="2">
        <v>-5.5</v>
      </c>
      <c r="Y489" s="2">
        <v>-7.9</v>
      </c>
    </row>
    <row r="490" spans="1:25" x14ac:dyDescent="0.2">
      <c r="A490" t="s">
        <v>433</v>
      </c>
      <c r="B490" s="2">
        <v>24</v>
      </c>
      <c r="C490" t="s">
        <v>72</v>
      </c>
      <c r="D490" s="2" t="s">
        <v>33</v>
      </c>
      <c r="E490" s="2">
        <v>12</v>
      </c>
      <c r="F490" s="2">
        <v>0</v>
      </c>
      <c r="G490" s="2">
        <v>140</v>
      </c>
      <c r="H490" s="2">
        <v>0.34300000000000003</v>
      </c>
      <c r="I490" s="2">
        <v>0.44400000000000001</v>
      </c>
      <c r="J490" s="2">
        <v>0.23499999999999999</v>
      </c>
      <c r="K490" s="2">
        <v>0.4</v>
      </c>
      <c r="L490" s="2">
        <v>0.55600000000000005</v>
      </c>
      <c r="M490" s="2">
        <v>0.42399999999999999</v>
      </c>
      <c r="N490" s="2">
        <v>0.25700000000000001</v>
      </c>
      <c r="O490" s="2">
        <v>0.48599999999999999</v>
      </c>
      <c r="P490" s="2">
        <v>74</v>
      </c>
      <c r="Q490" s="2">
        <v>82</v>
      </c>
      <c r="R490" s="2">
        <v>66</v>
      </c>
      <c r="S490" s="2">
        <v>74</v>
      </c>
      <c r="T490" s="2">
        <v>71</v>
      </c>
      <c r="U490" s="2">
        <v>74</v>
      </c>
      <c r="V490" s="2">
        <v>103</v>
      </c>
      <c r="W490" s="2">
        <v>115</v>
      </c>
      <c r="X490" s="2">
        <v>-9.8000000000000007</v>
      </c>
      <c r="Y490" s="2">
        <v>-11.8</v>
      </c>
    </row>
    <row r="491" spans="1:25" x14ac:dyDescent="0.2">
      <c r="A491" t="s">
        <v>498</v>
      </c>
      <c r="B491" s="2">
        <v>27</v>
      </c>
      <c r="C491" t="s">
        <v>46</v>
      </c>
      <c r="D491" s="2" t="s">
        <v>27</v>
      </c>
      <c r="E491" s="2">
        <v>4</v>
      </c>
      <c r="F491" s="2">
        <v>0</v>
      </c>
      <c r="G491" s="2">
        <v>34</v>
      </c>
      <c r="H491" s="2">
        <v>0.57099999999999995</v>
      </c>
      <c r="I491" s="2">
        <v>0.6</v>
      </c>
      <c r="J491" s="2">
        <v>0.5</v>
      </c>
      <c r="K491" s="2">
        <v>0.64300000000000002</v>
      </c>
      <c r="L491" s="2"/>
      <c r="M491" s="2">
        <v>0.64300000000000002</v>
      </c>
      <c r="N491" s="2">
        <v>0</v>
      </c>
      <c r="O491" s="2">
        <v>0.28599999999999998</v>
      </c>
      <c r="P491" s="2">
        <v>123</v>
      </c>
      <c r="Q491" s="2">
        <v>111</v>
      </c>
      <c r="R491" s="2">
        <v>139</v>
      </c>
      <c r="S491" s="2">
        <v>119</v>
      </c>
      <c r="T491" s="2"/>
      <c r="U491" s="2">
        <v>112</v>
      </c>
      <c r="V491" s="2">
        <v>0</v>
      </c>
      <c r="W491" s="2">
        <v>68</v>
      </c>
      <c r="X491" s="2">
        <v>1.4</v>
      </c>
      <c r="Y491" s="2">
        <v>1</v>
      </c>
    </row>
    <row r="492" spans="1:25" x14ac:dyDescent="0.2">
      <c r="A492" t="s">
        <v>245</v>
      </c>
      <c r="B492" s="2">
        <v>23</v>
      </c>
      <c r="C492" t="s">
        <v>120</v>
      </c>
      <c r="D492" s="2" t="s">
        <v>42</v>
      </c>
      <c r="E492" s="2">
        <v>17</v>
      </c>
      <c r="F492" s="2">
        <v>17</v>
      </c>
      <c r="G492" s="2">
        <v>495</v>
      </c>
      <c r="H492" s="2">
        <v>0.73099999999999998</v>
      </c>
      <c r="I492" s="2">
        <v>0.73099999999999998</v>
      </c>
      <c r="J492" s="2"/>
      <c r="K492" s="2">
        <v>0.73099999999999998</v>
      </c>
      <c r="L492" s="2">
        <v>0.6</v>
      </c>
      <c r="M492" s="2">
        <v>0.72399999999999998</v>
      </c>
      <c r="N492" s="2">
        <v>0.41699999999999998</v>
      </c>
      <c r="O492" s="2">
        <v>0</v>
      </c>
      <c r="P492" s="2">
        <v>157</v>
      </c>
      <c r="Q492" s="2">
        <v>135</v>
      </c>
      <c r="R492" s="2"/>
      <c r="S492" s="2">
        <v>135</v>
      </c>
      <c r="T492" s="2">
        <v>77</v>
      </c>
      <c r="U492" s="2">
        <v>126</v>
      </c>
      <c r="V492" s="2">
        <v>167</v>
      </c>
      <c r="W492" s="2">
        <v>0</v>
      </c>
      <c r="X492" s="2">
        <v>41.2</v>
      </c>
      <c r="Y492" s="2">
        <v>38.200000000000003</v>
      </c>
    </row>
    <row r="493" spans="1:25" x14ac:dyDescent="0.2">
      <c r="A493" t="s">
        <v>329</v>
      </c>
      <c r="B493" s="2">
        <v>25</v>
      </c>
      <c r="C493" t="s">
        <v>48</v>
      </c>
      <c r="D493" s="2" t="s">
        <v>42</v>
      </c>
      <c r="E493" s="2">
        <v>14</v>
      </c>
      <c r="F493" s="2">
        <v>14</v>
      </c>
      <c r="G493" s="2">
        <v>362</v>
      </c>
      <c r="H493" s="2">
        <v>0.5</v>
      </c>
      <c r="I493" s="2">
        <v>0.72099999999999997</v>
      </c>
      <c r="J493" s="2">
        <v>0.17199999999999999</v>
      </c>
      <c r="K493" s="2">
        <v>0.53500000000000003</v>
      </c>
      <c r="L493" s="2">
        <v>0.76300000000000001</v>
      </c>
      <c r="M493" s="2">
        <v>0.59699999999999998</v>
      </c>
      <c r="N493" s="2">
        <v>0.52800000000000002</v>
      </c>
      <c r="O493" s="2">
        <v>0.40300000000000002</v>
      </c>
      <c r="P493" s="2">
        <v>108</v>
      </c>
      <c r="Q493" s="2">
        <v>133</v>
      </c>
      <c r="R493" s="2">
        <v>48</v>
      </c>
      <c r="S493" s="2">
        <v>99</v>
      </c>
      <c r="T493" s="2">
        <v>98</v>
      </c>
      <c r="U493" s="2">
        <v>104</v>
      </c>
      <c r="V493" s="2">
        <v>212</v>
      </c>
      <c r="W493" s="2">
        <v>95</v>
      </c>
      <c r="X493" s="2">
        <v>-0.8</v>
      </c>
      <c r="Y493" s="2">
        <v>4.0999999999999996</v>
      </c>
    </row>
    <row r="494" spans="1:25" x14ac:dyDescent="0.2">
      <c r="A494" t="s">
        <v>402</v>
      </c>
      <c r="B494" s="2">
        <v>23</v>
      </c>
      <c r="C494" t="s">
        <v>75</v>
      </c>
      <c r="D494" s="2" t="s">
        <v>52</v>
      </c>
      <c r="E494" s="2">
        <v>12</v>
      </c>
      <c r="F494" s="2">
        <v>0</v>
      </c>
      <c r="G494" s="2">
        <v>171</v>
      </c>
      <c r="H494" s="2">
        <v>0.52800000000000002</v>
      </c>
      <c r="I494" s="2">
        <v>0.59299999999999997</v>
      </c>
      <c r="J494" s="2">
        <v>0.33300000000000002</v>
      </c>
      <c r="K494" s="2">
        <v>0.56899999999999995</v>
      </c>
      <c r="L494" s="2">
        <v>0.91700000000000004</v>
      </c>
      <c r="M494" s="2">
        <v>0.63</v>
      </c>
      <c r="N494" s="2">
        <v>0.33300000000000002</v>
      </c>
      <c r="O494" s="2">
        <v>0.25</v>
      </c>
      <c r="P494" s="2">
        <v>114</v>
      </c>
      <c r="Q494" s="2">
        <v>109</v>
      </c>
      <c r="R494" s="2">
        <v>93</v>
      </c>
      <c r="S494" s="2">
        <v>105</v>
      </c>
      <c r="T494" s="2">
        <v>118</v>
      </c>
      <c r="U494" s="2">
        <v>110</v>
      </c>
      <c r="V494" s="2">
        <v>134</v>
      </c>
      <c r="W494" s="2">
        <v>59</v>
      </c>
      <c r="X494" s="2">
        <v>2.1</v>
      </c>
      <c r="Y494" s="2">
        <v>4.5999999999999996</v>
      </c>
    </row>
    <row r="495" spans="1:25" x14ac:dyDescent="0.2">
      <c r="A495" t="s">
        <v>477</v>
      </c>
      <c r="B495" s="2">
        <v>26</v>
      </c>
      <c r="C495" t="s">
        <v>39</v>
      </c>
      <c r="D495" s="2" t="s">
        <v>42</v>
      </c>
      <c r="E495" s="2">
        <v>16</v>
      </c>
      <c r="F495" s="2">
        <v>1</v>
      </c>
      <c r="G495" s="2">
        <v>144</v>
      </c>
      <c r="H495" s="2">
        <v>0.25</v>
      </c>
      <c r="I495" s="2">
        <v>0.33300000000000002</v>
      </c>
      <c r="J495" s="2">
        <v>0.188</v>
      </c>
      <c r="K495" s="2">
        <v>0.30399999999999999</v>
      </c>
      <c r="L495" s="2">
        <v>0.5</v>
      </c>
      <c r="M495" s="2">
        <v>0.312</v>
      </c>
      <c r="N495" s="2">
        <v>7.0999999999999994E-2</v>
      </c>
      <c r="O495" s="2">
        <v>0.57099999999999995</v>
      </c>
      <c r="P495" s="2">
        <v>54</v>
      </c>
      <c r="Q495" s="2">
        <v>62</v>
      </c>
      <c r="R495" s="2">
        <v>52</v>
      </c>
      <c r="S495" s="2">
        <v>56</v>
      </c>
      <c r="T495" s="2">
        <v>64</v>
      </c>
      <c r="U495" s="2">
        <v>54</v>
      </c>
      <c r="V495" s="2">
        <v>29</v>
      </c>
      <c r="W495" s="2">
        <v>135</v>
      </c>
      <c r="X495" s="2">
        <v>-13.3</v>
      </c>
      <c r="Y495" s="2">
        <v>-15.2</v>
      </c>
    </row>
    <row r="496" spans="1:25" x14ac:dyDescent="0.2">
      <c r="A496" t="s">
        <v>490</v>
      </c>
      <c r="B496" s="2">
        <v>23</v>
      </c>
      <c r="C496" t="s">
        <v>80</v>
      </c>
      <c r="D496" s="2" t="s">
        <v>33</v>
      </c>
      <c r="E496" s="2">
        <v>13</v>
      </c>
      <c r="F496" s="2">
        <v>0</v>
      </c>
      <c r="G496" s="2">
        <v>40</v>
      </c>
      <c r="H496" s="2">
        <v>0.26700000000000002</v>
      </c>
      <c r="I496" s="2">
        <v>0.5</v>
      </c>
      <c r="J496" s="2">
        <v>0.182</v>
      </c>
      <c r="K496" s="2">
        <v>0.33300000000000002</v>
      </c>
      <c r="L496" s="2">
        <v>0.66700000000000004</v>
      </c>
      <c r="M496" s="2">
        <v>0.39700000000000002</v>
      </c>
      <c r="N496" s="2">
        <v>0.4</v>
      </c>
      <c r="O496" s="2">
        <v>0.73299999999999998</v>
      </c>
      <c r="P496" s="2">
        <v>57</v>
      </c>
      <c r="Q496" s="2">
        <v>92</v>
      </c>
      <c r="R496" s="2">
        <v>51</v>
      </c>
      <c r="S496" s="2">
        <v>62</v>
      </c>
      <c r="T496" s="2">
        <v>86</v>
      </c>
      <c r="U496" s="2">
        <v>69</v>
      </c>
      <c r="V496" s="2">
        <v>160</v>
      </c>
      <c r="W496" s="2">
        <v>173</v>
      </c>
      <c r="X496" s="2">
        <v>-6.2</v>
      </c>
      <c r="Y496" s="2">
        <v>-6.3</v>
      </c>
    </row>
    <row r="497" spans="1:25" x14ac:dyDescent="0.2">
      <c r="A497" t="s">
        <v>206</v>
      </c>
      <c r="B497" s="2">
        <v>20</v>
      </c>
      <c r="C497" t="s">
        <v>117</v>
      </c>
      <c r="D497" s="2" t="s">
        <v>42</v>
      </c>
      <c r="E497" s="2">
        <v>25</v>
      </c>
      <c r="F497" s="2">
        <v>19</v>
      </c>
      <c r="G497" s="2">
        <v>634</v>
      </c>
      <c r="H497" s="2">
        <v>0.54800000000000004</v>
      </c>
      <c r="I497" s="2">
        <v>0.54800000000000004</v>
      </c>
      <c r="J497" s="2"/>
      <c r="K497" s="2">
        <v>0.54800000000000004</v>
      </c>
      <c r="L497" s="2">
        <v>0.65300000000000002</v>
      </c>
      <c r="M497" s="2">
        <v>0.57999999999999996</v>
      </c>
      <c r="N497" s="2">
        <v>0.45200000000000001</v>
      </c>
      <c r="O497" s="2">
        <v>0</v>
      </c>
      <c r="P497" s="2">
        <v>118</v>
      </c>
      <c r="Q497" s="2">
        <v>101</v>
      </c>
      <c r="R497" s="2"/>
      <c r="S497" s="2">
        <v>101</v>
      </c>
      <c r="T497" s="2">
        <v>84</v>
      </c>
      <c r="U497" s="2">
        <v>101</v>
      </c>
      <c r="V497" s="2">
        <v>181</v>
      </c>
      <c r="W497" s="2">
        <v>0</v>
      </c>
      <c r="X497" s="2">
        <v>2.5</v>
      </c>
      <c r="Y497" s="2">
        <v>2.4</v>
      </c>
    </row>
    <row r="498" spans="1:25" x14ac:dyDescent="0.2">
      <c r="A498" t="s">
        <v>165</v>
      </c>
      <c r="B498" s="2">
        <v>19</v>
      </c>
      <c r="C498" t="s">
        <v>72</v>
      </c>
      <c r="D498" s="2" t="s">
        <v>49</v>
      </c>
      <c r="E498" s="2">
        <v>26</v>
      </c>
      <c r="F498" s="2">
        <v>24</v>
      </c>
      <c r="G498" s="2">
        <v>623</v>
      </c>
      <c r="H498" s="2">
        <v>0.39900000000000002</v>
      </c>
      <c r="I498" s="2">
        <v>0.49299999999999999</v>
      </c>
      <c r="J498" s="2">
        <v>0.27600000000000002</v>
      </c>
      <c r="K498" s="2">
        <v>0.45900000000000002</v>
      </c>
      <c r="L498" s="2">
        <v>0.68200000000000005</v>
      </c>
      <c r="M498" s="2">
        <v>0.49</v>
      </c>
      <c r="N498" s="2">
        <v>0.246</v>
      </c>
      <c r="O498" s="2">
        <v>0.433</v>
      </c>
      <c r="P498" s="2">
        <v>86</v>
      </c>
      <c r="Q498" s="2">
        <v>91</v>
      </c>
      <c r="R498" s="2">
        <v>77</v>
      </c>
      <c r="S498" s="2">
        <v>85</v>
      </c>
      <c r="T498" s="2">
        <v>88</v>
      </c>
      <c r="U498" s="2">
        <v>85</v>
      </c>
      <c r="V498" s="2">
        <v>99</v>
      </c>
      <c r="W498" s="2">
        <v>102</v>
      </c>
      <c r="X498" s="2">
        <v>-43.7</v>
      </c>
      <c r="Y498" s="2">
        <v>-50.3</v>
      </c>
    </row>
    <row r="499" spans="1:25" x14ac:dyDescent="0.2">
      <c r="A499" t="s">
        <v>296</v>
      </c>
      <c r="B499" s="2">
        <v>27</v>
      </c>
      <c r="C499" t="s">
        <v>93</v>
      </c>
      <c r="D499" s="2" t="s">
        <v>42</v>
      </c>
      <c r="E499" s="2">
        <v>24</v>
      </c>
      <c r="F499" s="2">
        <v>4</v>
      </c>
      <c r="G499" s="2">
        <v>341</v>
      </c>
      <c r="H499" s="2">
        <v>0.47599999999999998</v>
      </c>
      <c r="I499" s="2">
        <v>0.55100000000000005</v>
      </c>
      <c r="J499" s="2">
        <v>0.33300000000000002</v>
      </c>
      <c r="K499" s="2">
        <v>0.53300000000000003</v>
      </c>
      <c r="L499" s="2">
        <v>0.875</v>
      </c>
      <c r="M499" s="2">
        <v>0.58799999999999997</v>
      </c>
      <c r="N499" s="2">
        <v>0.30499999999999999</v>
      </c>
      <c r="O499" s="2">
        <v>0.34300000000000003</v>
      </c>
      <c r="P499" s="2">
        <v>102</v>
      </c>
      <c r="Q499" s="2">
        <v>102</v>
      </c>
      <c r="R499" s="2">
        <v>93</v>
      </c>
      <c r="S499" s="2">
        <v>99</v>
      </c>
      <c r="T499" s="2">
        <v>112</v>
      </c>
      <c r="U499" s="2">
        <v>102</v>
      </c>
      <c r="V499" s="2">
        <v>122</v>
      </c>
      <c r="W499" s="2">
        <v>81</v>
      </c>
      <c r="X499" s="2">
        <v>-1.5</v>
      </c>
      <c r="Y499" s="2">
        <v>3.2</v>
      </c>
    </row>
    <row r="500" spans="1:25" x14ac:dyDescent="0.2">
      <c r="A500" t="s">
        <v>274</v>
      </c>
      <c r="B500" s="2">
        <v>22</v>
      </c>
      <c r="C500" t="s">
        <v>80</v>
      </c>
      <c r="D500" s="2" t="s">
        <v>42</v>
      </c>
      <c r="E500" s="2">
        <v>14</v>
      </c>
      <c r="F500" s="2">
        <v>9</v>
      </c>
      <c r="G500" s="2">
        <v>281</v>
      </c>
      <c r="H500" s="2">
        <v>0.61</v>
      </c>
      <c r="I500" s="2">
        <v>0.61099999999999999</v>
      </c>
      <c r="J500" s="2">
        <v>0.6</v>
      </c>
      <c r="K500" s="2">
        <v>0.63800000000000001</v>
      </c>
      <c r="L500" s="2">
        <v>0.66700000000000004</v>
      </c>
      <c r="M500" s="2">
        <v>0.65300000000000002</v>
      </c>
      <c r="N500" s="2">
        <v>0.314</v>
      </c>
      <c r="O500" s="2">
        <v>9.5000000000000001E-2</v>
      </c>
      <c r="P500" s="2">
        <v>131</v>
      </c>
      <c r="Q500" s="2">
        <v>113</v>
      </c>
      <c r="R500" s="2">
        <v>167</v>
      </c>
      <c r="S500" s="2">
        <v>118</v>
      </c>
      <c r="T500" s="2">
        <v>86</v>
      </c>
      <c r="U500" s="2">
        <v>114</v>
      </c>
      <c r="V500" s="2">
        <v>126</v>
      </c>
      <c r="W500" s="2">
        <v>23</v>
      </c>
      <c r="X500" s="2">
        <v>20.5</v>
      </c>
      <c r="Y500" s="2">
        <v>18.7</v>
      </c>
    </row>
    <row r="501" spans="1:25" x14ac:dyDescent="0.2">
      <c r="A501" t="s">
        <v>85</v>
      </c>
      <c r="B501" s="2">
        <v>29</v>
      </c>
      <c r="C501" t="s">
        <v>70</v>
      </c>
      <c r="D501" s="2" t="s">
        <v>49</v>
      </c>
      <c r="E501" s="2">
        <v>22</v>
      </c>
      <c r="F501" s="2">
        <v>22</v>
      </c>
      <c r="G501" s="2">
        <v>733</v>
      </c>
      <c r="H501" s="2">
        <v>0.50600000000000001</v>
      </c>
      <c r="I501" s="2">
        <v>0.57499999999999996</v>
      </c>
      <c r="J501" s="2">
        <v>0.432</v>
      </c>
      <c r="K501" s="2">
        <v>0.61</v>
      </c>
      <c r="L501" s="2">
        <v>0.8</v>
      </c>
      <c r="M501" s="2">
        <v>0.63600000000000001</v>
      </c>
      <c r="N501" s="2">
        <v>0.214</v>
      </c>
      <c r="O501" s="2">
        <v>0.48299999999999998</v>
      </c>
      <c r="P501" s="2">
        <v>109</v>
      </c>
      <c r="Q501" s="2">
        <v>106</v>
      </c>
      <c r="R501" s="2">
        <v>120</v>
      </c>
      <c r="S501" s="2">
        <v>113</v>
      </c>
      <c r="T501" s="2">
        <v>103</v>
      </c>
      <c r="U501" s="2">
        <v>111</v>
      </c>
      <c r="V501" s="2">
        <v>86</v>
      </c>
      <c r="W501" s="2">
        <v>114</v>
      </c>
      <c r="X501" s="2">
        <v>48.6</v>
      </c>
      <c r="Y501" s="2">
        <v>46.9</v>
      </c>
    </row>
    <row r="502" spans="1:25" x14ac:dyDescent="0.2">
      <c r="A502" t="s">
        <v>471</v>
      </c>
      <c r="B502" s="2">
        <v>24</v>
      </c>
      <c r="C502" t="s">
        <v>46</v>
      </c>
      <c r="D502" s="2" t="s">
        <v>27</v>
      </c>
      <c r="E502" s="2">
        <v>15</v>
      </c>
      <c r="F502" s="2">
        <v>0</v>
      </c>
      <c r="G502" s="2">
        <v>75</v>
      </c>
      <c r="H502" s="2">
        <v>0.40899999999999997</v>
      </c>
      <c r="I502" s="2">
        <v>0.64300000000000002</v>
      </c>
      <c r="J502" s="2">
        <v>0</v>
      </c>
      <c r="K502" s="2">
        <v>0.40899999999999997</v>
      </c>
      <c r="L502" s="2">
        <v>0.2</v>
      </c>
      <c r="M502" s="2">
        <v>0.39300000000000002</v>
      </c>
      <c r="N502" s="2">
        <v>0.22700000000000001</v>
      </c>
      <c r="O502" s="2">
        <v>0.36399999999999999</v>
      </c>
      <c r="P502" s="2">
        <v>88</v>
      </c>
      <c r="Q502" s="2">
        <v>119</v>
      </c>
      <c r="R502" s="2">
        <v>0</v>
      </c>
      <c r="S502" s="2">
        <v>76</v>
      </c>
      <c r="T502" s="2">
        <v>26</v>
      </c>
      <c r="U502" s="2">
        <v>68</v>
      </c>
      <c r="V502" s="2">
        <v>91</v>
      </c>
      <c r="W502" s="2">
        <v>86</v>
      </c>
      <c r="X502" s="2">
        <v>-5.8</v>
      </c>
      <c r="Y502" s="2">
        <v>-8.8000000000000007</v>
      </c>
    </row>
    <row r="503" spans="1:25" x14ac:dyDescent="0.2">
      <c r="A503" t="s">
        <v>248</v>
      </c>
      <c r="B503" s="2">
        <v>23</v>
      </c>
      <c r="C503" t="s">
        <v>103</v>
      </c>
      <c r="D503" s="2" t="s">
        <v>49</v>
      </c>
      <c r="E503" s="2">
        <v>21</v>
      </c>
      <c r="F503" s="2">
        <v>7</v>
      </c>
      <c r="G503" s="2">
        <v>459</v>
      </c>
      <c r="H503" s="2">
        <v>0.40300000000000002</v>
      </c>
      <c r="I503" s="2">
        <v>0.495</v>
      </c>
      <c r="J503" s="2">
        <v>0.27300000000000002</v>
      </c>
      <c r="K503" s="2">
        <v>0.45900000000000002</v>
      </c>
      <c r="L503" s="2">
        <v>0.79500000000000004</v>
      </c>
      <c r="M503" s="2">
        <v>0.50700000000000001</v>
      </c>
      <c r="N503" s="2">
        <v>0.27700000000000002</v>
      </c>
      <c r="O503" s="2">
        <v>0.41499999999999998</v>
      </c>
      <c r="P503" s="2">
        <v>87</v>
      </c>
      <c r="Q503" s="2">
        <v>91</v>
      </c>
      <c r="R503" s="2">
        <v>76</v>
      </c>
      <c r="S503" s="2">
        <v>85</v>
      </c>
      <c r="T503" s="2">
        <v>102</v>
      </c>
      <c r="U503" s="2">
        <v>88</v>
      </c>
      <c r="V503" s="2">
        <v>111</v>
      </c>
      <c r="W503" s="2">
        <v>98</v>
      </c>
      <c r="X503" s="2">
        <v>-25.9</v>
      </c>
      <c r="Y503" s="2">
        <v>-23.9</v>
      </c>
    </row>
    <row r="504" spans="1:25" x14ac:dyDescent="0.2">
      <c r="A504" t="s">
        <v>300</v>
      </c>
      <c r="B504" s="2">
        <v>24</v>
      </c>
      <c r="C504" t="s">
        <v>117</v>
      </c>
      <c r="D504" s="2" t="s">
        <v>27</v>
      </c>
      <c r="E504" s="2">
        <v>6</v>
      </c>
      <c r="F504" s="2">
        <v>6</v>
      </c>
      <c r="G504" s="2">
        <v>186</v>
      </c>
      <c r="H504" s="2">
        <v>0.45200000000000001</v>
      </c>
      <c r="I504" s="2">
        <v>0.45900000000000002</v>
      </c>
      <c r="J504" s="2">
        <v>0.33300000000000002</v>
      </c>
      <c r="K504" s="2">
        <v>0.46200000000000002</v>
      </c>
      <c r="L504" s="2">
        <v>0.66700000000000004</v>
      </c>
      <c r="M504" s="2">
        <v>0.52100000000000002</v>
      </c>
      <c r="N504" s="2">
        <v>0.57699999999999996</v>
      </c>
      <c r="O504" s="2">
        <v>5.8000000000000003E-2</v>
      </c>
      <c r="P504" s="2">
        <v>97</v>
      </c>
      <c r="Q504" s="2">
        <v>85</v>
      </c>
      <c r="R504" s="2">
        <v>93</v>
      </c>
      <c r="S504" s="2">
        <v>85</v>
      </c>
      <c r="T504" s="2">
        <v>86</v>
      </c>
      <c r="U504" s="2">
        <v>91</v>
      </c>
      <c r="V504" s="2">
        <v>231</v>
      </c>
      <c r="W504" s="2">
        <v>14</v>
      </c>
      <c r="X504" s="2">
        <v>-16.399999999999999</v>
      </c>
      <c r="Y504" s="2">
        <v>-13.8</v>
      </c>
    </row>
  </sheetData>
  <sortState xmlns:xlrd2="http://schemas.microsoft.com/office/spreadsheetml/2017/richdata2" ref="A3:Y504">
    <sortCondition ref="A456:A504"/>
  </sortState>
  <mergeCells count="3">
    <mergeCell ref="X1:Y1"/>
    <mergeCell ref="P1:W1"/>
    <mergeCell ref="H1:O1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D872CC-0683-3441-9367-C6F91CF105FB}">
  <dimension ref="A1:I461"/>
  <sheetViews>
    <sheetView workbookViewId="0">
      <selection activeCell="H4" sqref="H4"/>
    </sheetView>
  </sheetViews>
  <sheetFormatPr baseColWidth="10" defaultRowHeight="16" x14ac:dyDescent="0.2"/>
  <cols>
    <col min="3" max="8" width="15" style="10" bestFit="1" customWidth="1"/>
    <col min="9" max="9" width="16" style="10" bestFit="1" customWidth="1"/>
  </cols>
  <sheetData>
    <row r="1" spans="1:9" x14ac:dyDescent="0.2">
      <c r="A1" s="1" t="s">
        <v>0</v>
      </c>
      <c r="B1" s="1" t="s">
        <v>636</v>
      </c>
      <c r="C1" s="11" t="s">
        <v>637</v>
      </c>
      <c r="D1" s="11" t="s">
        <v>638</v>
      </c>
      <c r="E1" s="11" t="s">
        <v>639</v>
      </c>
      <c r="F1" s="11" t="s">
        <v>640</v>
      </c>
      <c r="G1" s="11" t="s">
        <v>641</v>
      </c>
      <c r="H1" s="11" t="s">
        <v>642</v>
      </c>
      <c r="I1" s="11" t="s">
        <v>643</v>
      </c>
    </row>
    <row r="2" spans="1:9" x14ac:dyDescent="0.2">
      <c r="A2" s="3" t="s">
        <v>244</v>
      </c>
      <c r="B2" t="s">
        <v>35</v>
      </c>
      <c r="C2" s="12">
        <v>2120693</v>
      </c>
      <c r="D2" s="12">
        <v>2301587</v>
      </c>
      <c r="E2" s="12"/>
      <c r="F2" s="12"/>
      <c r="G2" s="12"/>
      <c r="H2" s="12"/>
      <c r="I2" s="12"/>
    </row>
    <row r="3" spans="1:9" x14ac:dyDescent="0.2">
      <c r="A3" s="3" t="s">
        <v>273</v>
      </c>
      <c r="B3" t="s">
        <v>46</v>
      </c>
      <c r="C3" s="12">
        <v>22841455</v>
      </c>
      <c r="D3" s="13">
        <v>22841455</v>
      </c>
      <c r="E3" s="12">
        <v>31978037</v>
      </c>
      <c r="F3" s="12">
        <v>34536280</v>
      </c>
      <c r="G3" s="13">
        <v>37094523</v>
      </c>
      <c r="H3" s="12"/>
      <c r="I3" s="12">
        <v>112197227</v>
      </c>
    </row>
    <row r="4" spans="1:9" x14ac:dyDescent="0.2">
      <c r="A4" s="3" t="s">
        <v>384</v>
      </c>
      <c r="B4" t="s">
        <v>87</v>
      </c>
      <c r="C4" s="12">
        <v>4668000</v>
      </c>
      <c r="D4" s="14">
        <v>4901400</v>
      </c>
      <c r="E4" s="12"/>
      <c r="F4" s="12"/>
      <c r="G4" s="12"/>
      <c r="H4" s="12"/>
      <c r="I4" s="12">
        <v>4668000</v>
      </c>
    </row>
    <row r="5" spans="1:9" x14ac:dyDescent="0.2">
      <c r="A5" s="3" t="s">
        <v>398</v>
      </c>
      <c r="B5" t="s">
        <v>82</v>
      </c>
      <c r="C5" s="12">
        <v>11000000</v>
      </c>
      <c r="D5" s="12">
        <v>11000000</v>
      </c>
      <c r="E5" s="12">
        <v>11000000</v>
      </c>
      <c r="F5" s="12"/>
      <c r="G5" s="12"/>
      <c r="H5" s="12"/>
      <c r="I5" s="12">
        <v>33000000</v>
      </c>
    </row>
    <row r="6" spans="1:9" x14ac:dyDescent="0.2">
      <c r="A6" s="3" t="s">
        <v>215</v>
      </c>
      <c r="B6" t="s">
        <v>32</v>
      </c>
      <c r="C6" s="12">
        <v>10514017</v>
      </c>
      <c r="D6" s="12">
        <v>9672897</v>
      </c>
      <c r="E6" s="12">
        <v>8831776</v>
      </c>
      <c r="F6" s="12">
        <v>7990655</v>
      </c>
      <c r="G6" s="12">
        <v>7990655</v>
      </c>
      <c r="H6" s="12"/>
      <c r="I6" s="12">
        <v>45000000</v>
      </c>
    </row>
    <row r="7" spans="1:9" x14ac:dyDescent="0.2">
      <c r="A7" s="3" t="s">
        <v>461</v>
      </c>
      <c r="B7" t="s">
        <v>122</v>
      </c>
      <c r="C7" s="12">
        <v>1157153</v>
      </c>
      <c r="D7" s="12">
        <v>1955377</v>
      </c>
      <c r="E7" s="12">
        <v>2296271</v>
      </c>
      <c r="F7" s="14">
        <v>2486995</v>
      </c>
      <c r="G7" s="12"/>
      <c r="H7" s="12"/>
      <c r="I7" s="12">
        <v>1157153</v>
      </c>
    </row>
    <row r="8" spans="1:9" x14ac:dyDescent="0.2">
      <c r="A8" s="3" t="s">
        <v>680</v>
      </c>
      <c r="B8" t="s">
        <v>87</v>
      </c>
      <c r="C8" s="14">
        <v>250000</v>
      </c>
      <c r="D8" s="12"/>
      <c r="E8" s="12"/>
      <c r="F8" s="12"/>
      <c r="G8" s="12"/>
      <c r="H8" s="12"/>
      <c r="I8" s="12">
        <v>250000</v>
      </c>
    </row>
    <row r="9" spans="1:9" x14ac:dyDescent="0.2">
      <c r="A9" s="3" t="s">
        <v>507</v>
      </c>
      <c r="B9" t="s">
        <v>35</v>
      </c>
      <c r="C9" s="12">
        <v>2795294</v>
      </c>
      <c r="D9" s="12">
        <v>3090480</v>
      </c>
      <c r="E9" s="14">
        <v>3237120</v>
      </c>
      <c r="F9" s="14">
        <v>5493394</v>
      </c>
      <c r="G9" s="12"/>
      <c r="H9" s="12"/>
      <c r="I9" s="12">
        <v>5885774</v>
      </c>
    </row>
    <row r="10" spans="1:9" x14ac:dyDescent="0.2">
      <c r="A10" s="3" t="s">
        <v>255</v>
      </c>
      <c r="B10" t="s">
        <v>39</v>
      </c>
      <c r="C10" s="12">
        <v>9500000</v>
      </c>
      <c r="D10" s="12"/>
      <c r="E10" s="12"/>
      <c r="F10" s="12"/>
      <c r="G10" s="12"/>
      <c r="H10" s="12"/>
      <c r="I10" s="12">
        <v>9500000</v>
      </c>
    </row>
    <row r="11" spans="1:9" x14ac:dyDescent="0.2">
      <c r="A11" s="3" t="s">
        <v>388</v>
      </c>
      <c r="B11" t="s">
        <v>61</v>
      </c>
      <c r="C11" s="12">
        <v>2087519</v>
      </c>
      <c r="D11" s="12"/>
      <c r="E11" s="12"/>
      <c r="F11" s="12"/>
      <c r="G11" s="12"/>
      <c r="H11" s="12"/>
      <c r="I11" s="12">
        <v>2087519</v>
      </c>
    </row>
    <row r="12" spans="1:9" x14ac:dyDescent="0.2">
      <c r="A12" s="3" t="s">
        <v>349</v>
      </c>
      <c r="B12" t="s">
        <v>32</v>
      </c>
      <c r="C12" s="12">
        <v>9890000</v>
      </c>
      <c r="D12" s="12"/>
      <c r="E12" s="12"/>
      <c r="F12" s="12"/>
      <c r="G12" s="12"/>
      <c r="H12" s="12"/>
      <c r="I12" s="12">
        <v>3000000</v>
      </c>
    </row>
    <row r="13" spans="1:9" x14ac:dyDescent="0.2">
      <c r="A13" s="3" t="s">
        <v>450</v>
      </c>
      <c r="B13" t="s">
        <v>37</v>
      </c>
      <c r="C13" s="12">
        <v>2087519</v>
      </c>
      <c r="D13" s="12"/>
      <c r="E13" s="12"/>
      <c r="F13" s="12"/>
      <c r="G13" s="12"/>
      <c r="H13" s="12"/>
      <c r="I13" s="12">
        <v>2087519</v>
      </c>
    </row>
    <row r="14" spans="1:9" x14ac:dyDescent="0.2">
      <c r="A14" s="3" t="s">
        <v>222</v>
      </c>
      <c r="B14" t="s">
        <v>114</v>
      </c>
      <c r="C14" s="12">
        <v>11245680</v>
      </c>
      <c r="D14" s="12">
        <v>11808240</v>
      </c>
      <c r="E14" s="14">
        <v>12370680</v>
      </c>
      <c r="F14" s="14">
        <v>15611798</v>
      </c>
      <c r="G14" s="12"/>
      <c r="H14" s="12"/>
      <c r="I14" s="12">
        <v>23053920</v>
      </c>
    </row>
    <row r="15" spans="1:9" x14ac:dyDescent="0.2">
      <c r="A15" s="3" t="s">
        <v>90</v>
      </c>
      <c r="B15" t="s">
        <v>87</v>
      </c>
      <c r="C15" s="14">
        <v>5424654</v>
      </c>
      <c r="D15" s="12">
        <v>33944954</v>
      </c>
      <c r="E15" s="12">
        <v>35642202</v>
      </c>
      <c r="F15" s="12">
        <v>37339450</v>
      </c>
      <c r="G15" s="12">
        <v>39036697</v>
      </c>
      <c r="H15" s="12"/>
      <c r="I15" s="12">
        <v>151387957</v>
      </c>
    </row>
    <row r="16" spans="1:9" x14ac:dyDescent="0.2">
      <c r="A16" s="3" t="s">
        <v>158</v>
      </c>
      <c r="B16" t="s">
        <v>87</v>
      </c>
      <c r="C16" s="12">
        <v>9249960</v>
      </c>
      <c r="D16" s="14">
        <v>9690600</v>
      </c>
      <c r="E16" s="14">
        <v>12258609</v>
      </c>
      <c r="F16" s="12"/>
      <c r="G16" s="12"/>
      <c r="H16" s="12"/>
      <c r="I16" s="12">
        <v>18940560</v>
      </c>
    </row>
    <row r="17" spans="1:9" x14ac:dyDescent="0.2">
      <c r="A17" s="3" t="s">
        <v>195</v>
      </c>
      <c r="B17" t="s">
        <v>77</v>
      </c>
      <c r="C17" s="12">
        <v>3938271</v>
      </c>
      <c r="D17" s="12"/>
      <c r="E17" s="12"/>
      <c r="F17" s="12"/>
      <c r="G17" s="12"/>
      <c r="H17" s="12"/>
      <c r="I17" s="12">
        <v>3938271</v>
      </c>
    </row>
    <row r="18" spans="1:9" x14ac:dyDescent="0.2">
      <c r="A18" s="3" t="s">
        <v>284</v>
      </c>
      <c r="B18" t="s">
        <v>122</v>
      </c>
      <c r="C18" s="12">
        <v>5000000</v>
      </c>
      <c r="D18" s="13">
        <v>5000000</v>
      </c>
      <c r="E18" s="12"/>
      <c r="F18" s="12"/>
      <c r="G18" s="12"/>
      <c r="H18" s="12"/>
      <c r="I18" s="12">
        <v>5000000</v>
      </c>
    </row>
    <row r="19" spans="1:9" x14ac:dyDescent="0.2">
      <c r="A19" s="3" t="s">
        <v>361</v>
      </c>
      <c r="B19" t="s">
        <v>35</v>
      </c>
      <c r="C19" s="12">
        <v>1891857</v>
      </c>
      <c r="D19" s="12">
        <v>2221677</v>
      </c>
      <c r="E19" s="14">
        <v>2406205</v>
      </c>
      <c r="F19" s="12"/>
      <c r="G19" s="12"/>
      <c r="H19" s="12"/>
      <c r="I19" s="12"/>
    </row>
    <row r="20" spans="1:9" x14ac:dyDescent="0.2">
      <c r="A20" s="3" t="s">
        <v>356</v>
      </c>
      <c r="B20" t="s">
        <v>82</v>
      </c>
      <c r="C20" s="12">
        <v>2019699</v>
      </c>
      <c r="D20" s="12">
        <v>18102000</v>
      </c>
      <c r="E20" s="12">
        <v>19550160</v>
      </c>
      <c r="F20" s="12">
        <v>20998320</v>
      </c>
      <c r="G20" s="12"/>
      <c r="H20" s="12"/>
      <c r="I20" s="12">
        <v>60670179</v>
      </c>
    </row>
    <row r="21" spans="1:9" x14ac:dyDescent="0.2">
      <c r="A21" s="3" t="s">
        <v>137</v>
      </c>
      <c r="B21" t="s">
        <v>100</v>
      </c>
      <c r="C21" s="12">
        <v>26276786</v>
      </c>
      <c r="D21" s="12">
        <v>28223215</v>
      </c>
      <c r="E21" s="13">
        <v>30169644</v>
      </c>
      <c r="F21" s="12"/>
      <c r="G21" s="12"/>
      <c r="H21" s="12"/>
      <c r="I21" s="12">
        <v>54500001</v>
      </c>
    </row>
    <row r="22" spans="1:9" x14ac:dyDescent="0.2">
      <c r="A22" s="3" t="s">
        <v>134</v>
      </c>
      <c r="B22" t="s">
        <v>135</v>
      </c>
      <c r="C22" s="12">
        <v>25892857</v>
      </c>
      <c r="D22" s="12">
        <v>27678571</v>
      </c>
      <c r="E22" s="12"/>
      <c r="F22" s="12"/>
      <c r="G22" s="12"/>
      <c r="H22" s="12"/>
      <c r="I22" s="12">
        <v>53571428</v>
      </c>
    </row>
    <row r="23" spans="1:9" x14ac:dyDescent="0.2">
      <c r="A23" s="3" t="s">
        <v>212</v>
      </c>
      <c r="B23" t="s">
        <v>48</v>
      </c>
      <c r="C23" s="12">
        <v>7607760</v>
      </c>
      <c r="D23" s="14">
        <v>7970280</v>
      </c>
      <c r="E23" s="14">
        <v>10106316</v>
      </c>
      <c r="F23" s="12"/>
      <c r="G23" s="12"/>
      <c r="H23" s="12"/>
      <c r="I23" s="12">
        <v>15578040</v>
      </c>
    </row>
    <row r="24" spans="1:9" x14ac:dyDescent="0.2">
      <c r="A24" s="3" t="s">
        <v>40</v>
      </c>
      <c r="B24" t="s">
        <v>41</v>
      </c>
      <c r="C24" s="13">
        <v>43219440</v>
      </c>
      <c r="D24" s="12">
        <v>54126450</v>
      </c>
      <c r="E24" s="12">
        <v>58456566</v>
      </c>
      <c r="F24" s="13">
        <v>62786682</v>
      </c>
      <c r="G24" s="12"/>
      <c r="H24" s="12"/>
      <c r="I24" s="12">
        <v>155802456</v>
      </c>
    </row>
    <row r="25" spans="1:9" x14ac:dyDescent="0.2">
      <c r="A25" s="3" t="s">
        <v>50</v>
      </c>
      <c r="B25" t="s">
        <v>51</v>
      </c>
      <c r="C25" s="12">
        <v>42176400</v>
      </c>
      <c r="D25" s="12">
        <v>45550512</v>
      </c>
      <c r="E25" s="12">
        <v>48924624</v>
      </c>
      <c r="F25" s="12">
        <v>52298736</v>
      </c>
      <c r="G25" s="12">
        <v>55672848</v>
      </c>
      <c r="H25" s="12"/>
      <c r="I25" s="12">
        <v>244623120</v>
      </c>
    </row>
    <row r="26" spans="1:9" x14ac:dyDescent="0.2">
      <c r="A26" s="3" t="s">
        <v>414</v>
      </c>
      <c r="B26" t="s">
        <v>114</v>
      </c>
      <c r="C26" s="12">
        <v>2237691</v>
      </c>
      <c r="D26" s="12">
        <v>2546675</v>
      </c>
      <c r="E26" s="12"/>
      <c r="F26" s="12"/>
      <c r="G26" s="12"/>
      <c r="H26" s="12"/>
      <c r="I26" s="12">
        <v>2237691</v>
      </c>
    </row>
    <row r="27" spans="1:9" x14ac:dyDescent="0.2">
      <c r="A27" s="3" t="s">
        <v>386</v>
      </c>
      <c r="B27" t="s">
        <v>117</v>
      </c>
      <c r="C27" s="12">
        <v>1157153</v>
      </c>
      <c r="D27" s="12">
        <v>1955377</v>
      </c>
      <c r="E27" s="14">
        <v>2296271</v>
      </c>
      <c r="F27" s="12"/>
      <c r="G27" s="12"/>
      <c r="H27" s="12"/>
      <c r="I27" s="12">
        <v>1157153</v>
      </c>
    </row>
    <row r="28" spans="1:9" x14ac:dyDescent="0.2">
      <c r="A28" s="3" t="s">
        <v>430</v>
      </c>
      <c r="B28" t="s">
        <v>75</v>
      </c>
      <c r="C28" s="12">
        <v>8376000</v>
      </c>
      <c r="D28" s="14">
        <v>8775000</v>
      </c>
      <c r="E28" s="14">
        <v>11117925</v>
      </c>
      <c r="F28" s="12"/>
      <c r="G28" s="12"/>
      <c r="H28" s="12"/>
      <c r="I28" s="12">
        <v>17151000</v>
      </c>
    </row>
    <row r="29" spans="1:9" x14ac:dyDescent="0.2">
      <c r="A29" s="3" t="s">
        <v>148</v>
      </c>
      <c r="B29" t="s">
        <v>41</v>
      </c>
      <c r="C29" s="12">
        <v>12976362</v>
      </c>
      <c r="D29" s="12">
        <v>13937574</v>
      </c>
      <c r="E29" s="13">
        <v>14898786</v>
      </c>
      <c r="F29" s="12"/>
      <c r="G29" s="12"/>
      <c r="H29" s="12"/>
      <c r="I29" s="12">
        <v>26913936</v>
      </c>
    </row>
    <row r="30" spans="1:9" x14ac:dyDescent="0.2">
      <c r="A30" s="3" t="s">
        <v>149</v>
      </c>
      <c r="B30" t="s">
        <v>70</v>
      </c>
      <c r="C30" s="12">
        <v>7000000</v>
      </c>
      <c r="D30" s="12">
        <v>7518518</v>
      </c>
      <c r="E30" s="12"/>
      <c r="F30" s="12"/>
      <c r="G30" s="12"/>
      <c r="H30" s="12"/>
      <c r="I30" s="12">
        <v>14518518</v>
      </c>
    </row>
    <row r="31" spans="1:9" x14ac:dyDescent="0.2">
      <c r="A31" s="3" t="s">
        <v>125</v>
      </c>
      <c r="B31" t="s">
        <v>61</v>
      </c>
      <c r="C31" s="12">
        <v>34848340</v>
      </c>
      <c r="D31" s="12">
        <v>37096620</v>
      </c>
      <c r="E31" s="12">
        <v>48713700</v>
      </c>
      <c r="F31" s="12">
        <v>52610796</v>
      </c>
      <c r="G31" s="13">
        <v>56507892</v>
      </c>
      <c r="H31" s="12"/>
      <c r="I31" s="12">
        <v>173269456</v>
      </c>
    </row>
    <row r="32" spans="1:9" x14ac:dyDescent="0.2">
      <c r="A32" s="3" t="s">
        <v>532</v>
      </c>
      <c r="B32" t="s">
        <v>39</v>
      </c>
      <c r="C32" s="12">
        <v>2494320</v>
      </c>
      <c r="D32" s="12">
        <v>2619000</v>
      </c>
      <c r="E32" s="14">
        <v>2744040</v>
      </c>
      <c r="F32" s="14">
        <v>4952993</v>
      </c>
      <c r="G32" s="12"/>
      <c r="H32" s="12"/>
      <c r="I32" s="12">
        <v>10191353</v>
      </c>
    </row>
    <row r="33" spans="1:9" x14ac:dyDescent="0.2">
      <c r="A33" s="3" t="s">
        <v>371</v>
      </c>
      <c r="B33" t="s">
        <v>82</v>
      </c>
      <c r="C33" s="12">
        <v>2663880</v>
      </c>
      <c r="D33" s="14">
        <v>2790720</v>
      </c>
      <c r="E33" s="14">
        <v>5031669</v>
      </c>
      <c r="F33" s="12"/>
      <c r="G33" s="12"/>
      <c r="H33" s="12"/>
      <c r="I33" s="12">
        <v>5454600</v>
      </c>
    </row>
    <row r="34" spans="1:9" x14ac:dyDescent="0.2">
      <c r="A34" s="3" t="s">
        <v>347</v>
      </c>
      <c r="B34" t="s">
        <v>103</v>
      </c>
      <c r="C34" s="12">
        <v>40338144</v>
      </c>
      <c r="D34" s="12"/>
      <c r="E34" s="12"/>
      <c r="F34" s="12"/>
      <c r="G34" s="12"/>
      <c r="H34" s="12"/>
      <c r="I34" s="12">
        <v>40338144</v>
      </c>
    </row>
    <row r="35" spans="1:9" x14ac:dyDescent="0.2">
      <c r="A35" s="3" t="s">
        <v>94</v>
      </c>
      <c r="B35" t="s">
        <v>82</v>
      </c>
      <c r="C35" s="14">
        <v>7245720</v>
      </c>
      <c r="D35" s="14">
        <v>9187573</v>
      </c>
      <c r="E35" s="12"/>
      <c r="F35" s="12"/>
      <c r="G35" s="12"/>
      <c r="H35" s="12"/>
      <c r="I35" s="12">
        <v>16433293</v>
      </c>
    </row>
    <row r="36" spans="1:9" x14ac:dyDescent="0.2">
      <c r="A36" s="3" t="s">
        <v>192</v>
      </c>
      <c r="B36" t="s">
        <v>114</v>
      </c>
      <c r="C36" s="12">
        <v>6945240</v>
      </c>
      <c r="D36" s="14">
        <v>7275600</v>
      </c>
      <c r="E36" s="14">
        <v>9240012</v>
      </c>
      <c r="F36" s="12"/>
      <c r="G36" s="12"/>
      <c r="H36" s="12"/>
      <c r="I36" s="12">
        <v>14220840</v>
      </c>
    </row>
    <row r="37" spans="1:9" x14ac:dyDescent="0.2">
      <c r="A37" s="3" t="s">
        <v>372</v>
      </c>
      <c r="B37" t="s">
        <v>93</v>
      </c>
      <c r="C37" s="14">
        <v>2624280</v>
      </c>
      <c r="D37" s="14">
        <v>4726328</v>
      </c>
      <c r="E37" s="12"/>
      <c r="F37" s="12"/>
      <c r="G37" s="12"/>
      <c r="H37" s="12"/>
      <c r="I37" s="12">
        <v>7350608</v>
      </c>
    </row>
    <row r="38" spans="1:9" x14ac:dyDescent="0.2">
      <c r="A38" s="3" t="s">
        <v>152</v>
      </c>
      <c r="B38" t="s">
        <v>35</v>
      </c>
      <c r="C38" s="12">
        <v>12578286</v>
      </c>
      <c r="D38" s="13">
        <v>13445754</v>
      </c>
      <c r="E38" s="12"/>
      <c r="F38" s="12"/>
      <c r="G38" s="12"/>
      <c r="H38" s="12"/>
      <c r="I38" s="12">
        <v>12578286</v>
      </c>
    </row>
    <row r="39" spans="1:9" x14ac:dyDescent="0.2">
      <c r="A39" s="3" t="s">
        <v>673</v>
      </c>
      <c r="B39" t="s">
        <v>75</v>
      </c>
      <c r="C39" s="12">
        <v>1257153</v>
      </c>
      <c r="D39" s="12">
        <v>1955377</v>
      </c>
      <c r="E39" s="12">
        <v>2296271</v>
      </c>
      <c r="F39" s="14">
        <v>2486995</v>
      </c>
      <c r="G39" s="12"/>
      <c r="H39" s="12"/>
      <c r="I39" s="12">
        <v>3212530</v>
      </c>
    </row>
    <row r="40" spans="1:9" x14ac:dyDescent="0.2">
      <c r="A40" s="3" t="s">
        <v>303</v>
      </c>
      <c r="B40" t="s">
        <v>72</v>
      </c>
      <c r="C40" s="12">
        <v>17260000</v>
      </c>
      <c r="D40" s="12">
        <v>16020000</v>
      </c>
      <c r="E40" s="14">
        <v>16020000</v>
      </c>
      <c r="F40" s="12"/>
      <c r="G40" s="12"/>
      <c r="H40" s="12"/>
      <c r="I40" s="12">
        <v>33280000</v>
      </c>
    </row>
    <row r="41" spans="1:9" x14ac:dyDescent="0.2">
      <c r="A41" s="3" t="s">
        <v>646</v>
      </c>
      <c r="B41" t="s">
        <v>103</v>
      </c>
      <c r="C41" s="12">
        <v>19032850</v>
      </c>
      <c r="D41" s="12"/>
      <c r="E41" s="12"/>
      <c r="F41" s="12"/>
      <c r="G41" s="12"/>
      <c r="H41" s="12"/>
      <c r="I41" s="12"/>
    </row>
    <row r="42" spans="1:9" x14ac:dyDescent="0.2">
      <c r="A42" s="3" t="s">
        <v>368</v>
      </c>
      <c r="B42" t="s">
        <v>77</v>
      </c>
      <c r="C42" s="14">
        <v>4158439</v>
      </c>
      <c r="D42" s="12"/>
      <c r="E42" s="12"/>
      <c r="F42" s="12"/>
      <c r="G42" s="12"/>
      <c r="H42" s="12"/>
      <c r="I42" s="12">
        <v>4158439</v>
      </c>
    </row>
    <row r="43" spans="1:9" x14ac:dyDescent="0.2">
      <c r="A43" s="3" t="s">
        <v>182</v>
      </c>
      <c r="B43" t="s">
        <v>54</v>
      </c>
      <c r="C43" s="12">
        <v>50203930</v>
      </c>
      <c r="D43" s="12">
        <v>53666270</v>
      </c>
      <c r="E43" s="13">
        <v>57128610</v>
      </c>
      <c r="F43" s="12"/>
      <c r="G43" s="12"/>
      <c r="H43" s="12"/>
      <c r="I43" s="12">
        <v>103870200</v>
      </c>
    </row>
    <row r="44" spans="1:9" x14ac:dyDescent="0.2">
      <c r="A44" s="3" t="s">
        <v>247</v>
      </c>
      <c r="B44" t="s">
        <v>100</v>
      </c>
      <c r="C44" s="12">
        <v>3519960</v>
      </c>
      <c r="D44" s="14">
        <v>3687960</v>
      </c>
      <c r="E44" s="14">
        <v>5679459</v>
      </c>
      <c r="F44" s="12"/>
      <c r="G44" s="12"/>
      <c r="H44" s="12"/>
      <c r="I44" s="12">
        <v>7207920</v>
      </c>
    </row>
    <row r="45" spans="1:9" x14ac:dyDescent="0.2">
      <c r="A45" s="3" t="s">
        <v>251</v>
      </c>
      <c r="B45" t="s">
        <v>80</v>
      </c>
      <c r="C45" s="12">
        <v>12500000</v>
      </c>
      <c r="D45" s="12">
        <v>12500000</v>
      </c>
      <c r="E45" s="12">
        <v>12500000</v>
      </c>
      <c r="F45" s="12"/>
      <c r="G45" s="12"/>
      <c r="H45" s="12"/>
      <c r="I45" s="12">
        <v>37500000</v>
      </c>
    </row>
    <row r="46" spans="1:9" x14ac:dyDescent="0.2">
      <c r="A46" s="3" t="s">
        <v>116</v>
      </c>
      <c r="B46" t="s">
        <v>117</v>
      </c>
      <c r="C46" s="12">
        <v>36016200</v>
      </c>
      <c r="D46" s="12"/>
      <c r="E46" s="12"/>
      <c r="F46" s="12"/>
      <c r="G46" s="12"/>
      <c r="H46" s="12"/>
      <c r="I46" s="12">
        <v>36016200</v>
      </c>
    </row>
    <row r="47" spans="1:9" x14ac:dyDescent="0.2">
      <c r="A47" s="3" t="s">
        <v>95</v>
      </c>
      <c r="B47" t="s">
        <v>59</v>
      </c>
      <c r="C47" s="12">
        <v>11424600</v>
      </c>
      <c r="D47" s="14">
        <v>11968800</v>
      </c>
      <c r="E47" s="14">
        <v>15104626</v>
      </c>
      <c r="F47" s="12"/>
      <c r="G47" s="12"/>
      <c r="H47" s="12"/>
      <c r="I47" s="12">
        <v>23393400</v>
      </c>
    </row>
    <row r="48" spans="1:9" x14ac:dyDescent="0.2">
      <c r="A48" s="3" t="s">
        <v>297</v>
      </c>
      <c r="B48" t="s">
        <v>120</v>
      </c>
      <c r="C48" s="12">
        <v>2571480</v>
      </c>
      <c r="D48" s="14">
        <v>2693760</v>
      </c>
      <c r="E48" s="14">
        <v>4862237</v>
      </c>
      <c r="F48" s="12"/>
      <c r="G48" s="12"/>
      <c r="H48" s="12"/>
      <c r="I48" s="12">
        <v>5265240</v>
      </c>
    </row>
    <row r="49" spans="1:9" x14ac:dyDescent="0.2">
      <c r="A49" s="3" t="s">
        <v>527</v>
      </c>
      <c r="B49" t="s">
        <v>41</v>
      </c>
      <c r="C49" s="12">
        <v>1157153</v>
      </c>
      <c r="D49" s="12">
        <v>1955377</v>
      </c>
      <c r="E49" s="12">
        <v>2296271</v>
      </c>
      <c r="F49" s="14">
        <v>2486995</v>
      </c>
      <c r="G49" s="12"/>
      <c r="H49" s="12"/>
      <c r="I49" s="12">
        <v>3112530</v>
      </c>
    </row>
    <row r="50" spans="1:9" x14ac:dyDescent="0.2">
      <c r="A50" s="3" t="s">
        <v>185</v>
      </c>
      <c r="B50" t="s">
        <v>35</v>
      </c>
      <c r="C50" s="12">
        <v>23000000</v>
      </c>
      <c r="D50" s="12"/>
      <c r="E50" s="12"/>
      <c r="F50" s="12"/>
      <c r="G50" s="12"/>
      <c r="H50" s="12"/>
      <c r="I50" s="12">
        <v>23000000</v>
      </c>
    </row>
    <row r="51" spans="1:9" x14ac:dyDescent="0.2">
      <c r="A51" s="3" t="s">
        <v>645</v>
      </c>
      <c r="B51" t="s">
        <v>66</v>
      </c>
      <c r="C51" s="14">
        <v>23000000</v>
      </c>
      <c r="D51" s="12"/>
      <c r="E51" s="12"/>
      <c r="F51" s="12"/>
      <c r="G51" s="12"/>
      <c r="H51" s="12"/>
      <c r="I51" s="12">
        <v>23000000</v>
      </c>
    </row>
    <row r="52" spans="1:9" x14ac:dyDescent="0.2">
      <c r="A52" s="3" t="s">
        <v>131</v>
      </c>
      <c r="B52" t="s">
        <v>100</v>
      </c>
      <c r="C52" s="12">
        <v>8780488</v>
      </c>
      <c r="D52" s="12">
        <v>9219512</v>
      </c>
      <c r="E52" s="12">
        <v>9658536</v>
      </c>
      <c r="F52" s="13">
        <v>10097560</v>
      </c>
      <c r="G52" s="12"/>
      <c r="H52" s="12"/>
      <c r="I52" s="12">
        <v>27658536</v>
      </c>
    </row>
    <row r="53" spans="1:9" x14ac:dyDescent="0.2">
      <c r="A53" s="3" t="s">
        <v>74</v>
      </c>
      <c r="B53" t="s">
        <v>75</v>
      </c>
      <c r="C53" s="14">
        <v>13940809</v>
      </c>
      <c r="D53" s="12">
        <v>38661750</v>
      </c>
      <c r="E53" s="12">
        <v>41754690</v>
      </c>
      <c r="F53" s="12">
        <v>44847630</v>
      </c>
      <c r="G53" s="12">
        <v>47940570</v>
      </c>
      <c r="H53" s="12">
        <v>51033510</v>
      </c>
      <c r="I53" s="12">
        <v>238178959</v>
      </c>
    </row>
    <row r="54" spans="1:9" x14ac:dyDescent="0.2">
      <c r="A54" s="3" t="s">
        <v>462</v>
      </c>
      <c r="B54" t="s">
        <v>48</v>
      </c>
      <c r="C54" s="12">
        <v>2019699</v>
      </c>
      <c r="D54" s="14">
        <v>2187699</v>
      </c>
      <c r="E54" s="12"/>
      <c r="F54" s="12"/>
      <c r="G54" s="12"/>
      <c r="H54" s="12"/>
      <c r="I54" s="12"/>
    </row>
    <row r="55" spans="1:9" x14ac:dyDescent="0.2">
      <c r="A55" s="3" t="s">
        <v>257</v>
      </c>
      <c r="B55" t="s">
        <v>122</v>
      </c>
      <c r="C55" s="12">
        <v>8149001</v>
      </c>
      <c r="D55" s="12">
        <v>8556451</v>
      </c>
      <c r="E55" s="12">
        <v>8963901</v>
      </c>
      <c r="F55" s="13">
        <v>9371351</v>
      </c>
      <c r="G55" s="12"/>
      <c r="H55" s="12"/>
      <c r="I55" s="12">
        <v>25669353</v>
      </c>
    </row>
    <row r="56" spans="1:9" x14ac:dyDescent="0.2">
      <c r="A56" s="3" t="s">
        <v>516</v>
      </c>
      <c r="B56" t="s">
        <v>77</v>
      </c>
      <c r="C56" s="12">
        <v>1157153</v>
      </c>
      <c r="D56" s="12">
        <v>1955377</v>
      </c>
      <c r="E56" s="12">
        <v>2296271</v>
      </c>
      <c r="F56" s="14">
        <v>2486995</v>
      </c>
      <c r="G56" s="12"/>
      <c r="H56" s="12"/>
      <c r="I56" s="12">
        <v>3112530</v>
      </c>
    </row>
    <row r="57" spans="1:9" x14ac:dyDescent="0.2">
      <c r="A57" s="3" t="s">
        <v>390</v>
      </c>
      <c r="B57" t="s">
        <v>41</v>
      </c>
      <c r="C57" s="13">
        <v>2463946</v>
      </c>
      <c r="D57" s="12"/>
      <c r="E57" s="12"/>
      <c r="F57" s="12"/>
      <c r="G57" s="12"/>
      <c r="H57" s="12"/>
      <c r="I57" s="12">
        <v>2463946</v>
      </c>
    </row>
    <row r="58" spans="1:9" x14ac:dyDescent="0.2">
      <c r="A58" s="3" t="s">
        <v>107</v>
      </c>
      <c r="B58" t="s">
        <v>103</v>
      </c>
      <c r="C58" s="14">
        <v>4041249</v>
      </c>
      <c r="D58" s="12"/>
      <c r="E58" s="12"/>
      <c r="F58" s="12"/>
      <c r="G58" s="12"/>
      <c r="H58" s="12"/>
      <c r="I58" s="12"/>
    </row>
    <row r="59" spans="1:9" x14ac:dyDescent="0.2">
      <c r="A59" s="3" t="s">
        <v>409</v>
      </c>
      <c r="B59" t="s">
        <v>87</v>
      </c>
      <c r="C59" s="12">
        <v>3379080</v>
      </c>
      <c r="D59" s="14">
        <v>3539760</v>
      </c>
      <c r="E59" s="14">
        <v>5458310</v>
      </c>
      <c r="F59" s="12"/>
      <c r="G59" s="12"/>
      <c r="H59" s="12"/>
      <c r="I59" s="12">
        <v>6918840</v>
      </c>
    </row>
    <row r="60" spans="1:9" x14ac:dyDescent="0.2">
      <c r="A60" s="3" t="s">
        <v>102</v>
      </c>
      <c r="B60" t="s">
        <v>103</v>
      </c>
      <c r="C60" s="12">
        <v>22500000</v>
      </c>
      <c r="D60" s="12">
        <v>20543478</v>
      </c>
      <c r="E60" s="12">
        <v>22500000</v>
      </c>
      <c r="F60" s="12"/>
      <c r="G60" s="12"/>
      <c r="H60" s="12"/>
      <c r="I60" s="12">
        <v>65543478</v>
      </c>
    </row>
    <row r="61" spans="1:9" x14ac:dyDescent="0.2">
      <c r="A61" s="3" t="s">
        <v>276</v>
      </c>
      <c r="B61" t="s">
        <v>44</v>
      </c>
      <c r="C61" s="12">
        <v>2087519</v>
      </c>
      <c r="D61" s="12"/>
      <c r="E61" s="12"/>
      <c r="F61" s="12"/>
      <c r="G61" s="12"/>
      <c r="H61" s="12"/>
      <c r="I61" s="12">
        <v>2087519</v>
      </c>
    </row>
    <row r="62" spans="1:9" x14ac:dyDescent="0.2">
      <c r="A62" s="3" t="s">
        <v>211</v>
      </c>
      <c r="B62" t="s">
        <v>57</v>
      </c>
      <c r="C62" s="12">
        <v>16615384</v>
      </c>
      <c r="D62" s="12"/>
      <c r="E62" s="12"/>
      <c r="F62" s="12"/>
      <c r="G62" s="12"/>
      <c r="H62" s="12"/>
      <c r="I62" s="12">
        <v>16615384</v>
      </c>
    </row>
    <row r="63" spans="1:9" x14ac:dyDescent="0.2">
      <c r="A63" s="3" t="s">
        <v>229</v>
      </c>
      <c r="B63" t="s">
        <v>114</v>
      </c>
      <c r="C63" s="12">
        <v>4454880</v>
      </c>
      <c r="D63" s="12">
        <v>4677600</v>
      </c>
      <c r="E63" s="14">
        <v>4900560</v>
      </c>
      <c r="F63" s="14">
        <v>7257730</v>
      </c>
      <c r="G63" s="12"/>
      <c r="H63" s="12"/>
      <c r="I63" s="12">
        <v>9132480</v>
      </c>
    </row>
    <row r="64" spans="1:9" x14ac:dyDescent="0.2">
      <c r="A64" s="3" t="s">
        <v>263</v>
      </c>
      <c r="B64" t="s">
        <v>32</v>
      </c>
      <c r="C64" s="12">
        <v>5555880</v>
      </c>
      <c r="D64" s="14">
        <v>5820240</v>
      </c>
      <c r="E64" s="14">
        <v>7420806</v>
      </c>
      <c r="F64" s="12"/>
      <c r="G64" s="12"/>
      <c r="H64" s="12"/>
      <c r="I64" s="12">
        <v>11376120</v>
      </c>
    </row>
    <row r="65" spans="1:9" x14ac:dyDescent="0.2">
      <c r="A65" s="3" t="s">
        <v>387</v>
      </c>
      <c r="B65" t="s">
        <v>93</v>
      </c>
      <c r="C65" s="12">
        <v>2087519</v>
      </c>
      <c r="D65" s="12">
        <v>2500000</v>
      </c>
      <c r="E65" s="12"/>
      <c r="F65" s="12"/>
      <c r="G65" s="12"/>
      <c r="H65" s="12"/>
      <c r="I65" s="12">
        <v>2087519</v>
      </c>
    </row>
    <row r="66" spans="1:9" x14ac:dyDescent="0.2">
      <c r="A66" s="3" t="s">
        <v>664</v>
      </c>
      <c r="B66" t="s">
        <v>59</v>
      </c>
      <c r="C66" s="12">
        <v>2237692</v>
      </c>
      <c r="D66" s="12"/>
      <c r="E66" s="12"/>
      <c r="F66" s="12"/>
      <c r="G66" s="12"/>
      <c r="H66" s="12"/>
      <c r="I66" s="12">
        <v>2237692</v>
      </c>
    </row>
    <row r="67" spans="1:9" x14ac:dyDescent="0.2">
      <c r="A67" s="3" t="s">
        <v>269</v>
      </c>
      <c r="B67" t="s">
        <v>32</v>
      </c>
      <c r="C67" s="14">
        <v>10880640</v>
      </c>
      <c r="D67" s="14">
        <v>13731368</v>
      </c>
      <c r="E67" s="12"/>
      <c r="F67" s="12"/>
      <c r="G67" s="12"/>
      <c r="H67" s="12"/>
      <c r="I67" s="12">
        <v>24612008</v>
      </c>
    </row>
    <row r="68" spans="1:9" x14ac:dyDescent="0.2">
      <c r="A68" s="3" t="s">
        <v>207</v>
      </c>
      <c r="B68" t="s">
        <v>66</v>
      </c>
      <c r="C68" s="12">
        <v>10810000</v>
      </c>
      <c r="D68" s="12"/>
      <c r="E68" s="12"/>
      <c r="F68" s="12"/>
      <c r="G68" s="12"/>
      <c r="H68" s="12"/>
      <c r="I68" s="12">
        <v>10810000</v>
      </c>
    </row>
    <row r="69" spans="1:9" x14ac:dyDescent="0.2">
      <c r="A69" s="3" t="s">
        <v>445</v>
      </c>
      <c r="B69" t="s">
        <v>70</v>
      </c>
      <c r="C69" s="14">
        <v>5893768</v>
      </c>
      <c r="D69" s="12"/>
      <c r="E69" s="12"/>
      <c r="F69" s="12"/>
      <c r="G69" s="12"/>
      <c r="H69" s="12"/>
      <c r="I69" s="12">
        <v>5893768</v>
      </c>
    </row>
    <row r="70" spans="1:9" x14ac:dyDescent="0.2">
      <c r="A70" s="3" t="s">
        <v>548</v>
      </c>
      <c r="B70" t="s">
        <v>35</v>
      </c>
      <c r="C70" s="12">
        <v>1891857</v>
      </c>
      <c r="D70" s="12">
        <v>2221677</v>
      </c>
      <c r="E70" s="14">
        <v>2406205</v>
      </c>
      <c r="F70" s="12"/>
      <c r="G70" s="12"/>
      <c r="H70" s="12"/>
      <c r="I70" s="12">
        <v>1891857</v>
      </c>
    </row>
    <row r="71" spans="1:9" x14ac:dyDescent="0.2">
      <c r="A71" s="3" t="s">
        <v>196</v>
      </c>
      <c r="B71" t="s">
        <v>93</v>
      </c>
      <c r="C71" s="12">
        <v>10460000</v>
      </c>
      <c r="D71" s="12"/>
      <c r="E71" s="12"/>
      <c r="F71" s="12"/>
      <c r="G71" s="12"/>
      <c r="H71" s="12"/>
      <c r="I71" s="12">
        <v>10460000</v>
      </c>
    </row>
    <row r="72" spans="1:9" x14ac:dyDescent="0.2">
      <c r="A72" s="3" t="s">
        <v>138</v>
      </c>
      <c r="B72" t="s">
        <v>46</v>
      </c>
      <c r="C72" s="14">
        <v>3089640</v>
      </c>
      <c r="D72" s="14">
        <v>4921797</v>
      </c>
      <c r="E72" s="12"/>
      <c r="F72" s="12"/>
      <c r="G72" s="12"/>
      <c r="H72" s="12"/>
      <c r="I72" s="12">
        <v>8011437</v>
      </c>
    </row>
    <row r="73" spans="1:9" x14ac:dyDescent="0.2">
      <c r="A73" s="3" t="s">
        <v>661</v>
      </c>
      <c r="B73" t="s">
        <v>41</v>
      </c>
      <c r="C73" s="13">
        <v>3036040</v>
      </c>
      <c r="D73" s="12"/>
      <c r="E73" s="12"/>
      <c r="F73" s="12"/>
      <c r="G73" s="12"/>
      <c r="H73" s="12"/>
      <c r="I73" s="12">
        <v>3036040</v>
      </c>
    </row>
    <row r="74" spans="1:9" x14ac:dyDescent="0.2">
      <c r="A74" s="3" t="s">
        <v>172</v>
      </c>
      <c r="B74" t="s">
        <v>117</v>
      </c>
      <c r="C74" s="12">
        <v>33333333</v>
      </c>
      <c r="D74" s="12">
        <v>30666666</v>
      </c>
      <c r="E74" s="12"/>
      <c r="F74" s="12"/>
      <c r="G74" s="12"/>
      <c r="H74" s="12"/>
      <c r="I74" s="12">
        <v>63999999</v>
      </c>
    </row>
    <row r="75" spans="1:9" x14ac:dyDescent="0.2">
      <c r="A75" s="3" t="s">
        <v>183</v>
      </c>
      <c r="B75" t="s">
        <v>72</v>
      </c>
      <c r="C75" s="12">
        <v>22265280</v>
      </c>
      <c r="D75" s="12"/>
      <c r="E75" s="12"/>
      <c r="F75" s="12"/>
      <c r="G75" s="12"/>
      <c r="H75" s="12"/>
      <c r="I75" s="12">
        <v>22265280</v>
      </c>
    </row>
    <row r="76" spans="1:9" x14ac:dyDescent="0.2">
      <c r="A76" s="3" t="s">
        <v>110</v>
      </c>
      <c r="B76" t="s">
        <v>70</v>
      </c>
      <c r="C76" s="12">
        <v>12000000</v>
      </c>
      <c r="D76" s="12">
        <v>12888889</v>
      </c>
      <c r="E76" s="12"/>
      <c r="F76" s="12"/>
      <c r="G76" s="12"/>
      <c r="H76" s="12"/>
      <c r="I76" s="12">
        <v>24888889</v>
      </c>
    </row>
    <row r="77" spans="1:9" x14ac:dyDescent="0.2">
      <c r="A77" s="3" t="s">
        <v>225</v>
      </c>
      <c r="B77" t="s">
        <v>59</v>
      </c>
      <c r="C77" s="12">
        <v>8120000</v>
      </c>
      <c r="D77" s="12">
        <v>8680000</v>
      </c>
      <c r="E77" s="12"/>
      <c r="F77" s="12"/>
      <c r="G77" s="12"/>
      <c r="H77" s="12"/>
      <c r="I77" s="12">
        <v>8120000</v>
      </c>
    </row>
    <row r="78" spans="1:9" x14ac:dyDescent="0.2">
      <c r="A78" s="3" t="s">
        <v>406</v>
      </c>
      <c r="B78" t="s">
        <v>120</v>
      </c>
      <c r="C78" s="12">
        <v>5469120</v>
      </c>
      <c r="D78" s="12">
        <v>5742480</v>
      </c>
      <c r="E78" s="14">
        <v>6015600</v>
      </c>
      <c r="F78" s="14">
        <v>7669890</v>
      </c>
      <c r="G78" s="12"/>
      <c r="H78" s="12"/>
      <c r="I78" s="12">
        <v>11211600</v>
      </c>
    </row>
    <row r="79" spans="1:9" x14ac:dyDescent="0.2">
      <c r="A79" s="3" t="s">
        <v>657</v>
      </c>
      <c r="B79" t="s">
        <v>72</v>
      </c>
      <c r="C79" s="12">
        <v>3500000</v>
      </c>
      <c r="D79" s="12">
        <v>3675000</v>
      </c>
      <c r="E79" s="12">
        <v>3850000</v>
      </c>
      <c r="F79" s="12"/>
      <c r="G79" s="12"/>
      <c r="H79" s="12"/>
      <c r="I79" s="12">
        <v>3500000</v>
      </c>
    </row>
    <row r="80" spans="1:9" x14ac:dyDescent="0.2">
      <c r="A80" s="3" t="s">
        <v>466</v>
      </c>
      <c r="B80" t="s">
        <v>37</v>
      </c>
      <c r="C80" s="12">
        <v>2120693</v>
      </c>
      <c r="D80" s="12">
        <v>2221677</v>
      </c>
      <c r="E80" s="14">
        <v>2406205</v>
      </c>
      <c r="F80" s="12"/>
      <c r="G80" s="12"/>
      <c r="H80" s="12"/>
      <c r="I80" s="12">
        <v>2120693</v>
      </c>
    </row>
    <row r="81" spans="1:9" x14ac:dyDescent="0.2">
      <c r="A81" s="3" t="s">
        <v>308</v>
      </c>
      <c r="B81" t="s">
        <v>48</v>
      </c>
      <c r="C81" s="12">
        <v>12900000</v>
      </c>
      <c r="D81" s="12">
        <v>13100000</v>
      </c>
      <c r="E81" s="14">
        <v>13100000</v>
      </c>
      <c r="F81" s="12"/>
      <c r="G81" s="12"/>
      <c r="H81" s="12"/>
      <c r="I81" s="12">
        <v>26000000</v>
      </c>
    </row>
    <row r="82" spans="1:9" x14ac:dyDescent="0.2">
      <c r="A82" s="3" t="s">
        <v>123</v>
      </c>
      <c r="B82" t="s">
        <v>120</v>
      </c>
      <c r="C82" s="12">
        <v>18350000</v>
      </c>
      <c r="D82" s="12">
        <v>19175000</v>
      </c>
      <c r="E82" s="12"/>
      <c r="F82" s="12"/>
      <c r="G82" s="12"/>
      <c r="H82" s="12"/>
      <c r="I82" s="12">
        <v>37525000</v>
      </c>
    </row>
    <row r="83" spans="1:9" x14ac:dyDescent="0.2">
      <c r="A83" s="3" t="s">
        <v>224</v>
      </c>
      <c r="B83" t="s">
        <v>114</v>
      </c>
      <c r="C83" s="14">
        <v>5705887</v>
      </c>
      <c r="D83" s="12">
        <v>13975000</v>
      </c>
      <c r="E83" s="12">
        <v>13975000</v>
      </c>
      <c r="F83" s="12">
        <v>13050000</v>
      </c>
      <c r="G83" s="14">
        <v>13050000</v>
      </c>
      <c r="H83" s="12"/>
      <c r="I83" s="12">
        <v>46705887</v>
      </c>
    </row>
    <row r="84" spans="1:9" x14ac:dyDescent="0.2">
      <c r="A84" s="3" t="s">
        <v>485</v>
      </c>
      <c r="B84" t="s">
        <v>48</v>
      </c>
      <c r="C84" s="12">
        <v>3303771</v>
      </c>
      <c r="D84" s="14">
        <v>3468960</v>
      </c>
      <c r="E84" s="12"/>
      <c r="F84" s="12"/>
      <c r="G84" s="12"/>
      <c r="H84" s="12"/>
      <c r="I84" s="12">
        <v>3303771</v>
      </c>
    </row>
    <row r="85" spans="1:9" x14ac:dyDescent="0.2">
      <c r="A85" s="3" t="s">
        <v>415</v>
      </c>
      <c r="B85" t="s">
        <v>57</v>
      </c>
      <c r="C85" s="12">
        <v>1891857</v>
      </c>
      <c r="D85" s="12">
        <v>2221677</v>
      </c>
      <c r="E85" s="14">
        <v>2406205</v>
      </c>
      <c r="F85" s="12"/>
      <c r="G85" s="12"/>
      <c r="H85" s="12"/>
      <c r="I85" s="12"/>
    </row>
    <row r="86" spans="1:9" x14ac:dyDescent="0.2">
      <c r="A86" s="3" t="s">
        <v>157</v>
      </c>
      <c r="B86" t="s">
        <v>41</v>
      </c>
      <c r="C86" s="13">
        <v>18692307</v>
      </c>
      <c r="D86" s="12"/>
      <c r="E86" s="12"/>
      <c r="F86" s="12"/>
      <c r="G86" s="12"/>
      <c r="H86" s="12"/>
      <c r="I86" s="12">
        <v>18692307</v>
      </c>
    </row>
    <row r="87" spans="1:9" x14ac:dyDescent="0.2">
      <c r="A87" s="3" t="s">
        <v>209</v>
      </c>
      <c r="B87" t="s">
        <v>135</v>
      </c>
      <c r="C87" s="14">
        <v>2196970</v>
      </c>
      <c r="D87" s="12"/>
      <c r="E87" s="12"/>
      <c r="F87" s="12"/>
      <c r="G87" s="12"/>
      <c r="H87" s="12"/>
      <c r="I87" s="12">
        <v>2019706</v>
      </c>
    </row>
    <row r="88" spans="1:9" x14ac:dyDescent="0.2">
      <c r="A88" s="3" t="s">
        <v>330</v>
      </c>
      <c r="B88" t="s">
        <v>70</v>
      </c>
      <c r="C88" s="14">
        <v>3510480</v>
      </c>
      <c r="D88" s="14">
        <v>5399118</v>
      </c>
      <c r="E88" s="12"/>
      <c r="F88" s="12"/>
      <c r="G88" s="12"/>
      <c r="H88" s="12"/>
      <c r="I88" s="12">
        <v>8909598</v>
      </c>
    </row>
    <row r="89" spans="1:9" x14ac:dyDescent="0.2">
      <c r="A89" s="3" t="s">
        <v>184</v>
      </c>
      <c r="B89" t="s">
        <v>41</v>
      </c>
      <c r="C89" s="12">
        <v>3819120</v>
      </c>
      <c r="D89" s="12">
        <v>4010160</v>
      </c>
      <c r="E89" s="14">
        <v>4201080</v>
      </c>
      <c r="F89" s="14">
        <v>6452860</v>
      </c>
      <c r="G89" s="12"/>
      <c r="H89" s="12"/>
      <c r="I89" s="12">
        <v>7829280</v>
      </c>
    </row>
    <row r="90" spans="1:9" x14ac:dyDescent="0.2">
      <c r="A90" s="3" t="s">
        <v>64</v>
      </c>
      <c r="B90" t="s">
        <v>35</v>
      </c>
      <c r="C90" s="13">
        <v>48787676</v>
      </c>
      <c r="D90" s="12">
        <v>54126450</v>
      </c>
      <c r="E90" s="13">
        <v>58456566</v>
      </c>
      <c r="F90" s="12"/>
      <c r="G90" s="12"/>
      <c r="H90" s="12"/>
      <c r="I90" s="12">
        <v>102914126</v>
      </c>
    </row>
    <row r="91" spans="1:9" x14ac:dyDescent="0.2">
      <c r="A91" s="3" t="s">
        <v>486</v>
      </c>
      <c r="B91" t="s">
        <v>54</v>
      </c>
      <c r="C91" s="12">
        <v>2087519</v>
      </c>
      <c r="D91" s="12"/>
      <c r="E91" s="12"/>
      <c r="F91" s="12"/>
      <c r="G91" s="12"/>
      <c r="H91" s="12"/>
      <c r="I91" s="12">
        <v>2087519</v>
      </c>
    </row>
    <row r="92" spans="1:9" x14ac:dyDescent="0.2">
      <c r="A92" s="3" t="s">
        <v>155</v>
      </c>
      <c r="B92" t="s">
        <v>63</v>
      </c>
      <c r="C92" s="12">
        <v>13394160</v>
      </c>
      <c r="D92" s="12">
        <v>14386320</v>
      </c>
      <c r="E92" s="12"/>
      <c r="F92" s="12"/>
      <c r="G92" s="12"/>
      <c r="H92" s="12"/>
      <c r="I92" s="12">
        <v>27780480</v>
      </c>
    </row>
    <row r="93" spans="1:9" x14ac:dyDescent="0.2">
      <c r="A93" s="3" t="s">
        <v>380</v>
      </c>
      <c r="B93" t="s">
        <v>117</v>
      </c>
      <c r="C93" s="12">
        <v>2087519</v>
      </c>
      <c r="D93" s="12"/>
      <c r="E93" s="12"/>
      <c r="F93" s="12"/>
      <c r="G93" s="12"/>
      <c r="H93" s="12"/>
      <c r="I93" s="12">
        <v>2087519</v>
      </c>
    </row>
    <row r="94" spans="1:9" x14ac:dyDescent="0.2">
      <c r="A94" s="3" t="s">
        <v>658</v>
      </c>
      <c r="B94" t="s">
        <v>63</v>
      </c>
      <c r="C94" s="12">
        <v>3150000</v>
      </c>
      <c r="D94" s="12"/>
      <c r="E94" s="12"/>
      <c r="F94" s="12"/>
      <c r="G94" s="12"/>
      <c r="H94" s="12"/>
      <c r="I94" s="12">
        <v>3150000</v>
      </c>
    </row>
    <row r="95" spans="1:9" x14ac:dyDescent="0.2">
      <c r="A95" s="3" t="s">
        <v>431</v>
      </c>
      <c r="B95" t="s">
        <v>59</v>
      </c>
      <c r="C95" s="12">
        <v>3080918</v>
      </c>
      <c r="D95" s="12">
        <v>2743776</v>
      </c>
      <c r="E95" s="12">
        <v>2425404</v>
      </c>
      <c r="F95" s="12"/>
      <c r="G95" s="12"/>
      <c r="H95" s="12"/>
      <c r="I95" s="12">
        <v>2425404</v>
      </c>
    </row>
    <row r="96" spans="1:9" x14ac:dyDescent="0.2">
      <c r="A96" s="3" t="s">
        <v>429</v>
      </c>
      <c r="B96" t="s">
        <v>46</v>
      </c>
      <c r="C96" s="12">
        <v>5168000</v>
      </c>
      <c r="D96" s="13">
        <v>5426400</v>
      </c>
      <c r="E96" s="12"/>
      <c r="F96" s="12"/>
      <c r="G96" s="12"/>
      <c r="H96" s="12"/>
      <c r="I96" s="12">
        <v>5168000</v>
      </c>
    </row>
    <row r="97" spans="1:9" x14ac:dyDescent="0.2">
      <c r="A97" s="3" t="s">
        <v>476</v>
      </c>
      <c r="B97" t="s">
        <v>103</v>
      </c>
      <c r="C97" s="12">
        <v>3114240</v>
      </c>
      <c r="D97" s="14">
        <v>3262560</v>
      </c>
      <c r="E97" s="14">
        <v>5366912</v>
      </c>
      <c r="F97" s="12"/>
      <c r="G97" s="12"/>
      <c r="H97" s="12"/>
      <c r="I97" s="12">
        <v>6376800</v>
      </c>
    </row>
    <row r="98" spans="1:9" x14ac:dyDescent="0.2">
      <c r="A98" s="3" t="s">
        <v>83</v>
      </c>
      <c r="B98" t="s">
        <v>57</v>
      </c>
      <c r="C98" s="12">
        <v>36725670</v>
      </c>
      <c r="D98" s="12">
        <v>39446090</v>
      </c>
      <c r="E98" s="12">
        <v>42166510</v>
      </c>
      <c r="F98" s="12">
        <v>44886930</v>
      </c>
      <c r="G98" s="12"/>
      <c r="H98" s="12"/>
      <c r="I98" s="12">
        <v>163225200</v>
      </c>
    </row>
    <row r="99" spans="1:9" x14ac:dyDescent="0.2">
      <c r="A99" s="3" t="s">
        <v>660</v>
      </c>
      <c r="B99" t="s">
        <v>46</v>
      </c>
      <c r="C99" s="12">
        <v>3065640</v>
      </c>
      <c r="D99" s="12">
        <v>3218760</v>
      </c>
      <c r="E99" s="14">
        <v>3372120</v>
      </c>
      <c r="F99" s="14">
        <v>5547138</v>
      </c>
      <c r="G99" s="12"/>
      <c r="H99" s="12"/>
      <c r="I99" s="12">
        <v>6284400</v>
      </c>
    </row>
    <row r="100" spans="1:9" x14ac:dyDescent="0.2">
      <c r="A100" s="3" t="s">
        <v>370</v>
      </c>
      <c r="B100" t="s">
        <v>72</v>
      </c>
      <c r="C100" s="14">
        <v>2847240</v>
      </c>
      <c r="D100" s="14">
        <v>4831766</v>
      </c>
      <c r="E100" s="12"/>
      <c r="F100" s="12"/>
      <c r="G100" s="12"/>
      <c r="H100" s="12"/>
      <c r="I100" s="12">
        <v>2847240</v>
      </c>
    </row>
    <row r="101" spans="1:9" x14ac:dyDescent="0.2">
      <c r="A101" s="3" t="s">
        <v>249</v>
      </c>
      <c r="B101" t="s">
        <v>66</v>
      </c>
      <c r="C101" s="14">
        <v>6451077</v>
      </c>
      <c r="D101" s="12"/>
      <c r="E101" s="12"/>
      <c r="F101" s="12"/>
      <c r="G101" s="12"/>
      <c r="H101" s="12"/>
      <c r="I101" s="12">
        <v>6451077</v>
      </c>
    </row>
    <row r="102" spans="1:9" x14ac:dyDescent="0.2">
      <c r="A102" s="3" t="s">
        <v>653</v>
      </c>
      <c r="B102" t="s">
        <v>59</v>
      </c>
      <c r="C102" s="12">
        <v>5250000</v>
      </c>
      <c r="D102" s="12"/>
      <c r="E102" s="12"/>
      <c r="F102" s="12"/>
      <c r="G102" s="12"/>
      <c r="H102" s="12"/>
      <c r="I102" s="12">
        <v>5250000</v>
      </c>
    </row>
    <row r="103" spans="1:9" x14ac:dyDescent="0.2">
      <c r="A103" s="3" t="s">
        <v>488</v>
      </c>
      <c r="B103" t="s">
        <v>103</v>
      </c>
      <c r="C103" s="14">
        <v>3989122</v>
      </c>
      <c r="D103" s="12"/>
      <c r="E103" s="12"/>
      <c r="F103" s="12"/>
      <c r="G103" s="12"/>
      <c r="H103" s="12"/>
      <c r="I103" s="12"/>
    </row>
    <row r="104" spans="1:9" x14ac:dyDescent="0.2">
      <c r="A104" s="3" t="s">
        <v>36</v>
      </c>
      <c r="B104" t="s">
        <v>37</v>
      </c>
      <c r="C104" s="12">
        <v>34848340</v>
      </c>
      <c r="D104" s="12">
        <v>37096620</v>
      </c>
      <c r="E104" s="12"/>
      <c r="F104" s="12"/>
      <c r="G104" s="12"/>
      <c r="H104" s="12"/>
      <c r="I104" s="12">
        <v>71944960</v>
      </c>
    </row>
    <row r="105" spans="1:9" x14ac:dyDescent="0.2">
      <c r="A105" s="3" t="s">
        <v>160</v>
      </c>
      <c r="B105" t="s">
        <v>72</v>
      </c>
      <c r="C105" s="12">
        <v>21696429</v>
      </c>
      <c r="D105" s="12">
        <v>23303571</v>
      </c>
      <c r="E105" s="12">
        <v>24910714</v>
      </c>
      <c r="F105" s="12"/>
      <c r="G105" s="12"/>
      <c r="H105" s="12"/>
      <c r="I105" s="12">
        <v>69910714</v>
      </c>
    </row>
    <row r="106" spans="1:9" x14ac:dyDescent="0.2">
      <c r="A106" s="3" t="s">
        <v>389</v>
      </c>
      <c r="B106" t="s">
        <v>100</v>
      </c>
      <c r="C106" s="12">
        <v>12822000</v>
      </c>
      <c r="D106" s="12"/>
      <c r="E106" s="12"/>
      <c r="F106" s="12"/>
      <c r="G106" s="12"/>
      <c r="H106" s="12"/>
      <c r="I106" s="12">
        <v>12822000</v>
      </c>
    </row>
    <row r="107" spans="1:9" x14ac:dyDescent="0.2">
      <c r="A107" s="3" t="s">
        <v>348</v>
      </c>
      <c r="B107" t="s">
        <v>57</v>
      </c>
      <c r="C107" s="12">
        <v>6166667</v>
      </c>
      <c r="D107" s="12">
        <v>6623456</v>
      </c>
      <c r="E107" s="12"/>
      <c r="F107" s="12"/>
      <c r="G107" s="12"/>
      <c r="H107" s="12"/>
      <c r="I107" s="12">
        <v>6166667</v>
      </c>
    </row>
    <row r="108" spans="1:9" x14ac:dyDescent="0.2">
      <c r="A108" s="3" t="s">
        <v>199</v>
      </c>
      <c r="B108" t="s">
        <v>135</v>
      </c>
      <c r="C108" s="12">
        <v>34005126</v>
      </c>
      <c r="D108" s="12">
        <v>35550814</v>
      </c>
      <c r="E108" s="12"/>
      <c r="F108" s="12"/>
      <c r="G108" s="12"/>
      <c r="H108" s="12"/>
      <c r="I108" s="12">
        <v>69555940</v>
      </c>
    </row>
    <row r="109" spans="1:9" x14ac:dyDescent="0.2">
      <c r="A109" s="3" t="s">
        <v>449</v>
      </c>
      <c r="B109" t="s">
        <v>46</v>
      </c>
      <c r="C109" s="12">
        <v>2087519</v>
      </c>
      <c r="D109" s="12"/>
      <c r="E109" s="12"/>
      <c r="F109" s="12"/>
      <c r="G109" s="12"/>
      <c r="H109" s="12"/>
      <c r="I109" s="12">
        <v>2087519</v>
      </c>
    </row>
    <row r="110" spans="1:9" x14ac:dyDescent="0.2">
      <c r="A110" s="3" t="s">
        <v>285</v>
      </c>
      <c r="B110" t="s">
        <v>117</v>
      </c>
      <c r="C110" s="12">
        <v>29517135</v>
      </c>
      <c r="D110" s="12">
        <v>31557103</v>
      </c>
      <c r="E110" s="12">
        <v>33597072</v>
      </c>
      <c r="F110" s="13">
        <v>31619506</v>
      </c>
      <c r="G110" s="12"/>
      <c r="H110" s="12"/>
      <c r="I110" s="12">
        <v>94671310</v>
      </c>
    </row>
    <row r="111" spans="1:9" x14ac:dyDescent="0.2">
      <c r="A111" s="3" t="s">
        <v>407</v>
      </c>
      <c r="B111" t="s">
        <v>35</v>
      </c>
      <c r="C111" s="12">
        <v>2087519</v>
      </c>
      <c r="D111" s="12"/>
      <c r="E111" s="12"/>
      <c r="F111" s="12"/>
      <c r="G111" s="12"/>
      <c r="H111" s="12"/>
      <c r="I111" s="12">
        <v>2087519</v>
      </c>
    </row>
    <row r="112" spans="1:9" x14ac:dyDescent="0.2">
      <c r="A112" s="3" t="s">
        <v>88</v>
      </c>
      <c r="B112" t="s">
        <v>37</v>
      </c>
      <c r="C112" s="12">
        <v>23400000</v>
      </c>
      <c r="D112" s="12">
        <v>24570000</v>
      </c>
      <c r="E112" s="12">
        <v>25740000</v>
      </c>
      <c r="F112" s="12"/>
      <c r="G112" s="12"/>
      <c r="H112" s="12"/>
      <c r="I112" s="12">
        <v>47970000</v>
      </c>
    </row>
    <row r="113" spans="1:9" x14ac:dyDescent="0.2">
      <c r="A113" s="3" t="s">
        <v>169</v>
      </c>
      <c r="B113" t="s">
        <v>135</v>
      </c>
      <c r="C113" s="12">
        <v>15625000</v>
      </c>
      <c r="D113" s="12">
        <v>14375000</v>
      </c>
      <c r="E113" s="12">
        <v>13125000</v>
      </c>
      <c r="F113" s="12">
        <v>11875000</v>
      </c>
      <c r="G113" s="12"/>
      <c r="H113" s="12"/>
      <c r="I113" s="12">
        <v>55000000</v>
      </c>
    </row>
    <row r="114" spans="1:9" x14ac:dyDescent="0.2">
      <c r="A114" s="3" t="s">
        <v>112</v>
      </c>
      <c r="B114" t="s">
        <v>103</v>
      </c>
      <c r="C114" s="12">
        <v>13025250</v>
      </c>
      <c r="D114" s="12"/>
      <c r="E114" s="12"/>
      <c r="F114" s="12"/>
      <c r="G114" s="12"/>
      <c r="H114" s="12"/>
      <c r="I114" s="12">
        <v>13025250</v>
      </c>
    </row>
    <row r="115" spans="1:9" x14ac:dyDescent="0.2">
      <c r="A115" s="3" t="s">
        <v>256</v>
      </c>
      <c r="B115" t="s">
        <v>63</v>
      </c>
      <c r="C115" s="12">
        <v>5014560</v>
      </c>
      <c r="D115" s="14">
        <v>5253360</v>
      </c>
      <c r="E115" s="14">
        <v>7239131</v>
      </c>
      <c r="F115" s="12"/>
      <c r="G115" s="12"/>
      <c r="H115" s="12"/>
      <c r="I115" s="12">
        <v>10267920</v>
      </c>
    </row>
    <row r="116" spans="1:9" x14ac:dyDescent="0.2">
      <c r="A116" s="3" t="s">
        <v>188</v>
      </c>
      <c r="B116" t="s">
        <v>77</v>
      </c>
      <c r="C116" s="12">
        <v>9523810</v>
      </c>
      <c r="D116" s="12">
        <v>10000000</v>
      </c>
      <c r="E116" s="12">
        <v>10476190</v>
      </c>
      <c r="F116" s="12"/>
      <c r="G116" s="12"/>
      <c r="H116" s="12"/>
      <c r="I116" s="12">
        <v>30000000</v>
      </c>
    </row>
    <row r="117" spans="1:9" x14ac:dyDescent="0.2">
      <c r="A117" s="3" t="s">
        <v>108</v>
      </c>
      <c r="B117" t="s">
        <v>39</v>
      </c>
      <c r="C117" s="12">
        <v>20071429</v>
      </c>
      <c r="D117" s="12">
        <v>28100000</v>
      </c>
      <c r="E117" s="12">
        <v>30348000</v>
      </c>
      <c r="F117" s="12">
        <v>32596000</v>
      </c>
      <c r="G117" s="13">
        <v>34844000</v>
      </c>
      <c r="H117" s="12"/>
      <c r="I117" s="12">
        <v>111115429</v>
      </c>
    </row>
    <row r="118" spans="1:9" x14ac:dyDescent="0.2">
      <c r="A118" s="3" t="s">
        <v>194</v>
      </c>
      <c r="B118" t="s">
        <v>80</v>
      </c>
      <c r="C118" s="12">
        <v>34005250</v>
      </c>
      <c r="D118" s="12">
        <v>36725670</v>
      </c>
      <c r="E118" s="12">
        <v>39446090</v>
      </c>
      <c r="F118" s="12">
        <v>42166510</v>
      </c>
      <c r="G118" s="12">
        <v>44886930</v>
      </c>
      <c r="H118" s="12"/>
      <c r="I118" s="12">
        <v>197230450</v>
      </c>
    </row>
    <row r="119" spans="1:9" x14ac:dyDescent="0.2">
      <c r="A119" s="3" t="s">
        <v>53</v>
      </c>
      <c r="B119" t="s">
        <v>54</v>
      </c>
      <c r="C119" s="12">
        <v>49205800</v>
      </c>
      <c r="D119" s="12">
        <v>53142264</v>
      </c>
      <c r="E119" s="12">
        <v>57078728</v>
      </c>
      <c r="F119" s="12">
        <v>61015192</v>
      </c>
      <c r="G119" s="12"/>
      <c r="H119" s="12"/>
      <c r="I119" s="12">
        <v>220441984</v>
      </c>
    </row>
    <row r="120" spans="1:9" x14ac:dyDescent="0.2">
      <c r="A120" s="3" t="s">
        <v>656</v>
      </c>
      <c r="B120" t="s">
        <v>37</v>
      </c>
      <c r="C120" s="12">
        <v>4689000</v>
      </c>
      <c r="D120" s="12">
        <v>4923720</v>
      </c>
      <c r="E120" s="14">
        <v>5158080</v>
      </c>
      <c r="F120" s="14">
        <v>7370897</v>
      </c>
      <c r="G120" s="12"/>
      <c r="H120" s="12"/>
      <c r="I120" s="12">
        <v>9612720</v>
      </c>
    </row>
    <row r="121" spans="1:9" x14ac:dyDescent="0.2">
      <c r="A121" s="3" t="s">
        <v>282</v>
      </c>
      <c r="B121" t="s">
        <v>93</v>
      </c>
      <c r="C121" s="12">
        <v>29347826</v>
      </c>
      <c r="D121" s="12">
        <v>27000000</v>
      </c>
      <c r="E121" s="12">
        <v>27000000</v>
      </c>
      <c r="F121" s="12">
        <v>24652174</v>
      </c>
      <c r="G121" s="12">
        <v>27000000</v>
      </c>
      <c r="H121" s="12"/>
      <c r="I121" s="12">
        <v>135000000</v>
      </c>
    </row>
    <row r="122" spans="1:9" x14ac:dyDescent="0.2">
      <c r="A122" s="3" t="s">
        <v>662</v>
      </c>
      <c r="B122" t="s">
        <v>75</v>
      </c>
      <c r="C122" s="12">
        <v>2748674</v>
      </c>
      <c r="D122" s="12"/>
      <c r="E122" s="12"/>
      <c r="F122" s="12"/>
      <c r="G122" s="12"/>
      <c r="H122" s="12"/>
      <c r="I122" s="12">
        <v>2748674</v>
      </c>
    </row>
    <row r="123" spans="1:9" x14ac:dyDescent="0.2">
      <c r="A123" s="3" t="s">
        <v>679</v>
      </c>
      <c r="B123" t="s">
        <v>135</v>
      </c>
      <c r="C123" s="12">
        <v>268032</v>
      </c>
      <c r="D123" s="12">
        <v>268032</v>
      </c>
      <c r="E123" s="12">
        <v>268032</v>
      </c>
      <c r="F123" s="12">
        <v>268032</v>
      </c>
      <c r="G123" s="12">
        <v>268032</v>
      </c>
      <c r="H123" s="12"/>
      <c r="I123" s="12">
        <v>1340160</v>
      </c>
    </row>
    <row r="124" spans="1:9" x14ac:dyDescent="0.2">
      <c r="A124" s="3" t="s">
        <v>150</v>
      </c>
      <c r="B124" t="s">
        <v>87</v>
      </c>
      <c r="C124" s="12">
        <v>22255493</v>
      </c>
      <c r="D124" s="12">
        <v>21124110</v>
      </c>
      <c r="E124" s="12">
        <v>19992727</v>
      </c>
      <c r="F124" s="12"/>
      <c r="G124" s="12"/>
      <c r="H124" s="12"/>
      <c r="I124" s="12">
        <v>63372330</v>
      </c>
    </row>
    <row r="125" spans="1:9" x14ac:dyDescent="0.2">
      <c r="A125" s="3" t="s">
        <v>404</v>
      </c>
      <c r="B125" t="s">
        <v>32</v>
      </c>
      <c r="C125" s="12">
        <v>2622360</v>
      </c>
      <c r="D125" s="12">
        <v>2753280</v>
      </c>
      <c r="E125" s="14">
        <v>2884440</v>
      </c>
      <c r="F125" s="14">
        <v>5200646</v>
      </c>
      <c r="G125" s="12"/>
      <c r="H125" s="12"/>
      <c r="I125" s="12">
        <v>5375640</v>
      </c>
    </row>
    <row r="126" spans="1:9" x14ac:dyDescent="0.2">
      <c r="A126" s="3" t="s">
        <v>78</v>
      </c>
      <c r="B126" t="s">
        <v>37</v>
      </c>
      <c r="C126" s="12">
        <v>40500000</v>
      </c>
      <c r="D126" s="12">
        <v>43636000</v>
      </c>
      <c r="E126" s="12">
        <v>46772000</v>
      </c>
      <c r="F126" s="12">
        <v>49908000</v>
      </c>
      <c r="G126" s="12"/>
      <c r="H126" s="12"/>
      <c r="I126" s="12">
        <v>180816000</v>
      </c>
    </row>
    <row r="127" spans="1:9" x14ac:dyDescent="0.2">
      <c r="A127" s="3" t="s">
        <v>339</v>
      </c>
      <c r="B127" t="s">
        <v>135</v>
      </c>
      <c r="C127" s="12">
        <v>6836400</v>
      </c>
      <c r="D127" s="12">
        <v>7178400</v>
      </c>
      <c r="E127" s="14">
        <v>7519920</v>
      </c>
      <c r="F127" s="14">
        <v>9550298</v>
      </c>
      <c r="G127" s="12"/>
      <c r="H127" s="12"/>
      <c r="I127" s="12">
        <v>14014800</v>
      </c>
    </row>
    <row r="128" spans="1:9" x14ac:dyDescent="0.2">
      <c r="A128" s="3" t="s">
        <v>56</v>
      </c>
      <c r="B128" t="s">
        <v>57</v>
      </c>
      <c r="C128" s="12">
        <v>35410310</v>
      </c>
      <c r="D128" s="12">
        <v>46394100</v>
      </c>
      <c r="E128" s="12">
        <v>50105628</v>
      </c>
      <c r="F128" s="13">
        <v>53817156</v>
      </c>
      <c r="G128" s="12"/>
      <c r="H128" s="12"/>
      <c r="I128" s="12">
        <v>131910038</v>
      </c>
    </row>
    <row r="129" spans="1:9" x14ac:dyDescent="0.2">
      <c r="A129" s="3" t="s">
        <v>234</v>
      </c>
      <c r="B129" t="s">
        <v>51</v>
      </c>
      <c r="C129" s="12">
        <v>11445000</v>
      </c>
      <c r="D129" s="12">
        <v>11990000</v>
      </c>
      <c r="E129" s="12">
        <v>12535000</v>
      </c>
      <c r="F129" s="12"/>
      <c r="G129" s="12"/>
      <c r="H129" s="12"/>
      <c r="I129" s="12">
        <v>35970000</v>
      </c>
    </row>
    <row r="130" spans="1:9" x14ac:dyDescent="0.2">
      <c r="A130" s="3" t="s">
        <v>261</v>
      </c>
      <c r="B130" t="s">
        <v>103</v>
      </c>
      <c r="C130" s="12">
        <v>14924167</v>
      </c>
      <c r="D130" s="13">
        <v>15378480</v>
      </c>
      <c r="E130" s="12"/>
      <c r="F130" s="12"/>
      <c r="G130" s="12"/>
      <c r="H130" s="12"/>
      <c r="I130" s="12">
        <v>14924167</v>
      </c>
    </row>
    <row r="131" spans="1:9" x14ac:dyDescent="0.2">
      <c r="A131" s="3" t="s">
        <v>382</v>
      </c>
      <c r="B131" t="s">
        <v>37</v>
      </c>
      <c r="C131" s="12">
        <v>2087519</v>
      </c>
      <c r="D131" s="12"/>
      <c r="E131" s="12"/>
      <c r="F131" s="12"/>
      <c r="G131" s="12"/>
      <c r="H131" s="12"/>
      <c r="I131" s="12"/>
    </row>
    <row r="132" spans="1:9" x14ac:dyDescent="0.2">
      <c r="A132" s="3" t="s">
        <v>240</v>
      </c>
      <c r="B132" t="s">
        <v>100</v>
      </c>
      <c r="C132" s="12">
        <v>24107143</v>
      </c>
      <c r="D132" s="12">
        <v>25892857</v>
      </c>
      <c r="E132" s="12">
        <v>27678571</v>
      </c>
      <c r="F132" s="12"/>
      <c r="G132" s="12"/>
      <c r="H132" s="12"/>
      <c r="I132" s="12">
        <v>77678571</v>
      </c>
    </row>
    <row r="133" spans="1:9" x14ac:dyDescent="0.2">
      <c r="A133" s="3" t="s">
        <v>353</v>
      </c>
      <c r="B133" t="s">
        <v>120</v>
      </c>
      <c r="C133" s="12">
        <v>5000000</v>
      </c>
      <c r="D133" s="12">
        <v>4750000</v>
      </c>
      <c r="E133" s="12"/>
      <c r="F133" s="12"/>
      <c r="G133" s="12"/>
      <c r="H133" s="12"/>
      <c r="I133" s="12">
        <v>5000000</v>
      </c>
    </row>
    <row r="134" spans="1:9" x14ac:dyDescent="0.2">
      <c r="A134" s="3" t="s">
        <v>666</v>
      </c>
      <c r="B134" t="s">
        <v>59</v>
      </c>
      <c r="C134" s="12">
        <v>2162607</v>
      </c>
      <c r="D134" s="12"/>
      <c r="E134" s="12"/>
      <c r="F134" s="12"/>
      <c r="G134" s="12"/>
      <c r="H134" s="12"/>
      <c r="I134" s="12">
        <v>2162607</v>
      </c>
    </row>
    <row r="135" spans="1:9" x14ac:dyDescent="0.2">
      <c r="A135" s="3" t="s">
        <v>198</v>
      </c>
      <c r="B135" t="s">
        <v>61</v>
      </c>
      <c r="C135" s="12">
        <v>19406000</v>
      </c>
      <c r="D135" s="12">
        <v>19888000</v>
      </c>
      <c r="E135" s="12"/>
      <c r="F135" s="12"/>
      <c r="G135" s="12"/>
      <c r="H135" s="12"/>
      <c r="I135" s="12">
        <v>29294000</v>
      </c>
    </row>
    <row r="136" spans="1:9" x14ac:dyDescent="0.2">
      <c r="A136" s="3" t="s">
        <v>447</v>
      </c>
      <c r="B136" t="s">
        <v>135</v>
      </c>
      <c r="C136" s="12">
        <v>2048780</v>
      </c>
      <c r="D136" s="12">
        <v>2221677</v>
      </c>
      <c r="E136" s="12"/>
      <c r="F136" s="12"/>
      <c r="G136" s="12"/>
      <c r="H136" s="12"/>
      <c r="I136" s="12">
        <v>2048780</v>
      </c>
    </row>
    <row r="137" spans="1:9" x14ac:dyDescent="0.2">
      <c r="A137" s="3" t="s">
        <v>434</v>
      </c>
      <c r="B137" t="s">
        <v>63</v>
      </c>
      <c r="C137" s="12">
        <v>4000000</v>
      </c>
      <c r="D137" s="13">
        <v>4000000</v>
      </c>
      <c r="E137" s="12"/>
      <c r="F137" s="12"/>
      <c r="G137" s="12"/>
      <c r="H137" s="12"/>
      <c r="I137" s="12">
        <v>4000000</v>
      </c>
    </row>
    <row r="138" spans="1:9" x14ac:dyDescent="0.2">
      <c r="A138" s="3" t="s">
        <v>146</v>
      </c>
      <c r="B138" t="s">
        <v>72</v>
      </c>
      <c r="C138" s="14">
        <v>6059520</v>
      </c>
      <c r="D138" s="14">
        <v>7707709</v>
      </c>
      <c r="E138" s="12"/>
      <c r="F138" s="12"/>
      <c r="G138" s="12"/>
      <c r="H138" s="12"/>
      <c r="I138" s="12">
        <v>13767229</v>
      </c>
    </row>
    <row r="139" spans="1:9" x14ac:dyDescent="0.2">
      <c r="A139" s="3" t="s">
        <v>487</v>
      </c>
      <c r="B139" t="s">
        <v>54</v>
      </c>
      <c r="C139" s="12">
        <v>706898</v>
      </c>
      <c r="D139" s="12">
        <v>706898</v>
      </c>
      <c r="E139" s="12">
        <v>706898</v>
      </c>
      <c r="F139" s="12"/>
      <c r="G139" s="12"/>
      <c r="H139" s="12"/>
      <c r="I139" s="12">
        <v>2120694</v>
      </c>
    </row>
    <row r="140" spans="1:9" x14ac:dyDescent="0.2">
      <c r="A140" s="3" t="s">
        <v>672</v>
      </c>
      <c r="B140" t="s">
        <v>135</v>
      </c>
      <c r="C140" s="12">
        <v>1300000</v>
      </c>
      <c r="D140" s="12"/>
      <c r="E140" s="12"/>
      <c r="F140" s="12"/>
      <c r="G140" s="12"/>
      <c r="H140" s="12"/>
      <c r="I140" s="12">
        <v>1300000</v>
      </c>
    </row>
    <row r="141" spans="1:9" x14ac:dyDescent="0.2">
      <c r="A141" s="3" t="s">
        <v>367</v>
      </c>
      <c r="B141" t="s">
        <v>122</v>
      </c>
      <c r="C141" s="12">
        <v>3303771</v>
      </c>
      <c r="D141" s="13">
        <v>3468960</v>
      </c>
      <c r="E141" s="12"/>
      <c r="F141" s="12"/>
      <c r="G141" s="12"/>
      <c r="H141" s="12"/>
      <c r="I141" s="12">
        <v>3303771</v>
      </c>
    </row>
    <row r="142" spans="1:9" x14ac:dyDescent="0.2">
      <c r="A142" s="3" t="s">
        <v>96</v>
      </c>
      <c r="B142" t="s">
        <v>57</v>
      </c>
      <c r="C142" s="14">
        <v>11227657</v>
      </c>
      <c r="D142" s="12">
        <v>38661750</v>
      </c>
      <c r="E142" s="12">
        <v>41754690</v>
      </c>
      <c r="F142" s="12">
        <v>44847630</v>
      </c>
      <c r="G142" s="12">
        <v>47940570</v>
      </c>
      <c r="H142" s="12">
        <v>51033510</v>
      </c>
      <c r="I142" s="12">
        <v>235465807</v>
      </c>
    </row>
    <row r="143" spans="1:9" x14ac:dyDescent="0.2">
      <c r="A143" s="3" t="s">
        <v>47</v>
      </c>
      <c r="B143" t="s">
        <v>48</v>
      </c>
      <c r="C143" s="14">
        <v>7007092</v>
      </c>
      <c r="D143" s="12">
        <v>38661750</v>
      </c>
      <c r="E143" s="12">
        <v>41754690</v>
      </c>
      <c r="F143" s="12">
        <v>44847630</v>
      </c>
      <c r="G143" s="12">
        <v>47940570</v>
      </c>
      <c r="H143" s="12">
        <v>51033510</v>
      </c>
      <c r="I143" s="12">
        <v>231245242</v>
      </c>
    </row>
    <row r="144" spans="1:9" x14ac:dyDescent="0.2">
      <c r="A144" s="3" t="s">
        <v>127</v>
      </c>
      <c r="B144" t="s">
        <v>87</v>
      </c>
      <c r="C144" s="12">
        <v>42846615</v>
      </c>
      <c r="D144" s="14">
        <v>44886930</v>
      </c>
      <c r="E144" s="12"/>
      <c r="F144" s="12"/>
      <c r="G144" s="12"/>
      <c r="H144" s="12"/>
      <c r="I144" s="12">
        <v>42846615</v>
      </c>
    </row>
    <row r="145" spans="1:9" x14ac:dyDescent="0.2">
      <c r="A145" s="3" t="s">
        <v>351</v>
      </c>
      <c r="B145" t="s">
        <v>41</v>
      </c>
      <c r="C145" s="12">
        <v>11000000</v>
      </c>
      <c r="D145" s="12">
        <v>11500000</v>
      </c>
      <c r="E145" s="12"/>
      <c r="F145" s="12"/>
      <c r="G145" s="12"/>
      <c r="H145" s="12"/>
      <c r="I145" s="12">
        <v>22500000</v>
      </c>
    </row>
    <row r="146" spans="1:9" x14ac:dyDescent="0.2">
      <c r="A146" s="3" t="s">
        <v>521</v>
      </c>
      <c r="B146" t="s">
        <v>66</v>
      </c>
      <c r="C146" s="12">
        <v>2087519</v>
      </c>
      <c r="D146" s="12"/>
      <c r="E146" s="12"/>
      <c r="F146" s="12"/>
      <c r="G146" s="12"/>
      <c r="H146" s="12"/>
      <c r="I146" s="12">
        <v>2087519</v>
      </c>
    </row>
    <row r="147" spans="1:9" x14ac:dyDescent="0.2">
      <c r="A147" s="3" t="s">
        <v>280</v>
      </c>
      <c r="B147" t="s">
        <v>72</v>
      </c>
      <c r="C147" s="14">
        <v>2230253</v>
      </c>
      <c r="D147" s="12"/>
      <c r="E147" s="12"/>
      <c r="F147" s="12"/>
      <c r="G147" s="12"/>
      <c r="H147" s="12"/>
      <c r="I147" s="12">
        <v>2230253</v>
      </c>
    </row>
    <row r="148" spans="1:9" x14ac:dyDescent="0.2">
      <c r="A148" s="3" t="s">
        <v>378</v>
      </c>
      <c r="B148" t="s">
        <v>48</v>
      </c>
      <c r="C148" s="12">
        <v>7500000</v>
      </c>
      <c r="D148" s="14">
        <v>7500000</v>
      </c>
      <c r="E148" s="12"/>
      <c r="F148" s="12"/>
      <c r="G148" s="12"/>
      <c r="H148" s="12"/>
      <c r="I148" s="12">
        <v>7500000</v>
      </c>
    </row>
    <row r="149" spans="1:9" x14ac:dyDescent="0.2">
      <c r="A149" s="3" t="s">
        <v>321</v>
      </c>
      <c r="B149" t="s">
        <v>100</v>
      </c>
      <c r="C149" s="13">
        <v>9130000</v>
      </c>
      <c r="D149" s="12"/>
      <c r="E149" s="12"/>
      <c r="F149" s="12"/>
      <c r="G149" s="12"/>
      <c r="H149" s="12"/>
      <c r="I149" s="12">
        <v>9130000</v>
      </c>
    </row>
    <row r="150" spans="1:9" x14ac:dyDescent="0.2">
      <c r="A150" s="3" t="s">
        <v>228</v>
      </c>
      <c r="B150" t="s">
        <v>35</v>
      </c>
      <c r="C150" s="12">
        <v>2087519</v>
      </c>
      <c r="D150" s="12"/>
      <c r="E150" s="12"/>
      <c r="F150" s="12"/>
      <c r="G150" s="12"/>
      <c r="H150" s="12"/>
      <c r="I150" s="12">
        <v>2087519</v>
      </c>
    </row>
    <row r="151" spans="1:9" x14ac:dyDescent="0.2">
      <c r="A151" s="3" t="s">
        <v>221</v>
      </c>
      <c r="B151" t="s">
        <v>57</v>
      </c>
      <c r="C151" s="12">
        <v>8500000</v>
      </c>
      <c r="D151" s="12">
        <v>8200000</v>
      </c>
      <c r="E151" s="12"/>
      <c r="F151" s="12"/>
      <c r="G151" s="12"/>
      <c r="H151" s="12"/>
      <c r="I151" s="12">
        <v>16700000</v>
      </c>
    </row>
    <row r="152" spans="1:9" x14ac:dyDescent="0.2">
      <c r="A152" s="3" t="s">
        <v>669</v>
      </c>
      <c r="B152" t="s">
        <v>80</v>
      </c>
      <c r="C152" s="12">
        <v>1891857</v>
      </c>
      <c r="D152" s="12">
        <v>2221677</v>
      </c>
      <c r="E152" s="14">
        <v>2406205</v>
      </c>
      <c r="F152" s="12"/>
      <c r="G152" s="12"/>
      <c r="H152" s="12"/>
      <c r="I152" s="12">
        <v>4113534</v>
      </c>
    </row>
    <row r="153" spans="1:9" x14ac:dyDescent="0.2">
      <c r="A153" s="3" t="s">
        <v>34</v>
      </c>
      <c r="B153" t="s">
        <v>35</v>
      </c>
      <c r="C153" s="12">
        <v>48787676</v>
      </c>
      <c r="D153" s="12">
        <v>54126450</v>
      </c>
      <c r="E153" s="12">
        <v>58456566</v>
      </c>
      <c r="F153" s="13">
        <v>62786682</v>
      </c>
      <c r="G153" s="12"/>
      <c r="H153" s="12"/>
      <c r="I153" s="12">
        <v>161370692</v>
      </c>
    </row>
    <row r="154" spans="1:9" x14ac:dyDescent="0.2">
      <c r="A154" s="3" t="s">
        <v>235</v>
      </c>
      <c r="B154" t="s">
        <v>48</v>
      </c>
      <c r="C154" s="12">
        <v>9057971</v>
      </c>
      <c r="D154" s="12">
        <v>8333333</v>
      </c>
      <c r="E154" s="12">
        <v>7608696</v>
      </c>
      <c r="F154" s="12"/>
      <c r="G154" s="12"/>
      <c r="H154" s="12"/>
      <c r="I154" s="12">
        <v>25000000</v>
      </c>
    </row>
    <row r="155" spans="1:9" x14ac:dyDescent="0.2">
      <c r="A155" s="3" t="s">
        <v>124</v>
      </c>
      <c r="B155" t="s">
        <v>66</v>
      </c>
      <c r="C155" s="12">
        <v>4763760</v>
      </c>
      <c r="D155" s="14">
        <v>4990560</v>
      </c>
      <c r="E155" s="14">
        <v>7131511</v>
      </c>
      <c r="F155" s="12"/>
      <c r="G155" s="12"/>
      <c r="H155" s="12"/>
      <c r="I155" s="12">
        <v>9754320</v>
      </c>
    </row>
    <row r="156" spans="1:9" x14ac:dyDescent="0.2">
      <c r="A156" s="3" t="s">
        <v>265</v>
      </c>
      <c r="B156" t="s">
        <v>59</v>
      </c>
      <c r="C156" s="12">
        <v>13025250</v>
      </c>
      <c r="D156" s="12">
        <v>13645500</v>
      </c>
      <c r="E156" s="12">
        <v>14265750</v>
      </c>
      <c r="F156" s="12"/>
      <c r="G156" s="12"/>
      <c r="H156" s="12"/>
      <c r="I156" s="12">
        <v>40936500</v>
      </c>
    </row>
    <row r="157" spans="1:9" x14ac:dyDescent="0.2">
      <c r="A157" s="3" t="s">
        <v>223</v>
      </c>
      <c r="B157" t="s">
        <v>54</v>
      </c>
      <c r="C157" s="12">
        <v>15625000</v>
      </c>
      <c r="D157" s="12">
        <v>16875000</v>
      </c>
      <c r="E157" s="12">
        <v>18125000</v>
      </c>
      <c r="F157" s="13">
        <v>19375000</v>
      </c>
      <c r="G157" s="12"/>
      <c r="H157" s="12"/>
      <c r="I157" s="12">
        <v>50625000</v>
      </c>
    </row>
    <row r="158" spans="1:9" x14ac:dyDescent="0.2">
      <c r="A158" s="3" t="s">
        <v>216</v>
      </c>
      <c r="B158" t="s">
        <v>122</v>
      </c>
      <c r="C158" s="12">
        <v>2087519</v>
      </c>
      <c r="D158" s="12"/>
      <c r="E158" s="12"/>
      <c r="F158" s="12"/>
      <c r="G158" s="12"/>
      <c r="H158" s="12"/>
      <c r="I158" s="12">
        <v>2087519</v>
      </c>
    </row>
    <row r="159" spans="1:9" x14ac:dyDescent="0.2">
      <c r="A159" s="3" t="s">
        <v>512</v>
      </c>
      <c r="B159" t="s">
        <v>100</v>
      </c>
      <c r="C159" s="12">
        <v>1891857</v>
      </c>
      <c r="D159" s="14">
        <v>2221677</v>
      </c>
      <c r="E159" s="12"/>
      <c r="F159" s="12"/>
      <c r="G159" s="12"/>
      <c r="H159" s="12"/>
      <c r="I159" s="12"/>
    </row>
    <row r="160" spans="1:9" x14ac:dyDescent="0.2">
      <c r="A160" s="3" t="s">
        <v>186</v>
      </c>
      <c r="B160" t="s">
        <v>93</v>
      </c>
      <c r="C160" s="12">
        <v>18000000</v>
      </c>
      <c r="D160" s="12">
        <v>19000000</v>
      </c>
      <c r="E160" s="12"/>
      <c r="F160" s="12"/>
      <c r="G160" s="12"/>
      <c r="H160" s="12"/>
      <c r="I160" s="12">
        <v>37000000</v>
      </c>
    </row>
    <row r="161" spans="1:9" x14ac:dyDescent="0.2">
      <c r="A161" s="3" t="s">
        <v>275</v>
      </c>
      <c r="B161" t="s">
        <v>61</v>
      </c>
      <c r="C161" s="12">
        <v>5200000</v>
      </c>
      <c r="D161" s="12">
        <v>5616000</v>
      </c>
      <c r="E161" s="12"/>
      <c r="F161" s="12"/>
      <c r="G161" s="12"/>
      <c r="H161" s="12"/>
      <c r="I161" s="12">
        <v>10816000</v>
      </c>
    </row>
    <row r="162" spans="1:9" x14ac:dyDescent="0.2">
      <c r="A162" s="3" t="s">
        <v>363</v>
      </c>
      <c r="B162" t="s">
        <v>117</v>
      </c>
      <c r="C162" s="12">
        <v>12976362</v>
      </c>
      <c r="D162" s="12">
        <v>13937574</v>
      </c>
      <c r="E162" s="12">
        <v>14898786</v>
      </c>
      <c r="F162" s="12"/>
      <c r="G162" s="12"/>
      <c r="H162" s="12"/>
      <c r="I162" s="12">
        <v>41812722</v>
      </c>
    </row>
    <row r="163" spans="1:9" x14ac:dyDescent="0.2">
      <c r="A163" s="3" t="s">
        <v>424</v>
      </c>
      <c r="B163" t="s">
        <v>46</v>
      </c>
      <c r="C163" s="12">
        <v>1891857</v>
      </c>
      <c r="D163" s="12">
        <v>2221677</v>
      </c>
      <c r="E163" s="14">
        <v>2406205</v>
      </c>
      <c r="F163" s="12"/>
      <c r="G163" s="12"/>
      <c r="H163" s="12"/>
      <c r="I163" s="12">
        <v>4113534</v>
      </c>
    </row>
    <row r="164" spans="1:9" x14ac:dyDescent="0.2">
      <c r="A164" s="3" t="s">
        <v>413</v>
      </c>
      <c r="B164" t="s">
        <v>66</v>
      </c>
      <c r="C164" s="12">
        <v>32500000</v>
      </c>
      <c r="D164" s="12">
        <v>32500000</v>
      </c>
      <c r="E164" s="12">
        <v>32500000</v>
      </c>
      <c r="F164" s="12">
        <v>32500000</v>
      </c>
      <c r="G164" s="12">
        <v>32500000</v>
      </c>
      <c r="H164" s="12"/>
      <c r="I164" s="12">
        <v>162500000</v>
      </c>
    </row>
    <row r="165" spans="1:9" x14ac:dyDescent="0.2">
      <c r="A165" s="3" t="s">
        <v>307</v>
      </c>
      <c r="B165" t="s">
        <v>57</v>
      </c>
      <c r="C165" s="12">
        <v>10185186</v>
      </c>
      <c r="D165" s="12">
        <v>11000000</v>
      </c>
      <c r="E165" s="12">
        <v>11814814</v>
      </c>
      <c r="F165" s="12"/>
      <c r="G165" s="12"/>
      <c r="H165" s="12"/>
      <c r="I165" s="12">
        <v>33000000</v>
      </c>
    </row>
    <row r="166" spans="1:9" x14ac:dyDescent="0.2">
      <c r="A166" s="3" t="s">
        <v>394</v>
      </c>
      <c r="B166" t="s">
        <v>120</v>
      </c>
      <c r="C166" s="12">
        <v>2512680</v>
      </c>
      <c r="D166" s="12">
        <v>2638200</v>
      </c>
      <c r="E166" s="14">
        <v>2763960</v>
      </c>
      <c r="F166" s="14">
        <v>4988948</v>
      </c>
      <c r="G166" s="12"/>
      <c r="H166" s="12"/>
      <c r="I166" s="12">
        <v>5150880</v>
      </c>
    </row>
    <row r="167" spans="1:9" x14ac:dyDescent="0.2">
      <c r="A167" s="3" t="s">
        <v>332</v>
      </c>
      <c r="B167" t="s">
        <v>32</v>
      </c>
      <c r="C167" s="12">
        <v>30000000</v>
      </c>
      <c r="D167" s="12">
        <v>28500000</v>
      </c>
      <c r="E167" s="14">
        <v>28500000</v>
      </c>
      <c r="F167" s="12"/>
      <c r="G167" s="12"/>
      <c r="H167" s="12"/>
      <c r="I167" s="12">
        <v>58500000</v>
      </c>
    </row>
    <row r="168" spans="1:9" x14ac:dyDescent="0.2">
      <c r="A168" s="3" t="s">
        <v>425</v>
      </c>
      <c r="B168" t="s">
        <v>82</v>
      </c>
      <c r="C168" s="14">
        <v>4435381</v>
      </c>
      <c r="D168" s="12"/>
      <c r="E168" s="12"/>
      <c r="F168" s="12"/>
      <c r="G168" s="12"/>
      <c r="H168" s="12"/>
      <c r="I168" s="12">
        <v>4435381</v>
      </c>
    </row>
    <row r="169" spans="1:9" x14ac:dyDescent="0.2">
      <c r="A169" s="3" t="s">
        <v>232</v>
      </c>
      <c r="B169" t="s">
        <v>32</v>
      </c>
      <c r="C169" s="12">
        <v>12991650</v>
      </c>
      <c r="D169" s="12">
        <v>12362338</v>
      </c>
      <c r="E169" s="12">
        <v>11323006</v>
      </c>
      <c r="F169" s="14">
        <v>11323006</v>
      </c>
      <c r="G169" s="12"/>
      <c r="H169" s="12"/>
      <c r="I169" s="12">
        <v>36676994</v>
      </c>
    </row>
    <row r="170" spans="1:9" x14ac:dyDescent="0.2">
      <c r="A170" s="3" t="s">
        <v>272</v>
      </c>
      <c r="B170" t="s">
        <v>75</v>
      </c>
      <c r="C170" s="12">
        <v>15000000</v>
      </c>
      <c r="D170" s="12">
        <v>15000000</v>
      </c>
      <c r="E170" s="12">
        <v>15000000</v>
      </c>
      <c r="F170" s="14">
        <v>15000000</v>
      </c>
      <c r="G170" s="12"/>
      <c r="H170" s="12"/>
      <c r="I170" s="12">
        <v>45000000</v>
      </c>
    </row>
    <row r="171" spans="1:9" x14ac:dyDescent="0.2">
      <c r="A171" s="3" t="s">
        <v>126</v>
      </c>
      <c r="B171" t="s">
        <v>77</v>
      </c>
      <c r="C171" s="12">
        <v>11743210</v>
      </c>
      <c r="D171" s="12">
        <v>18102000</v>
      </c>
      <c r="E171" s="12">
        <v>19550160</v>
      </c>
      <c r="F171" s="12">
        <v>20998320</v>
      </c>
      <c r="G171" s="12"/>
      <c r="H171" s="12"/>
      <c r="I171" s="12">
        <v>70393690</v>
      </c>
    </row>
    <row r="172" spans="1:9" x14ac:dyDescent="0.2">
      <c r="A172" s="3" t="s">
        <v>151</v>
      </c>
      <c r="B172" t="s">
        <v>80</v>
      </c>
      <c r="C172" s="12">
        <v>36725670</v>
      </c>
      <c r="D172" s="12">
        <v>39446090</v>
      </c>
      <c r="E172" s="12">
        <v>42166510</v>
      </c>
      <c r="F172" s="12">
        <v>44886930</v>
      </c>
      <c r="G172" s="12"/>
      <c r="H172" s="12"/>
      <c r="I172" s="12">
        <v>163225200</v>
      </c>
    </row>
    <row r="173" spans="1:9" x14ac:dyDescent="0.2">
      <c r="A173" s="3" t="s">
        <v>359</v>
      </c>
      <c r="B173" t="s">
        <v>66</v>
      </c>
      <c r="C173" s="12">
        <v>3465000</v>
      </c>
      <c r="D173" s="12">
        <v>3638160</v>
      </c>
      <c r="E173" s="14">
        <v>3811800</v>
      </c>
      <c r="F173" s="14">
        <v>5870172</v>
      </c>
      <c r="G173" s="12"/>
      <c r="H173" s="12"/>
      <c r="I173" s="12">
        <v>7103160</v>
      </c>
    </row>
    <row r="174" spans="1:9" x14ac:dyDescent="0.2">
      <c r="A174" s="3" t="s">
        <v>166</v>
      </c>
      <c r="B174" t="s">
        <v>87</v>
      </c>
      <c r="C174" s="14">
        <v>9770880</v>
      </c>
      <c r="D174" s="14">
        <v>12350392</v>
      </c>
      <c r="E174" s="12"/>
      <c r="F174" s="12"/>
      <c r="G174" s="12"/>
      <c r="H174" s="12"/>
      <c r="I174" s="12">
        <v>22121272</v>
      </c>
    </row>
    <row r="175" spans="1:9" x14ac:dyDescent="0.2">
      <c r="A175" s="3" t="s">
        <v>393</v>
      </c>
      <c r="B175" t="s">
        <v>135</v>
      </c>
      <c r="C175" s="12">
        <v>2019699</v>
      </c>
      <c r="D175" s="12"/>
      <c r="E175" s="12"/>
      <c r="F175" s="12"/>
      <c r="G175" s="12"/>
      <c r="H175" s="12"/>
      <c r="I175" s="12"/>
    </row>
    <row r="176" spans="1:9" x14ac:dyDescent="0.2">
      <c r="A176" s="3" t="s">
        <v>288</v>
      </c>
      <c r="B176" t="s">
        <v>63</v>
      </c>
      <c r="C176" s="12">
        <v>2019699</v>
      </c>
      <c r="D176" s="12">
        <v>6000000</v>
      </c>
      <c r="E176" s="12">
        <v>6000000</v>
      </c>
      <c r="F176" s="14">
        <v>6000000</v>
      </c>
      <c r="G176" s="12"/>
      <c r="H176" s="12"/>
      <c r="I176" s="12">
        <v>14019699</v>
      </c>
    </row>
    <row r="177" spans="1:9" x14ac:dyDescent="0.2">
      <c r="A177" s="3" t="s">
        <v>101</v>
      </c>
      <c r="B177" t="s">
        <v>75</v>
      </c>
      <c r="C177" s="14">
        <v>7977240</v>
      </c>
      <c r="D177" s="14">
        <v>10107163</v>
      </c>
      <c r="E177" s="12"/>
      <c r="F177" s="12"/>
      <c r="G177" s="12"/>
      <c r="H177" s="12"/>
      <c r="I177" s="12">
        <v>18084403</v>
      </c>
    </row>
    <row r="178" spans="1:9" x14ac:dyDescent="0.2">
      <c r="A178" s="3" t="s">
        <v>210</v>
      </c>
      <c r="B178" t="s">
        <v>51</v>
      </c>
      <c r="C178" s="12">
        <v>23017242</v>
      </c>
      <c r="D178" s="12">
        <v>24858622</v>
      </c>
      <c r="E178" s="12">
        <v>26700001</v>
      </c>
      <c r="F178" s="12">
        <v>28541380</v>
      </c>
      <c r="G178" s="12">
        <v>30382755</v>
      </c>
      <c r="H178" s="12"/>
      <c r="I178" s="12">
        <v>133500000</v>
      </c>
    </row>
    <row r="179" spans="1:9" x14ac:dyDescent="0.2">
      <c r="A179" s="3" t="s">
        <v>513</v>
      </c>
      <c r="B179" t="s">
        <v>39</v>
      </c>
      <c r="C179" s="14">
        <v>4018363</v>
      </c>
      <c r="D179" s="12"/>
      <c r="E179" s="12"/>
      <c r="F179" s="12"/>
      <c r="G179" s="12"/>
      <c r="H179" s="12"/>
      <c r="I179" s="12">
        <v>4018363</v>
      </c>
    </row>
    <row r="180" spans="1:9" x14ac:dyDescent="0.2">
      <c r="A180" s="3" t="s">
        <v>454</v>
      </c>
      <c r="B180" t="s">
        <v>87</v>
      </c>
      <c r="C180" s="14">
        <v>7565217</v>
      </c>
      <c r="D180" s="12"/>
      <c r="E180" s="12"/>
      <c r="F180" s="12"/>
      <c r="G180" s="12"/>
      <c r="H180" s="12"/>
      <c r="I180" s="12">
        <v>7565217</v>
      </c>
    </row>
    <row r="181" spans="1:9" x14ac:dyDescent="0.2">
      <c r="A181" s="3" t="s">
        <v>270</v>
      </c>
      <c r="B181" t="s">
        <v>61</v>
      </c>
      <c r="C181" s="12">
        <v>3685800</v>
      </c>
      <c r="D181" s="14">
        <v>3861600</v>
      </c>
      <c r="E181" s="14">
        <v>5939141</v>
      </c>
      <c r="F181" s="12"/>
      <c r="G181" s="12"/>
      <c r="H181" s="12"/>
      <c r="I181" s="12">
        <v>7547400</v>
      </c>
    </row>
    <row r="182" spans="1:9" x14ac:dyDescent="0.2">
      <c r="A182" s="3" t="s">
        <v>218</v>
      </c>
      <c r="B182" t="s">
        <v>80</v>
      </c>
      <c r="C182" s="14">
        <v>3352680</v>
      </c>
      <c r="D182" s="14">
        <v>5163127</v>
      </c>
      <c r="E182" s="12"/>
      <c r="F182" s="12"/>
      <c r="G182" s="12"/>
      <c r="H182" s="12"/>
      <c r="I182" s="12">
        <v>3352680</v>
      </c>
    </row>
    <row r="183" spans="1:9" x14ac:dyDescent="0.2">
      <c r="A183" s="3" t="s">
        <v>118</v>
      </c>
      <c r="B183" t="s">
        <v>66</v>
      </c>
      <c r="C183" s="12">
        <v>19500000</v>
      </c>
      <c r="D183" s="12">
        <v>19500000</v>
      </c>
      <c r="E183" s="13">
        <v>19500000</v>
      </c>
      <c r="F183" s="12"/>
      <c r="G183" s="12"/>
      <c r="H183" s="12"/>
      <c r="I183" s="12">
        <v>39000000</v>
      </c>
    </row>
    <row r="184" spans="1:9" x14ac:dyDescent="0.2">
      <c r="A184" s="3" t="s">
        <v>43</v>
      </c>
      <c r="B184" t="s">
        <v>44</v>
      </c>
      <c r="C184" s="12">
        <v>24960001</v>
      </c>
      <c r="D184" s="12">
        <v>34944001</v>
      </c>
      <c r="E184" s="12">
        <v>37739521</v>
      </c>
      <c r="F184" s="12">
        <v>40535041</v>
      </c>
      <c r="G184" s="13">
        <v>43330561</v>
      </c>
      <c r="H184" s="12"/>
      <c r="I184" s="12">
        <v>138178564</v>
      </c>
    </row>
    <row r="185" spans="1:9" x14ac:dyDescent="0.2">
      <c r="A185" s="3" t="s">
        <v>226</v>
      </c>
      <c r="B185" t="s">
        <v>75</v>
      </c>
      <c r="C185" s="14">
        <v>4536840</v>
      </c>
      <c r="D185" s="14">
        <v>6483144</v>
      </c>
      <c r="E185" s="12"/>
      <c r="F185" s="12"/>
      <c r="G185" s="12"/>
      <c r="H185" s="12"/>
      <c r="I185" s="12">
        <v>11019984</v>
      </c>
    </row>
    <row r="186" spans="1:9" x14ac:dyDescent="0.2">
      <c r="A186" s="3" t="s">
        <v>86</v>
      </c>
      <c r="B186" t="s">
        <v>87</v>
      </c>
      <c r="C186" s="14">
        <v>12483048</v>
      </c>
      <c r="D186" s="12">
        <v>33333333</v>
      </c>
      <c r="E186" s="12">
        <v>36000000</v>
      </c>
      <c r="F186" s="13">
        <v>36000000</v>
      </c>
      <c r="G186" s="12"/>
      <c r="H186" s="12"/>
      <c r="I186" s="12">
        <v>81816381</v>
      </c>
    </row>
    <row r="187" spans="1:9" x14ac:dyDescent="0.2">
      <c r="A187" s="3" t="s">
        <v>526</v>
      </c>
      <c r="B187" t="s">
        <v>41</v>
      </c>
      <c r="C187" s="12">
        <v>3879840</v>
      </c>
      <c r="D187" s="14">
        <v>4064640</v>
      </c>
      <c r="E187" s="14">
        <v>6243288</v>
      </c>
      <c r="F187" s="12"/>
      <c r="G187" s="12"/>
      <c r="H187" s="12"/>
      <c r="I187" s="12">
        <v>3879840</v>
      </c>
    </row>
    <row r="188" spans="1:9" x14ac:dyDescent="0.2">
      <c r="A188" s="3" t="s">
        <v>89</v>
      </c>
      <c r="B188" t="s">
        <v>72</v>
      </c>
      <c r="C188" s="14">
        <v>4510905</v>
      </c>
      <c r="D188" s="12">
        <v>30000000</v>
      </c>
      <c r="E188" s="12">
        <v>30000000</v>
      </c>
      <c r="F188" s="12">
        <v>30000000</v>
      </c>
      <c r="G188" s="12">
        <v>30000000</v>
      </c>
      <c r="H188" s="12">
        <v>30000000</v>
      </c>
      <c r="I188" s="12">
        <v>154510905</v>
      </c>
    </row>
    <row r="189" spans="1:9" x14ac:dyDescent="0.2">
      <c r="A189" s="3" t="s">
        <v>655</v>
      </c>
      <c r="B189" t="s">
        <v>93</v>
      </c>
      <c r="C189" s="12">
        <v>4741800</v>
      </c>
      <c r="D189" s="12"/>
      <c r="E189" s="12"/>
      <c r="F189" s="12"/>
      <c r="G189" s="12"/>
      <c r="H189" s="12"/>
      <c r="I189" s="12">
        <v>4741800</v>
      </c>
    </row>
    <row r="190" spans="1:9" x14ac:dyDescent="0.2">
      <c r="A190" s="3" t="s">
        <v>519</v>
      </c>
      <c r="B190" t="s">
        <v>46</v>
      </c>
      <c r="C190" s="12">
        <v>1891857</v>
      </c>
      <c r="D190" s="12">
        <v>2221677</v>
      </c>
      <c r="E190" s="14">
        <v>2406205</v>
      </c>
      <c r="F190" s="12"/>
      <c r="G190" s="12"/>
      <c r="H190" s="12"/>
      <c r="I190" s="12">
        <v>4113534</v>
      </c>
    </row>
    <row r="191" spans="1:9" x14ac:dyDescent="0.2">
      <c r="A191" s="3" t="s">
        <v>254</v>
      </c>
      <c r="B191" t="s">
        <v>70</v>
      </c>
      <c r="C191" s="12">
        <v>8571429</v>
      </c>
      <c r="D191" s="12">
        <v>9000000</v>
      </c>
      <c r="E191" s="12">
        <v>9428571</v>
      </c>
      <c r="F191" s="12"/>
      <c r="G191" s="12"/>
      <c r="H191" s="12"/>
      <c r="I191" s="12">
        <v>27000000</v>
      </c>
    </row>
    <row r="192" spans="1:9" x14ac:dyDescent="0.2">
      <c r="A192" s="3" t="s">
        <v>104</v>
      </c>
      <c r="B192" t="s">
        <v>48</v>
      </c>
      <c r="C192" s="14">
        <v>9188385</v>
      </c>
      <c r="D192" s="12">
        <v>35000000</v>
      </c>
      <c r="E192" s="12">
        <v>32400000</v>
      </c>
      <c r="F192" s="12">
        <v>29600000</v>
      </c>
      <c r="G192" s="12">
        <v>26800000</v>
      </c>
      <c r="H192" s="14">
        <v>26700000</v>
      </c>
      <c r="I192" s="12">
        <v>132988385</v>
      </c>
    </row>
    <row r="193" spans="1:9" x14ac:dyDescent="0.2">
      <c r="A193" s="3" t="s">
        <v>73</v>
      </c>
      <c r="B193" t="s">
        <v>32</v>
      </c>
      <c r="C193" s="14">
        <v>4775760</v>
      </c>
      <c r="D193" s="14">
        <v>6580997</v>
      </c>
      <c r="E193" s="12"/>
      <c r="F193" s="12"/>
      <c r="G193" s="12"/>
      <c r="H193" s="12"/>
      <c r="I193" s="12">
        <v>11356757</v>
      </c>
    </row>
    <row r="194" spans="1:9" x14ac:dyDescent="0.2">
      <c r="A194" s="3" t="s">
        <v>230</v>
      </c>
      <c r="B194" t="s">
        <v>103</v>
      </c>
      <c r="C194" s="12">
        <v>1891857</v>
      </c>
      <c r="D194" s="14">
        <v>2221677</v>
      </c>
      <c r="E194" s="12"/>
      <c r="F194" s="12"/>
      <c r="G194" s="12"/>
      <c r="H194" s="12"/>
      <c r="I194" s="12"/>
    </row>
    <row r="195" spans="1:9" x14ac:dyDescent="0.2">
      <c r="A195" s="3" t="s">
        <v>154</v>
      </c>
      <c r="B195" t="s">
        <v>46</v>
      </c>
      <c r="C195" s="12">
        <v>36016200</v>
      </c>
      <c r="D195" s="12">
        <v>46394100</v>
      </c>
      <c r="E195" s="12">
        <v>50105628</v>
      </c>
      <c r="F195" s="12">
        <v>53817156</v>
      </c>
      <c r="G195" s="12">
        <v>57528684</v>
      </c>
      <c r="H195" s="12"/>
      <c r="I195" s="12">
        <v>243861768</v>
      </c>
    </row>
    <row r="196" spans="1:9" x14ac:dyDescent="0.2">
      <c r="A196" s="3" t="s">
        <v>327</v>
      </c>
      <c r="B196" t="s">
        <v>66</v>
      </c>
      <c r="C196" s="12">
        <v>1862265</v>
      </c>
      <c r="D196" s="12">
        <v>1955377</v>
      </c>
      <c r="E196" s="14">
        <v>2296271</v>
      </c>
      <c r="F196" s="12"/>
      <c r="G196" s="12"/>
      <c r="H196" s="12"/>
      <c r="I196" s="12">
        <v>3817642</v>
      </c>
    </row>
    <row r="197" spans="1:9" x14ac:dyDescent="0.2">
      <c r="A197" s="3" t="s">
        <v>76</v>
      </c>
      <c r="B197" t="s">
        <v>77</v>
      </c>
      <c r="C197" s="12">
        <v>33653846</v>
      </c>
      <c r="D197" s="13">
        <v>36346154</v>
      </c>
      <c r="E197" s="12"/>
      <c r="F197" s="12"/>
      <c r="G197" s="12"/>
      <c r="H197" s="12"/>
      <c r="I197" s="12">
        <v>33653846</v>
      </c>
    </row>
    <row r="198" spans="1:9" x14ac:dyDescent="0.2">
      <c r="A198" s="3" t="s">
        <v>528</v>
      </c>
      <c r="B198" t="s">
        <v>82</v>
      </c>
      <c r="C198" s="12">
        <v>2087519</v>
      </c>
      <c r="D198" s="12"/>
      <c r="E198" s="12"/>
      <c r="F198" s="12"/>
      <c r="G198" s="12"/>
      <c r="H198" s="12"/>
      <c r="I198" s="12"/>
    </row>
    <row r="199" spans="1:9" x14ac:dyDescent="0.2">
      <c r="A199" s="3" t="s">
        <v>515</v>
      </c>
      <c r="B199" t="s">
        <v>82</v>
      </c>
      <c r="C199" s="12">
        <v>2237691</v>
      </c>
      <c r="D199" s="14">
        <v>2546675</v>
      </c>
      <c r="E199" s="12"/>
      <c r="F199" s="12"/>
      <c r="G199" s="12"/>
      <c r="H199" s="12"/>
      <c r="I199" s="12">
        <v>2237691</v>
      </c>
    </row>
    <row r="200" spans="1:9" x14ac:dyDescent="0.2">
      <c r="A200" s="3" t="s">
        <v>294</v>
      </c>
      <c r="B200" t="s">
        <v>82</v>
      </c>
      <c r="C200" s="12">
        <v>6362520</v>
      </c>
      <c r="D200" s="14">
        <v>6665520</v>
      </c>
      <c r="E200" s="14">
        <v>8478542</v>
      </c>
      <c r="F200" s="12"/>
      <c r="G200" s="12"/>
      <c r="H200" s="12"/>
      <c r="I200" s="12">
        <v>13028040</v>
      </c>
    </row>
    <row r="201" spans="1:9" x14ac:dyDescent="0.2">
      <c r="A201" s="3" t="s">
        <v>133</v>
      </c>
      <c r="B201" t="s">
        <v>122</v>
      </c>
      <c r="C201" s="12">
        <v>4020360</v>
      </c>
      <c r="D201" s="12">
        <v>4221360</v>
      </c>
      <c r="E201" s="14">
        <v>4422600</v>
      </c>
      <c r="F201" s="14">
        <v>6784268</v>
      </c>
      <c r="G201" s="12"/>
      <c r="H201" s="12"/>
      <c r="I201" s="12">
        <v>8241720</v>
      </c>
    </row>
    <row r="202" spans="1:9" x14ac:dyDescent="0.2">
      <c r="A202" s="3" t="s">
        <v>79</v>
      </c>
      <c r="B202" t="s">
        <v>80</v>
      </c>
      <c r="C202" s="12">
        <v>25257798</v>
      </c>
      <c r="D202" s="12">
        <v>23413395</v>
      </c>
      <c r="E202" s="12"/>
      <c r="F202" s="12"/>
      <c r="G202" s="12"/>
      <c r="H202" s="12"/>
      <c r="I202" s="12">
        <v>48671193</v>
      </c>
    </row>
    <row r="203" spans="1:9" x14ac:dyDescent="0.2">
      <c r="A203" s="3" t="s">
        <v>651</v>
      </c>
      <c r="B203" t="s">
        <v>41</v>
      </c>
      <c r="C203" s="12">
        <v>10714286</v>
      </c>
      <c r="D203" s="12">
        <v>11571429</v>
      </c>
      <c r="E203" s="12">
        <v>12428571</v>
      </c>
      <c r="F203" s="13">
        <v>13285714</v>
      </c>
      <c r="G203" s="12"/>
      <c r="H203" s="12"/>
      <c r="I203" s="12">
        <v>34714286</v>
      </c>
    </row>
    <row r="204" spans="1:9" x14ac:dyDescent="0.2">
      <c r="A204" s="3" t="s">
        <v>143</v>
      </c>
      <c r="B204" t="s">
        <v>57</v>
      </c>
      <c r="C204" s="12">
        <v>20000000</v>
      </c>
      <c r="D204" s="12">
        <v>20000000</v>
      </c>
      <c r="E204" s="12">
        <v>28000000</v>
      </c>
      <c r="F204" s="12">
        <v>30240000</v>
      </c>
      <c r="G204" s="12">
        <v>32480000</v>
      </c>
      <c r="H204" s="12"/>
      <c r="I204" s="12">
        <v>130720000</v>
      </c>
    </row>
    <row r="205" spans="1:9" x14ac:dyDescent="0.2">
      <c r="A205" s="3" t="s">
        <v>665</v>
      </c>
      <c r="B205" t="s">
        <v>63</v>
      </c>
      <c r="C205" s="12">
        <v>2208856</v>
      </c>
      <c r="D205" s="12">
        <v>2208856</v>
      </c>
      <c r="E205" s="12">
        <v>2208856</v>
      </c>
      <c r="F205" s="12">
        <v>2208856</v>
      </c>
      <c r="G205" s="12"/>
      <c r="H205" s="12"/>
      <c r="I205" s="12">
        <v>8835424</v>
      </c>
    </row>
    <row r="206" spans="1:9" x14ac:dyDescent="0.2">
      <c r="A206" s="3" t="s">
        <v>681</v>
      </c>
      <c r="B206" t="s">
        <v>66</v>
      </c>
      <c r="C206" s="12">
        <v>100000</v>
      </c>
      <c r="D206" s="12"/>
      <c r="E206" s="12"/>
      <c r="F206" s="12"/>
      <c r="G206" s="12"/>
      <c r="H206" s="12"/>
      <c r="I206" s="12">
        <v>100000</v>
      </c>
    </row>
    <row r="207" spans="1:9" x14ac:dyDescent="0.2">
      <c r="A207" s="3" t="s">
        <v>279</v>
      </c>
      <c r="B207" t="s">
        <v>117</v>
      </c>
      <c r="C207" s="12">
        <v>2087519</v>
      </c>
      <c r="D207" s="12"/>
      <c r="E207" s="12"/>
      <c r="F207" s="12"/>
      <c r="G207" s="12"/>
      <c r="H207" s="12"/>
      <c r="I207" s="12">
        <v>2087519</v>
      </c>
    </row>
    <row r="208" spans="1:9" x14ac:dyDescent="0.2">
      <c r="A208" s="3" t="s">
        <v>375</v>
      </c>
      <c r="B208" t="s">
        <v>41</v>
      </c>
      <c r="C208" s="13">
        <v>2463946</v>
      </c>
      <c r="D208" s="12"/>
      <c r="E208" s="12"/>
      <c r="F208" s="12"/>
      <c r="G208" s="12"/>
      <c r="H208" s="12"/>
      <c r="I208" s="12">
        <v>2463946</v>
      </c>
    </row>
    <row r="209" spans="1:9" x14ac:dyDescent="0.2">
      <c r="A209" s="3" t="s">
        <v>203</v>
      </c>
      <c r="B209" t="s">
        <v>80</v>
      </c>
      <c r="C209" s="12">
        <v>2088033</v>
      </c>
      <c r="D209" s="12">
        <v>2349578</v>
      </c>
      <c r="E209" s="12">
        <v>2667944</v>
      </c>
      <c r="F209" s="12">
        <v>3005085</v>
      </c>
      <c r="G209" s="12"/>
      <c r="H209" s="12"/>
      <c r="I209" s="12">
        <v>4437611</v>
      </c>
    </row>
    <row r="210" spans="1:9" x14ac:dyDescent="0.2">
      <c r="A210" s="3" t="s">
        <v>84</v>
      </c>
      <c r="B210" t="s">
        <v>39</v>
      </c>
      <c r="C210" s="12">
        <v>49700000</v>
      </c>
      <c r="D210" s="12">
        <v>53676000</v>
      </c>
      <c r="E210" s="12">
        <v>57652000</v>
      </c>
      <c r="F210" s="12">
        <v>61628000</v>
      </c>
      <c r="G210" s="12">
        <v>65604000</v>
      </c>
      <c r="H210" s="12"/>
      <c r="I210" s="12">
        <v>288260000</v>
      </c>
    </row>
    <row r="211" spans="1:9" x14ac:dyDescent="0.2">
      <c r="A211" s="3" t="s">
        <v>379</v>
      </c>
      <c r="B211" t="s">
        <v>117</v>
      </c>
      <c r="C211" s="12">
        <v>278782</v>
      </c>
      <c r="D211" s="12"/>
      <c r="E211" s="12"/>
      <c r="F211" s="12"/>
      <c r="G211" s="12"/>
      <c r="H211" s="12"/>
      <c r="I211" s="12">
        <v>278782</v>
      </c>
    </row>
    <row r="212" spans="1:9" x14ac:dyDescent="0.2">
      <c r="A212" s="3" t="s">
        <v>168</v>
      </c>
      <c r="B212" t="s">
        <v>80</v>
      </c>
      <c r="C212" s="12">
        <v>1157153</v>
      </c>
      <c r="D212" s="12">
        <v>1955377</v>
      </c>
      <c r="E212" s="12">
        <v>2296271</v>
      </c>
      <c r="F212" s="14">
        <v>2486995</v>
      </c>
      <c r="G212" s="12"/>
      <c r="H212" s="12"/>
      <c r="I212" s="12">
        <v>3112530</v>
      </c>
    </row>
    <row r="213" spans="1:9" x14ac:dyDescent="0.2">
      <c r="A213" s="3" t="s">
        <v>668</v>
      </c>
      <c r="B213" t="s">
        <v>32</v>
      </c>
      <c r="C213" s="12">
        <v>2019699</v>
      </c>
      <c r="D213" s="12">
        <v>2187451</v>
      </c>
      <c r="E213" s="12"/>
      <c r="F213" s="12"/>
      <c r="G213" s="12"/>
      <c r="H213" s="12"/>
      <c r="I213" s="12"/>
    </row>
    <row r="214" spans="1:9" x14ac:dyDescent="0.2">
      <c r="A214" s="3" t="s">
        <v>443</v>
      </c>
      <c r="B214" t="s">
        <v>57</v>
      </c>
      <c r="C214" s="12">
        <v>3326160</v>
      </c>
      <c r="D214" s="12">
        <v>3492480</v>
      </c>
      <c r="E214" s="14">
        <v>3658560</v>
      </c>
      <c r="F214" s="14">
        <v>5641500</v>
      </c>
      <c r="G214" s="12"/>
      <c r="H214" s="12"/>
      <c r="I214" s="12">
        <v>6818640</v>
      </c>
    </row>
    <row r="215" spans="1:9" x14ac:dyDescent="0.2">
      <c r="A215" s="3" t="s">
        <v>38</v>
      </c>
      <c r="B215" t="s">
        <v>39</v>
      </c>
      <c r="C215" s="12">
        <v>34848340</v>
      </c>
      <c r="D215" s="12">
        <v>54126450</v>
      </c>
      <c r="E215" s="12">
        <v>58456566</v>
      </c>
      <c r="F215" s="12">
        <v>62786682</v>
      </c>
      <c r="G215" s="12">
        <v>67116798</v>
      </c>
      <c r="H215" s="13">
        <v>71446914</v>
      </c>
      <c r="I215" s="12">
        <v>277334836</v>
      </c>
    </row>
    <row r="216" spans="1:9" x14ac:dyDescent="0.2">
      <c r="A216" s="3" t="s">
        <v>480</v>
      </c>
      <c r="B216" t="s">
        <v>87</v>
      </c>
      <c r="C216" s="14">
        <v>8000000</v>
      </c>
      <c r="D216" s="12"/>
      <c r="E216" s="12"/>
      <c r="F216" s="12"/>
      <c r="G216" s="12"/>
      <c r="H216" s="12"/>
      <c r="I216" s="12">
        <v>8000000</v>
      </c>
    </row>
    <row r="217" spans="1:9" x14ac:dyDescent="0.2">
      <c r="A217" s="3" t="s">
        <v>139</v>
      </c>
      <c r="B217" t="s">
        <v>135</v>
      </c>
      <c r="C217" s="12">
        <v>29793104</v>
      </c>
      <c r="D217" s="12">
        <v>32000001</v>
      </c>
      <c r="E217" s="12">
        <v>34206898</v>
      </c>
      <c r="F217" s="13">
        <v>36413790</v>
      </c>
      <c r="G217" s="12"/>
      <c r="H217" s="12"/>
      <c r="I217" s="12">
        <v>96000003</v>
      </c>
    </row>
    <row r="218" spans="1:9" x14ac:dyDescent="0.2">
      <c r="A218" s="3" t="s">
        <v>250</v>
      </c>
      <c r="B218" t="s">
        <v>117</v>
      </c>
      <c r="C218" s="14">
        <v>2196970</v>
      </c>
      <c r="D218" s="12"/>
      <c r="E218" s="12"/>
      <c r="F218" s="12"/>
      <c r="G218" s="12"/>
      <c r="H218" s="12"/>
      <c r="I218" s="12">
        <v>2196970</v>
      </c>
    </row>
    <row r="219" spans="1:9" x14ac:dyDescent="0.2">
      <c r="A219" s="3" t="s">
        <v>271</v>
      </c>
      <c r="B219" t="s">
        <v>93</v>
      </c>
      <c r="C219" s="14">
        <v>5570040</v>
      </c>
      <c r="D219" s="14">
        <v>7096231</v>
      </c>
      <c r="E219" s="12"/>
      <c r="F219" s="12"/>
      <c r="G219" s="12"/>
      <c r="H219" s="12"/>
      <c r="I219" s="12">
        <v>12666271</v>
      </c>
    </row>
    <row r="220" spans="1:9" x14ac:dyDescent="0.2">
      <c r="A220" s="3" t="s">
        <v>418</v>
      </c>
      <c r="B220" t="s">
        <v>44</v>
      </c>
      <c r="C220" s="14">
        <v>2092344</v>
      </c>
      <c r="D220" s="12"/>
      <c r="E220" s="12"/>
      <c r="F220" s="12"/>
      <c r="G220" s="12"/>
      <c r="H220" s="12"/>
      <c r="I220" s="12">
        <v>2092344</v>
      </c>
    </row>
    <row r="221" spans="1:9" x14ac:dyDescent="0.2">
      <c r="A221" s="3" t="s">
        <v>333</v>
      </c>
      <c r="B221" t="s">
        <v>48</v>
      </c>
      <c r="C221" s="12">
        <v>5278320</v>
      </c>
      <c r="D221" s="14">
        <v>5529720</v>
      </c>
      <c r="E221" s="14">
        <v>7337939</v>
      </c>
      <c r="F221" s="12"/>
      <c r="G221" s="12"/>
      <c r="H221" s="12"/>
      <c r="I221" s="12">
        <v>10808040</v>
      </c>
    </row>
    <row r="222" spans="1:9" x14ac:dyDescent="0.2">
      <c r="A222" s="3" t="s">
        <v>475</v>
      </c>
      <c r="B222" t="s">
        <v>70</v>
      </c>
      <c r="C222" s="12">
        <v>6500000</v>
      </c>
      <c r="D222" s="13">
        <v>6809524</v>
      </c>
      <c r="E222" s="12"/>
      <c r="F222" s="12"/>
      <c r="G222" s="12"/>
      <c r="H222" s="12"/>
      <c r="I222" s="12">
        <v>6500000</v>
      </c>
    </row>
    <row r="223" spans="1:9" x14ac:dyDescent="0.2">
      <c r="A223" s="3" t="s">
        <v>144</v>
      </c>
      <c r="B223" t="s">
        <v>61</v>
      </c>
      <c r="C223" s="12">
        <v>48798677</v>
      </c>
      <c r="D223" s="13">
        <v>52413394</v>
      </c>
      <c r="E223" s="12"/>
      <c r="F223" s="12"/>
      <c r="G223" s="12"/>
      <c r="H223" s="12"/>
      <c r="I223" s="12">
        <v>48798677</v>
      </c>
    </row>
    <row r="224" spans="1:9" x14ac:dyDescent="0.2">
      <c r="A224" s="3" t="s">
        <v>397</v>
      </c>
      <c r="B224" t="s">
        <v>87</v>
      </c>
      <c r="C224" s="12">
        <v>8000000</v>
      </c>
      <c r="D224" s="12">
        <v>8000000</v>
      </c>
      <c r="E224" s="14">
        <v>8000000</v>
      </c>
      <c r="F224" s="12"/>
      <c r="G224" s="12"/>
      <c r="H224" s="12"/>
      <c r="I224" s="12">
        <v>16000000</v>
      </c>
    </row>
    <row r="225" spans="1:9" x14ac:dyDescent="0.2">
      <c r="A225" s="3" t="s">
        <v>558</v>
      </c>
      <c r="B225" t="s">
        <v>51</v>
      </c>
      <c r="C225" s="12">
        <v>2087519</v>
      </c>
      <c r="D225" s="12"/>
      <c r="E225" s="12"/>
      <c r="F225" s="12"/>
      <c r="G225" s="12"/>
      <c r="H225" s="12"/>
      <c r="I225" s="12">
        <v>2087519</v>
      </c>
    </row>
    <row r="226" spans="1:9" x14ac:dyDescent="0.2">
      <c r="A226" s="3" t="s">
        <v>324</v>
      </c>
      <c r="B226" t="s">
        <v>122</v>
      </c>
      <c r="C226" s="12">
        <v>51415938</v>
      </c>
      <c r="D226" s="12">
        <v>55224526</v>
      </c>
      <c r="E226" s="12">
        <v>57985752</v>
      </c>
      <c r="F226" s="12">
        <v>62624612</v>
      </c>
      <c r="G226" s="13">
        <v>67263472</v>
      </c>
      <c r="H226" s="12"/>
      <c r="I226" s="12">
        <v>227250828</v>
      </c>
    </row>
    <row r="227" spans="1:9" x14ac:dyDescent="0.2">
      <c r="A227" s="3" t="s">
        <v>119</v>
      </c>
      <c r="B227" t="s">
        <v>120</v>
      </c>
      <c r="C227" s="12">
        <v>26580000</v>
      </c>
      <c r="D227" s="13">
        <v>26580000</v>
      </c>
      <c r="E227" s="12"/>
      <c r="F227" s="12"/>
      <c r="G227" s="12"/>
      <c r="H227" s="12"/>
      <c r="I227" s="12">
        <v>26580000</v>
      </c>
    </row>
    <row r="228" spans="1:9" x14ac:dyDescent="0.2">
      <c r="A228" s="3" t="s">
        <v>435</v>
      </c>
      <c r="B228" t="s">
        <v>80</v>
      </c>
      <c r="C228" s="12">
        <v>6165000</v>
      </c>
      <c r="D228" s="12">
        <v>6165000</v>
      </c>
      <c r="E228" s="12">
        <v>6165000</v>
      </c>
      <c r="F228" s="12"/>
      <c r="G228" s="12"/>
      <c r="H228" s="12"/>
      <c r="I228" s="12">
        <v>18495000</v>
      </c>
    </row>
    <row r="229" spans="1:9" x14ac:dyDescent="0.2">
      <c r="A229" s="3" t="s">
        <v>399</v>
      </c>
      <c r="B229" t="s">
        <v>114</v>
      </c>
      <c r="C229" s="14">
        <v>5291160</v>
      </c>
      <c r="D229" s="14">
        <v>6746229</v>
      </c>
      <c r="E229" s="12"/>
      <c r="F229" s="12"/>
      <c r="G229" s="12"/>
      <c r="H229" s="12"/>
      <c r="I229" s="12">
        <v>5291160</v>
      </c>
    </row>
    <row r="230" spans="1:9" x14ac:dyDescent="0.2">
      <c r="A230" s="3" t="s">
        <v>403</v>
      </c>
      <c r="B230" t="s">
        <v>82</v>
      </c>
      <c r="C230" s="12">
        <v>1850842</v>
      </c>
      <c r="D230" s="12">
        <v>1955377</v>
      </c>
      <c r="E230" s="12">
        <v>2296271</v>
      </c>
      <c r="F230" s="14">
        <v>2486995</v>
      </c>
      <c r="G230" s="12"/>
      <c r="H230" s="12"/>
      <c r="I230" s="12">
        <v>6102490</v>
      </c>
    </row>
    <row r="231" spans="1:9" x14ac:dyDescent="0.2">
      <c r="A231" s="3" t="s">
        <v>305</v>
      </c>
      <c r="B231" t="s">
        <v>120</v>
      </c>
      <c r="C231" s="12">
        <v>3087519</v>
      </c>
      <c r="D231" s="12">
        <v>2840518</v>
      </c>
      <c r="E231" s="12">
        <v>2708000</v>
      </c>
      <c r="F231" s="12">
        <v>2789215</v>
      </c>
      <c r="G231" s="12"/>
      <c r="H231" s="12"/>
      <c r="I231" s="12">
        <v>3087519</v>
      </c>
    </row>
    <row r="232" spans="1:9" x14ac:dyDescent="0.2">
      <c r="A232" s="3" t="s">
        <v>175</v>
      </c>
      <c r="B232" t="s">
        <v>114</v>
      </c>
      <c r="C232" s="12">
        <v>9900000</v>
      </c>
      <c r="D232" s="12">
        <v>10395000</v>
      </c>
      <c r="E232" s="12">
        <v>10000000</v>
      </c>
      <c r="F232" s="12"/>
      <c r="G232" s="12"/>
      <c r="H232" s="12"/>
      <c r="I232" s="12">
        <v>20295000</v>
      </c>
    </row>
    <row r="233" spans="1:9" x14ac:dyDescent="0.2">
      <c r="A233" s="3" t="s">
        <v>299</v>
      </c>
      <c r="B233" t="s">
        <v>48</v>
      </c>
      <c r="C233" s="12">
        <v>25000000</v>
      </c>
      <c r="D233" s="12">
        <v>15000000</v>
      </c>
      <c r="E233" s="12">
        <v>14500000</v>
      </c>
      <c r="F233" s="12">
        <v>14500000</v>
      </c>
      <c r="G233" s="12">
        <v>15000000</v>
      </c>
      <c r="H233" s="12"/>
      <c r="I233" s="12">
        <v>69000000</v>
      </c>
    </row>
    <row r="234" spans="1:9" x14ac:dyDescent="0.2">
      <c r="A234" s="3" t="s">
        <v>141</v>
      </c>
      <c r="B234" t="s">
        <v>100</v>
      </c>
      <c r="C234" s="14">
        <v>7636307</v>
      </c>
      <c r="D234" s="12"/>
      <c r="E234" s="12"/>
      <c r="F234" s="12"/>
      <c r="G234" s="12"/>
      <c r="H234" s="12"/>
      <c r="I234" s="12">
        <v>7636307</v>
      </c>
    </row>
    <row r="235" spans="1:9" x14ac:dyDescent="0.2">
      <c r="A235" s="3" t="s">
        <v>287</v>
      </c>
      <c r="B235" t="s">
        <v>66</v>
      </c>
      <c r="C235" s="12">
        <v>1862265</v>
      </c>
      <c r="D235" s="12">
        <v>1955377</v>
      </c>
      <c r="E235" s="14">
        <v>2296271</v>
      </c>
      <c r="F235" s="12"/>
      <c r="G235" s="12"/>
      <c r="H235" s="12"/>
      <c r="I235" s="12">
        <v>3817642</v>
      </c>
    </row>
    <row r="236" spans="1:9" x14ac:dyDescent="0.2">
      <c r="A236" s="3" t="s">
        <v>236</v>
      </c>
      <c r="B236" t="s">
        <v>120</v>
      </c>
      <c r="C236" s="12">
        <v>14092577</v>
      </c>
      <c r="D236" s="12">
        <v>14285714</v>
      </c>
      <c r="E236" s="12"/>
      <c r="F236" s="12"/>
      <c r="G236" s="12"/>
      <c r="H236" s="12"/>
      <c r="I236" s="12">
        <v>28378291</v>
      </c>
    </row>
    <row r="237" spans="1:9" x14ac:dyDescent="0.2">
      <c r="A237" s="3" t="s">
        <v>289</v>
      </c>
      <c r="B237" t="s">
        <v>117</v>
      </c>
      <c r="C237" s="12">
        <v>4525680</v>
      </c>
      <c r="D237" s="14">
        <v>4741320</v>
      </c>
      <c r="E237" s="14">
        <v>7021895</v>
      </c>
      <c r="F237" s="12"/>
      <c r="G237" s="12"/>
      <c r="H237" s="12"/>
      <c r="I237" s="12">
        <v>9267000</v>
      </c>
    </row>
    <row r="238" spans="1:9" x14ac:dyDescent="0.2">
      <c r="A238" s="3" t="s">
        <v>412</v>
      </c>
      <c r="B238" t="s">
        <v>37</v>
      </c>
      <c r="C238" s="12">
        <v>2087519</v>
      </c>
      <c r="D238" s="12"/>
      <c r="E238" s="12"/>
      <c r="F238" s="12"/>
      <c r="G238" s="12"/>
      <c r="H238" s="12"/>
      <c r="I238" s="12">
        <v>2087519</v>
      </c>
    </row>
    <row r="239" spans="1:9" x14ac:dyDescent="0.2">
      <c r="A239" s="3" t="s">
        <v>113</v>
      </c>
      <c r="B239" t="s">
        <v>114</v>
      </c>
      <c r="C239" s="12">
        <v>29651786</v>
      </c>
      <c r="D239" s="12">
        <v>31848215</v>
      </c>
      <c r="E239" s="12">
        <v>34044642</v>
      </c>
      <c r="F239" s="12"/>
      <c r="G239" s="12"/>
      <c r="H239" s="12"/>
      <c r="I239" s="12">
        <v>95544643</v>
      </c>
    </row>
    <row r="240" spans="1:9" x14ac:dyDescent="0.2">
      <c r="A240" s="3" t="s">
        <v>457</v>
      </c>
      <c r="B240" t="s">
        <v>39</v>
      </c>
      <c r="C240" s="12">
        <v>1891857</v>
      </c>
      <c r="D240" s="12">
        <v>2221677</v>
      </c>
      <c r="E240" s="14">
        <v>2406205</v>
      </c>
      <c r="F240" s="12"/>
      <c r="G240" s="12"/>
      <c r="H240" s="12"/>
      <c r="I240" s="12">
        <v>2091857</v>
      </c>
    </row>
    <row r="241" spans="1:9" x14ac:dyDescent="0.2">
      <c r="A241" s="3" t="s">
        <v>317</v>
      </c>
      <c r="B241" t="s">
        <v>117</v>
      </c>
      <c r="C241" s="14">
        <v>1988598</v>
      </c>
      <c r="D241" s="12">
        <v>4500000</v>
      </c>
      <c r="E241" s="13">
        <v>4500000</v>
      </c>
      <c r="F241" s="12"/>
      <c r="G241" s="12"/>
      <c r="H241" s="12"/>
      <c r="I241" s="12">
        <v>6488598</v>
      </c>
    </row>
    <row r="242" spans="1:9" x14ac:dyDescent="0.2">
      <c r="A242" s="3" t="s">
        <v>161</v>
      </c>
      <c r="B242" t="s">
        <v>70</v>
      </c>
      <c r="C242" s="14">
        <v>8352367</v>
      </c>
      <c r="D242" s="12"/>
      <c r="E242" s="12"/>
      <c r="F242" s="12"/>
      <c r="G242" s="12"/>
      <c r="H242" s="12"/>
      <c r="I242" s="12">
        <v>8352367</v>
      </c>
    </row>
    <row r="243" spans="1:9" x14ac:dyDescent="0.2">
      <c r="A243" s="3" t="s">
        <v>264</v>
      </c>
      <c r="B243" t="s">
        <v>59</v>
      </c>
      <c r="C243" s="12">
        <v>12654321</v>
      </c>
      <c r="D243" s="12">
        <v>13666667</v>
      </c>
      <c r="E243" s="12">
        <v>14679012</v>
      </c>
      <c r="F243" s="12"/>
      <c r="G243" s="12"/>
      <c r="H243" s="12"/>
      <c r="I243" s="12">
        <v>41000000</v>
      </c>
    </row>
    <row r="244" spans="1:9" x14ac:dyDescent="0.2">
      <c r="A244" s="3" t="s">
        <v>128</v>
      </c>
      <c r="B244" t="s">
        <v>44</v>
      </c>
      <c r="C244" s="12">
        <v>18144000</v>
      </c>
      <c r="D244" s="12">
        <v>19472240</v>
      </c>
      <c r="E244" s="12">
        <v>20923760</v>
      </c>
      <c r="F244" s="14">
        <v>22375280</v>
      </c>
      <c r="G244" s="12"/>
      <c r="H244" s="12"/>
      <c r="I244" s="12">
        <v>58540000</v>
      </c>
    </row>
    <row r="245" spans="1:9" x14ac:dyDescent="0.2">
      <c r="A245" s="3" t="s">
        <v>446</v>
      </c>
      <c r="B245" t="s">
        <v>51</v>
      </c>
      <c r="C245" s="12">
        <v>2019699</v>
      </c>
      <c r="D245" s="14">
        <v>2187451</v>
      </c>
      <c r="E245" s="12"/>
      <c r="F245" s="12"/>
      <c r="G245" s="12"/>
      <c r="H245" s="12"/>
      <c r="I245" s="12"/>
    </row>
    <row r="246" spans="1:9" x14ac:dyDescent="0.2">
      <c r="A246" s="3" t="s">
        <v>342</v>
      </c>
      <c r="B246" t="s">
        <v>54</v>
      </c>
      <c r="C246" s="12">
        <v>8250000</v>
      </c>
      <c r="D246" s="12">
        <v>7750000</v>
      </c>
      <c r="E246" s="12"/>
      <c r="F246" s="12"/>
      <c r="G246" s="12"/>
      <c r="H246" s="12"/>
      <c r="I246" s="12">
        <v>8250000</v>
      </c>
    </row>
    <row r="247" spans="1:9" x14ac:dyDescent="0.2">
      <c r="A247" s="3" t="s">
        <v>437</v>
      </c>
      <c r="B247" t="s">
        <v>61</v>
      </c>
      <c r="C247" s="13">
        <v>3051153</v>
      </c>
      <c r="D247" s="12"/>
      <c r="E247" s="12"/>
      <c r="F247" s="12"/>
      <c r="G247" s="12"/>
      <c r="H247" s="12"/>
      <c r="I247" s="12">
        <v>3051153</v>
      </c>
    </row>
    <row r="248" spans="1:9" x14ac:dyDescent="0.2">
      <c r="A248" s="3" t="s">
        <v>674</v>
      </c>
      <c r="B248" t="s">
        <v>77</v>
      </c>
      <c r="C248" s="12">
        <v>1000000</v>
      </c>
      <c r="D248" s="12"/>
      <c r="E248" s="12"/>
      <c r="F248" s="12"/>
      <c r="G248" s="12"/>
      <c r="H248" s="12"/>
      <c r="I248" s="12">
        <v>1000000</v>
      </c>
    </row>
    <row r="249" spans="1:9" x14ac:dyDescent="0.2">
      <c r="A249" s="3" t="s">
        <v>176</v>
      </c>
      <c r="B249" t="s">
        <v>39</v>
      </c>
      <c r="C249" s="12">
        <v>30000000</v>
      </c>
      <c r="D249" s="12">
        <v>32400000</v>
      </c>
      <c r="E249" s="12">
        <v>34800000</v>
      </c>
      <c r="F249" s="13">
        <v>37200000</v>
      </c>
      <c r="G249" s="12"/>
      <c r="H249" s="12"/>
      <c r="I249" s="12">
        <v>97200000</v>
      </c>
    </row>
    <row r="250" spans="1:9" x14ac:dyDescent="0.2">
      <c r="A250" s="3" t="s">
        <v>153</v>
      </c>
      <c r="B250" t="s">
        <v>93</v>
      </c>
      <c r="C250" s="12">
        <v>3000000</v>
      </c>
      <c r="D250" s="12">
        <v>3000000</v>
      </c>
      <c r="E250" s="14">
        <v>3000000</v>
      </c>
      <c r="F250" s="12"/>
      <c r="G250" s="12"/>
      <c r="H250" s="12"/>
      <c r="I250" s="12"/>
    </row>
    <row r="251" spans="1:9" x14ac:dyDescent="0.2">
      <c r="A251" s="3" t="s">
        <v>328</v>
      </c>
      <c r="B251" t="s">
        <v>70</v>
      </c>
      <c r="C251" s="12">
        <v>1891857</v>
      </c>
      <c r="D251" s="12">
        <v>2221677</v>
      </c>
      <c r="E251" s="14">
        <v>2406205</v>
      </c>
      <c r="F251" s="12"/>
      <c r="G251" s="12"/>
      <c r="H251" s="12"/>
      <c r="I251" s="12">
        <v>4113534</v>
      </c>
    </row>
    <row r="252" spans="1:9" x14ac:dyDescent="0.2">
      <c r="A252" s="3" t="s">
        <v>233</v>
      </c>
      <c r="B252" t="s">
        <v>46</v>
      </c>
      <c r="C252" s="12">
        <v>2552520</v>
      </c>
      <c r="D252" s="14">
        <v>2674200</v>
      </c>
      <c r="E252" s="14">
        <v>4826931</v>
      </c>
      <c r="F252" s="12"/>
      <c r="G252" s="12"/>
      <c r="H252" s="12"/>
      <c r="I252" s="12">
        <v>5226720</v>
      </c>
    </row>
    <row r="253" spans="1:9" x14ac:dyDescent="0.2">
      <c r="A253" s="3" t="s">
        <v>91</v>
      </c>
      <c r="B253" t="s">
        <v>51</v>
      </c>
      <c r="C253" s="12">
        <v>33073920</v>
      </c>
      <c r="D253" s="13">
        <v>30935520</v>
      </c>
      <c r="E253" s="12"/>
      <c r="F253" s="12"/>
      <c r="G253" s="12"/>
      <c r="H253" s="12"/>
      <c r="I253" s="12">
        <v>33073920</v>
      </c>
    </row>
    <row r="254" spans="1:9" x14ac:dyDescent="0.2">
      <c r="A254" s="3" t="s">
        <v>293</v>
      </c>
      <c r="B254" t="s">
        <v>54</v>
      </c>
      <c r="C254" s="12">
        <v>18125000</v>
      </c>
      <c r="D254" s="12">
        <v>19375000</v>
      </c>
      <c r="E254" s="12"/>
      <c r="F254" s="12"/>
      <c r="G254" s="12"/>
      <c r="H254" s="12"/>
      <c r="I254" s="12">
        <v>37500000</v>
      </c>
    </row>
    <row r="255" spans="1:9" x14ac:dyDescent="0.2">
      <c r="A255" s="3" t="s">
        <v>676</v>
      </c>
      <c r="B255" t="s">
        <v>82</v>
      </c>
      <c r="C255" s="12">
        <v>576229</v>
      </c>
      <c r="D255" s="12"/>
      <c r="E255" s="12"/>
      <c r="F255" s="12"/>
      <c r="G255" s="12"/>
      <c r="H255" s="12"/>
      <c r="I255" s="12">
        <v>576229</v>
      </c>
    </row>
    <row r="256" spans="1:9" x14ac:dyDescent="0.2">
      <c r="A256" s="3" t="s">
        <v>55</v>
      </c>
      <c r="B256" t="s">
        <v>44</v>
      </c>
      <c r="C256" s="12">
        <v>49205800</v>
      </c>
      <c r="D256" s="12">
        <v>53142264</v>
      </c>
      <c r="E256" s="12">
        <v>57078728</v>
      </c>
      <c r="F256" s="13">
        <v>61015192</v>
      </c>
      <c r="G256" s="12"/>
      <c r="H256" s="12"/>
      <c r="I256" s="12">
        <v>159426792</v>
      </c>
    </row>
    <row r="257" spans="1:9" x14ac:dyDescent="0.2">
      <c r="A257" s="3" t="s">
        <v>530</v>
      </c>
      <c r="B257" t="s">
        <v>117</v>
      </c>
      <c r="C257" s="12">
        <v>1407153</v>
      </c>
      <c r="D257" s="12">
        <v>1955377</v>
      </c>
      <c r="E257" s="14">
        <v>2296271</v>
      </c>
      <c r="F257" s="12"/>
      <c r="G257" s="12"/>
      <c r="H257" s="12"/>
      <c r="I257" s="12">
        <v>3362530</v>
      </c>
    </row>
    <row r="258" spans="1:9" x14ac:dyDescent="0.2">
      <c r="A258" s="3" t="s">
        <v>644</v>
      </c>
      <c r="B258" t="s">
        <v>77</v>
      </c>
      <c r="C258" s="12">
        <v>49205800</v>
      </c>
      <c r="D258" s="12">
        <v>50000000</v>
      </c>
      <c r="E258" s="12">
        <v>50300000</v>
      </c>
      <c r="F258" s="12"/>
      <c r="G258" s="12"/>
      <c r="H258" s="12"/>
      <c r="I258" s="12">
        <v>149505800</v>
      </c>
    </row>
    <row r="259" spans="1:9" x14ac:dyDescent="0.2">
      <c r="A259" s="3" t="s">
        <v>147</v>
      </c>
      <c r="B259" t="s">
        <v>37</v>
      </c>
      <c r="C259" s="14">
        <v>8809560</v>
      </c>
      <c r="D259" s="14">
        <v>11144093</v>
      </c>
      <c r="E259" s="12"/>
      <c r="F259" s="12"/>
      <c r="G259" s="12"/>
      <c r="H259" s="12"/>
      <c r="I259" s="12">
        <v>19953653</v>
      </c>
    </row>
    <row r="260" spans="1:9" x14ac:dyDescent="0.2">
      <c r="A260" s="3" t="s">
        <v>663</v>
      </c>
      <c r="B260" t="s">
        <v>51</v>
      </c>
      <c r="C260" s="13">
        <v>2654644</v>
      </c>
      <c r="D260" s="12"/>
      <c r="E260" s="12"/>
      <c r="F260" s="12"/>
      <c r="G260" s="12"/>
      <c r="H260" s="12"/>
      <c r="I260" s="12">
        <v>2654644</v>
      </c>
    </row>
    <row r="261" spans="1:9" x14ac:dyDescent="0.2">
      <c r="A261" s="3" t="s">
        <v>455</v>
      </c>
      <c r="B261" t="s">
        <v>61</v>
      </c>
      <c r="C261" s="12">
        <v>4231800</v>
      </c>
      <c r="D261" s="12">
        <v>4443360</v>
      </c>
      <c r="E261" s="14">
        <v>4654920</v>
      </c>
      <c r="F261" s="14">
        <v>7135992</v>
      </c>
      <c r="G261" s="12"/>
      <c r="H261" s="12"/>
      <c r="I261" s="12">
        <v>8675160</v>
      </c>
    </row>
    <row r="262" spans="1:9" x14ac:dyDescent="0.2">
      <c r="A262" s="3" t="s">
        <v>164</v>
      </c>
      <c r="B262" t="s">
        <v>93</v>
      </c>
      <c r="C262" s="12">
        <v>19000000</v>
      </c>
      <c r="D262" s="12">
        <v>17500000</v>
      </c>
      <c r="E262" s="12">
        <v>17500000</v>
      </c>
      <c r="F262" s="12"/>
      <c r="G262" s="12"/>
      <c r="H262" s="12"/>
      <c r="I262" s="12">
        <v>54000000</v>
      </c>
    </row>
    <row r="263" spans="1:9" x14ac:dyDescent="0.2">
      <c r="A263" s="3" t="s">
        <v>472</v>
      </c>
      <c r="B263" t="s">
        <v>66</v>
      </c>
      <c r="C263" s="12">
        <v>12804878</v>
      </c>
      <c r="D263" s="12">
        <v>13445122</v>
      </c>
      <c r="E263" s="12"/>
      <c r="F263" s="12"/>
      <c r="G263" s="12"/>
      <c r="H263" s="12"/>
      <c r="I263" s="12">
        <v>26250000</v>
      </c>
    </row>
    <row r="264" spans="1:9" x14ac:dyDescent="0.2">
      <c r="A264" s="3" t="s">
        <v>170</v>
      </c>
      <c r="B264" t="s">
        <v>122</v>
      </c>
      <c r="C264" s="12">
        <v>7983000</v>
      </c>
      <c r="D264" s="13">
        <v>8382150</v>
      </c>
      <c r="E264" s="12"/>
      <c r="F264" s="12"/>
      <c r="G264" s="12"/>
      <c r="H264" s="12"/>
      <c r="I264" s="12">
        <v>7983000</v>
      </c>
    </row>
    <row r="265" spans="1:9" x14ac:dyDescent="0.2">
      <c r="A265" s="3" t="s">
        <v>667</v>
      </c>
      <c r="B265" t="s">
        <v>80</v>
      </c>
      <c r="C265" s="12">
        <v>2019699</v>
      </c>
      <c r="D265" s="12"/>
      <c r="E265" s="12"/>
      <c r="F265" s="12"/>
      <c r="G265" s="12"/>
      <c r="H265" s="12"/>
      <c r="I265" s="12">
        <v>2019699</v>
      </c>
    </row>
    <row r="266" spans="1:9" x14ac:dyDescent="0.2">
      <c r="A266" s="3" t="s">
        <v>364</v>
      </c>
      <c r="B266" t="s">
        <v>32</v>
      </c>
      <c r="C266" s="12">
        <v>6669000</v>
      </c>
      <c r="D266" s="12">
        <v>7163000</v>
      </c>
      <c r="E266" s="14">
        <v>7163000</v>
      </c>
      <c r="F266" s="12"/>
      <c r="G266" s="12"/>
      <c r="H266" s="12"/>
      <c r="I266" s="12">
        <v>13832000</v>
      </c>
    </row>
    <row r="267" spans="1:9" x14ac:dyDescent="0.2">
      <c r="A267" s="3" t="s">
        <v>219</v>
      </c>
      <c r="B267" t="s">
        <v>48</v>
      </c>
      <c r="C267" s="12">
        <v>22757000</v>
      </c>
      <c r="D267" s="12">
        <v>21621500</v>
      </c>
      <c r="E267" s="13">
        <v>21621500</v>
      </c>
      <c r="F267" s="12"/>
      <c r="G267" s="12"/>
      <c r="H267" s="12"/>
      <c r="I267" s="12">
        <v>44378500</v>
      </c>
    </row>
    <row r="268" spans="1:9" x14ac:dyDescent="0.2">
      <c r="A268" s="3" t="s">
        <v>277</v>
      </c>
      <c r="B268" t="s">
        <v>37</v>
      </c>
      <c r="C268" s="12">
        <v>2120693</v>
      </c>
      <c r="D268" s="14">
        <v>2301587</v>
      </c>
      <c r="E268" s="12"/>
      <c r="F268" s="12"/>
      <c r="G268" s="12"/>
      <c r="H268" s="12"/>
      <c r="I268" s="12"/>
    </row>
    <row r="269" spans="1:9" x14ac:dyDescent="0.2">
      <c r="A269" s="3" t="s">
        <v>309</v>
      </c>
      <c r="B269" t="s">
        <v>103</v>
      </c>
      <c r="C269" s="12">
        <v>2162606</v>
      </c>
      <c r="D269" s="12">
        <v>2349578</v>
      </c>
      <c r="E269" s="12"/>
      <c r="F269" s="12"/>
      <c r="G269" s="12"/>
      <c r="H269" s="12"/>
      <c r="I269" s="12"/>
    </row>
    <row r="270" spans="1:9" x14ac:dyDescent="0.2">
      <c r="A270" s="3" t="s">
        <v>140</v>
      </c>
      <c r="B270" t="s">
        <v>54</v>
      </c>
      <c r="C270" s="12">
        <v>51179021</v>
      </c>
      <c r="D270" s="12">
        <v>54708609</v>
      </c>
      <c r="E270" s="12"/>
      <c r="F270" s="12"/>
      <c r="G270" s="12"/>
      <c r="H270" s="12"/>
      <c r="I270" s="12">
        <v>105887630</v>
      </c>
    </row>
    <row r="271" spans="1:9" x14ac:dyDescent="0.2">
      <c r="A271" s="3" t="s">
        <v>208</v>
      </c>
      <c r="B271" t="s">
        <v>37</v>
      </c>
      <c r="C271" s="12">
        <v>16830357</v>
      </c>
      <c r="D271" s="12">
        <v>17991071</v>
      </c>
      <c r="E271" s="12"/>
      <c r="F271" s="12"/>
      <c r="G271" s="12"/>
      <c r="H271" s="12"/>
      <c r="I271" s="12">
        <v>34821428</v>
      </c>
    </row>
    <row r="272" spans="1:9" x14ac:dyDescent="0.2">
      <c r="A272" s="3" t="s">
        <v>358</v>
      </c>
      <c r="B272" t="s">
        <v>61</v>
      </c>
      <c r="C272" s="12">
        <v>3850000</v>
      </c>
      <c r="D272" s="12">
        <v>4150000</v>
      </c>
      <c r="E272" s="12"/>
      <c r="F272" s="12"/>
      <c r="G272" s="12"/>
      <c r="H272" s="12"/>
      <c r="I272" s="12">
        <v>8000000</v>
      </c>
    </row>
    <row r="273" spans="1:9" x14ac:dyDescent="0.2">
      <c r="A273" s="3" t="s">
        <v>227</v>
      </c>
      <c r="B273" t="s">
        <v>77</v>
      </c>
      <c r="C273" s="12">
        <v>3237691</v>
      </c>
      <c r="D273" s="13">
        <v>2546675</v>
      </c>
      <c r="E273" s="12"/>
      <c r="F273" s="12"/>
      <c r="G273" s="12"/>
      <c r="H273" s="12"/>
      <c r="I273" s="12">
        <v>2237691</v>
      </c>
    </row>
    <row r="274" spans="1:9" x14ac:dyDescent="0.2">
      <c r="A274" s="3" t="s">
        <v>227</v>
      </c>
      <c r="B274" t="s">
        <v>32</v>
      </c>
      <c r="C274" s="12">
        <v>3237691</v>
      </c>
      <c r="D274" s="13">
        <v>2546675</v>
      </c>
      <c r="E274" s="12"/>
      <c r="F274" s="12"/>
      <c r="G274" s="12"/>
      <c r="H274" s="12"/>
      <c r="I274" s="12">
        <v>1000000</v>
      </c>
    </row>
    <row r="275" spans="1:9" x14ac:dyDescent="0.2">
      <c r="A275" s="3" t="s">
        <v>315</v>
      </c>
      <c r="B275" t="s">
        <v>100</v>
      </c>
      <c r="C275" s="12">
        <v>8000000</v>
      </c>
      <c r="D275" s="12"/>
      <c r="E275" s="12"/>
      <c r="F275" s="12"/>
      <c r="G275" s="12"/>
      <c r="H275" s="12"/>
      <c r="I275" s="12">
        <v>8000000</v>
      </c>
    </row>
    <row r="276" spans="1:9" x14ac:dyDescent="0.2">
      <c r="A276" s="3" t="s">
        <v>130</v>
      </c>
      <c r="B276" t="s">
        <v>120</v>
      </c>
      <c r="C276" s="12">
        <v>4084200</v>
      </c>
      <c r="D276" s="14">
        <v>4278960</v>
      </c>
      <c r="E276" s="14">
        <v>6563925</v>
      </c>
      <c r="F276" s="12"/>
      <c r="G276" s="12"/>
      <c r="H276" s="12"/>
      <c r="I276" s="12">
        <v>8363160</v>
      </c>
    </row>
    <row r="277" spans="1:9" x14ac:dyDescent="0.2">
      <c r="A277" s="3" t="s">
        <v>459</v>
      </c>
      <c r="B277" t="s">
        <v>35</v>
      </c>
      <c r="C277" s="12">
        <v>31666667</v>
      </c>
      <c r="D277" s="13">
        <v>34012345</v>
      </c>
      <c r="E277" s="12"/>
      <c r="F277" s="12"/>
      <c r="G277" s="12"/>
      <c r="H277" s="12"/>
      <c r="I277" s="12">
        <v>31666667</v>
      </c>
    </row>
    <row r="278" spans="1:9" x14ac:dyDescent="0.2">
      <c r="A278" s="3" t="s">
        <v>306</v>
      </c>
      <c r="B278" t="s">
        <v>122</v>
      </c>
      <c r="C278" s="12">
        <v>7975000</v>
      </c>
      <c r="D278" s="12">
        <v>8025000</v>
      </c>
      <c r="E278" s="12"/>
      <c r="F278" s="12"/>
      <c r="G278" s="12"/>
      <c r="H278" s="12"/>
      <c r="I278" s="12">
        <v>7975000</v>
      </c>
    </row>
    <row r="279" spans="1:9" x14ac:dyDescent="0.2">
      <c r="A279" s="3" t="s">
        <v>173</v>
      </c>
      <c r="B279" t="s">
        <v>63</v>
      </c>
      <c r="C279" s="12">
        <v>15873016</v>
      </c>
      <c r="D279" s="12">
        <v>16666667</v>
      </c>
      <c r="E279" s="12">
        <v>17460317</v>
      </c>
      <c r="F279" s="12"/>
      <c r="G279" s="12"/>
      <c r="H279" s="12"/>
      <c r="I279" s="12">
        <v>50000000</v>
      </c>
    </row>
    <row r="280" spans="1:9" x14ac:dyDescent="0.2">
      <c r="A280" s="3" t="s">
        <v>464</v>
      </c>
      <c r="B280" t="s">
        <v>77</v>
      </c>
      <c r="C280" s="12">
        <v>2533920</v>
      </c>
      <c r="D280" s="14">
        <v>2654880</v>
      </c>
      <c r="E280" s="14">
        <v>4792059</v>
      </c>
      <c r="F280" s="12"/>
      <c r="G280" s="12"/>
      <c r="H280" s="12"/>
      <c r="I280" s="12">
        <v>5188800</v>
      </c>
    </row>
    <row r="281" spans="1:9" x14ac:dyDescent="0.2">
      <c r="A281" s="3" t="s">
        <v>401</v>
      </c>
      <c r="B281" t="s">
        <v>72</v>
      </c>
      <c r="C281" s="12">
        <v>4299000</v>
      </c>
      <c r="D281" s="14">
        <v>4503720</v>
      </c>
      <c r="E281" s="14">
        <v>6904203</v>
      </c>
      <c r="F281" s="12"/>
      <c r="G281" s="12"/>
      <c r="H281" s="12"/>
      <c r="I281" s="12">
        <v>8802720</v>
      </c>
    </row>
    <row r="282" spans="1:9" x14ac:dyDescent="0.2">
      <c r="A282" s="3" t="s">
        <v>266</v>
      </c>
      <c r="B282" t="s">
        <v>77</v>
      </c>
      <c r="C282" s="12">
        <v>5168000</v>
      </c>
      <c r="D282" s="12">
        <v>5426400</v>
      </c>
      <c r="E282" s="12">
        <v>5684800</v>
      </c>
      <c r="F282" s="12"/>
      <c r="G282" s="12"/>
      <c r="H282" s="12"/>
      <c r="I282" s="12">
        <v>10594400</v>
      </c>
    </row>
    <row r="283" spans="1:9" x14ac:dyDescent="0.2">
      <c r="A283" s="3" t="s">
        <v>345</v>
      </c>
      <c r="B283" t="s">
        <v>135</v>
      </c>
      <c r="C283" s="12">
        <v>2990040</v>
      </c>
      <c r="D283" s="14">
        <v>3132000</v>
      </c>
      <c r="E283" s="14">
        <v>5315004</v>
      </c>
      <c r="F283" s="12"/>
      <c r="G283" s="12"/>
      <c r="H283" s="12"/>
      <c r="I283" s="12">
        <v>6122040</v>
      </c>
    </row>
    <row r="284" spans="1:9" x14ac:dyDescent="0.2">
      <c r="A284" s="3" t="s">
        <v>313</v>
      </c>
      <c r="B284" t="s">
        <v>39</v>
      </c>
      <c r="C284" s="12">
        <v>29268293</v>
      </c>
      <c r="D284" s="12">
        <v>30731707</v>
      </c>
      <c r="E284" s="12"/>
      <c r="F284" s="12"/>
      <c r="G284" s="12"/>
      <c r="H284" s="12"/>
      <c r="I284" s="12">
        <v>60000000</v>
      </c>
    </row>
    <row r="285" spans="1:9" x14ac:dyDescent="0.2">
      <c r="A285" s="3" t="s">
        <v>322</v>
      </c>
      <c r="B285" t="s">
        <v>100</v>
      </c>
      <c r="C285" s="12">
        <v>8780488</v>
      </c>
      <c r="D285" s="12">
        <v>9219512</v>
      </c>
      <c r="E285" s="12">
        <v>9658536</v>
      </c>
      <c r="F285" s="12"/>
      <c r="G285" s="12"/>
      <c r="H285" s="12"/>
      <c r="I285" s="12">
        <v>18000000</v>
      </c>
    </row>
    <row r="286" spans="1:9" x14ac:dyDescent="0.2">
      <c r="A286" s="3" t="s">
        <v>331</v>
      </c>
      <c r="B286" t="s">
        <v>120</v>
      </c>
      <c r="C286" s="12">
        <v>3000000</v>
      </c>
      <c r="D286" s="12">
        <v>3000000</v>
      </c>
      <c r="E286" s="12">
        <v>3000000</v>
      </c>
      <c r="F286" s="14">
        <v>3000000</v>
      </c>
      <c r="G286" s="12"/>
      <c r="H286" s="12"/>
      <c r="I286" s="12">
        <v>6000000</v>
      </c>
    </row>
    <row r="287" spans="1:9" x14ac:dyDescent="0.2">
      <c r="A287" s="3" t="s">
        <v>241</v>
      </c>
      <c r="B287" t="s">
        <v>114</v>
      </c>
      <c r="C287" s="12">
        <v>23522727</v>
      </c>
      <c r="D287" s="12">
        <v>21477272</v>
      </c>
      <c r="E287" s="12">
        <v>19431819</v>
      </c>
      <c r="F287" s="12"/>
      <c r="G287" s="12"/>
      <c r="H287" s="12"/>
      <c r="I287" s="12">
        <v>64431818</v>
      </c>
    </row>
    <row r="288" spans="1:9" x14ac:dyDescent="0.2">
      <c r="A288" s="3" t="s">
        <v>362</v>
      </c>
      <c r="B288" t="s">
        <v>122</v>
      </c>
      <c r="C288" s="12">
        <v>2087519</v>
      </c>
      <c r="D288" s="12"/>
      <c r="E288" s="12"/>
      <c r="F288" s="12"/>
      <c r="G288" s="12"/>
      <c r="H288" s="12"/>
      <c r="I288" s="12">
        <v>2087519</v>
      </c>
    </row>
    <row r="289" spans="1:9" x14ac:dyDescent="0.2">
      <c r="A289" s="3" t="s">
        <v>62</v>
      </c>
      <c r="B289" t="s">
        <v>63</v>
      </c>
      <c r="C289" s="12">
        <v>41000000</v>
      </c>
      <c r="D289" s="13">
        <v>43962963</v>
      </c>
      <c r="E289" s="12"/>
      <c r="F289" s="12"/>
      <c r="G289" s="12"/>
      <c r="H289" s="12"/>
      <c r="I289" s="12">
        <v>41000000</v>
      </c>
    </row>
    <row r="290" spans="1:9" x14ac:dyDescent="0.2">
      <c r="A290" s="3" t="s">
        <v>292</v>
      </c>
      <c r="B290" t="s">
        <v>114</v>
      </c>
      <c r="C290" s="12">
        <v>2825520</v>
      </c>
      <c r="D290" s="12">
        <v>2966760</v>
      </c>
      <c r="E290" s="14">
        <v>3108000</v>
      </c>
      <c r="F290" s="14">
        <v>5435892</v>
      </c>
      <c r="G290" s="12"/>
      <c r="H290" s="12"/>
      <c r="I290" s="12">
        <v>5792280</v>
      </c>
    </row>
    <row r="291" spans="1:9" x14ac:dyDescent="0.2">
      <c r="A291" s="3" t="s">
        <v>58</v>
      </c>
      <c r="B291" t="s">
        <v>59</v>
      </c>
      <c r="C291" s="12">
        <v>35147000</v>
      </c>
      <c r="D291" s="12">
        <v>37958760</v>
      </c>
      <c r="E291" s="12">
        <v>40770520</v>
      </c>
      <c r="F291" s="12">
        <v>43582280</v>
      </c>
      <c r="G291" s="12">
        <v>46394040</v>
      </c>
      <c r="H291" s="12"/>
      <c r="I291" s="12">
        <v>203852600</v>
      </c>
    </row>
    <row r="292" spans="1:9" x14ac:dyDescent="0.2">
      <c r="A292" s="3" t="s">
        <v>357</v>
      </c>
      <c r="B292" t="s">
        <v>72</v>
      </c>
      <c r="C292" s="12">
        <v>11205000</v>
      </c>
      <c r="D292" s="12"/>
      <c r="E292" s="12"/>
      <c r="F292" s="12"/>
      <c r="G292" s="12"/>
      <c r="H292" s="12"/>
      <c r="I292" s="12">
        <v>11205000</v>
      </c>
    </row>
    <row r="293" spans="1:9" x14ac:dyDescent="0.2">
      <c r="A293" s="3" t="s">
        <v>142</v>
      </c>
      <c r="B293" t="s">
        <v>120</v>
      </c>
      <c r="C293" s="12">
        <v>42176400</v>
      </c>
      <c r="D293" s="12">
        <v>46394100</v>
      </c>
      <c r="E293" s="12">
        <v>46113154</v>
      </c>
      <c r="F293" s="12">
        <v>49824681</v>
      </c>
      <c r="G293" s="12">
        <v>53536209</v>
      </c>
      <c r="H293" s="12"/>
      <c r="I293" s="12">
        <v>238044544</v>
      </c>
    </row>
    <row r="294" spans="1:9" x14ac:dyDescent="0.2">
      <c r="A294" s="3" t="s">
        <v>68</v>
      </c>
      <c r="B294" t="s">
        <v>41</v>
      </c>
      <c r="C294" s="12">
        <v>48728845</v>
      </c>
      <c r="D294" s="13">
        <v>52627153</v>
      </c>
      <c r="E294" s="12"/>
      <c r="F294" s="12"/>
      <c r="G294" s="12"/>
      <c r="H294" s="12"/>
      <c r="I294" s="12">
        <v>48728845</v>
      </c>
    </row>
    <row r="295" spans="1:9" x14ac:dyDescent="0.2">
      <c r="A295" s="3" t="s">
        <v>670</v>
      </c>
      <c r="B295" t="s">
        <v>51</v>
      </c>
      <c r="C295" s="12">
        <v>1891857</v>
      </c>
      <c r="D295" s="12">
        <v>2221677</v>
      </c>
      <c r="E295" s="14">
        <v>2406205</v>
      </c>
      <c r="F295" s="12"/>
      <c r="G295" s="12"/>
      <c r="H295" s="12"/>
      <c r="I295" s="12">
        <v>1891857</v>
      </c>
    </row>
    <row r="296" spans="1:9" x14ac:dyDescent="0.2">
      <c r="A296" s="3" t="s">
        <v>319</v>
      </c>
      <c r="B296" t="s">
        <v>100</v>
      </c>
      <c r="C296" s="14">
        <v>2196970</v>
      </c>
      <c r="D296" s="12"/>
      <c r="E296" s="12"/>
      <c r="F296" s="12"/>
      <c r="G296" s="12"/>
      <c r="H296" s="12"/>
      <c r="I296" s="12">
        <v>2196970</v>
      </c>
    </row>
    <row r="297" spans="1:9" x14ac:dyDescent="0.2">
      <c r="A297" s="3" t="s">
        <v>421</v>
      </c>
      <c r="B297" t="s">
        <v>70</v>
      </c>
      <c r="C297" s="13">
        <v>21395348</v>
      </c>
      <c r="D297" s="12"/>
      <c r="E297" s="12"/>
      <c r="F297" s="12"/>
      <c r="G297" s="12"/>
      <c r="H297" s="12"/>
      <c r="I297" s="12">
        <v>21395348</v>
      </c>
    </row>
    <row r="298" spans="1:9" x14ac:dyDescent="0.2">
      <c r="A298" s="3" t="s">
        <v>204</v>
      </c>
      <c r="B298" t="s">
        <v>32</v>
      </c>
      <c r="C298" s="12">
        <v>16500000</v>
      </c>
      <c r="D298" s="12">
        <v>17722222</v>
      </c>
      <c r="E298" s="14">
        <v>17722222</v>
      </c>
      <c r="F298" s="12"/>
      <c r="G298" s="12"/>
      <c r="H298" s="12"/>
      <c r="I298" s="12">
        <v>34222222</v>
      </c>
    </row>
    <row r="299" spans="1:9" x14ac:dyDescent="0.2">
      <c r="A299" s="3" t="s">
        <v>67</v>
      </c>
      <c r="B299" t="s">
        <v>63</v>
      </c>
      <c r="C299" s="12">
        <v>43031940</v>
      </c>
      <c r="D299" s="12">
        <v>45999660</v>
      </c>
      <c r="E299" s="13">
        <v>48967380</v>
      </c>
      <c r="F299" s="12"/>
      <c r="G299" s="12"/>
      <c r="H299" s="12"/>
      <c r="I299" s="12">
        <v>89031600</v>
      </c>
    </row>
    <row r="300" spans="1:9" x14ac:dyDescent="0.2">
      <c r="A300" s="3" t="s">
        <v>448</v>
      </c>
      <c r="B300" t="s">
        <v>51</v>
      </c>
      <c r="C300" s="12">
        <v>2162606</v>
      </c>
      <c r="D300" s="14">
        <v>2349578</v>
      </c>
      <c r="E300" s="12"/>
      <c r="F300" s="12"/>
      <c r="G300" s="12"/>
      <c r="H300" s="12"/>
      <c r="I300" s="12">
        <v>2162606</v>
      </c>
    </row>
    <row r="301" spans="1:9" x14ac:dyDescent="0.2">
      <c r="A301" s="3" t="s">
        <v>346</v>
      </c>
      <c r="B301" t="s">
        <v>80</v>
      </c>
      <c r="C301" s="12">
        <v>9250000</v>
      </c>
      <c r="D301" s="12"/>
      <c r="E301" s="12"/>
      <c r="F301" s="12"/>
      <c r="G301" s="12"/>
      <c r="H301" s="12"/>
      <c r="I301" s="12">
        <v>9250000</v>
      </c>
    </row>
    <row r="302" spans="1:9" x14ac:dyDescent="0.2">
      <c r="A302" s="3" t="s">
        <v>350</v>
      </c>
      <c r="B302" t="s">
        <v>39</v>
      </c>
      <c r="C302" s="12">
        <v>2087519</v>
      </c>
      <c r="D302" s="12"/>
      <c r="E302" s="12"/>
      <c r="F302" s="12"/>
      <c r="G302" s="12"/>
      <c r="H302" s="12"/>
      <c r="I302" s="12">
        <v>2087519</v>
      </c>
    </row>
    <row r="303" spans="1:9" x14ac:dyDescent="0.2">
      <c r="A303" s="3" t="s">
        <v>314</v>
      </c>
      <c r="B303" t="s">
        <v>93</v>
      </c>
      <c r="C303" s="14">
        <v>3217920</v>
      </c>
      <c r="D303" s="14">
        <v>4962033</v>
      </c>
      <c r="E303" s="12"/>
      <c r="F303" s="12"/>
      <c r="G303" s="12"/>
      <c r="H303" s="12"/>
      <c r="I303" s="12">
        <v>8179953</v>
      </c>
    </row>
    <row r="304" spans="1:9" x14ac:dyDescent="0.2">
      <c r="A304" s="3" t="s">
        <v>310</v>
      </c>
      <c r="B304" t="s">
        <v>114</v>
      </c>
      <c r="C304" s="12">
        <v>22500000</v>
      </c>
      <c r="D304" s="12"/>
      <c r="E304" s="12"/>
      <c r="F304" s="12"/>
      <c r="G304" s="12"/>
      <c r="H304" s="12"/>
      <c r="I304" s="12">
        <v>22500000</v>
      </c>
    </row>
    <row r="305" spans="1:9" x14ac:dyDescent="0.2">
      <c r="A305" s="3" t="s">
        <v>547</v>
      </c>
      <c r="B305" t="s">
        <v>32</v>
      </c>
      <c r="C305" s="12">
        <v>1097300</v>
      </c>
      <c r="D305" s="12"/>
      <c r="E305" s="12"/>
      <c r="F305" s="12"/>
      <c r="G305" s="12"/>
      <c r="H305" s="12"/>
      <c r="I305" s="12">
        <v>1097300</v>
      </c>
    </row>
    <row r="306" spans="1:9" x14ac:dyDescent="0.2">
      <c r="A306" s="3" t="s">
        <v>115</v>
      </c>
      <c r="B306" t="s">
        <v>75</v>
      </c>
      <c r="C306" s="12">
        <v>6000000</v>
      </c>
      <c r="D306" s="12"/>
      <c r="E306" s="12"/>
      <c r="F306" s="12"/>
      <c r="G306" s="12"/>
      <c r="H306" s="12"/>
      <c r="I306" s="12">
        <v>6000000</v>
      </c>
    </row>
    <row r="307" spans="1:9" x14ac:dyDescent="0.2">
      <c r="A307" s="3" t="s">
        <v>677</v>
      </c>
      <c r="B307" t="s">
        <v>82</v>
      </c>
      <c r="C307" s="12">
        <v>555216</v>
      </c>
      <c r="D307" s="12"/>
      <c r="E307" s="12"/>
      <c r="F307" s="12"/>
      <c r="G307" s="12"/>
      <c r="H307" s="12"/>
      <c r="I307" s="12">
        <v>555216</v>
      </c>
    </row>
    <row r="308" spans="1:9" x14ac:dyDescent="0.2">
      <c r="A308" s="3" t="s">
        <v>156</v>
      </c>
      <c r="B308" t="s">
        <v>37</v>
      </c>
      <c r="C308" s="12">
        <v>17405203</v>
      </c>
      <c r="D308" s="12">
        <v>18797619</v>
      </c>
      <c r="E308" s="12">
        <v>20190035</v>
      </c>
      <c r="F308" s="13">
        <v>21582451</v>
      </c>
      <c r="G308" s="12"/>
      <c r="H308" s="12"/>
      <c r="I308" s="12">
        <v>56392857</v>
      </c>
    </row>
    <row r="309" spans="1:9" x14ac:dyDescent="0.2">
      <c r="A309" s="3" t="s">
        <v>678</v>
      </c>
      <c r="B309" t="s">
        <v>80</v>
      </c>
      <c r="C309" s="12">
        <v>464050</v>
      </c>
      <c r="D309" s="12">
        <v>464050</v>
      </c>
      <c r="E309" s="12">
        <v>464050</v>
      </c>
      <c r="F309" s="12"/>
      <c r="G309" s="12"/>
      <c r="H309" s="12"/>
      <c r="I309" s="12">
        <v>1392150</v>
      </c>
    </row>
    <row r="310" spans="1:9" x14ac:dyDescent="0.2">
      <c r="A310" s="3" t="s">
        <v>326</v>
      </c>
      <c r="B310" t="s">
        <v>75</v>
      </c>
      <c r="C310" s="12">
        <v>2755080</v>
      </c>
      <c r="D310" s="14">
        <v>2886720</v>
      </c>
      <c r="E310" s="14">
        <v>5198983</v>
      </c>
      <c r="F310" s="12"/>
      <c r="G310" s="12"/>
      <c r="H310" s="12"/>
      <c r="I310" s="12">
        <v>5641800</v>
      </c>
    </row>
    <row r="311" spans="1:9" x14ac:dyDescent="0.2">
      <c r="A311" s="3" t="s">
        <v>291</v>
      </c>
      <c r="B311" t="s">
        <v>80</v>
      </c>
      <c r="C311" s="12">
        <v>20210284</v>
      </c>
      <c r="D311" s="12">
        <v>21586855</v>
      </c>
      <c r="E311" s="12"/>
      <c r="F311" s="12"/>
      <c r="G311" s="12"/>
      <c r="H311" s="12"/>
      <c r="I311" s="12">
        <v>41797139</v>
      </c>
    </row>
    <row r="312" spans="1:9" x14ac:dyDescent="0.2">
      <c r="A312" s="3" t="s">
        <v>474</v>
      </c>
      <c r="B312" t="s">
        <v>35</v>
      </c>
      <c r="C312" s="14">
        <v>2733720</v>
      </c>
      <c r="D312" s="14">
        <v>4781276</v>
      </c>
      <c r="E312" s="12"/>
      <c r="F312" s="12"/>
      <c r="G312" s="12"/>
      <c r="H312" s="12"/>
      <c r="I312" s="12">
        <v>2733720</v>
      </c>
    </row>
    <row r="313" spans="1:9" x14ac:dyDescent="0.2">
      <c r="A313" s="3" t="s">
        <v>460</v>
      </c>
      <c r="B313" t="s">
        <v>59</v>
      </c>
      <c r="C313" s="14">
        <v>4094280</v>
      </c>
      <c r="D313" s="14">
        <v>6276531</v>
      </c>
      <c r="E313" s="12"/>
      <c r="F313" s="12"/>
      <c r="G313" s="12"/>
      <c r="H313" s="12"/>
      <c r="I313" s="12">
        <v>10370811</v>
      </c>
    </row>
    <row r="314" spans="1:9" x14ac:dyDescent="0.2">
      <c r="A314" s="3" t="s">
        <v>518</v>
      </c>
      <c r="B314" t="s">
        <v>63</v>
      </c>
      <c r="C314" s="12">
        <v>2087519</v>
      </c>
      <c r="D314" s="12"/>
      <c r="E314" s="12"/>
      <c r="F314" s="12"/>
      <c r="G314" s="12"/>
      <c r="H314" s="12"/>
      <c r="I314" s="12">
        <v>2087519</v>
      </c>
    </row>
    <row r="315" spans="1:9" x14ac:dyDescent="0.2">
      <c r="A315" s="3" t="s">
        <v>366</v>
      </c>
      <c r="B315" t="s">
        <v>114</v>
      </c>
      <c r="C315" s="12">
        <v>12500000</v>
      </c>
      <c r="D315" s="12"/>
      <c r="E315" s="12"/>
      <c r="F315" s="12"/>
      <c r="G315" s="12"/>
      <c r="H315" s="12"/>
      <c r="I315" s="12">
        <v>12500000</v>
      </c>
    </row>
    <row r="316" spans="1:9" x14ac:dyDescent="0.2">
      <c r="A316" s="3" t="s">
        <v>335</v>
      </c>
      <c r="B316" t="s">
        <v>54</v>
      </c>
      <c r="C316" s="12">
        <v>2087519</v>
      </c>
      <c r="D316" s="12"/>
      <c r="E316" s="12"/>
      <c r="F316" s="12"/>
      <c r="G316" s="12"/>
      <c r="H316" s="12"/>
      <c r="I316" s="12">
        <v>2087519</v>
      </c>
    </row>
    <row r="317" spans="1:9" x14ac:dyDescent="0.2">
      <c r="A317" s="3" t="s">
        <v>304</v>
      </c>
      <c r="B317" t="s">
        <v>70</v>
      </c>
      <c r="C317" s="12">
        <v>5195520</v>
      </c>
      <c r="D317" s="12">
        <v>5455560</v>
      </c>
      <c r="E317" s="14">
        <v>5715360</v>
      </c>
      <c r="F317" s="14">
        <v>7584283</v>
      </c>
      <c r="G317" s="12"/>
      <c r="H317" s="12"/>
      <c r="I317" s="12">
        <v>10651080</v>
      </c>
    </row>
    <row r="318" spans="1:9" x14ac:dyDescent="0.2">
      <c r="A318" s="3" t="s">
        <v>650</v>
      </c>
      <c r="B318" t="s">
        <v>135</v>
      </c>
      <c r="C318" s="12">
        <v>11025000</v>
      </c>
      <c r="D318" s="13">
        <v>11550000</v>
      </c>
      <c r="E318" s="12"/>
      <c r="F318" s="12"/>
      <c r="G318" s="12"/>
      <c r="H318" s="12"/>
      <c r="I318" s="12">
        <v>11025000</v>
      </c>
    </row>
    <row r="319" spans="1:9" x14ac:dyDescent="0.2">
      <c r="A319" s="3" t="s">
        <v>302</v>
      </c>
      <c r="B319" t="s">
        <v>41</v>
      </c>
      <c r="C319" s="12">
        <v>7142857</v>
      </c>
      <c r="D319" s="12">
        <v>7714286</v>
      </c>
      <c r="E319" s="12">
        <v>8285714</v>
      </c>
      <c r="F319" s="13">
        <v>8857143</v>
      </c>
      <c r="G319" s="12"/>
      <c r="H319" s="12"/>
      <c r="I319" s="12">
        <v>23142857</v>
      </c>
    </row>
    <row r="320" spans="1:9" x14ac:dyDescent="0.2">
      <c r="A320" s="3" t="s">
        <v>647</v>
      </c>
      <c r="B320" t="s">
        <v>57</v>
      </c>
      <c r="C320" s="12">
        <v>15212068</v>
      </c>
      <c r="D320" s="12">
        <v>15936452</v>
      </c>
      <c r="E320" s="12">
        <v>16660836</v>
      </c>
      <c r="F320" s="12"/>
      <c r="G320" s="12"/>
      <c r="H320" s="12"/>
      <c r="I320" s="12">
        <v>47809356</v>
      </c>
    </row>
    <row r="321" spans="1:9" x14ac:dyDescent="0.2">
      <c r="A321" s="3" t="s">
        <v>453</v>
      </c>
      <c r="B321" t="s">
        <v>63</v>
      </c>
      <c r="C321" s="12">
        <v>11000000</v>
      </c>
      <c r="D321" s="12">
        <v>11000000</v>
      </c>
      <c r="E321" s="12"/>
      <c r="F321" s="12"/>
      <c r="G321" s="12"/>
      <c r="H321" s="12"/>
      <c r="I321" s="12">
        <v>22000000</v>
      </c>
    </row>
    <row r="322" spans="1:9" x14ac:dyDescent="0.2">
      <c r="A322" s="3" t="s">
        <v>529</v>
      </c>
      <c r="B322" t="s">
        <v>41</v>
      </c>
      <c r="C322" s="12">
        <v>1891857</v>
      </c>
      <c r="D322" s="12">
        <v>2221677</v>
      </c>
      <c r="E322" s="14">
        <v>2406205</v>
      </c>
      <c r="F322" s="12"/>
      <c r="G322" s="12"/>
      <c r="H322" s="12"/>
      <c r="I322" s="12">
        <v>1891857</v>
      </c>
    </row>
    <row r="323" spans="1:9" x14ac:dyDescent="0.2">
      <c r="A323" s="3" t="s">
        <v>109</v>
      </c>
      <c r="B323" t="s">
        <v>46</v>
      </c>
      <c r="C323" s="12">
        <v>35859950</v>
      </c>
      <c r="D323" s="12">
        <v>38333050</v>
      </c>
      <c r="E323" s="12">
        <v>40806150</v>
      </c>
      <c r="F323" s="12"/>
      <c r="G323" s="12"/>
      <c r="H323" s="12"/>
      <c r="I323" s="12">
        <v>86193000</v>
      </c>
    </row>
    <row r="324" spans="1:9" x14ac:dyDescent="0.2">
      <c r="A324" s="3" t="s">
        <v>105</v>
      </c>
      <c r="B324" t="s">
        <v>44</v>
      </c>
      <c r="C324" s="12">
        <v>23300000</v>
      </c>
      <c r="D324" s="12">
        <v>24900000</v>
      </c>
      <c r="E324" s="12"/>
      <c r="F324" s="12"/>
      <c r="G324" s="12"/>
      <c r="H324" s="12"/>
      <c r="I324" s="12">
        <v>48200000</v>
      </c>
    </row>
    <row r="325" spans="1:9" x14ac:dyDescent="0.2">
      <c r="A325" s="3" t="s">
        <v>258</v>
      </c>
      <c r="B325" t="s">
        <v>51</v>
      </c>
      <c r="C325" s="12">
        <v>9975962</v>
      </c>
      <c r="D325" s="12">
        <v>10774038</v>
      </c>
      <c r="E325" s="12"/>
      <c r="F325" s="12"/>
      <c r="G325" s="12"/>
      <c r="H325" s="12"/>
      <c r="I325" s="12">
        <v>20750000</v>
      </c>
    </row>
    <row r="326" spans="1:9" x14ac:dyDescent="0.2">
      <c r="A326" s="3" t="s">
        <v>252</v>
      </c>
      <c r="B326" t="s">
        <v>59</v>
      </c>
      <c r="C326" s="12">
        <v>27173913</v>
      </c>
      <c r="D326" s="12">
        <v>25000000</v>
      </c>
      <c r="E326" s="12">
        <v>22826087</v>
      </c>
      <c r="F326" s="12"/>
      <c r="G326" s="12"/>
      <c r="H326" s="12"/>
      <c r="I326" s="12">
        <v>75000000</v>
      </c>
    </row>
    <row r="327" spans="1:9" x14ac:dyDescent="0.2">
      <c r="A327" s="3" t="s">
        <v>220</v>
      </c>
      <c r="B327" t="s">
        <v>44</v>
      </c>
      <c r="C327" s="12">
        <v>4710144</v>
      </c>
      <c r="D327" s="12">
        <v>4333333</v>
      </c>
      <c r="E327" s="12">
        <v>3956523</v>
      </c>
      <c r="F327" s="12"/>
      <c r="G327" s="12"/>
      <c r="H327" s="12"/>
      <c r="I327" s="12">
        <v>13000000</v>
      </c>
    </row>
    <row r="328" spans="1:9" x14ac:dyDescent="0.2">
      <c r="A328" s="3" t="s">
        <v>648</v>
      </c>
      <c r="B328" t="s">
        <v>44</v>
      </c>
      <c r="C328" s="12">
        <v>14318182</v>
      </c>
      <c r="D328" s="12">
        <v>12954546</v>
      </c>
      <c r="E328" s="12"/>
      <c r="F328" s="12"/>
      <c r="G328" s="12"/>
      <c r="H328" s="12"/>
      <c r="I328" s="12">
        <v>27272728</v>
      </c>
    </row>
    <row r="329" spans="1:9" x14ac:dyDescent="0.2">
      <c r="A329" s="3" t="s">
        <v>405</v>
      </c>
      <c r="B329" t="s">
        <v>77</v>
      </c>
      <c r="C329" s="12">
        <v>2087519</v>
      </c>
      <c r="D329" s="12"/>
      <c r="E329" s="12"/>
      <c r="F329" s="12"/>
      <c r="G329" s="12"/>
      <c r="H329" s="12"/>
      <c r="I329" s="12">
        <v>2087519</v>
      </c>
    </row>
    <row r="330" spans="1:9" x14ac:dyDescent="0.2">
      <c r="A330" s="3" t="s">
        <v>341</v>
      </c>
      <c r="B330" t="s">
        <v>54</v>
      </c>
      <c r="C330" s="12">
        <v>2087519</v>
      </c>
      <c r="D330" s="12"/>
      <c r="E330" s="12"/>
      <c r="F330" s="12"/>
      <c r="G330" s="12"/>
      <c r="H330" s="12"/>
      <c r="I330" s="12">
        <v>2087519</v>
      </c>
    </row>
    <row r="331" spans="1:9" x14ac:dyDescent="0.2">
      <c r="A331" s="3" t="s">
        <v>136</v>
      </c>
      <c r="B331" t="s">
        <v>48</v>
      </c>
      <c r="C331" s="12">
        <v>11000000</v>
      </c>
      <c r="D331" s="14">
        <v>11000000</v>
      </c>
      <c r="E331" s="12"/>
      <c r="F331" s="12"/>
      <c r="G331" s="12"/>
      <c r="H331" s="12"/>
      <c r="I331" s="12">
        <v>11000000</v>
      </c>
    </row>
    <row r="332" spans="1:9" x14ac:dyDescent="0.2">
      <c r="A332" s="3" t="s">
        <v>444</v>
      </c>
      <c r="B332" t="s">
        <v>82</v>
      </c>
      <c r="C332" s="12">
        <v>306660</v>
      </c>
      <c r="D332" s="12"/>
      <c r="E332" s="12"/>
      <c r="F332" s="12"/>
      <c r="G332" s="12"/>
      <c r="H332" s="12"/>
      <c r="I332" s="12">
        <v>306660</v>
      </c>
    </row>
    <row r="333" spans="1:9" x14ac:dyDescent="0.2">
      <c r="A333" s="3" t="s">
        <v>260</v>
      </c>
      <c r="B333" t="s">
        <v>100</v>
      </c>
      <c r="C333" s="14">
        <v>5803269</v>
      </c>
      <c r="D333" s="12">
        <v>11574075</v>
      </c>
      <c r="E333" s="12">
        <v>12500000</v>
      </c>
      <c r="F333" s="12">
        <v>13425925</v>
      </c>
      <c r="G333" s="12"/>
      <c r="H333" s="12"/>
      <c r="I333" s="12">
        <v>43303269</v>
      </c>
    </row>
    <row r="334" spans="1:9" x14ac:dyDescent="0.2">
      <c r="A334" s="3" t="s">
        <v>545</v>
      </c>
      <c r="B334" t="s">
        <v>72</v>
      </c>
      <c r="C334" s="12">
        <v>1891857</v>
      </c>
      <c r="D334" s="12">
        <v>2221677</v>
      </c>
      <c r="E334" s="14">
        <v>2406205</v>
      </c>
      <c r="F334" s="12"/>
      <c r="G334" s="12"/>
      <c r="H334" s="12"/>
      <c r="I334" s="12">
        <v>1891857</v>
      </c>
    </row>
    <row r="335" spans="1:9" x14ac:dyDescent="0.2">
      <c r="A335" s="3" t="s">
        <v>129</v>
      </c>
      <c r="B335" t="s">
        <v>82</v>
      </c>
      <c r="C335" s="12">
        <v>19928500</v>
      </c>
      <c r="D335" s="12"/>
      <c r="E335" s="12"/>
      <c r="F335" s="12"/>
      <c r="G335" s="12"/>
      <c r="H335" s="12"/>
      <c r="I335" s="12">
        <v>19928500</v>
      </c>
    </row>
    <row r="336" spans="1:9" x14ac:dyDescent="0.2">
      <c r="A336" s="3" t="s">
        <v>189</v>
      </c>
      <c r="B336" t="s">
        <v>63</v>
      </c>
      <c r="C336" s="12">
        <v>8571429</v>
      </c>
      <c r="D336" s="12">
        <v>9000000</v>
      </c>
      <c r="E336" s="12">
        <v>9428571</v>
      </c>
      <c r="F336" s="12"/>
      <c r="G336" s="12"/>
      <c r="H336" s="12"/>
      <c r="I336" s="12">
        <v>27000000</v>
      </c>
    </row>
    <row r="337" spans="1:9" x14ac:dyDescent="0.2">
      <c r="A337" s="3" t="s">
        <v>659</v>
      </c>
      <c r="B337" t="s">
        <v>54</v>
      </c>
      <c r="C337" s="12">
        <v>3107143</v>
      </c>
      <c r="D337" s="12">
        <v>3107143</v>
      </c>
      <c r="E337" s="12">
        <v>3107143</v>
      </c>
      <c r="F337" s="12">
        <v>3107143</v>
      </c>
      <c r="G337" s="12">
        <v>3107143</v>
      </c>
      <c r="H337" s="12"/>
      <c r="I337" s="12">
        <v>15535715</v>
      </c>
    </row>
    <row r="338" spans="1:9" x14ac:dyDescent="0.2">
      <c r="A338" s="3" t="s">
        <v>162</v>
      </c>
      <c r="B338" t="s">
        <v>51</v>
      </c>
      <c r="C338" s="12">
        <v>13986432</v>
      </c>
      <c r="D338" s="13">
        <v>15022464</v>
      </c>
      <c r="E338" s="12"/>
      <c r="F338" s="12"/>
      <c r="G338" s="12"/>
      <c r="H338" s="12"/>
      <c r="I338" s="12">
        <v>13986432</v>
      </c>
    </row>
    <row r="339" spans="1:9" x14ac:dyDescent="0.2">
      <c r="A339" s="3" t="s">
        <v>311</v>
      </c>
      <c r="B339" t="s">
        <v>39</v>
      </c>
      <c r="C339" s="12">
        <v>2162606</v>
      </c>
      <c r="D339" s="12">
        <v>2349578</v>
      </c>
      <c r="E339" s="14">
        <v>2667944</v>
      </c>
      <c r="F339" s="12"/>
      <c r="G339" s="12"/>
      <c r="H339" s="12"/>
      <c r="I339" s="12">
        <v>2162606</v>
      </c>
    </row>
    <row r="340" spans="1:9" x14ac:dyDescent="0.2">
      <c r="A340" s="3" t="s">
        <v>253</v>
      </c>
      <c r="B340" t="s">
        <v>103</v>
      </c>
      <c r="C340" s="12">
        <v>27556817</v>
      </c>
      <c r="D340" s="12">
        <v>25352272</v>
      </c>
      <c r="E340" s="12">
        <v>23147727</v>
      </c>
      <c r="F340" s="12">
        <v>20943184</v>
      </c>
      <c r="G340" s="12"/>
      <c r="H340" s="12"/>
      <c r="I340" s="12">
        <v>97000000</v>
      </c>
    </row>
    <row r="341" spans="1:9" x14ac:dyDescent="0.2">
      <c r="A341" s="3" t="s">
        <v>334</v>
      </c>
      <c r="B341" t="s">
        <v>59</v>
      </c>
      <c r="C341" s="12">
        <v>5000000</v>
      </c>
      <c r="D341" s="12">
        <v>5000000</v>
      </c>
      <c r="E341" s="12"/>
      <c r="F341" s="12"/>
      <c r="G341" s="12"/>
      <c r="H341" s="12"/>
      <c r="I341" s="12">
        <v>5000000</v>
      </c>
    </row>
    <row r="342" spans="1:9" x14ac:dyDescent="0.2">
      <c r="A342" s="3" t="s">
        <v>420</v>
      </c>
      <c r="B342" t="s">
        <v>59</v>
      </c>
      <c r="C342" s="12">
        <v>2587200</v>
      </c>
      <c r="D342" s="14">
        <v>2710680</v>
      </c>
      <c r="E342" s="14">
        <v>4890067</v>
      </c>
      <c r="F342" s="12"/>
      <c r="G342" s="12"/>
      <c r="H342" s="12"/>
      <c r="I342" s="12">
        <v>5297880</v>
      </c>
    </row>
    <row r="343" spans="1:9" x14ac:dyDescent="0.2">
      <c r="A343" s="3" t="s">
        <v>213</v>
      </c>
      <c r="B343" t="s">
        <v>51</v>
      </c>
      <c r="C343" s="12">
        <v>4312500</v>
      </c>
      <c r="D343" s="12"/>
      <c r="E343" s="12"/>
      <c r="F343" s="12"/>
      <c r="G343" s="12"/>
      <c r="H343" s="12"/>
      <c r="I343" s="12">
        <v>4312500</v>
      </c>
    </row>
    <row r="344" spans="1:9" x14ac:dyDescent="0.2">
      <c r="A344" s="3" t="s">
        <v>355</v>
      </c>
      <c r="B344" t="s">
        <v>77</v>
      </c>
      <c r="C344" s="12">
        <v>4668000</v>
      </c>
      <c r="D344" s="13">
        <v>4901400</v>
      </c>
      <c r="E344" s="12"/>
      <c r="F344" s="12"/>
      <c r="G344" s="12"/>
      <c r="H344" s="12"/>
      <c r="I344" s="12">
        <v>4668000</v>
      </c>
    </row>
    <row r="345" spans="1:9" x14ac:dyDescent="0.2">
      <c r="A345" s="3" t="s">
        <v>675</v>
      </c>
      <c r="B345" t="s">
        <v>82</v>
      </c>
      <c r="C345" s="12">
        <v>702310</v>
      </c>
      <c r="D345" s="12"/>
      <c r="E345" s="12"/>
      <c r="F345" s="12"/>
      <c r="G345" s="12"/>
      <c r="H345" s="12"/>
      <c r="I345" s="12">
        <v>702310</v>
      </c>
    </row>
    <row r="346" spans="1:9" x14ac:dyDescent="0.2">
      <c r="A346" s="3" t="s">
        <v>45</v>
      </c>
      <c r="B346" t="s">
        <v>46</v>
      </c>
      <c r="C346" s="12">
        <v>51415938</v>
      </c>
      <c r="D346" s="12">
        <v>55224526</v>
      </c>
      <c r="E346" s="12">
        <v>59033114</v>
      </c>
      <c r="F346" s="13">
        <v>62841702</v>
      </c>
      <c r="G346" s="12"/>
      <c r="H346" s="12"/>
      <c r="I346" s="12">
        <v>165673578</v>
      </c>
    </row>
    <row r="347" spans="1:9" x14ac:dyDescent="0.2">
      <c r="A347" s="3" t="s">
        <v>312</v>
      </c>
      <c r="B347" t="s">
        <v>61</v>
      </c>
      <c r="C347" s="14">
        <v>2464200</v>
      </c>
      <c r="D347" s="14">
        <v>4445417</v>
      </c>
      <c r="E347" s="12"/>
      <c r="F347" s="12"/>
      <c r="G347" s="12"/>
      <c r="H347" s="12"/>
      <c r="I347" s="12">
        <v>6909617</v>
      </c>
    </row>
    <row r="348" spans="1:9" x14ac:dyDescent="0.2">
      <c r="A348" s="3" t="s">
        <v>654</v>
      </c>
      <c r="B348" t="s">
        <v>32</v>
      </c>
      <c r="C348" s="12">
        <v>4935960</v>
      </c>
      <c r="D348" s="12">
        <v>5182920</v>
      </c>
      <c r="E348" s="14">
        <v>5429760</v>
      </c>
      <c r="F348" s="14">
        <v>7482210</v>
      </c>
      <c r="G348" s="12"/>
      <c r="H348" s="12"/>
      <c r="I348" s="12">
        <v>10118880</v>
      </c>
    </row>
    <row r="349" spans="1:9" x14ac:dyDescent="0.2">
      <c r="A349" s="3" t="s">
        <v>69</v>
      </c>
      <c r="B349" t="s">
        <v>70</v>
      </c>
      <c r="C349" s="12">
        <v>20000000</v>
      </c>
      <c r="D349" s="12">
        <v>21481481</v>
      </c>
      <c r="E349" s="12"/>
      <c r="F349" s="12"/>
      <c r="G349" s="12"/>
      <c r="H349" s="12"/>
      <c r="I349" s="12">
        <v>41481481</v>
      </c>
    </row>
    <row r="350" spans="1:9" x14ac:dyDescent="0.2">
      <c r="A350" s="3" t="s">
        <v>320</v>
      </c>
      <c r="B350" t="s">
        <v>103</v>
      </c>
      <c r="C350" s="12">
        <v>3244080</v>
      </c>
      <c r="D350" s="14">
        <v>3398640</v>
      </c>
      <c r="E350" s="14">
        <v>5414034</v>
      </c>
      <c r="F350" s="12"/>
      <c r="G350" s="12"/>
      <c r="H350" s="12"/>
      <c r="I350" s="12">
        <v>6642720</v>
      </c>
    </row>
    <row r="351" spans="1:9" x14ac:dyDescent="0.2">
      <c r="A351" s="3" t="s">
        <v>106</v>
      </c>
      <c r="B351" t="s">
        <v>77</v>
      </c>
      <c r="C351" s="12">
        <v>19241379</v>
      </c>
      <c r="D351" s="12">
        <v>20482758</v>
      </c>
      <c r="E351" s="12"/>
      <c r="F351" s="12"/>
      <c r="G351" s="12"/>
      <c r="H351" s="12"/>
      <c r="I351" s="12">
        <v>39724137</v>
      </c>
    </row>
    <row r="352" spans="1:9" x14ac:dyDescent="0.2">
      <c r="A352" s="3" t="s">
        <v>200</v>
      </c>
      <c r="B352" t="s">
        <v>82</v>
      </c>
      <c r="C352" s="12">
        <v>12975000</v>
      </c>
      <c r="D352" s="12">
        <v>14000000</v>
      </c>
      <c r="E352" s="12">
        <v>15000000</v>
      </c>
      <c r="F352" s="12">
        <v>16025000</v>
      </c>
      <c r="G352" s="12"/>
      <c r="H352" s="12"/>
      <c r="I352" s="12">
        <v>58000000</v>
      </c>
    </row>
    <row r="353" spans="1:9" x14ac:dyDescent="0.2">
      <c r="A353" s="3" t="s">
        <v>159</v>
      </c>
      <c r="B353" t="s">
        <v>66</v>
      </c>
      <c r="C353" s="14">
        <v>4310280</v>
      </c>
      <c r="D353" s="14">
        <v>6383525</v>
      </c>
      <c r="E353" s="12"/>
      <c r="F353" s="12"/>
      <c r="G353" s="12"/>
      <c r="H353" s="12"/>
      <c r="I353" s="12">
        <v>10693805</v>
      </c>
    </row>
    <row r="354" spans="1:9" x14ac:dyDescent="0.2">
      <c r="A354" s="3" t="s">
        <v>98</v>
      </c>
      <c r="B354" t="s">
        <v>44</v>
      </c>
      <c r="C354" s="12">
        <v>36637932</v>
      </c>
      <c r="D354" s="12">
        <v>39568966</v>
      </c>
      <c r="E354" s="12">
        <v>42500000</v>
      </c>
      <c r="F354" s="12">
        <v>45431034</v>
      </c>
      <c r="G354" s="13">
        <v>48362068</v>
      </c>
      <c r="H354" s="12"/>
      <c r="I354" s="12">
        <v>164137932</v>
      </c>
    </row>
    <row r="355" spans="1:9" x14ac:dyDescent="0.2">
      <c r="A355" s="3" t="s">
        <v>442</v>
      </c>
      <c r="B355" t="s">
        <v>63</v>
      </c>
      <c r="C355" s="12">
        <v>2870400</v>
      </c>
      <c r="D355" s="14">
        <v>3007080</v>
      </c>
      <c r="E355" s="14">
        <v>5259383</v>
      </c>
      <c r="F355" s="12"/>
      <c r="G355" s="12"/>
      <c r="H355" s="12"/>
      <c r="I355" s="12">
        <v>5877480</v>
      </c>
    </row>
    <row r="356" spans="1:9" x14ac:dyDescent="0.2">
      <c r="A356" s="3" t="s">
        <v>179</v>
      </c>
      <c r="B356" t="s">
        <v>72</v>
      </c>
      <c r="C356" s="12">
        <v>14000000</v>
      </c>
      <c r="D356" s="12">
        <v>15000000</v>
      </c>
      <c r="E356" s="12">
        <v>16120000</v>
      </c>
      <c r="F356" s="12">
        <v>16880000</v>
      </c>
      <c r="G356" s="12"/>
      <c r="H356" s="12"/>
      <c r="I356" s="12">
        <v>62000000</v>
      </c>
    </row>
    <row r="357" spans="1:9" x14ac:dyDescent="0.2">
      <c r="A357" s="3" t="s">
        <v>491</v>
      </c>
      <c r="B357" t="s">
        <v>37</v>
      </c>
      <c r="C357" s="12">
        <v>2087519</v>
      </c>
      <c r="D357" s="12"/>
      <c r="E357" s="12"/>
      <c r="F357" s="12"/>
      <c r="G357" s="12"/>
      <c r="H357" s="12"/>
      <c r="I357" s="12"/>
    </row>
    <row r="358" spans="1:9" x14ac:dyDescent="0.2">
      <c r="A358" s="3" t="s">
        <v>365</v>
      </c>
      <c r="B358" t="s">
        <v>54</v>
      </c>
      <c r="C358" s="12">
        <v>1157153</v>
      </c>
      <c r="D358" s="12">
        <v>1955377</v>
      </c>
      <c r="E358" s="12">
        <v>2296271</v>
      </c>
      <c r="F358" s="14">
        <v>2486995</v>
      </c>
      <c r="G358" s="12"/>
      <c r="H358" s="12"/>
      <c r="I358" s="12">
        <v>3112530</v>
      </c>
    </row>
    <row r="359" spans="1:9" x14ac:dyDescent="0.2">
      <c r="A359" s="3" t="s">
        <v>395</v>
      </c>
      <c r="B359" t="s">
        <v>32</v>
      </c>
      <c r="C359" s="14">
        <v>5027040</v>
      </c>
      <c r="D359" s="14">
        <v>6670882</v>
      </c>
      <c r="E359" s="12"/>
      <c r="F359" s="12"/>
      <c r="G359" s="12"/>
      <c r="H359" s="12"/>
      <c r="I359" s="12">
        <v>11697922</v>
      </c>
    </row>
    <row r="360" spans="1:9" x14ac:dyDescent="0.2">
      <c r="A360" s="3" t="s">
        <v>649</v>
      </c>
      <c r="B360" t="s">
        <v>77</v>
      </c>
      <c r="C360" s="13">
        <v>11539000</v>
      </c>
      <c r="D360" s="12"/>
      <c r="E360" s="12"/>
      <c r="F360" s="12"/>
      <c r="G360" s="12"/>
      <c r="H360" s="12"/>
      <c r="I360" s="12">
        <v>11539000</v>
      </c>
    </row>
    <row r="361" spans="1:9" x14ac:dyDescent="0.2">
      <c r="A361" s="3" t="s">
        <v>201</v>
      </c>
      <c r="B361" t="s">
        <v>63</v>
      </c>
      <c r="C361" s="12">
        <v>15500000</v>
      </c>
      <c r="D361" s="12">
        <v>14152174</v>
      </c>
      <c r="E361" s="12"/>
      <c r="F361" s="12"/>
      <c r="G361" s="12"/>
      <c r="H361" s="12"/>
      <c r="I361" s="12">
        <v>29652174</v>
      </c>
    </row>
    <row r="362" spans="1:9" x14ac:dyDescent="0.2">
      <c r="A362" s="3" t="s">
        <v>470</v>
      </c>
      <c r="B362" t="s">
        <v>44</v>
      </c>
      <c r="C362" s="12">
        <v>1808080</v>
      </c>
      <c r="D362" s="12">
        <v>2847600</v>
      </c>
      <c r="E362" s="14">
        <v>2983680</v>
      </c>
      <c r="F362" s="14">
        <v>5373608</v>
      </c>
      <c r="G362" s="12"/>
      <c r="H362" s="12"/>
      <c r="I362" s="12">
        <v>4655680</v>
      </c>
    </row>
    <row r="363" spans="1:9" x14ac:dyDescent="0.2">
      <c r="A363" s="3" t="s">
        <v>286</v>
      </c>
      <c r="B363" t="s">
        <v>48</v>
      </c>
      <c r="C363" s="14">
        <v>12160800</v>
      </c>
      <c r="D363" s="14">
        <v>15334769</v>
      </c>
      <c r="E363" s="12"/>
      <c r="F363" s="12"/>
      <c r="G363" s="12"/>
      <c r="H363" s="12"/>
      <c r="I363" s="12">
        <v>27495569</v>
      </c>
    </row>
    <row r="364" spans="1:9" x14ac:dyDescent="0.2">
      <c r="A364" s="3" t="s">
        <v>81</v>
      </c>
      <c r="B364" t="s">
        <v>82</v>
      </c>
      <c r="C364" s="12">
        <v>42176400</v>
      </c>
      <c r="D364" s="12">
        <v>45550512</v>
      </c>
      <c r="E364" s="12">
        <v>48924624</v>
      </c>
      <c r="F364" s="12">
        <v>52298736</v>
      </c>
      <c r="G364" s="12"/>
      <c r="H364" s="12"/>
      <c r="I364" s="12">
        <v>188950272</v>
      </c>
    </row>
    <row r="365" spans="1:9" x14ac:dyDescent="0.2">
      <c r="A365" s="3" t="s">
        <v>373</v>
      </c>
      <c r="B365" t="s">
        <v>35</v>
      </c>
      <c r="C365" s="12">
        <v>9423869</v>
      </c>
      <c r="D365" s="13">
        <v>9423869</v>
      </c>
      <c r="E365" s="12"/>
      <c r="F365" s="12"/>
      <c r="G365" s="12"/>
      <c r="H365" s="12"/>
      <c r="I365" s="12">
        <v>9423869</v>
      </c>
    </row>
    <row r="366" spans="1:9" x14ac:dyDescent="0.2">
      <c r="A366" s="3" t="s">
        <v>452</v>
      </c>
      <c r="B366" t="s">
        <v>114</v>
      </c>
      <c r="C366" s="14">
        <v>2448840</v>
      </c>
      <c r="D366" s="14">
        <v>4420156</v>
      </c>
      <c r="E366" s="12"/>
      <c r="F366" s="12"/>
      <c r="G366" s="12"/>
      <c r="H366" s="12"/>
      <c r="I366" s="12">
        <v>2448840</v>
      </c>
    </row>
    <row r="367" spans="1:9" x14ac:dyDescent="0.2">
      <c r="A367" s="3" t="s">
        <v>283</v>
      </c>
      <c r="B367" t="s">
        <v>70</v>
      </c>
      <c r="C367" s="12">
        <v>18000000</v>
      </c>
      <c r="D367" s="12">
        <v>18000000</v>
      </c>
      <c r="E367" s="12">
        <v>18000000</v>
      </c>
      <c r="F367" s="12">
        <v>18000000</v>
      </c>
      <c r="G367" s="13">
        <v>18000000</v>
      </c>
      <c r="H367" s="12"/>
      <c r="I367" s="12">
        <v>72000000</v>
      </c>
    </row>
    <row r="368" spans="1:9" x14ac:dyDescent="0.2">
      <c r="A368" s="3" t="s">
        <v>436</v>
      </c>
      <c r="B368" t="s">
        <v>120</v>
      </c>
      <c r="C368" s="12">
        <v>2087519</v>
      </c>
      <c r="D368" s="12"/>
      <c r="E368" s="12"/>
      <c r="F368" s="12"/>
      <c r="G368" s="12"/>
      <c r="H368" s="12"/>
      <c r="I368" s="12">
        <v>2087519</v>
      </c>
    </row>
    <row r="369" spans="1:9" x14ac:dyDescent="0.2">
      <c r="A369" s="3" t="s">
        <v>239</v>
      </c>
      <c r="B369" t="s">
        <v>122</v>
      </c>
      <c r="C369" s="12">
        <v>49205800</v>
      </c>
      <c r="D369" s="12">
        <v>51666090</v>
      </c>
      <c r="E369" s="12">
        <v>54126380</v>
      </c>
      <c r="F369" s="13">
        <v>56586670</v>
      </c>
      <c r="G369" s="12"/>
      <c r="H369" s="12"/>
      <c r="I369" s="12">
        <v>154998270</v>
      </c>
    </row>
    <row r="370" spans="1:9" x14ac:dyDescent="0.2">
      <c r="A370" s="3" t="s">
        <v>392</v>
      </c>
      <c r="B370" t="s">
        <v>75</v>
      </c>
      <c r="C370" s="12">
        <v>7723000</v>
      </c>
      <c r="D370" s="12">
        <v>8109150</v>
      </c>
      <c r="E370" s="12"/>
      <c r="F370" s="12"/>
      <c r="G370" s="12"/>
      <c r="H370" s="12"/>
      <c r="I370" s="12">
        <v>7723000</v>
      </c>
    </row>
    <row r="371" spans="1:9" x14ac:dyDescent="0.2">
      <c r="A371" s="3" t="s">
        <v>111</v>
      </c>
      <c r="B371" t="s">
        <v>39</v>
      </c>
      <c r="C371" s="12">
        <v>6696429</v>
      </c>
      <c r="D371" s="12">
        <v>7232143</v>
      </c>
      <c r="E371" s="12">
        <v>7767857</v>
      </c>
      <c r="F371" s="12">
        <v>8303571</v>
      </c>
      <c r="G371" s="12"/>
      <c r="H371" s="12"/>
      <c r="I371" s="12">
        <v>30000000</v>
      </c>
    </row>
    <row r="372" spans="1:9" x14ac:dyDescent="0.2">
      <c r="A372" s="3" t="s">
        <v>354</v>
      </c>
      <c r="B372" t="s">
        <v>61</v>
      </c>
      <c r="C372" s="12">
        <v>1157153</v>
      </c>
      <c r="D372" s="12">
        <v>1955377</v>
      </c>
      <c r="E372" s="14">
        <v>2296271</v>
      </c>
      <c r="F372" s="12"/>
      <c r="G372" s="12"/>
      <c r="H372" s="12"/>
      <c r="I372" s="12">
        <v>1157153</v>
      </c>
    </row>
    <row r="373" spans="1:9" x14ac:dyDescent="0.2">
      <c r="A373" s="3" t="s">
        <v>238</v>
      </c>
      <c r="B373" t="s">
        <v>46</v>
      </c>
      <c r="C373" s="14">
        <v>2413560</v>
      </c>
      <c r="D373" s="14">
        <v>4356476</v>
      </c>
      <c r="E373" s="12"/>
      <c r="F373" s="12"/>
      <c r="G373" s="12"/>
      <c r="H373" s="12"/>
      <c r="I373" s="12">
        <v>6770036</v>
      </c>
    </row>
    <row r="374" spans="1:9" x14ac:dyDescent="0.2">
      <c r="A374" s="3" t="s">
        <v>506</v>
      </c>
      <c r="B374" t="s">
        <v>51</v>
      </c>
      <c r="C374" s="12">
        <v>2087519</v>
      </c>
      <c r="D374" s="12"/>
      <c r="E374" s="12"/>
      <c r="F374" s="12"/>
      <c r="G374" s="12"/>
      <c r="H374" s="12"/>
      <c r="I374" s="12"/>
    </row>
    <row r="375" spans="1:9" x14ac:dyDescent="0.2">
      <c r="A375" s="3" t="s">
        <v>479</v>
      </c>
      <c r="B375" t="s">
        <v>44</v>
      </c>
      <c r="C375" s="12">
        <v>6000000</v>
      </c>
      <c r="D375" s="12"/>
      <c r="E375" s="12"/>
      <c r="F375" s="12"/>
      <c r="G375" s="12"/>
      <c r="H375" s="12"/>
      <c r="I375" s="12">
        <v>6000000</v>
      </c>
    </row>
    <row r="376" spans="1:9" x14ac:dyDescent="0.2">
      <c r="A376" s="3" t="s">
        <v>237</v>
      </c>
      <c r="B376" t="s">
        <v>63</v>
      </c>
      <c r="C376" s="14">
        <v>4296682</v>
      </c>
      <c r="D376" s="12"/>
      <c r="E376" s="12"/>
      <c r="F376" s="12"/>
      <c r="G376" s="12"/>
      <c r="H376" s="12"/>
      <c r="I376" s="12">
        <v>4296682</v>
      </c>
    </row>
    <row r="377" spans="1:9" x14ac:dyDescent="0.2">
      <c r="A377" s="3" t="s">
        <v>374</v>
      </c>
      <c r="B377" t="s">
        <v>135</v>
      </c>
      <c r="C377" s="12">
        <v>1891857</v>
      </c>
      <c r="D377" s="14">
        <v>2221677</v>
      </c>
      <c r="E377" s="12"/>
      <c r="F377" s="12"/>
      <c r="G377" s="12"/>
      <c r="H377" s="12"/>
      <c r="I377" s="12">
        <v>1891857</v>
      </c>
    </row>
    <row r="378" spans="1:9" x14ac:dyDescent="0.2">
      <c r="A378" s="3" t="s">
        <v>352</v>
      </c>
      <c r="B378" t="s">
        <v>87</v>
      </c>
      <c r="C378" s="12">
        <v>10098960</v>
      </c>
      <c r="D378" s="12">
        <v>10603560</v>
      </c>
      <c r="E378" s="14">
        <v>11108880</v>
      </c>
      <c r="F378" s="14">
        <v>14041625</v>
      </c>
      <c r="G378" s="12"/>
      <c r="H378" s="12"/>
      <c r="I378" s="12">
        <v>20702520</v>
      </c>
    </row>
    <row r="379" spans="1:9" x14ac:dyDescent="0.2">
      <c r="A379" s="3" t="s">
        <v>416</v>
      </c>
      <c r="B379" t="s">
        <v>122</v>
      </c>
      <c r="C379" s="13">
        <v>4033748</v>
      </c>
      <c r="D379" s="12"/>
      <c r="E379" s="12"/>
      <c r="F379" s="12"/>
      <c r="G379" s="12"/>
      <c r="H379" s="12"/>
      <c r="I379" s="12">
        <v>2087519</v>
      </c>
    </row>
    <row r="380" spans="1:9" x14ac:dyDescent="0.2">
      <c r="A380" s="3" t="s">
        <v>416</v>
      </c>
      <c r="B380" t="s">
        <v>59</v>
      </c>
      <c r="C380" s="13">
        <v>4033748</v>
      </c>
      <c r="D380" s="12"/>
      <c r="E380" s="12"/>
      <c r="F380" s="12"/>
      <c r="G380" s="12"/>
      <c r="H380" s="12"/>
      <c r="I380" s="12">
        <v>1946229</v>
      </c>
    </row>
    <row r="381" spans="1:9" x14ac:dyDescent="0.2">
      <c r="A381" s="3" t="s">
        <v>493</v>
      </c>
      <c r="B381" t="s">
        <v>114</v>
      </c>
      <c r="C381" s="12">
        <v>12648321</v>
      </c>
      <c r="D381" s="12">
        <v>13280737</v>
      </c>
      <c r="E381" s="12"/>
      <c r="F381" s="12"/>
      <c r="G381" s="12"/>
      <c r="H381" s="12"/>
      <c r="I381" s="12">
        <v>12648321</v>
      </c>
    </row>
    <row r="382" spans="1:9" x14ac:dyDescent="0.2">
      <c r="A382" s="3" t="s">
        <v>369</v>
      </c>
      <c r="B382" t="s">
        <v>122</v>
      </c>
      <c r="C382" s="12">
        <v>1891857</v>
      </c>
      <c r="D382" s="12">
        <v>2221677</v>
      </c>
      <c r="E382" s="14">
        <v>2406205</v>
      </c>
      <c r="F382" s="12"/>
      <c r="G382" s="12"/>
      <c r="H382" s="12"/>
      <c r="I382" s="12">
        <v>4113534</v>
      </c>
    </row>
    <row r="383" spans="1:9" x14ac:dyDescent="0.2">
      <c r="A383" s="3" t="s">
        <v>671</v>
      </c>
      <c r="B383" t="s">
        <v>57</v>
      </c>
      <c r="C383" s="12">
        <v>1301031</v>
      </c>
      <c r="D383" s="12"/>
      <c r="E383" s="12"/>
      <c r="F383" s="12"/>
      <c r="G383" s="12"/>
      <c r="H383" s="12"/>
      <c r="I383" s="12">
        <v>1301031</v>
      </c>
    </row>
    <row r="384" spans="1:9" x14ac:dyDescent="0.2">
      <c r="A384" s="3" t="s">
        <v>65</v>
      </c>
      <c r="B384" t="s">
        <v>66</v>
      </c>
      <c r="C384" s="12">
        <v>25794643</v>
      </c>
      <c r="D384" s="12">
        <v>27705357</v>
      </c>
      <c r="E384" s="12">
        <v>29616071</v>
      </c>
      <c r="F384" s="12"/>
      <c r="G384" s="12"/>
      <c r="H384" s="12"/>
      <c r="I384" s="12">
        <v>83116071</v>
      </c>
    </row>
    <row r="385" spans="1:9" x14ac:dyDescent="0.2">
      <c r="A385" s="3" t="s">
        <v>417</v>
      </c>
      <c r="B385" t="s">
        <v>51</v>
      </c>
      <c r="C385" s="12">
        <v>6262920</v>
      </c>
      <c r="D385" s="12">
        <v>6576120</v>
      </c>
      <c r="E385" s="14">
        <v>6889320</v>
      </c>
      <c r="F385" s="14">
        <v>8763216</v>
      </c>
      <c r="G385" s="12"/>
      <c r="H385" s="12"/>
      <c r="I385" s="12">
        <v>12839040</v>
      </c>
    </row>
    <row r="386" spans="1:9" x14ac:dyDescent="0.2">
      <c r="A386" s="3" t="s">
        <v>381</v>
      </c>
      <c r="B386" t="s">
        <v>135</v>
      </c>
      <c r="C386" s="12">
        <v>12428571</v>
      </c>
      <c r="D386" s="12">
        <v>13285713</v>
      </c>
      <c r="E386" s="12"/>
      <c r="F386" s="12"/>
      <c r="G386" s="12"/>
      <c r="H386" s="12"/>
      <c r="I386" s="12">
        <v>25714284</v>
      </c>
    </row>
    <row r="387" spans="1:9" x14ac:dyDescent="0.2">
      <c r="A387" s="3" t="s">
        <v>267</v>
      </c>
      <c r="B387" t="s">
        <v>75</v>
      </c>
      <c r="C387" s="12">
        <v>8245320</v>
      </c>
      <c r="D387" s="12">
        <v>8657280</v>
      </c>
      <c r="E387" s="14">
        <v>9069600</v>
      </c>
      <c r="F387" s="14">
        <v>11491183</v>
      </c>
      <c r="G387" s="12"/>
      <c r="H387" s="12"/>
      <c r="I387" s="12">
        <v>16902600</v>
      </c>
    </row>
    <row r="388" spans="1:9" x14ac:dyDescent="0.2">
      <c r="A388" s="3" t="s">
        <v>190</v>
      </c>
      <c r="B388" t="s">
        <v>54</v>
      </c>
      <c r="C388" s="12">
        <v>9375000</v>
      </c>
      <c r="D388" s="12">
        <v>10125000</v>
      </c>
      <c r="E388" s="12">
        <v>10875000</v>
      </c>
      <c r="F388" s="12">
        <v>11625000</v>
      </c>
      <c r="G388" s="12"/>
      <c r="H388" s="12"/>
      <c r="I388" s="12">
        <v>42000000</v>
      </c>
    </row>
    <row r="389" spans="1:9" x14ac:dyDescent="0.2">
      <c r="A389" s="3" t="s">
        <v>197</v>
      </c>
      <c r="B389" t="s">
        <v>51</v>
      </c>
      <c r="C389" s="12">
        <v>43827586</v>
      </c>
      <c r="D389" s="12">
        <v>35000000</v>
      </c>
      <c r="E389" s="12">
        <v>36500000</v>
      </c>
      <c r="F389" s="13">
        <v>38000000</v>
      </c>
      <c r="G389" s="12"/>
      <c r="H389" s="12"/>
      <c r="I389" s="12">
        <v>115327586</v>
      </c>
    </row>
    <row r="390" spans="1:9" x14ac:dyDescent="0.2">
      <c r="A390" s="3" t="s">
        <v>202</v>
      </c>
      <c r="B390" t="s">
        <v>41</v>
      </c>
      <c r="C390" s="12">
        <v>17000000</v>
      </c>
      <c r="D390" s="12">
        <v>18259259</v>
      </c>
      <c r="E390" s="12"/>
      <c r="F390" s="12"/>
      <c r="G390" s="12"/>
      <c r="H390" s="12"/>
      <c r="I390" s="12">
        <v>35259259</v>
      </c>
    </row>
    <row r="391" spans="1:9" x14ac:dyDescent="0.2">
      <c r="A391" s="3" t="s">
        <v>191</v>
      </c>
      <c r="B391" t="s">
        <v>46</v>
      </c>
      <c r="C391" s="13">
        <v>5631296</v>
      </c>
      <c r="D391" s="13">
        <v>3468960</v>
      </c>
      <c r="E391" s="12"/>
      <c r="F391" s="12"/>
      <c r="G391" s="12"/>
      <c r="H391" s="12"/>
      <c r="I391" s="12">
        <v>3303771</v>
      </c>
    </row>
    <row r="392" spans="1:9" x14ac:dyDescent="0.2">
      <c r="A392" s="3" t="s">
        <v>191</v>
      </c>
      <c r="B392" t="s">
        <v>120</v>
      </c>
      <c r="C392" s="13">
        <v>5631296</v>
      </c>
      <c r="D392" s="13">
        <v>3468960</v>
      </c>
      <c r="E392" s="12"/>
      <c r="F392" s="12"/>
      <c r="G392" s="12"/>
      <c r="H392" s="12"/>
      <c r="I392" s="12">
        <v>2327525</v>
      </c>
    </row>
    <row r="393" spans="1:9" x14ac:dyDescent="0.2">
      <c r="A393" s="3" t="s">
        <v>318</v>
      </c>
      <c r="B393" t="s">
        <v>54</v>
      </c>
      <c r="C393" s="12">
        <v>2530800</v>
      </c>
      <c r="D393" s="12">
        <v>2657760</v>
      </c>
      <c r="E393" s="14">
        <v>2784240</v>
      </c>
      <c r="F393" s="14">
        <v>5025553</v>
      </c>
      <c r="G393" s="12"/>
      <c r="H393" s="12"/>
      <c r="I393" s="12">
        <v>5188560</v>
      </c>
    </row>
    <row r="394" spans="1:9" x14ac:dyDescent="0.2">
      <c r="A394" s="3" t="s">
        <v>439</v>
      </c>
      <c r="B394" t="s">
        <v>114</v>
      </c>
      <c r="C394" s="12">
        <v>600000</v>
      </c>
      <c r="D394" s="12"/>
      <c r="E394" s="12"/>
      <c r="F394" s="12"/>
      <c r="G394" s="12"/>
      <c r="H394" s="12"/>
      <c r="I394" s="12">
        <v>600000</v>
      </c>
    </row>
    <row r="395" spans="1:9" x14ac:dyDescent="0.2">
      <c r="A395" s="3" t="s">
        <v>652</v>
      </c>
      <c r="B395" t="s">
        <v>114</v>
      </c>
      <c r="C395" s="12">
        <v>6440678</v>
      </c>
      <c r="D395" s="12">
        <v>6118644</v>
      </c>
      <c r="E395" s="12">
        <v>6440678</v>
      </c>
      <c r="F395" s="12"/>
      <c r="G395" s="12"/>
      <c r="H395" s="12"/>
      <c r="I395" s="12">
        <v>19000000</v>
      </c>
    </row>
    <row r="396" spans="1:9" x14ac:dyDescent="0.2">
      <c r="A396" s="3" t="s">
        <v>262</v>
      </c>
      <c r="B396" t="s">
        <v>39</v>
      </c>
      <c r="C396" s="14">
        <v>2092344</v>
      </c>
      <c r="D396" s="12">
        <v>10044644</v>
      </c>
      <c r="E396" s="12">
        <v>10848215</v>
      </c>
      <c r="F396" s="12">
        <v>11651785</v>
      </c>
      <c r="G396" s="12">
        <v>12455356</v>
      </c>
      <c r="H396" s="12"/>
      <c r="I396" s="12">
        <v>47092344</v>
      </c>
    </row>
    <row r="397" spans="1:9" x14ac:dyDescent="0.2">
      <c r="A397" s="3" t="s">
        <v>281</v>
      </c>
      <c r="B397" t="s">
        <v>57</v>
      </c>
      <c r="C397" s="12">
        <v>2164993</v>
      </c>
      <c r="D397" s="12"/>
      <c r="E397" s="12"/>
      <c r="F397" s="12"/>
      <c r="G397" s="12"/>
      <c r="H397" s="12"/>
      <c r="I397" s="12">
        <v>2164993</v>
      </c>
    </row>
    <row r="398" spans="1:9" x14ac:dyDescent="0.2">
      <c r="A398" s="3" t="s">
        <v>360</v>
      </c>
      <c r="B398" t="s">
        <v>93</v>
      </c>
      <c r="C398" s="12">
        <v>2087519</v>
      </c>
      <c r="D398" s="12"/>
      <c r="E398" s="12"/>
      <c r="F398" s="12"/>
      <c r="G398" s="12"/>
      <c r="H398" s="12"/>
      <c r="I398" s="12">
        <v>2087519</v>
      </c>
    </row>
    <row r="399" spans="1:9" x14ac:dyDescent="0.2">
      <c r="A399" s="3" t="s">
        <v>145</v>
      </c>
      <c r="B399" t="s">
        <v>80</v>
      </c>
      <c r="C399" s="14">
        <v>3960531</v>
      </c>
      <c r="D399" s="12"/>
      <c r="E399" s="12"/>
      <c r="F399" s="12"/>
      <c r="G399" s="12"/>
      <c r="H399" s="12"/>
      <c r="I399" s="12">
        <v>3960531</v>
      </c>
    </row>
    <row r="400" spans="1:9" x14ac:dyDescent="0.2">
      <c r="A400" s="3" t="s">
        <v>231</v>
      </c>
      <c r="B400" t="s">
        <v>135</v>
      </c>
      <c r="C400" s="12">
        <v>10259160</v>
      </c>
      <c r="D400" s="14">
        <v>10748040</v>
      </c>
      <c r="E400" s="14">
        <v>13585523</v>
      </c>
      <c r="F400" s="12"/>
      <c r="G400" s="12"/>
      <c r="H400" s="12"/>
      <c r="I400" s="12">
        <v>21007200</v>
      </c>
    </row>
    <row r="401" spans="1:9" x14ac:dyDescent="0.2">
      <c r="A401" s="3" t="s">
        <v>167</v>
      </c>
      <c r="B401" t="s">
        <v>66</v>
      </c>
      <c r="C401" s="14">
        <v>10130980</v>
      </c>
      <c r="D401" s="12">
        <v>38661750</v>
      </c>
      <c r="E401" s="12">
        <v>41754690</v>
      </c>
      <c r="F401" s="12">
        <v>44847630</v>
      </c>
      <c r="G401" s="12">
        <v>47940570</v>
      </c>
      <c r="H401" s="12">
        <v>51033510</v>
      </c>
      <c r="I401" s="12">
        <v>234369130</v>
      </c>
    </row>
    <row r="402" spans="1:9" x14ac:dyDescent="0.2">
      <c r="A402" s="3" t="s">
        <v>181</v>
      </c>
      <c r="B402" t="s">
        <v>80</v>
      </c>
      <c r="C402" s="12">
        <v>2087519</v>
      </c>
      <c r="D402" s="12">
        <v>2270735</v>
      </c>
      <c r="E402" s="12">
        <v>2461462</v>
      </c>
      <c r="F402" s="12">
        <v>2789215</v>
      </c>
      <c r="G402" s="12"/>
      <c r="H402" s="12"/>
      <c r="I402" s="12">
        <v>4358254</v>
      </c>
    </row>
    <row r="403" spans="1:9" x14ac:dyDescent="0.2">
      <c r="A403" s="3" t="s">
        <v>323</v>
      </c>
      <c r="B403" t="s">
        <v>59</v>
      </c>
      <c r="C403" s="12">
        <v>2087519</v>
      </c>
      <c r="D403" s="12"/>
      <c r="E403" s="12"/>
      <c r="F403" s="12"/>
      <c r="G403" s="12"/>
      <c r="H403" s="12"/>
      <c r="I403" s="12">
        <v>2087519</v>
      </c>
    </row>
    <row r="404" spans="1:9" x14ac:dyDescent="0.2">
      <c r="A404" s="3" t="s">
        <v>174</v>
      </c>
      <c r="B404" t="s">
        <v>135</v>
      </c>
      <c r="C404" s="14">
        <v>6614160</v>
      </c>
      <c r="D404" s="14">
        <v>8399983</v>
      </c>
      <c r="E404" s="12"/>
      <c r="F404" s="12"/>
      <c r="G404" s="12"/>
      <c r="H404" s="12"/>
      <c r="I404" s="12">
        <v>15014143</v>
      </c>
    </row>
    <row r="405" spans="1:9" x14ac:dyDescent="0.2">
      <c r="A405" s="3" t="s">
        <v>31</v>
      </c>
      <c r="B405" t="s">
        <v>32</v>
      </c>
      <c r="C405" s="12">
        <v>35859950</v>
      </c>
      <c r="D405" s="12">
        <v>38333050</v>
      </c>
      <c r="E405" s="12">
        <v>40806150</v>
      </c>
      <c r="F405" s="12"/>
      <c r="G405" s="12"/>
      <c r="H405" s="12"/>
      <c r="I405" s="12">
        <v>114999150</v>
      </c>
    </row>
    <row r="406" spans="1:9" x14ac:dyDescent="0.2">
      <c r="A406" s="3" t="s">
        <v>316</v>
      </c>
      <c r="B406" t="s">
        <v>103</v>
      </c>
      <c r="C406" s="12">
        <v>2875000</v>
      </c>
      <c r="D406" s="12">
        <v>3000000</v>
      </c>
      <c r="E406" s="12">
        <v>3287406</v>
      </c>
      <c r="F406" s="12"/>
      <c r="G406" s="12"/>
      <c r="H406" s="12"/>
      <c r="I406" s="12">
        <v>9162406</v>
      </c>
    </row>
    <row r="407" spans="1:9" x14ac:dyDescent="0.2">
      <c r="A407" s="3" t="s">
        <v>517</v>
      </c>
      <c r="B407" t="s">
        <v>93</v>
      </c>
      <c r="C407" s="12">
        <v>1891857</v>
      </c>
      <c r="D407" s="12">
        <v>2221677</v>
      </c>
      <c r="E407" s="12"/>
      <c r="F407" s="12"/>
      <c r="G407" s="12"/>
      <c r="H407" s="12"/>
      <c r="I407" s="12">
        <v>4113534</v>
      </c>
    </row>
    <row r="408" spans="1:9" x14ac:dyDescent="0.2">
      <c r="A408" s="3" t="s">
        <v>278</v>
      </c>
      <c r="B408" t="s">
        <v>75</v>
      </c>
      <c r="C408" s="12">
        <v>7692308</v>
      </c>
      <c r="D408" s="12">
        <v>8307692</v>
      </c>
      <c r="E408" s="12"/>
      <c r="F408" s="12"/>
      <c r="G408" s="12"/>
      <c r="H408" s="12"/>
      <c r="I408" s="12">
        <v>16000000</v>
      </c>
    </row>
    <row r="409" spans="1:9" x14ac:dyDescent="0.2">
      <c r="A409" s="3" t="s">
        <v>243</v>
      </c>
      <c r="B409" t="s">
        <v>63</v>
      </c>
      <c r="C409" s="12">
        <v>2087519</v>
      </c>
      <c r="D409" s="12"/>
      <c r="E409" s="12"/>
      <c r="F409" s="12"/>
      <c r="G409" s="12"/>
      <c r="H409" s="12"/>
      <c r="I409" s="12">
        <v>2087519</v>
      </c>
    </row>
    <row r="410" spans="1:9" x14ac:dyDescent="0.2">
      <c r="A410" s="3" t="s">
        <v>99</v>
      </c>
      <c r="B410" t="s">
        <v>100</v>
      </c>
      <c r="C410" s="12">
        <v>55761216</v>
      </c>
      <c r="D410" s="12">
        <v>59606817</v>
      </c>
      <c r="E410" s="12">
        <v>62587158</v>
      </c>
      <c r="F410" s="12"/>
      <c r="G410" s="12"/>
      <c r="H410" s="12"/>
      <c r="I410" s="12">
        <v>177955191</v>
      </c>
    </row>
    <row r="411" spans="1:9" x14ac:dyDescent="0.2">
      <c r="A411" s="3" t="s">
        <v>163</v>
      </c>
      <c r="B411" t="s">
        <v>93</v>
      </c>
      <c r="C411" s="12">
        <v>9105120</v>
      </c>
      <c r="D411" s="12">
        <v>9560520</v>
      </c>
      <c r="E411" s="14">
        <v>10015920</v>
      </c>
      <c r="F411" s="14">
        <v>12670139</v>
      </c>
      <c r="G411" s="12"/>
      <c r="H411" s="12"/>
      <c r="I411" s="12">
        <v>18665640</v>
      </c>
    </row>
    <row r="412" spans="1:9" x14ac:dyDescent="0.2">
      <c r="A412" s="3" t="s">
        <v>428</v>
      </c>
      <c r="B412" t="s">
        <v>87</v>
      </c>
      <c r="C412" s="12">
        <v>12600000</v>
      </c>
      <c r="D412" s="12"/>
      <c r="E412" s="12"/>
      <c r="F412" s="12"/>
      <c r="G412" s="12"/>
      <c r="H412" s="12"/>
      <c r="I412" s="12">
        <v>12600000</v>
      </c>
    </row>
    <row r="413" spans="1:9" x14ac:dyDescent="0.2">
      <c r="A413" s="3" t="s">
        <v>441</v>
      </c>
      <c r="B413" t="s">
        <v>120</v>
      </c>
      <c r="C413" s="12">
        <v>3500000</v>
      </c>
      <c r="D413" s="12">
        <v>3675000</v>
      </c>
      <c r="E413" s="12">
        <v>3850000</v>
      </c>
      <c r="F413" s="14">
        <v>4025000</v>
      </c>
      <c r="G413" s="12"/>
      <c r="H413" s="12"/>
      <c r="I413" s="12">
        <v>3500000</v>
      </c>
    </row>
    <row r="414" spans="1:9" x14ac:dyDescent="0.2">
      <c r="A414" s="3" t="s">
        <v>178</v>
      </c>
      <c r="B414" t="s">
        <v>82</v>
      </c>
      <c r="C414" s="12">
        <v>9300000</v>
      </c>
      <c r="D414" s="12">
        <v>10200000</v>
      </c>
      <c r="E414" s="12">
        <v>11000000</v>
      </c>
      <c r="F414" s="12">
        <v>11800000</v>
      </c>
      <c r="G414" s="14">
        <v>11800000</v>
      </c>
      <c r="H414" s="12"/>
      <c r="I414" s="12">
        <v>42300000</v>
      </c>
    </row>
    <row r="415" spans="1:9" x14ac:dyDescent="0.2">
      <c r="A415" s="3" t="s">
        <v>422</v>
      </c>
      <c r="B415" t="s">
        <v>59</v>
      </c>
      <c r="C415" s="12">
        <v>2087519</v>
      </c>
      <c r="D415" s="12"/>
      <c r="E415" s="12"/>
      <c r="F415" s="12"/>
      <c r="G415" s="12"/>
      <c r="H415" s="12"/>
      <c r="I415" s="12"/>
    </row>
    <row r="416" spans="1:9" x14ac:dyDescent="0.2">
      <c r="A416" s="3" t="s">
        <v>298</v>
      </c>
      <c r="B416" t="s">
        <v>70</v>
      </c>
      <c r="C416" s="12">
        <v>2087519</v>
      </c>
      <c r="D416" s="12"/>
      <c r="E416" s="12"/>
      <c r="F416" s="12"/>
      <c r="G416" s="12"/>
      <c r="H416" s="12"/>
      <c r="I416" s="12">
        <v>2087519</v>
      </c>
    </row>
    <row r="417" spans="1:9" x14ac:dyDescent="0.2">
      <c r="A417" s="3" t="s">
        <v>187</v>
      </c>
      <c r="B417" t="s">
        <v>87</v>
      </c>
      <c r="C417" s="14">
        <v>3695160</v>
      </c>
      <c r="D417" s="14">
        <v>5675766</v>
      </c>
      <c r="E417" s="12"/>
      <c r="F417" s="12"/>
      <c r="G417" s="12"/>
      <c r="H417" s="12"/>
      <c r="I417" s="12">
        <v>9370926</v>
      </c>
    </row>
    <row r="418" spans="1:9" x14ac:dyDescent="0.2">
      <c r="A418" s="3" t="s">
        <v>242</v>
      </c>
      <c r="B418" t="s">
        <v>35</v>
      </c>
      <c r="C418" s="12">
        <v>2087519</v>
      </c>
      <c r="D418" s="12"/>
      <c r="E418" s="12"/>
      <c r="F418" s="12"/>
      <c r="G418" s="12"/>
      <c r="H418" s="12"/>
      <c r="I418" s="12">
        <v>2087519</v>
      </c>
    </row>
    <row r="419" spans="1:9" x14ac:dyDescent="0.2">
      <c r="A419" s="3" t="s">
        <v>489</v>
      </c>
      <c r="B419" t="s">
        <v>120</v>
      </c>
      <c r="C419" s="12">
        <v>5848680</v>
      </c>
      <c r="D419" s="14">
        <v>6127080</v>
      </c>
      <c r="E419" s="14">
        <v>7805900</v>
      </c>
      <c r="F419" s="12"/>
      <c r="G419" s="12"/>
      <c r="H419" s="12"/>
      <c r="I419" s="12">
        <v>11975760</v>
      </c>
    </row>
    <row r="420" spans="1:9" x14ac:dyDescent="0.2">
      <c r="A420" s="3" t="s">
        <v>290</v>
      </c>
      <c r="B420" t="s">
        <v>77</v>
      </c>
      <c r="C420" s="12">
        <v>11423077</v>
      </c>
      <c r="D420" s="12">
        <v>15500000</v>
      </c>
      <c r="E420" s="12">
        <v>15500000</v>
      </c>
      <c r="F420" s="12">
        <v>16000000</v>
      </c>
      <c r="G420" s="12"/>
      <c r="H420" s="12"/>
      <c r="I420" s="12">
        <v>58423077</v>
      </c>
    </row>
    <row r="421" spans="1:9" x14ac:dyDescent="0.2">
      <c r="A421" s="3" t="s">
        <v>501</v>
      </c>
      <c r="B421" t="s">
        <v>51</v>
      </c>
      <c r="C421" s="12">
        <v>2546640</v>
      </c>
      <c r="D421" s="12">
        <v>2674080</v>
      </c>
      <c r="E421" s="14">
        <v>2801640</v>
      </c>
      <c r="F421" s="14">
        <v>5054159</v>
      </c>
      <c r="G421" s="12"/>
      <c r="H421" s="12"/>
      <c r="I421" s="12">
        <v>5220720</v>
      </c>
    </row>
    <row r="422" spans="1:9" x14ac:dyDescent="0.2">
      <c r="A422" s="3" t="s">
        <v>193</v>
      </c>
      <c r="B422" t="s">
        <v>61</v>
      </c>
      <c r="C422" s="12">
        <v>24924126</v>
      </c>
      <c r="D422" s="12">
        <v>26643031</v>
      </c>
      <c r="E422" s="12"/>
      <c r="F422" s="12"/>
      <c r="G422" s="12"/>
      <c r="H422" s="12"/>
      <c r="I422" s="12">
        <v>51567157</v>
      </c>
    </row>
    <row r="423" spans="1:9" x14ac:dyDescent="0.2">
      <c r="A423" s="3" t="s">
        <v>419</v>
      </c>
      <c r="B423" t="s">
        <v>61</v>
      </c>
      <c r="C423" s="12">
        <v>2087519</v>
      </c>
      <c r="D423" s="12"/>
      <c r="E423" s="12"/>
      <c r="F423" s="12"/>
      <c r="G423" s="12"/>
      <c r="H423" s="12"/>
      <c r="I423" s="12">
        <v>2087519</v>
      </c>
    </row>
    <row r="424" spans="1:9" x14ac:dyDescent="0.2">
      <c r="A424" s="3" t="s">
        <v>337</v>
      </c>
      <c r="B424" t="s">
        <v>59</v>
      </c>
      <c r="C424" s="12">
        <v>7488720</v>
      </c>
      <c r="D424" s="12">
        <v>7863240</v>
      </c>
      <c r="E424" s="14">
        <v>8237880</v>
      </c>
      <c r="F424" s="14">
        <v>10445633</v>
      </c>
      <c r="G424" s="12"/>
      <c r="H424" s="12"/>
      <c r="I424" s="12">
        <v>15351960</v>
      </c>
    </row>
    <row r="425" spans="1:9" x14ac:dyDescent="0.2">
      <c r="A425" s="3" t="s">
        <v>214</v>
      </c>
      <c r="B425" t="s">
        <v>75</v>
      </c>
      <c r="C425" s="12">
        <v>16193183</v>
      </c>
      <c r="D425" s="12"/>
      <c r="E425" s="12"/>
      <c r="F425" s="12"/>
      <c r="G425" s="12"/>
      <c r="H425" s="12"/>
      <c r="I425" s="12">
        <v>16193183</v>
      </c>
    </row>
    <row r="426" spans="1:9" x14ac:dyDescent="0.2">
      <c r="A426" s="3" t="s">
        <v>132</v>
      </c>
      <c r="B426" t="s">
        <v>75</v>
      </c>
      <c r="C426" s="12">
        <v>25365854</v>
      </c>
      <c r="D426" s="12">
        <v>26634146</v>
      </c>
      <c r="E426" s="12"/>
      <c r="F426" s="12"/>
      <c r="G426" s="12"/>
      <c r="H426" s="12"/>
      <c r="I426" s="12">
        <v>52000000</v>
      </c>
    </row>
    <row r="427" spans="1:9" x14ac:dyDescent="0.2">
      <c r="A427" s="3" t="s">
        <v>438</v>
      </c>
      <c r="B427" t="s">
        <v>70</v>
      </c>
      <c r="C427" s="13">
        <v>2845342</v>
      </c>
      <c r="D427" s="12"/>
      <c r="E427" s="12"/>
      <c r="F427" s="12"/>
      <c r="G427" s="12"/>
      <c r="H427" s="12"/>
      <c r="I427" s="12">
        <v>2845342</v>
      </c>
    </row>
    <row r="428" spans="1:9" x14ac:dyDescent="0.2">
      <c r="A428" s="3" t="s">
        <v>217</v>
      </c>
      <c r="B428" t="s">
        <v>135</v>
      </c>
      <c r="C428" s="12">
        <v>1891857</v>
      </c>
      <c r="D428" s="12">
        <v>2221677</v>
      </c>
      <c r="E428" s="14">
        <v>2406205</v>
      </c>
      <c r="F428" s="12"/>
      <c r="G428" s="12"/>
      <c r="H428" s="12"/>
      <c r="I428" s="12"/>
    </row>
    <row r="429" spans="1:9" x14ac:dyDescent="0.2">
      <c r="A429" s="3" t="s">
        <v>71</v>
      </c>
      <c r="B429" t="s">
        <v>72</v>
      </c>
      <c r="C429" s="12">
        <v>43031940</v>
      </c>
      <c r="D429" s="12">
        <v>45999660</v>
      </c>
      <c r="E429" s="13">
        <v>48967380</v>
      </c>
      <c r="F429" s="12"/>
      <c r="G429" s="12"/>
      <c r="H429" s="12"/>
      <c r="I429" s="12">
        <v>89031600</v>
      </c>
    </row>
    <row r="430" spans="1:9" x14ac:dyDescent="0.2">
      <c r="A430" s="3" t="s">
        <v>259</v>
      </c>
      <c r="B430" t="s">
        <v>100</v>
      </c>
      <c r="C430" s="12">
        <v>1891857</v>
      </c>
      <c r="D430" s="12">
        <v>2221677</v>
      </c>
      <c r="E430" s="14">
        <v>2406205</v>
      </c>
      <c r="F430" s="12"/>
      <c r="G430" s="12"/>
      <c r="H430" s="12"/>
      <c r="I430" s="12">
        <v>1891857</v>
      </c>
    </row>
    <row r="431" spans="1:9" x14ac:dyDescent="0.2">
      <c r="A431" s="3" t="s">
        <v>432</v>
      </c>
      <c r="B431" t="s">
        <v>93</v>
      </c>
      <c r="C431" s="12">
        <v>9104167</v>
      </c>
      <c r="D431" s="12"/>
      <c r="E431" s="12"/>
      <c r="F431" s="12"/>
      <c r="G431" s="12"/>
      <c r="H431" s="12"/>
      <c r="I431" s="12">
        <v>9104167</v>
      </c>
    </row>
    <row r="432" spans="1:9" x14ac:dyDescent="0.2">
      <c r="A432" s="3" t="s">
        <v>246</v>
      </c>
      <c r="B432" t="s">
        <v>59</v>
      </c>
      <c r="C432" s="14">
        <v>4908373</v>
      </c>
      <c r="D432" s="12"/>
      <c r="E432" s="12"/>
      <c r="F432" s="12"/>
      <c r="G432" s="12"/>
      <c r="H432" s="12"/>
      <c r="I432" s="12">
        <v>4908373</v>
      </c>
    </row>
    <row r="433" spans="1:9" x14ac:dyDescent="0.2">
      <c r="A433" s="3" t="s">
        <v>338</v>
      </c>
      <c r="B433" t="s">
        <v>103</v>
      </c>
      <c r="C433" s="12">
        <v>2726603</v>
      </c>
      <c r="D433" s="12"/>
      <c r="E433" s="12"/>
      <c r="F433" s="12"/>
      <c r="G433" s="12"/>
      <c r="H433" s="12"/>
      <c r="I433" s="12">
        <v>2726603</v>
      </c>
    </row>
    <row r="434" spans="1:9" x14ac:dyDescent="0.2">
      <c r="A434" s="3" t="s">
        <v>340</v>
      </c>
      <c r="B434" t="s">
        <v>37</v>
      </c>
      <c r="C434" s="12">
        <v>8000000</v>
      </c>
      <c r="D434" s="12"/>
      <c r="E434" s="12"/>
      <c r="F434" s="12"/>
      <c r="G434" s="12"/>
      <c r="H434" s="12"/>
      <c r="I434" s="12">
        <v>8000000</v>
      </c>
    </row>
    <row r="435" spans="1:9" x14ac:dyDescent="0.2">
      <c r="A435" s="3" t="s">
        <v>205</v>
      </c>
      <c r="B435" t="s">
        <v>117</v>
      </c>
      <c r="C435" s="14">
        <v>5159854</v>
      </c>
      <c r="D435" s="12">
        <v>25000000</v>
      </c>
      <c r="E435" s="12">
        <v>27000000</v>
      </c>
      <c r="F435" s="12">
        <v>29000000</v>
      </c>
      <c r="G435" s="12">
        <v>31000000</v>
      </c>
      <c r="H435" s="12"/>
      <c r="I435" s="12">
        <v>117159854</v>
      </c>
    </row>
    <row r="436" spans="1:9" x14ac:dyDescent="0.2">
      <c r="A436" s="3" t="s">
        <v>268</v>
      </c>
      <c r="B436" t="s">
        <v>48</v>
      </c>
      <c r="C436" s="12">
        <v>3628440</v>
      </c>
      <c r="D436" s="12">
        <v>3809520</v>
      </c>
      <c r="E436" s="14">
        <v>3991200</v>
      </c>
      <c r="F436" s="14">
        <v>6138466</v>
      </c>
      <c r="G436" s="12"/>
      <c r="H436" s="12"/>
      <c r="I436" s="12">
        <v>7437960</v>
      </c>
    </row>
    <row r="437" spans="1:9" x14ac:dyDescent="0.2">
      <c r="A437" s="3" t="s">
        <v>451</v>
      </c>
      <c r="B437" t="s">
        <v>57</v>
      </c>
      <c r="C437" s="12">
        <v>2087519</v>
      </c>
      <c r="D437" s="12"/>
      <c r="E437" s="12"/>
      <c r="F437" s="12"/>
      <c r="G437" s="12"/>
      <c r="H437" s="12"/>
      <c r="I437" s="12">
        <v>2087519</v>
      </c>
    </row>
    <row r="438" spans="1:9" x14ac:dyDescent="0.2">
      <c r="A438" s="3" t="s">
        <v>180</v>
      </c>
      <c r="B438" t="s">
        <v>57</v>
      </c>
      <c r="C438" s="12">
        <v>2560975</v>
      </c>
      <c r="D438" s="12"/>
      <c r="E438" s="12"/>
      <c r="F438" s="12"/>
      <c r="G438" s="12"/>
      <c r="H438" s="12"/>
      <c r="I438" s="12">
        <v>2560975</v>
      </c>
    </row>
    <row r="439" spans="1:9" x14ac:dyDescent="0.2">
      <c r="A439" s="3" t="s">
        <v>60</v>
      </c>
      <c r="B439" t="s">
        <v>61</v>
      </c>
      <c r="C439" s="12">
        <v>29000000</v>
      </c>
      <c r="D439" s="12">
        <v>31000000</v>
      </c>
      <c r="E439" s="12">
        <v>33000000</v>
      </c>
      <c r="F439" s="12"/>
      <c r="G439" s="12"/>
      <c r="H439" s="12"/>
      <c r="I439" s="12">
        <v>93000000</v>
      </c>
    </row>
    <row r="440" spans="1:9" x14ac:dyDescent="0.2">
      <c r="A440" s="3" t="s">
        <v>411</v>
      </c>
      <c r="B440" t="s">
        <v>44</v>
      </c>
      <c r="C440" s="12">
        <v>2087519</v>
      </c>
      <c r="D440" s="12">
        <v>2191897</v>
      </c>
      <c r="E440" s="12">
        <v>2296271</v>
      </c>
      <c r="F440" s="14">
        <v>2486995</v>
      </c>
      <c r="G440" s="12"/>
      <c r="H440" s="12"/>
      <c r="I440" s="12">
        <v>6575687</v>
      </c>
    </row>
    <row r="441" spans="1:9" x14ac:dyDescent="0.2">
      <c r="A441" s="3" t="s">
        <v>469</v>
      </c>
      <c r="B441" t="s">
        <v>35</v>
      </c>
      <c r="C441" s="12">
        <v>1157153</v>
      </c>
      <c r="D441" s="12">
        <v>1955377</v>
      </c>
      <c r="E441" s="12">
        <v>2296271</v>
      </c>
      <c r="F441" s="14">
        <v>2486995</v>
      </c>
      <c r="G441" s="12"/>
      <c r="H441" s="12"/>
      <c r="I441" s="12">
        <v>5408801</v>
      </c>
    </row>
    <row r="442" spans="1:9" x14ac:dyDescent="0.2">
      <c r="A442" s="3" t="s">
        <v>97</v>
      </c>
      <c r="B442" t="s">
        <v>82</v>
      </c>
      <c r="C442" s="12">
        <v>42176400</v>
      </c>
      <c r="D442" s="12">
        <v>45550512</v>
      </c>
      <c r="E442" s="12">
        <v>48924624</v>
      </c>
      <c r="F442" s="12">
        <v>52298736</v>
      </c>
      <c r="G442" s="12">
        <v>55672848</v>
      </c>
      <c r="H442" s="12"/>
      <c r="I442" s="12">
        <v>244623120</v>
      </c>
    </row>
    <row r="443" spans="1:9" x14ac:dyDescent="0.2">
      <c r="A443" s="3" t="s">
        <v>121</v>
      </c>
      <c r="B443" t="s">
        <v>122</v>
      </c>
      <c r="C443" s="12">
        <v>35147000</v>
      </c>
      <c r="D443" s="12">
        <v>37958760</v>
      </c>
      <c r="E443" s="12">
        <v>40770520</v>
      </c>
      <c r="F443" s="12">
        <v>43582280</v>
      </c>
      <c r="G443" s="12">
        <v>46394040</v>
      </c>
      <c r="H443" s="12"/>
      <c r="I443" s="12">
        <v>203852600</v>
      </c>
    </row>
    <row r="444" spans="1:9" x14ac:dyDescent="0.2">
      <c r="A444" s="3" t="s">
        <v>171</v>
      </c>
      <c r="B444" t="s">
        <v>54</v>
      </c>
      <c r="C444" s="12">
        <v>2087519</v>
      </c>
      <c r="D444" s="12"/>
      <c r="E444" s="12"/>
      <c r="F444" s="12"/>
      <c r="G444" s="12"/>
      <c r="H444" s="12"/>
      <c r="I444" s="12">
        <v>2087519</v>
      </c>
    </row>
    <row r="445" spans="1:9" x14ac:dyDescent="0.2">
      <c r="A445" s="3" t="s">
        <v>336</v>
      </c>
      <c r="B445" t="s">
        <v>59</v>
      </c>
      <c r="C445" s="12">
        <v>7723000</v>
      </c>
      <c r="D445" s="14">
        <v>8109150</v>
      </c>
      <c r="E445" s="12"/>
      <c r="F445" s="12"/>
      <c r="G445" s="12"/>
      <c r="H445" s="12"/>
      <c r="I445" s="12">
        <v>7723000</v>
      </c>
    </row>
    <row r="446" spans="1:9" x14ac:dyDescent="0.2">
      <c r="A446" s="3" t="s">
        <v>92</v>
      </c>
      <c r="B446" t="s">
        <v>93</v>
      </c>
      <c r="C446" s="12">
        <v>12768960</v>
      </c>
      <c r="D446" s="14">
        <v>13376880</v>
      </c>
      <c r="E446" s="14">
        <v>16868246</v>
      </c>
      <c r="F446" s="12"/>
      <c r="G446" s="12"/>
      <c r="H446" s="12"/>
      <c r="I446" s="12">
        <v>26145840</v>
      </c>
    </row>
    <row r="447" spans="1:9" x14ac:dyDescent="0.2">
      <c r="A447" s="3" t="s">
        <v>483</v>
      </c>
      <c r="B447" t="s">
        <v>80</v>
      </c>
      <c r="C447" s="12">
        <v>2120693</v>
      </c>
      <c r="D447" s="12">
        <v>2301587</v>
      </c>
      <c r="E447" s="14">
        <v>2489752</v>
      </c>
      <c r="F447" s="12"/>
      <c r="G447" s="12"/>
      <c r="H447" s="12"/>
      <c r="I447" s="12">
        <v>4422280</v>
      </c>
    </row>
    <row r="448" spans="1:9" x14ac:dyDescent="0.2">
      <c r="A448" s="3" t="s">
        <v>433</v>
      </c>
      <c r="B448" t="s">
        <v>72</v>
      </c>
      <c r="C448" s="12">
        <v>2162606</v>
      </c>
      <c r="D448" s="12">
        <v>2349578</v>
      </c>
      <c r="E448" s="12">
        <v>2667944</v>
      </c>
      <c r="F448" s="14">
        <v>3005085</v>
      </c>
      <c r="G448" s="12"/>
      <c r="H448" s="12"/>
      <c r="I448" s="12">
        <v>2162606</v>
      </c>
    </row>
    <row r="449" spans="1:9" x14ac:dyDescent="0.2">
      <c r="A449" s="3" t="s">
        <v>498</v>
      </c>
      <c r="B449" t="s">
        <v>46</v>
      </c>
      <c r="C449" s="12">
        <v>2087519</v>
      </c>
      <c r="D449" s="12"/>
      <c r="E449" s="12"/>
      <c r="F449" s="12"/>
      <c r="G449" s="12"/>
      <c r="H449" s="12"/>
      <c r="I449" s="12">
        <v>2087519</v>
      </c>
    </row>
    <row r="450" spans="1:9" x14ac:dyDescent="0.2">
      <c r="A450" s="3" t="s">
        <v>245</v>
      </c>
      <c r="B450" t="s">
        <v>120</v>
      </c>
      <c r="C450" s="14">
        <v>2965920</v>
      </c>
      <c r="D450" s="14">
        <v>4878938</v>
      </c>
      <c r="E450" s="12"/>
      <c r="F450" s="12"/>
      <c r="G450" s="12"/>
      <c r="H450" s="12"/>
      <c r="I450" s="12">
        <v>7844858</v>
      </c>
    </row>
    <row r="451" spans="1:9" x14ac:dyDescent="0.2">
      <c r="A451" s="3" t="s">
        <v>329</v>
      </c>
      <c r="B451" t="s">
        <v>48</v>
      </c>
      <c r="C451" s="12">
        <v>11950000</v>
      </c>
      <c r="D451" s="12">
        <v>10850000</v>
      </c>
      <c r="E451" s="12">
        <v>18102000</v>
      </c>
      <c r="F451" s="12">
        <v>19550160</v>
      </c>
      <c r="G451" s="14">
        <v>20998320</v>
      </c>
      <c r="H451" s="12"/>
      <c r="I451" s="12">
        <v>60452160</v>
      </c>
    </row>
    <row r="452" spans="1:9" x14ac:dyDescent="0.2">
      <c r="A452" s="3" t="s">
        <v>402</v>
      </c>
      <c r="B452" t="s">
        <v>75</v>
      </c>
      <c r="C452" s="14">
        <v>2537040</v>
      </c>
      <c r="D452" s="14">
        <v>4574283</v>
      </c>
      <c r="E452" s="12"/>
      <c r="F452" s="12"/>
      <c r="G452" s="12"/>
      <c r="H452" s="12"/>
      <c r="I452" s="12">
        <v>2537040</v>
      </c>
    </row>
    <row r="453" spans="1:9" x14ac:dyDescent="0.2">
      <c r="A453" s="3" t="s">
        <v>477</v>
      </c>
      <c r="B453" t="s">
        <v>39</v>
      </c>
      <c r="C453" s="12">
        <v>2237691</v>
      </c>
      <c r="D453" s="12">
        <v>2546675</v>
      </c>
      <c r="E453" s="12"/>
      <c r="F453" s="12"/>
      <c r="G453" s="12"/>
      <c r="H453" s="12"/>
      <c r="I453" s="12">
        <v>4784366</v>
      </c>
    </row>
    <row r="454" spans="1:9" x14ac:dyDescent="0.2">
      <c r="A454" s="3" t="s">
        <v>206</v>
      </c>
      <c r="B454" t="s">
        <v>117</v>
      </c>
      <c r="C454" s="12">
        <v>3193200</v>
      </c>
      <c r="D454" s="12">
        <v>3353040</v>
      </c>
      <c r="E454" s="14">
        <v>3512760</v>
      </c>
      <c r="F454" s="14">
        <v>5595827</v>
      </c>
      <c r="G454" s="12"/>
      <c r="H454" s="12"/>
      <c r="I454" s="12">
        <v>6546240</v>
      </c>
    </row>
    <row r="455" spans="1:9" x14ac:dyDescent="0.2">
      <c r="A455" s="3" t="s">
        <v>165</v>
      </c>
      <c r="B455" t="s">
        <v>72</v>
      </c>
      <c r="C455" s="12">
        <v>12569040</v>
      </c>
      <c r="D455" s="12">
        <v>13197720</v>
      </c>
      <c r="E455" s="14">
        <v>13826040</v>
      </c>
      <c r="F455" s="14">
        <v>17434637</v>
      </c>
      <c r="G455" s="12"/>
      <c r="H455" s="12"/>
      <c r="I455" s="12">
        <v>25766760</v>
      </c>
    </row>
    <row r="456" spans="1:9" x14ac:dyDescent="0.2">
      <c r="A456" s="3" t="s">
        <v>296</v>
      </c>
      <c r="B456" t="s">
        <v>93</v>
      </c>
      <c r="C456" s="12">
        <v>16741200</v>
      </c>
      <c r="D456" s="12">
        <v>18080496</v>
      </c>
      <c r="E456" s="12"/>
      <c r="F456" s="12"/>
      <c r="G456" s="12"/>
      <c r="H456" s="12"/>
      <c r="I456" s="12">
        <v>34821696</v>
      </c>
    </row>
    <row r="457" spans="1:9" x14ac:dyDescent="0.2">
      <c r="A457" s="3" t="s">
        <v>274</v>
      </c>
      <c r="B457" t="s">
        <v>80</v>
      </c>
      <c r="C457" s="12">
        <v>5756880</v>
      </c>
      <c r="D457" s="12">
        <v>6045000</v>
      </c>
      <c r="E457" s="14">
        <v>6332760</v>
      </c>
      <c r="F457" s="14">
        <v>8067937</v>
      </c>
      <c r="G457" s="12"/>
      <c r="H457" s="12"/>
      <c r="I457" s="12">
        <v>11801880</v>
      </c>
    </row>
    <row r="458" spans="1:9" x14ac:dyDescent="0.2">
      <c r="A458" s="3" t="s">
        <v>85</v>
      </c>
      <c r="B458" t="s">
        <v>70</v>
      </c>
      <c r="C458" s="12">
        <v>43031940</v>
      </c>
      <c r="D458" s="12">
        <v>45999660</v>
      </c>
      <c r="E458" s="13">
        <v>48967380</v>
      </c>
      <c r="F458" s="12"/>
      <c r="G458" s="12"/>
      <c r="H458" s="12"/>
      <c r="I458" s="12">
        <v>89031600</v>
      </c>
    </row>
    <row r="459" spans="1:9" x14ac:dyDescent="0.2">
      <c r="A459" s="3" t="s">
        <v>471</v>
      </c>
      <c r="B459" t="s">
        <v>46</v>
      </c>
      <c r="C459" s="12">
        <v>8888889</v>
      </c>
      <c r="D459" s="12">
        <v>8177778</v>
      </c>
      <c r="E459" s="12">
        <v>7466667</v>
      </c>
      <c r="F459" s="13">
        <v>7466667</v>
      </c>
      <c r="G459" s="12"/>
      <c r="H459" s="12"/>
      <c r="I459" s="12">
        <v>24533334</v>
      </c>
    </row>
    <row r="460" spans="1:9" x14ac:dyDescent="0.2">
      <c r="A460" s="3" t="s">
        <v>248</v>
      </c>
      <c r="B460" t="s">
        <v>103</v>
      </c>
      <c r="C460" s="14">
        <v>6133005</v>
      </c>
      <c r="D460" s="12"/>
      <c r="E460" s="12"/>
      <c r="F460" s="12"/>
      <c r="G460" s="12"/>
      <c r="H460" s="12"/>
      <c r="I460" s="12">
        <v>6133005</v>
      </c>
    </row>
    <row r="461" spans="1:9" x14ac:dyDescent="0.2">
      <c r="A461" s="3" t="s">
        <v>300</v>
      </c>
      <c r="B461" t="s">
        <v>117</v>
      </c>
      <c r="C461" s="12">
        <v>36725670</v>
      </c>
      <c r="D461" s="12">
        <v>39446090</v>
      </c>
      <c r="E461" s="12">
        <v>42166510</v>
      </c>
      <c r="F461" s="12">
        <v>44886930</v>
      </c>
      <c r="G461" s="12"/>
      <c r="H461" s="12"/>
      <c r="I461" s="12">
        <v>163225200</v>
      </c>
    </row>
  </sheetData>
  <sortState xmlns:xlrd2="http://schemas.microsoft.com/office/spreadsheetml/2017/richdata2" ref="A2:I461">
    <sortCondition ref="A1:A46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missingvaluetest</vt:lpstr>
      <vt:lpstr>undervalued_custom</vt:lpstr>
      <vt:lpstr>Totals</vt:lpstr>
      <vt:lpstr>Per Game</vt:lpstr>
      <vt:lpstr>Per 36</vt:lpstr>
      <vt:lpstr>Per 100</vt:lpstr>
      <vt:lpstr>Advanced</vt:lpstr>
      <vt:lpstr>Play by Play</vt:lpstr>
      <vt:lpstr>Shooting</vt:lpstr>
      <vt:lpstr>Adjusted Shooting</vt:lpstr>
      <vt:lpstr>Contracts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Noah Kim</dc:creator>
  <cp:lastModifiedBy>Noah Kim</cp:lastModifiedBy>
  <dcterms:created xsi:type="dcterms:W3CDTF">2024-12-13T22:09:51Z</dcterms:created>
  <dcterms:modified xsi:type="dcterms:W3CDTF">2024-12-20T01:48:30Z</dcterms:modified>
</cp:coreProperties>
</file>